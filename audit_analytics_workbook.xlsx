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0.xml.rels" ContentType="application/vnd.openxmlformats-package.relationships+xml"/>
  <Override PartName="/xl/worksheets/_rels/sheet6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0.xml" ContentType="application/vnd.openxmlformats-officedocument.spreadsheetml.comments+xml"/>
  <Override PartName="/xl/comments5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comments6.xml" ContentType="application/vnd.openxmlformats-officedocument.spreadsheetml.comments+xml"/>
  <Override PartName="/xl/charts/chart1.xml" ContentType="application/vnd.openxmlformats-officedocument.drawingml.chart+xml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Parameters" sheetId="2" state="visible" r:id="rId4"/>
    <sheet name="Vendors" sheetId="3" state="visible" r:id="rId5"/>
    <sheet name="Employees" sheetId="4" state="visible" r:id="rId6"/>
    <sheet name="Payments" sheetId="5" state="visible" r:id="rId7"/>
    <sheet name="Benford" sheetId="6" state="visible" r:id="rId8"/>
    <sheet name="Vendor_Benford" sheetId="7" state="visible" r:id="rId9"/>
    <sheet name="COA" sheetId="8" state="visible" r:id="rId10"/>
    <sheet name="JE_Lines" sheetId="9" state="visible" r:id="rId11"/>
    <sheet name="JE_Entries" sheetId="10" state="visible" r:id="rId12"/>
    <sheet name="Answer_Key" sheetId="11" state="visible" r:id="rId13"/>
    <sheet name="Exceptions" sheetId="12" state="visible" r:id="rId14"/>
    <sheet name="Check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1 for the later occurrence of the same vendor, normalised invoice number and amount.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24</xdr:rowOff>
              </xdr:to>
            </anchor>
          </commentPr>
        </mc:Choice>
        <mc:Fallback/>
      </mc:AlternateContent>
    </comment>
    <comment ref="J4" authorId="0">
      <text>
        <r>
          <rPr>
            <sz val="10"/>
            <rFont val="Arial"/>
            <family val="2"/>
          </rPr>
          <t xml:space="preserve">1 if another payment has the same vendor and amount within the window but a different invoice number. Flags both payments.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39</xdr:rowOff>
              </xdr:to>
            </anchor>
          </commentPr>
        </mc:Choice>
        <mc:Fallback/>
      </mc:AlternateContent>
    </comment>
    <comment ref="L4" authorId="0">
      <text>
        <r>
          <rPr>
            <sz val="10"/>
            <rFont val="Arial"/>
            <family val="2"/>
          </rPr>
          <t xml:space="preserve">Amount is below the approval limit and within the band under it.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21</xdr:rowOff>
              </xdr:to>
            </anchor>
          </commentPr>
        </mc:Choice>
        <mc:Fallback/>
      </mc:AlternateContent>
    </comment>
    <comment ref="M4" authorId="0">
      <text>
        <r>
          <rPr>
            <sz val="10"/>
            <rFont val="Arial"/>
            <family val="2"/>
          </rPr>
          <t xml:space="preserve">Payment is below the limit, but payments to the same vendor on the same date add up to the limit or more.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24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16" authorId="0">
      <text>
        <r>
          <rPr>
            <sz val="10"/>
            <rFont val="Arial"/>
            <family val="2"/>
          </rPr>
          <t xml:space="preserve">Mean absolute deviation of actual from expected first digit proportions.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-43</xdr:colOff>
                <xdr:row>3</xdr:row>
                <xdr:rowOff>21</xdr:rowOff>
              </xdr:to>
            </anchor>
          </commentPr>
        </mc:Choice>
        <mc:Fallback/>
      </mc:AlternateContent>
    </comment>
  </commentList>
</comments>
</file>

<file path=xl/comments10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Q4" authorId="0">
      <text>
        <r>
          <rPr>
            <sz val="10"/>
            <rFont val="Arial"/>
            <family val="2"/>
          </rPr>
          <t xml:space="preserve">Posting date falls in the last days of the fiscal year (window on Parameters).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21</xdr:rowOff>
              </xdr:to>
            </anchor>
          </commentPr>
        </mc:Choice>
        <mc:Fallback/>
      </mc:AlternateContent>
    </comment>
    <comment ref="X4" authorId="0">
      <text>
        <r>
          <rPr>
            <sz val="10"/>
            <rFont val="Arial"/>
            <family val="2"/>
          </rPr>
          <t xml:space="preserve">1 if the JE number jumps from the previous entry, meaning one or more numbers are missing.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5</xdr:colOff>
                <xdr:row>0</xdr:row>
                <xdr:rowOff>5</xdr:rowOff>
              </xdr:from>
              <xdr:to>
                <xdr:col>2</xdr:col>
                <xdr:colOff>45</xdr:colOff>
                <xdr:row>3</xdr:row>
                <xdr:rowOff>24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I4" authorId="0">
      <text>
        <r>
          <rPr>
            <sz val="10"/>
            <rFont val="Arial"/>
            <family val="2"/>
          </rPr>
          <t xml:space="preserve">Flagged items that are neither seeded, counterparts, nor known benign patterns. A reviewer would have to clear these in practice.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5</xdr:rowOff>
              </xdr:from>
              <xdr:to>
                <xdr:col>1</xdr:col>
                <xdr:colOff>142</xdr:colOff>
                <xdr:row>4</xdr:row>
                <xdr:rowOff>9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<sst xmlns="http://schemas.openxmlformats.org/spreadsheetml/2006/main" count="11080" uniqueCount="3524">
  <si>
    <t xml:space="preserve">Audit analytics toolkit: Benford, duplicate payments, round sums and journal entry tests</t>
  </si>
  <si>
    <t xml:space="preserve">Sample / demonstration data only. No real company, vendor, employee or transaction.</t>
  </si>
  <si>
    <t xml:space="preserve">PURPOSE</t>
  </si>
  <si>
    <t xml:space="preserve">Run standard data analytics over a year of payments and journal entries, score each item, and produce a ranked list for targeted follow up. Anomalies were seeded into the sample data so detection can be tested against an answer key.</t>
  </si>
  <si>
    <t xml:space="preserve">SHEETS</t>
  </si>
  <si>
    <t xml:space="preserve">Parameters: thresholds, weights, authorised users (inputs, blue). Change a value and every flag recalculates.</t>
  </si>
  <si>
    <t xml:space="preserve">Vendors, Employees: master data used by the bank account match.</t>
  </si>
  <si>
    <t xml:space="preserve">Payments: one row per payment. Blue = input, black = formula. Flags and score are columns to the right.</t>
  </si>
  <si>
    <t xml:space="preserve">Benford: first digit test over all payments (counts, z statistics, MAD, chi square) with a chart.</t>
  </si>
  <si>
    <t xml:space="preserve">Vendor_Benford: the same test per vendor, plus the employee bank account match.</t>
  </si>
  <si>
    <t xml:space="preserve">COA, JE_Lines: chart of accounts and journal entry lines (inputs).</t>
  </si>
  <si>
    <t xml:space="preserve">JE_Entries: one row per journal entry number (number in brown from the engine, everything else formulas), with tests and score.</t>
  </si>
  <si>
    <t xml:space="preserve">Exceptions: counts per test, recall against the answer key, and ranked High risk lists.</t>
  </si>
  <si>
    <t xml:space="preserve">Answer_Key: seeded anomalies and known benign patterns, with a live Detected? column.</t>
  </si>
  <si>
    <t xml:space="preserve">Checks: control totals and completeness. Overall result must read PASS.</t>
  </si>
  <si>
    <t xml:space="preserve">HOW TO READ THE RESULTS</t>
  </si>
  <si>
    <t xml:space="preserve">A flag is a reason to look, not a finding. Each High item needs a documented disposition by the reviewer.</t>
  </si>
  <si>
    <t xml:space="preserve">The High risk list is a targeted selection of specific items. It is not an audit sample and results must not be projected to the population (ISA 530).</t>
  </si>
  <si>
    <t xml:space="preserve">Benford conformity is a screening result. Nonconformity can come from natural causes such as fixed price contracts or recurring amounts.</t>
  </si>
  <si>
    <t xml:space="preserve">ASSUMPTIONS AND LIMITS</t>
  </si>
  <si>
    <t xml:space="preserve">1. Fiscal year 1 Jan 2025 to 31 Dec 2025. All data is synthetic, generated with a fixed seed.</t>
  </si>
  <si>
    <t xml:space="preserve">2. Benford first digit test uses Nigrini style MAD bands: up to 0.006 close, to 0.012 acceptable, to 0.015 marginal, above nonconformity.</t>
  </si>
  <si>
    <t xml:space="preserve">3. Vendor Benford results are ignored below the minimum payment count on the Parameters sheet.</t>
  </si>
  <si>
    <t xml:space="preserve">4. Duplicate test ignores spaces, slashes, dots and letter case in invoice numbers. It does not catch transposed digits.</t>
  </si>
  <si>
    <t xml:space="preserve">5. Journal entry user and source are taken from the first line of each entry.</t>
  </si>
  <si>
    <t xml:space="preserve">6. Revised ISA 240 applies to audits of periods beginning on or after 15 Dec 2026. Use it as a reference for fraud risk work, not as a current requirement for earlier periods.</t>
  </si>
  <si>
    <t xml:space="preserve">7. Real data would need data integrity checks (completeness and accuracy of the extract) before any of these tests are run.</t>
  </si>
  <si>
    <t xml:space="preserve">COLOUR CODE</t>
  </si>
  <si>
    <t xml:space="preserve">Blue font = input. Brown font = engine output pasted as values. Black = formula.</t>
  </si>
  <si>
    <t xml:space="preserve">Parameters</t>
  </si>
  <si>
    <t xml:space="preserve">Inputs in blue. Weights drive the risk scores.</t>
  </si>
  <si>
    <t xml:space="preserve">Parameter</t>
  </si>
  <si>
    <t xml:space="preserve">Value</t>
  </si>
  <si>
    <t xml:space="preserve">Note</t>
  </si>
  <si>
    <t xml:space="preserve">Fiscal year start</t>
  </si>
  <si>
    <t xml:space="preserve">Population period</t>
  </si>
  <si>
    <t xml:space="preserve">Fiscal year end</t>
  </si>
  <si>
    <t xml:space="preserve">Payment approval limit (USD)</t>
  </si>
  <si>
    <t xml:space="preserve">Payments at or above need the senior approver</t>
  </si>
  <si>
    <t xml:space="preserve">Senior approver code</t>
  </si>
  <si>
    <t xml:space="preserve">FIN_DIR</t>
  </si>
  <si>
    <t xml:space="preserve">Approver required at or above the limit</t>
  </si>
  <si>
    <t xml:space="preserve">Below limit band</t>
  </si>
  <si>
    <t xml:space="preserve">Flag payments within this share below the limit</t>
  </si>
  <si>
    <t xml:space="preserve">Round sum modulus (USD)</t>
  </si>
  <si>
    <t xml:space="preserve">Amount is a multiple of this</t>
  </si>
  <si>
    <t xml:space="preserve">Round sum minimum (USD)</t>
  </si>
  <si>
    <t xml:space="preserve">Ignore smaller round amounts</t>
  </si>
  <si>
    <t xml:space="preserve">Near duplicate window (days)</t>
  </si>
  <si>
    <t xml:space="preserve">Same vendor and amount within this many days</t>
  </si>
  <si>
    <t xml:space="preserve">Benford minimum payments per vendor</t>
  </si>
  <si>
    <t xml:space="preserve">Vendor test is unreliable below this count</t>
  </si>
  <si>
    <t xml:space="preserve">Benford MAD threshold</t>
  </si>
  <si>
    <t xml:space="preserve">First digit MAD above this is nonconformity (Nigrini)</t>
  </si>
  <si>
    <t xml:space="preserve">Benford z critical value</t>
  </si>
  <si>
    <t xml:space="preserve">5 percent two sided</t>
  </si>
  <si>
    <t xml:space="preserve">Chi square critical value (8 df, 5 percent)</t>
  </si>
  <si>
    <t xml:space="preserve">Fixed statistical constant</t>
  </si>
  <si>
    <t xml:space="preserve">JE posting lag limit (days)</t>
  </si>
  <si>
    <t xml:space="preserve">Posting date less document date</t>
  </si>
  <si>
    <t xml:space="preserve">Period end window (days)</t>
  </si>
  <si>
    <t xml:space="preserve">Last days of the fiscal year</t>
  </si>
  <si>
    <t xml:space="preserve">JE approval limit (USD)</t>
  </si>
  <si>
    <t xml:space="preserve">Manual entries need extra approval at or above</t>
  </si>
  <si>
    <t xml:space="preserve">JE below limit band</t>
  </si>
  <si>
    <t xml:space="preserve">Flag manual entries within this share below the limit</t>
  </si>
  <si>
    <t xml:space="preserve">JE round modulus (USD)</t>
  </si>
  <si>
    <t xml:space="preserve">Entry total is a multiple of this</t>
  </si>
  <si>
    <t xml:space="preserve">JE round minimum (USD)</t>
  </si>
  <si>
    <t xml:space="preserve">Ignore smaller round entries</t>
  </si>
  <si>
    <t xml:space="preserve">Balance tolerance (USD)</t>
  </si>
  <si>
    <t xml:space="preserve">Debit less credit beyond this is unbalanced</t>
  </si>
  <si>
    <t xml:space="preserve">High risk cutoff, payments (score)</t>
  </si>
  <si>
    <t xml:space="preserve">Score at or above is High</t>
  </si>
  <si>
    <t xml:space="preserve">High risk cutoff, journal entries (score)</t>
  </si>
  <si>
    <t xml:space="preserve">Payment risk weights</t>
  </si>
  <si>
    <t xml:space="preserve">Duplicate payment (same vendor, invoice, amount)</t>
  </si>
  <si>
    <t xml:space="preserve">Near duplicate (same vendor and amount, different invoice)</t>
  </si>
  <si>
    <t xml:space="preserve">Round sum</t>
  </si>
  <si>
    <t xml:space="preserve">Just below approval limit</t>
  </si>
  <si>
    <t xml:space="preserve">Same day split above limit</t>
  </si>
  <si>
    <t xml:space="preserve">Approved below required authority</t>
  </si>
  <si>
    <t xml:space="preserve">Vendor bank account matches an employee</t>
  </si>
  <si>
    <t xml:space="preserve">Vendor fails Benford test</t>
  </si>
  <si>
    <t xml:space="preserve">Journal entry risk weights</t>
  </si>
  <si>
    <t xml:space="preserve">Unbalanced entry</t>
  </si>
  <si>
    <t xml:space="preserve">Posted on weekend</t>
  </si>
  <si>
    <t xml:space="preserve">Posted late versus document date</t>
  </si>
  <si>
    <t xml:space="preserve">Posted in last days of year</t>
  </si>
  <si>
    <t xml:space="preserve">Posted by user not authorised</t>
  </si>
  <si>
    <t xml:space="preserve">Manual entry to revenue</t>
  </si>
  <si>
    <t xml:space="preserve">Round total</t>
  </si>
  <si>
    <t xml:space="preserve">No description</t>
  </si>
  <si>
    <t xml:space="preserve">Manual entry just below approval limit</t>
  </si>
  <si>
    <t xml:space="preserve">Manual entry to suspense</t>
  </si>
  <si>
    <t xml:space="preserve">Number sequence gap before entry</t>
  </si>
  <si>
    <t xml:space="preserve">Authorised journal posting users</t>
  </si>
  <si>
    <t xml:space="preserve">FIN01</t>
  </si>
  <si>
    <t xml:space="preserve">FIN02</t>
  </si>
  <si>
    <t xml:space="preserve">FIN03</t>
  </si>
  <si>
    <t xml:space="preserve">FIN04</t>
  </si>
  <si>
    <t xml:space="preserve">FIN05</t>
  </si>
  <si>
    <t xml:space="preserve">SYS_AP</t>
  </si>
  <si>
    <t xml:space="preserve">SYS_AR</t>
  </si>
  <si>
    <t xml:space="preserve">SYS_PAY</t>
  </si>
  <si>
    <t xml:space="preserve">Vendor master</t>
  </si>
  <si>
    <t xml:space="preserve">Synthetic. V038 bank account equals an employee bank account (seeded).</t>
  </si>
  <si>
    <t xml:space="preserve">Vendor ID</t>
  </si>
  <si>
    <t xml:space="preserve">Vendor name</t>
  </si>
  <si>
    <t xml:space="preserve">Bank account</t>
  </si>
  <si>
    <t xml:space="preserve">V001</t>
  </si>
  <si>
    <t xml:space="preserve">Sample Supplier 001</t>
  </si>
  <si>
    <t xml:space="preserve">ACC00104784</t>
  </si>
  <si>
    <t xml:space="preserve">V002</t>
  </si>
  <si>
    <t xml:space="preserve">Sample Supplier 002</t>
  </si>
  <si>
    <t xml:space="preserve">ACC00209513</t>
  </si>
  <si>
    <t xml:space="preserve">V003</t>
  </si>
  <si>
    <t xml:space="preserve">Sample Supplier 003</t>
  </si>
  <si>
    <t xml:space="preserve">ACC00314242</t>
  </si>
  <si>
    <t xml:space="preserve">V004</t>
  </si>
  <si>
    <t xml:space="preserve">Sample Supplier 004</t>
  </si>
  <si>
    <t xml:space="preserve">ACC00418971</t>
  </si>
  <si>
    <t xml:space="preserve">V005</t>
  </si>
  <si>
    <t xml:space="preserve">Sample Supplier 005</t>
  </si>
  <si>
    <t xml:space="preserve">ACC00523700</t>
  </si>
  <si>
    <t xml:space="preserve">V006</t>
  </si>
  <si>
    <t xml:space="preserve">Sample Supplier 006</t>
  </si>
  <si>
    <t xml:space="preserve">ACC00628429</t>
  </si>
  <si>
    <t xml:space="preserve">V007</t>
  </si>
  <si>
    <t xml:space="preserve">Sample Supplier 007</t>
  </si>
  <si>
    <t xml:space="preserve">ACC00733158</t>
  </si>
  <si>
    <t xml:space="preserve">V008</t>
  </si>
  <si>
    <t xml:space="preserve">Sample Supplier 008</t>
  </si>
  <si>
    <t xml:space="preserve">ACC00837887</t>
  </si>
  <si>
    <t xml:space="preserve">V009</t>
  </si>
  <si>
    <t xml:space="preserve">Sample Supplier 009</t>
  </si>
  <si>
    <t xml:space="preserve">ACC00942616</t>
  </si>
  <si>
    <t xml:space="preserve">V010</t>
  </si>
  <si>
    <t xml:space="preserve">Sample Supplier 010</t>
  </si>
  <si>
    <t xml:space="preserve">ACC01047345</t>
  </si>
  <si>
    <t xml:space="preserve">V011</t>
  </si>
  <si>
    <t xml:space="preserve">Sample Supplier 011</t>
  </si>
  <si>
    <t xml:space="preserve">ACC01152074</t>
  </si>
  <si>
    <t xml:space="preserve">V012</t>
  </si>
  <si>
    <t xml:space="preserve">Sample Supplier 012</t>
  </si>
  <si>
    <t xml:space="preserve">ACC01256803</t>
  </si>
  <si>
    <t xml:space="preserve">V013</t>
  </si>
  <si>
    <t xml:space="preserve">Sample Supplier 013</t>
  </si>
  <si>
    <t xml:space="preserve">ACC01361532</t>
  </si>
  <si>
    <t xml:space="preserve">V014</t>
  </si>
  <si>
    <t xml:space="preserve">Sample Supplier 014</t>
  </si>
  <si>
    <t xml:space="preserve">ACC01466261</t>
  </si>
  <si>
    <t xml:space="preserve">V015</t>
  </si>
  <si>
    <t xml:space="preserve">Sample Supplier 015</t>
  </si>
  <si>
    <t xml:space="preserve">ACC01570990</t>
  </si>
  <si>
    <t xml:space="preserve">V016</t>
  </si>
  <si>
    <t xml:space="preserve">Sample Supplier 016</t>
  </si>
  <si>
    <t xml:space="preserve">ACC01675719</t>
  </si>
  <si>
    <t xml:space="preserve">V017</t>
  </si>
  <si>
    <t xml:space="preserve">Sample Supplier 017</t>
  </si>
  <si>
    <t xml:space="preserve">ACC01780448</t>
  </si>
  <si>
    <t xml:space="preserve">V018</t>
  </si>
  <si>
    <t xml:space="preserve">Sample Supplier 018</t>
  </si>
  <si>
    <t xml:space="preserve">ACC01885177</t>
  </si>
  <si>
    <t xml:space="preserve">V019</t>
  </si>
  <si>
    <t xml:space="preserve">Sample Supplier 019</t>
  </si>
  <si>
    <t xml:space="preserve">ACC01989906</t>
  </si>
  <si>
    <t xml:space="preserve">V020</t>
  </si>
  <si>
    <t xml:space="preserve">Sample Supplier 020</t>
  </si>
  <si>
    <t xml:space="preserve">ACC02094635</t>
  </si>
  <si>
    <t xml:space="preserve">V021</t>
  </si>
  <si>
    <t xml:space="preserve">Sample Supplier 021</t>
  </si>
  <si>
    <t xml:space="preserve">ACC02199364</t>
  </si>
  <si>
    <t xml:space="preserve">V022</t>
  </si>
  <si>
    <t xml:space="preserve">Sample Supplier 022</t>
  </si>
  <si>
    <t xml:space="preserve">ACC02304093</t>
  </si>
  <si>
    <t xml:space="preserve">V023</t>
  </si>
  <si>
    <t xml:space="preserve">Sample Supplier 023</t>
  </si>
  <si>
    <t xml:space="preserve">ACC02408822</t>
  </si>
  <si>
    <t xml:space="preserve">V024</t>
  </si>
  <si>
    <t xml:space="preserve">Sample Supplier 024</t>
  </si>
  <si>
    <t xml:space="preserve">ACC02513551</t>
  </si>
  <si>
    <t xml:space="preserve">V025</t>
  </si>
  <si>
    <t xml:space="preserve">Sample Supplier 025</t>
  </si>
  <si>
    <t xml:space="preserve">ACC02618280</t>
  </si>
  <si>
    <t xml:space="preserve">V026</t>
  </si>
  <si>
    <t xml:space="preserve">Sample Supplier 026</t>
  </si>
  <si>
    <t xml:space="preserve">ACC02723009</t>
  </si>
  <si>
    <t xml:space="preserve">V027</t>
  </si>
  <si>
    <t xml:space="preserve">Sample Supplier 027</t>
  </si>
  <si>
    <t xml:space="preserve">ACC02827738</t>
  </si>
  <si>
    <t xml:space="preserve">V028</t>
  </si>
  <si>
    <t xml:space="preserve">Sample Supplier 028</t>
  </si>
  <si>
    <t xml:space="preserve">ACC02932467</t>
  </si>
  <si>
    <t xml:space="preserve">V029</t>
  </si>
  <si>
    <t xml:space="preserve">Sample Supplier 029</t>
  </si>
  <si>
    <t xml:space="preserve">ACC03037196</t>
  </si>
  <si>
    <t xml:space="preserve">V030</t>
  </si>
  <si>
    <t xml:space="preserve">Sample Supplier 030</t>
  </si>
  <si>
    <t xml:space="preserve">ACC03141925</t>
  </si>
  <si>
    <t xml:space="preserve">V031</t>
  </si>
  <si>
    <t xml:space="preserve">Sample Supplier 031</t>
  </si>
  <si>
    <t xml:space="preserve">ACC03246654</t>
  </si>
  <si>
    <t xml:space="preserve">V032</t>
  </si>
  <si>
    <t xml:space="preserve">Sample Supplier 032</t>
  </si>
  <si>
    <t xml:space="preserve">ACC03351383</t>
  </si>
  <si>
    <t xml:space="preserve">V033</t>
  </si>
  <si>
    <t xml:space="preserve">Sample Supplier 033</t>
  </si>
  <si>
    <t xml:space="preserve">ACC03456112</t>
  </si>
  <si>
    <t xml:space="preserve">V034</t>
  </si>
  <si>
    <t xml:space="preserve">Sample Supplier 034</t>
  </si>
  <si>
    <t xml:space="preserve">ACC03560841</t>
  </si>
  <si>
    <t xml:space="preserve">V035</t>
  </si>
  <si>
    <t xml:space="preserve">Sample Supplier 035</t>
  </si>
  <si>
    <t xml:space="preserve">ACC03665570</t>
  </si>
  <si>
    <t xml:space="preserve">V036</t>
  </si>
  <si>
    <t xml:space="preserve">Sample Supplier 036</t>
  </si>
  <si>
    <t xml:space="preserve">ACC03770299</t>
  </si>
  <si>
    <t xml:space="preserve">V037</t>
  </si>
  <si>
    <t xml:space="preserve">Sample Supplier 037</t>
  </si>
  <si>
    <t xml:space="preserve">ACC03875028</t>
  </si>
  <si>
    <t xml:space="preserve">V038</t>
  </si>
  <si>
    <t xml:space="preserve">Sample Supplier 038</t>
  </si>
  <si>
    <t xml:space="preserve">ACC16802082</t>
  </si>
  <si>
    <t xml:space="preserve">V039</t>
  </si>
  <si>
    <t xml:space="preserve">Sample Supplier 039</t>
  </si>
  <si>
    <t xml:space="preserve">ACC04084486</t>
  </si>
  <si>
    <t xml:space="preserve">V040</t>
  </si>
  <si>
    <t xml:space="preserve">Sample Supplier 040</t>
  </si>
  <si>
    <t xml:space="preserve">ACC04189215</t>
  </si>
  <si>
    <t xml:space="preserve">V041</t>
  </si>
  <si>
    <t xml:space="preserve">Sample Supplier 041</t>
  </si>
  <si>
    <t xml:space="preserve">ACC04293944</t>
  </si>
  <si>
    <t xml:space="preserve">V042</t>
  </si>
  <si>
    <t xml:space="preserve">Sample Supplier 042</t>
  </si>
  <si>
    <t xml:space="preserve">ACC04398673</t>
  </si>
  <si>
    <t xml:space="preserve">V043</t>
  </si>
  <si>
    <t xml:space="preserve">Sample Supplier 043</t>
  </si>
  <si>
    <t xml:space="preserve">ACC04503402</t>
  </si>
  <si>
    <t xml:space="preserve">V044</t>
  </si>
  <si>
    <t xml:space="preserve">Sample Supplier 044</t>
  </si>
  <si>
    <t xml:space="preserve">ACC04608131</t>
  </si>
  <si>
    <t xml:space="preserve">V045</t>
  </si>
  <si>
    <t xml:space="preserve">Sample Supplier 045</t>
  </si>
  <si>
    <t xml:space="preserve">ACC04712860</t>
  </si>
  <si>
    <t xml:space="preserve">Employee master</t>
  </si>
  <si>
    <t xml:space="preserve">Synthetic.</t>
  </si>
  <si>
    <t xml:space="preserve">Employee ID</t>
  </si>
  <si>
    <t xml:space="preserve">E001</t>
  </si>
  <si>
    <t xml:space="preserve">ACC15485863</t>
  </si>
  <si>
    <t xml:space="preserve">E002</t>
  </si>
  <si>
    <t xml:space="preserve">ACC30971726</t>
  </si>
  <si>
    <t xml:space="preserve">E003</t>
  </si>
  <si>
    <t xml:space="preserve">ACC46457589</t>
  </si>
  <si>
    <t xml:space="preserve">E004</t>
  </si>
  <si>
    <t xml:space="preserve">ACC61943452</t>
  </si>
  <si>
    <t xml:space="preserve">E005</t>
  </si>
  <si>
    <t xml:space="preserve">ACC77429315</t>
  </si>
  <si>
    <t xml:space="preserve">E006</t>
  </si>
  <si>
    <t xml:space="preserve">ACC92915178</t>
  </si>
  <si>
    <t xml:space="preserve">E007</t>
  </si>
  <si>
    <t xml:space="preserve">ACC08401041</t>
  </si>
  <si>
    <t xml:space="preserve">E008</t>
  </si>
  <si>
    <t xml:space="preserve">ACC23886904</t>
  </si>
  <si>
    <t xml:space="preserve">E009</t>
  </si>
  <si>
    <t xml:space="preserve">ACC39372767</t>
  </si>
  <si>
    <t xml:space="preserve">E010</t>
  </si>
  <si>
    <t xml:space="preserve">ACC54858630</t>
  </si>
  <si>
    <t xml:space="preserve">E011</t>
  </si>
  <si>
    <t xml:space="preserve">ACC70344493</t>
  </si>
  <si>
    <t xml:space="preserve">E012</t>
  </si>
  <si>
    <t xml:space="preserve">ACC85830356</t>
  </si>
  <si>
    <t xml:space="preserve">E013</t>
  </si>
  <si>
    <t xml:space="preserve">ACC01316219</t>
  </si>
  <si>
    <t xml:space="preserve">E014</t>
  </si>
  <si>
    <t xml:space="preserve">E015</t>
  </si>
  <si>
    <t xml:space="preserve">ACC32287945</t>
  </si>
  <si>
    <t xml:space="preserve">E016</t>
  </si>
  <si>
    <t xml:space="preserve">ACC47773808</t>
  </si>
  <si>
    <t xml:space="preserve">E017</t>
  </si>
  <si>
    <t xml:space="preserve">ACC63259671</t>
  </si>
  <si>
    <t xml:space="preserve">E018</t>
  </si>
  <si>
    <t xml:space="preserve">ACC78745534</t>
  </si>
  <si>
    <t xml:space="preserve">E019</t>
  </si>
  <si>
    <t xml:space="preserve">ACC94231397</t>
  </si>
  <si>
    <t xml:space="preserve">E020</t>
  </si>
  <si>
    <t xml:space="preserve">ACC09717260</t>
  </si>
  <si>
    <t xml:space="preserve">E021</t>
  </si>
  <si>
    <t xml:space="preserve">ACC25203123</t>
  </si>
  <si>
    <t xml:space="preserve">E022</t>
  </si>
  <si>
    <t xml:space="preserve">ACC40688986</t>
  </si>
  <si>
    <t xml:space="preserve">E023</t>
  </si>
  <si>
    <t xml:space="preserve">ACC56174849</t>
  </si>
  <si>
    <t xml:space="preserve">E024</t>
  </si>
  <si>
    <t xml:space="preserve">ACC71660712</t>
  </si>
  <si>
    <t xml:space="preserve">E025</t>
  </si>
  <si>
    <t xml:space="preserve">ACC87146575</t>
  </si>
  <si>
    <t xml:space="preserve">Payments</t>
  </si>
  <si>
    <t xml:space="preserve">Columns A to F are inputs. Columns G onward are formulas.</t>
  </si>
  <si>
    <t xml:space="preserve">Payment ID</t>
  </si>
  <si>
    <t xml:space="preserve">Payment date</t>
  </si>
  <si>
    <t xml:space="preserve">Vendor</t>
  </si>
  <si>
    <t xml:space="preserve">Invoice no</t>
  </si>
  <si>
    <t xml:space="preserve">Amount (USD)</t>
  </si>
  <si>
    <t xml:space="preserve">Approver</t>
  </si>
  <si>
    <t xml:space="preserve">First digit</t>
  </si>
  <si>
    <t xml:space="preserve">Normalised invoice</t>
  </si>
  <si>
    <t xml:space="preserve">Duplicate</t>
  </si>
  <si>
    <t xml:space="preserve">Near duplicate</t>
  </si>
  <si>
    <t xml:space="preserve">Below limit</t>
  </si>
  <si>
    <t xml:space="preserve">Same day split</t>
  </si>
  <si>
    <t xml:space="preserve">Authority breach</t>
  </si>
  <si>
    <t xml:space="preserve">Employee bank match</t>
  </si>
  <si>
    <t xml:space="preserve">Vendor Benford flag</t>
  </si>
  <si>
    <t xml:space="preserve">Risk score</t>
  </si>
  <si>
    <t xml:space="preserve">Priority</t>
  </si>
  <si>
    <t xml:space="preserve">P0001</t>
  </si>
  <si>
    <t xml:space="preserve">RENT2501</t>
  </si>
  <si>
    <t xml:space="preserve">P0002</t>
  </si>
  <si>
    <t xml:space="preserve">INV10007</t>
  </si>
  <si>
    <t xml:space="preserve">P0003</t>
  </si>
  <si>
    <t xml:space="preserve">INV30011</t>
  </si>
  <si>
    <t xml:space="preserve">P0004</t>
  </si>
  <si>
    <t xml:space="preserve">INV39011</t>
  </si>
  <si>
    <t xml:space="preserve">P0005</t>
  </si>
  <si>
    <t xml:space="preserve">INV42010</t>
  </si>
  <si>
    <t xml:space="preserve">P0006</t>
  </si>
  <si>
    <t xml:space="preserve">INV44006</t>
  </si>
  <si>
    <t xml:space="preserve">P0007</t>
  </si>
  <si>
    <t xml:space="preserve">INV45004</t>
  </si>
  <si>
    <t xml:space="preserve">P0008</t>
  </si>
  <si>
    <t xml:space="preserve">INV12012</t>
  </si>
  <si>
    <t xml:space="preserve">P0009</t>
  </si>
  <si>
    <t xml:space="preserve">INV22005</t>
  </si>
  <si>
    <t xml:space="preserve">P0010</t>
  </si>
  <si>
    <t xml:space="preserve">INV3013</t>
  </si>
  <si>
    <t xml:space="preserve">P0011</t>
  </si>
  <si>
    <t xml:space="preserve">INV20012</t>
  </si>
  <si>
    <t xml:space="preserve">P0012</t>
  </si>
  <si>
    <t xml:space="preserve">P0013</t>
  </si>
  <si>
    <t xml:space="preserve">INV20011</t>
  </si>
  <si>
    <t xml:space="preserve">P0014</t>
  </si>
  <si>
    <t xml:space="preserve">INV22016</t>
  </si>
  <si>
    <t xml:space="preserve">P0015</t>
  </si>
  <si>
    <t xml:space="preserve">INV28008</t>
  </si>
  <si>
    <t xml:space="preserve">P0016</t>
  </si>
  <si>
    <t xml:space="preserve">INV30006</t>
  </si>
  <si>
    <t xml:space="preserve">AP_MGR</t>
  </si>
  <si>
    <t xml:space="preserve">P0017</t>
  </si>
  <si>
    <t xml:space="preserve">INV18009</t>
  </si>
  <si>
    <t xml:space="preserve">P0018</t>
  </si>
  <si>
    <t xml:space="preserve">INV35013</t>
  </si>
  <si>
    <t xml:space="preserve">P0019</t>
  </si>
  <si>
    <t xml:space="preserve">INV6002</t>
  </si>
  <si>
    <t xml:space="preserve">P0020</t>
  </si>
  <si>
    <t xml:space="preserve">INV24003</t>
  </si>
  <si>
    <t xml:space="preserve">P0021</t>
  </si>
  <si>
    <t xml:space="preserve">INV34003</t>
  </si>
  <si>
    <t xml:space="preserve">P0022</t>
  </si>
  <si>
    <t xml:space="preserve">INV7005</t>
  </si>
  <si>
    <t xml:space="preserve">P0023</t>
  </si>
  <si>
    <t xml:space="preserve">INV21004</t>
  </si>
  <si>
    <t xml:space="preserve">P0024</t>
  </si>
  <si>
    <t xml:space="preserve">INV31014</t>
  </si>
  <si>
    <t xml:space="preserve">P0025</t>
  </si>
  <si>
    <t xml:space="preserve">INV36006</t>
  </si>
  <si>
    <t xml:space="preserve">P0026</t>
  </si>
  <si>
    <t xml:space="preserve">INV42003</t>
  </si>
  <si>
    <t xml:space="preserve">P0027</t>
  </si>
  <si>
    <t xml:space="preserve">INV15008</t>
  </si>
  <si>
    <t xml:space="preserve">P0028</t>
  </si>
  <si>
    <t xml:space="preserve">INV31006</t>
  </si>
  <si>
    <t xml:space="preserve">P0029</t>
  </si>
  <si>
    <t xml:space="preserve">INV39010</t>
  </si>
  <si>
    <t xml:space="preserve">P0030</t>
  </si>
  <si>
    <t xml:space="preserve">INV42004</t>
  </si>
  <si>
    <t xml:space="preserve">P0031</t>
  </si>
  <si>
    <t xml:space="preserve">INV22015</t>
  </si>
  <si>
    <t xml:space="preserve">P0032</t>
  </si>
  <si>
    <t xml:space="preserve">INV41001</t>
  </si>
  <si>
    <t xml:space="preserve">P0033</t>
  </si>
  <si>
    <t xml:space="preserve">LIC2501</t>
  </si>
  <si>
    <t xml:space="preserve">P0034</t>
  </si>
  <si>
    <t xml:space="preserve">INV12007</t>
  </si>
  <si>
    <t xml:space="preserve">P0035</t>
  </si>
  <si>
    <t xml:space="preserve">INV34013</t>
  </si>
  <si>
    <t xml:space="preserve">P0036</t>
  </si>
  <si>
    <t xml:space="preserve">INV3008</t>
  </si>
  <si>
    <t xml:space="preserve">P0037</t>
  </si>
  <si>
    <t xml:space="preserve">INV11011</t>
  </si>
  <si>
    <t xml:space="preserve">P0038</t>
  </si>
  <si>
    <t xml:space="preserve">INV31017</t>
  </si>
  <si>
    <t xml:space="preserve">P0039</t>
  </si>
  <si>
    <t xml:space="preserve">INV42001</t>
  </si>
  <si>
    <t xml:space="preserve">P0040</t>
  </si>
  <si>
    <t xml:space="preserve">INV35015</t>
  </si>
  <si>
    <t xml:space="preserve">P0041</t>
  </si>
  <si>
    <t xml:space="preserve">INV7009</t>
  </si>
  <si>
    <t xml:space="preserve">P0042</t>
  </si>
  <si>
    <t xml:space="preserve">INV32017</t>
  </si>
  <si>
    <t xml:space="preserve">P0043</t>
  </si>
  <si>
    <t xml:space="preserve">INV14001</t>
  </si>
  <si>
    <t xml:space="preserve">P0044</t>
  </si>
  <si>
    <t xml:space="preserve">INV20009</t>
  </si>
  <si>
    <t xml:space="preserve">P0045</t>
  </si>
  <si>
    <t xml:space="preserve">INV32005</t>
  </si>
  <si>
    <t xml:space="preserve">P0046</t>
  </si>
  <si>
    <t xml:space="preserve">INV28003</t>
  </si>
  <si>
    <t xml:space="preserve">P0047</t>
  </si>
  <si>
    <t xml:space="preserve">INV34002</t>
  </si>
  <si>
    <t xml:space="preserve">P0048</t>
  </si>
  <si>
    <t xml:space="preserve">INV44009</t>
  </si>
  <si>
    <t xml:space="preserve">P0049</t>
  </si>
  <si>
    <t xml:space="preserve">INV28002</t>
  </si>
  <si>
    <t xml:space="preserve">P0050</t>
  </si>
  <si>
    <t xml:space="preserve">INV37008</t>
  </si>
  <si>
    <t xml:space="preserve">P0051</t>
  </si>
  <si>
    <t xml:space="preserve">INV43007</t>
  </si>
  <si>
    <t xml:space="preserve">P0052</t>
  </si>
  <si>
    <t xml:space="preserve">INV7006</t>
  </si>
  <si>
    <t xml:space="preserve">P0053</t>
  </si>
  <si>
    <t xml:space="preserve">INV9010</t>
  </si>
  <si>
    <t xml:space="preserve">P0054</t>
  </si>
  <si>
    <t xml:space="preserve">INV16016</t>
  </si>
  <si>
    <t xml:space="preserve">P0055</t>
  </si>
  <si>
    <t xml:space="preserve">INV33006</t>
  </si>
  <si>
    <t xml:space="preserve">P0056</t>
  </si>
  <si>
    <t xml:space="preserve">INV13011</t>
  </si>
  <si>
    <t xml:space="preserve">P0057</t>
  </si>
  <si>
    <t xml:space="preserve">INV6003</t>
  </si>
  <si>
    <t xml:space="preserve">P0058</t>
  </si>
  <si>
    <t xml:space="preserve">INV9012</t>
  </si>
  <si>
    <t xml:space="preserve">P0059</t>
  </si>
  <si>
    <t xml:space="preserve">INV33017</t>
  </si>
  <si>
    <t xml:space="preserve">P0060</t>
  </si>
  <si>
    <t xml:space="preserve">INV9017</t>
  </si>
  <si>
    <t xml:space="preserve">P0061</t>
  </si>
  <si>
    <t xml:space="preserve">INV39012</t>
  </si>
  <si>
    <t xml:space="preserve">P0062</t>
  </si>
  <si>
    <t xml:space="preserve">INV12015</t>
  </si>
  <si>
    <t xml:space="preserve">P0063</t>
  </si>
  <si>
    <t xml:space="preserve">INV19003</t>
  </si>
  <si>
    <t xml:space="preserve">P0064</t>
  </si>
  <si>
    <t xml:space="preserve">INV22010</t>
  </si>
  <si>
    <t xml:space="preserve">P0065</t>
  </si>
  <si>
    <t xml:space="preserve">INV31013</t>
  </si>
  <si>
    <t xml:space="preserve">P0066</t>
  </si>
  <si>
    <t xml:space="preserve">RENT2502</t>
  </si>
  <si>
    <t xml:space="preserve">P0067</t>
  </si>
  <si>
    <t xml:space="preserve">INV9016</t>
  </si>
  <si>
    <t xml:space="preserve">P0068</t>
  </si>
  <si>
    <t xml:space="preserve">INV11013</t>
  </si>
  <si>
    <t xml:space="preserve">P0069</t>
  </si>
  <si>
    <t xml:space="preserve">INV11019</t>
  </si>
  <si>
    <t xml:space="preserve">P0070</t>
  </si>
  <si>
    <t xml:space="preserve">INV15015</t>
  </si>
  <si>
    <t xml:space="preserve">P0071</t>
  </si>
  <si>
    <t xml:space="preserve">INV45010</t>
  </si>
  <si>
    <t xml:space="preserve">P0072</t>
  </si>
  <si>
    <t xml:space="preserve">INV6005</t>
  </si>
  <si>
    <t xml:space="preserve">P0073</t>
  </si>
  <si>
    <t xml:space="preserve">INV11017</t>
  </si>
  <si>
    <t xml:space="preserve">P0074</t>
  </si>
  <si>
    <t xml:space="preserve">INV33011</t>
  </si>
  <si>
    <t xml:space="preserve">P0075</t>
  </si>
  <si>
    <t xml:space="preserve">LIC2502</t>
  </si>
  <si>
    <t xml:space="preserve">P0076</t>
  </si>
  <si>
    <t xml:space="preserve">INV3010</t>
  </si>
  <si>
    <t xml:space="preserve">P0077</t>
  </si>
  <si>
    <t xml:space="preserve">INV4001</t>
  </si>
  <si>
    <t xml:space="preserve">P0078</t>
  </si>
  <si>
    <t xml:space="preserve">INV12019</t>
  </si>
  <si>
    <t xml:space="preserve">P0079</t>
  </si>
  <si>
    <t xml:space="preserve">INV15004</t>
  </si>
  <si>
    <t xml:space="preserve">P0080</t>
  </si>
  <si>
    <t xml:space="preserve">INV25007</t>
  </si>
  <si>
    <t xml:space="preserve">P0081</t>
  </si>
  <si>
    <t xml:space="preserve">INV31022</t>
  </si>
  <si>
    <t xml:space="preserve">P0082</t>
  </si>
  <si>
    <t xml:space="preserve">INV4002</t>
  </si>
  <si>
    <t xml:space="preserve">P0083</t>
  </si>
  <si>
    <t xml:space="preserve">INV11001</t>
  </si>
  <si>
    <t xml:space="preserve">P0084</t>
  </si>
  <si>
    <t xml:space="preserve">INV31029</t>
  </si>
  <si>
    <t xml:space="preserve">P0085</t>
  </si>
  <si>
    <t xml:space="preserve">INV42009</t>
  </si>
  <si>
    <t xml:space="preserve">P0086</t>
  </si>
  <si>
    <t xml:space="preserve">INV12013</t>
  </si>
  <si>
    <t xml:space="preserve">P0087</t>
  </si>
  <si>
    <t xml:space="preserve">INV9013</t>
  </si>
  <si>
    <t xml:space="preserve">P0088</t>
  </si>
  <si>
    <t xml:space="preserve">INV7012</t>
  </si>
  <si>
    <t xml:space="preserve">P0089</t>
  </si>
  <si>
    <t xml:space="preserve">INV36007</t>
  </si>
  <si>
    <t xml:space="preserve">P0090</t>
  </si>
  <si>
    <t xml:space="preserve">INV43006</t>
  </si>
  <si>
    <t xml:space="preserve">P0091</t>
  </si>
  <si>
    <t xml:space="preserve">INV43009</t>
  </si>
  <si>
    <t xml:space="preserve">P0092</t>
  </si>
  <si>
    <t xml:space="preserve">INV3002</t>
  </si>
  <si>
    <t xml:space="preserve">P0093</t>
  </si>
  <si>
    <t xml:space="preserve">INV3011</t>
  </si>
  <si>
    <t xml:space="preserve">P0094</t>
  </si>
  <si>
    <t xml:space="preserve">INV9002</t>
  </si>
  <si>
    <t xml:space="preserve">P0095</t>
  </si>
  <si>
    <t xml:space="preserve">INV20010</t>
  </si>
  <si>
    <t xml:space="preserve">P0096</t>
  </si>
  <si>
    <t xml:space="preserve">INV29006</t>
  </si>
  <si>
    <t xml:space="preserve">P0097</t>
  </si>
  <si>
    <t xml:space="preserve">INV31019</t>
  </si>
  <si>
    <t xml:space="preserve">P0098</t>
  </si>
  <si>
    <t xml:space="preserve">INV40006</t>
  </si>
  <si>
    <t xml:space="preserve">P0099</t>
  </si>
  <si>
    <t xml:space="preserve">RENT2503</t>
  </si>
  <si>
    <t xml:space="preserve">P0100</t>
  </si>
  <si>
    <t xml:space="preserve">INV9014</t>
  </si>
  <si>
    <t xml:space="preserve">P0101</t>
  </si>
  <si>
    <t xml:space="preserve">INV10002</t>
  </si>
  <si>
    <t xml:space="preserve">P0102</t>
  </si>
  <si>
    <t xml:space="preserve">INV18018</t>
  </si>
  <si>
    <t xml:space="preserve">P0103</t>
  </si>
  <si>
    <t xml:space="preserve">INV22012</t>
  </si>
  <si>
    <t xml:space="preserve">P0104</t>
  </si>
  <si>
    <t xml:space="preserve">INV31015</t>
  </si>
  <si>
    <t xml:space="preserve">P0105</t>
  </si>
  <si>
    <t xml:space="preserve">INV31023</t>
  </si>
  <si>
    <t xml:space="preserve">P0106</t>
  </si>
  <si>
    <t xml:space="preserve">INV31041</t>
  </si>
  <si>
    <t xml:space="preserve">P0107</t>
  </si>
  <si>
    <t xml:space="preserve">INV42007</t>
  </si>
  <si>
    <t xml:space="preserve">P0108</t>
  </si>
  <si>
    <t xml:space="preserve">INV4007</t>
  </si>
  <si>
    <t xml:space="preserve">P0109</t>
  </si>
  <si>
    <t xml:space="preserve">INV9005</t>
  </si>
  <si>
    <t xml:space="preserve">P0110</t>
  </si>
  <si>
    <t xml:space="preserve">INV11006</t>
  </si>
  <si>
    <t xml:space="preserve">P0111</t>
  </si>
  <si>
    <t xml:space="preserve">INV38007</t>
  </si>
  <si>
    <t xml:space="preserve">P0112</t>
  </si>
  <si>
    <t xml:space="preserve">INV8013</t>
  </si>
  <si>
    <t xml:space="preserve">P0113</t>
  </si>
  <si>
    <t xml:space="preserve">INV21003</t>
  </si>
  <si>
    <t xml:space="preserve">P0114</t>
  </si>
  <si>
    <t xml:space="preserve">INV29001</t>
  </si>
  <si>
    <t xml:space="preserve">P0115</t>
  </si>
  <si>
    <t xml:space="preserve">INV5006</t>
  </si>
  <si>
    <t xml:space="preserve">P0116</t>
  </si>
  <si>
    <t xml:space="preserve">INV31003</t>
  </si>
  <si>
    <t xml:space="preserve">P0117</t>
  </si>
  <si>
    <t xml:space="preserve">INV18019</t>
  </si>
  <si>
    <t xml:space="preserve">P0118</t>
  </si>
  <si>
    <t xml:space="preserve">INV31002</t>
  </si>
  <si>
    <t xml:space="preserve">P0119</t>
  </si>
  <si>
    <t xml:space="preserve">INV14005</t>
  </si>
  <si>
    <t xml:space="preserve">P0120</t>
  </si>
  <si>
    <t xml:space="preserve">INV16020</t>
  </si>
  <si>
    <t xml:space="preserve">P0121</t>
  </si>
  <si>
    <t xml:space="preserve">INV25002</t>
  </si>
  <si>
    <t xml:space="preserve">P0122</t>
  </si>
  <si>
    <t xml:space="preserve">INV13008</t>
  </si>
  <si>
    <t xml:space="preserve">P0123</t>
  </si>
  <si>
    <t xml:space="preserve">P0124</t>
  </si>
  <si>
    <t xml:space="preserve">INV38009</t>
  </si>
  <si>
    <t xml:space="preserve">P0125</t>
  </si>
  <si>
    <t xml:space="preserve">LIC2503</t>
  </si>
  <si>
    <t xml:space="preserve">P0126</t>
  </si>
  <si>
    <t xml:space="preserve">INV25001</t>
  </si>
  <si>
    <t xml:space="preserve">P0127</t>
  </si>
  <si>
    <t xml:space="preserve">INV40004</t>
  </si>
  <si>
    <t xml:space="preserve">P0128</t>
  </si>
  <si>
    <t xml:space="preserve">INV27001</t>
  </si>
  <si>
    <t xml:space="preserve">P0129</t>
  </si>
  <si>
    <t xml:space="preserve">INV44005</t>
  </si>
  <si>
    <t xml:space="preserve">P0130</t>
  </si>
  <si>
    <t xml:space="preserve">INV45003</t>
  </si>
  <si>
    <t xml:space="preserve">P0131</t>
  </si>
  <si>
    <t xml:space="preserve">INV35018</t>
  </si>
  <si>
    <t xml:space="preserve">P0132</t>
  </si>
  <si>
    <t xml:space="preserve">INV39003</t>
  </si>
  <si>
    <t xml:space="preserve">P0133</t>
  </si>
  <si>
    <t xml:space="preserve">INV39016</t>
  </si>
  <si>
    <t xml:space="preserve">P0134</t>
  </si>
  <si>
    <t xml:space="preserve">INV20003</t>
  </si>
  <si>
    <t xml:space="preserve">P0135</t>
  </si>
  <si>
    <t xml:space="preserve">INV20005</t>
  </si>
  <si>
    <t xml:space="preserve">P0136</t>
  </si>
  <si>
    <t xml:space="preserve">INV3014</t>
  </si>
  <si>
    <t xml:space="preserve">P0137</t>
  </si>
  <si>
    <t xml:space="preserve">INV15014</t>
  </si>
  <si>
    <t xml:space="preserve">P0138</t>
  </si>
  <si>
    <t xml:space="preserve">INV32012</t>
  </si>
  <si>
    <t xml:space="preserve">P0139</t>
  </si>
  <si>
    <t xml:space="preserve">RENT2504</t>
  </si>
  <si>
    <t xml:space="preserve">P0140</t>
  </si>
  <si>
    <t xml:space="preserve">INV4008</t>
  </si>
  <si>
    <t xml:space="preserve">P0141</t>
  </si>
  <si>
    <t xml:space="preserve">INV15005</t>
  </si>
  <si>
    <t xml:space="preserve">P0142</t>
  </si>
  <si>
    <t xml:space="preserve">INV29010</t>
  </si>
  <si>
    <t xml:space="preserve">P0143</t>
  </si>
  <si>
    <t xml:space="preserve">INV5011</t>
  </si>
  <si>
    <t xml:space="preserve">P0144</t>
  </si>
  <si>
    <t xml:space="preserve">INV5014</t>
  </si>
  <si>
    <t xml:space="preserve">P0145</t>
  </si>
  <si>
    <t xml:space="preserve">INV14006</t>
  </si>
  <si>
    <t xml:space="preserve">P0146</t>
  </si>
  <si>
    <t xml:space="preserve">INV20004</t>
  </si>
  <si>
    <t xml:space="preserve">P0147</t>
  </si>
  <si>
    <t xml:space="preserve">INV31042</t>
  </si>
  <si>
    <t xml:space="preserve">P0148</t>
  </si>
  <si>
    <t xml:space="preserve">INV9024</t>
  </si>
  <si>
    <t xml:space="preserve">P0149</t>
  </si>
  <si>
    <t xml:space="preserve">INV31026</t>
  </si>
  <si>
    <t xml:space="preserve">P0150</t>
  </si>
  <si>
    <t xml:space="preserve">INV36001</t>
  </si>
  <si>
    <t xml:space="preserve">P0151</t>
  </si>
  <si>
    <t xml:space="preserve">INV16004</t>
  </si>
  <si>
    <t xml:space="preserve">P0152</t>
  </si>
  <si>
    <t xml:space="preserve">INV34012</t>
  </si>
  <si>
    <t xml:space="preserve">P0153</t>
  </si>
  <si>
    <t xml:space="preserve">INV37017</t>
  </si>
  <si>
    <t xml:space="preserve">P0154</t>
  </si>
  <si>
    <t xml:space="preserve">INV45008</t>
  </si>
  <si>
    <t xml:space="preserve">P0155</t>
  </si>
  <si>
    <t xml:space="preserve">INV35003</t>
  </si>
  <si>
    <t xml:space="preserve">P0156</t>
  </si>
  <si>
    <t xml:space="preserve">INV45011</t>
  </si>
  <si>
    <t xml:space="preserve">P0157</t>
  </si>
  <si>
    <t xml:space="preserve">INV9026</t>
  </si>
  <si>
    <t xml:space="preserve">P0158</t>
  </si>
  <si>
    <t xml:space="preserve">INV19002</t>
  </si>
  <si>
    <t xml:space="preserve">P0159</t>
  </si>
  <si>
    <t xml:space="preserve">INV12014</t>
  </si>
  <si>
    <t xml:space="preserve">P0160</t>
  </si>
  <si>
    <t xml:space="preserve">INV15002</t>
  </si>
  <si>
    <t xml:space="preserve">P0161</t>
  </si>
  <si>
    <t xml:space="preserve">INV16013</t>
  </si>
  <si>
    <t xml:space="preserve">P0162</t>
  </si>
  <si>
    <t xml:space="preserve">INV28007</t>
  </si>
  <si>
    <t xml:space="preserve">P0163</t>
  </si>
  <si>
    <t xml:space="preserve">INV44018</t>
  </si>
  <si>
    <t xml:space="preserve">P0164</t>
  </si>
  <si>
    <t xml:space="preserve">INV11020</t>
  </si>
  <si>
    <t xml:space="preserve">P0165</t>
  </si>
  <si>
    <t xml:space="preserve">INV37006</t>
  </si>
  <si>
    <t xml:space="preserve">P0166</t>
  </si>
  <si>
    <t xml:space="preserve">INV5005</t>
  </si>
  <si>
    <t xml:space="preserve">P0167</t>
  </si>
  <si>
    <t xml:space="preserve">INV.9024</t>
  </si>
  <si>
    <t xml:space="preserve">P0168</t>
  </si>
  <si>
    <t xml:space="preserve">INV32014</t>
  </si>
  <si>
    <t xml:space="preserve">P0169</t>
  </si>
  <si>
    <t xml:space="preserve">INV35001</t>
  </si>
  <si>
    <t xml:space="preserve">P0170</t>
  </si>
  <si>
    <t xml:space="preserve">INV8004</t>
  </si>
  <si>
    <t xml:space="preserve">P0171</t>
  </si>
  <si>
    <t xml:space="preserve">INV9004</t>
  </si>
  <si>
    <t xml:space="preserve">P0172</t>
  </si>
  <si>
    <t xml:space="preserve">INV15016</t>
  </si>
  <si>
    <t xml:space="preserve">P0173</t>
  </si>
  <si>
    <t xml:space="preserve">INV15021</t>
  </si>
  <si>
    <t xml:space="preserve">P0174</t>
  </si>
  <si>
    <t xml:space="preserve">INV22013</t>
  </si>
  <si>
    <t xml:space="preserve">P0175</t>
  </si>
  <si>
    <t xml:space="preserve">INV31010</t>
  </si>
  <si>
    <t xml:space="preserve">P0176</t>
  </si>
  <si>
    <t xml:space="preserve">INV40001</t>
  </si>
  <si>
    <t xml:space="preserve">P0177</t>
  </si>
  <si>
    <t xml:space="preserve">INV31043</t>
  </si>
  <si>
    <t xml:space="preserve">P0178</t>
  </si>
  <si>
    <t xml:space="preserve">INV33009</t>
  </si>
  <si>
    <t xml:space="preserve">P0179</t>
  </si>
  <si>
    <t xml:space="preserve">LIC2504</t>
  </si>
  <si>
    <t xml:space="preserve">P0180</t>
  </si>
  <si>
    <t xml:space="preserve">INV9023</t>
  </si>
  <si>
    <t xml:space="preserve">P0181</t>
  </si>
  <si>
    <t xml:space="preserve">INV11003</t>
  </si>
  <si>
    <t xml:space="preserve">P0182</t>
  </si>
  <si>
    <t xml:space="preserve">INV12017</t>
  </si>
  <si>
    <t xml:space="preserve">P0183</t>
  </si>
  <si>
    <t xml:space="preserve">INV33018</t>
  </si>
  <si>
    <t xml:space="preserve">P0184</t>
  </si>
  <si>
    <t xml:space="preserve">INV18012</t>
  </si>
  <si>
    <t xml:space="preserve">P0185</t>
  </si>
  <si>
    <t xml:space="preserve">INV38010</t>
  </si>
  <si>
    <t xml:space="preserve">P0186</t>
  </si>
  <si>
    <t xml:space="preserve">INV42008</t>
  </si>
  <si>
    <t xml:space="preserve">P0187</t>
  </si>
  <si>
    <t xml:space="preserve">INV12002</t>
  </si>
  <si>
    <t xml:space="preserve">P0188</t>
  </si>
  <si>
    <t xml:space="preserve">INV13007</t>
  </si>
  <si>
    <t xml:space="preserve">P0189</t>
  </si>
  <si>
    <t xml:space="preserve">INV19001</t>
  </si>
  <si>
    <t xml:space="preserve">P0190</t>
  </si>
  <si>
    <t xml:space="preserve">INV27004</t>
  </si>
  <si>
    <t xml:space="preserve">P0191</t>
  </si>
  <si>
    <t xml:space="preserve">INV31036</t>
  </si>
  <si>
    <t xml:space="preserve">P0192</t>
  </si>
  <si>
    <t xml:space="preserve">INV37005</t>
  </si>
  <si>
    <t xml:space="preserve">P0193</t>
  </si>
  <si>
    <t xml:space="preserve">INV3003</t>
  </si>
  <si>
    <t xml:space="preserve">P0194</t>
  </si>
  <si>
    <t xml:space="preserve">INV19006</t>
  </si>
  <si>
    <t xml:space="preserve">P0195</t>
  </si>
  <si>
    <t xml:space="preserve">INV31032</t>
  </si>
  <si>
    <t xml:space="preserve">P0196</t>
  </si>
  <si>
    <t xml:space="preserve">INV31040</t>
  </si>
  <si>
    <t xml:space="preserve">P0197</t>
  </si>
  <si>
    <t xml:space="preserve">INV35012</t>
  </si>
  <si>
    <t xml:space="preserve">P0198</t>
  </si>
  <si>
    <t xml:space="preserve">INV41002</t>
  </si>
  <si>
    <t xml:space="preserve">P0199</t>
  </si>
  <si>
    <t xml:space="preserve">INV22019</t>
  </si>
  <si>
    <t xml:space="preserve">P0200</t>
  </si>
  <si>
    <t xml:space="preserve">INV8006</t>
  </si>
  <si>
    <t xml:space="preserve">P0201</t>
  </si>
  <si>
    <t xml:space="preserve">INV20002</t>
  </si>
  <si>
    <t xml:space="preserve">P0202</t>
  </si>
  <si>
    <t xml:space="preserve">INV12022</t>
  </si>
  <si>
    <t xml:space="preserve">P0203</t>
  </si>
  <si>
    <t xml:space="preserve">INV33013</t>
  </si>
  <si>
    <t xml:space="preserve">P0204</t>
  </si>
  <si>
    <t xml:space="preserve">INV3001</t>
  </si>
  <si>
    <t xml:space="preserve">P0205</t>
  </si>
  <si>
    <t xml:space="preserve">INV7008</t>
  </si>
  <si>
    <t xml:space="preserve">P0206</t>
  </si>
  <si>
    <t xml:space="preserve">INV15017</t>
  </si>
  <si>
    <t xml:space="preserve">P0207</t>
  </si>
  <si>
    <t xml:space="preserve">INV18003</t>
  </si>
  <si>
    <t xml:space="preserve">P0208</t>
  </si>
  <si>
    <t xml:space="preserve">INV22014</t>
  </si>
  <si>
    <t xml:space="preserve">P0209</t>
  </si>
  <si>
    <t xml:space="preserve">INV32008</t>
  </si>
  <si>
    <t xml:space="preserve">P0210</t>
  </si>
  <si>
    <t xml:space="preserve">INV43001</t>
  </si>
  <si>
    <t xml:space="preserve">P0211</t>
  </si>
  <si>
    <t xml:space="preserve">INV16011</t>
  </si>
  <si>
    <t xml:space="preserve">P0212</t>
  </si>
  <si>
    <t xml:space="preserve">INV32011</t>
  </si>
  <si>
    <t xml:space="preserve">P0213</t>
  </si>
  <si>
    <t xml:space="preserve">RENT2505</t>
  </si>
  <si>
    <t xml:space="preserve">P0214</t>
  </si>
  <si>
    <t xml:space="preserve">INV5002</t>
  </si>
  <si>
    <t xml:space="preserve">P0215</t>
  </si>
  <si>
    <t xml:space="preserve">INV37007</t>
  </si>
  <si>
    <t xml:space="preserve">P0216</t>
  </si>
  <si>
    <t xml:space="preserve">INV38002</t>
  </si>
  <si>
    <t xml:space="preserve">P0217</t>
  </si>
  <si>
    <t xml:space="preserve">INV15007</t>
  </si>
  <si>
    <t xml:space="preserve">P0218</t>
  </si>
  <si>
    <t xml:space="preserve">INV16019</t>
  </si>
  <si>
    <t xml:space="preserve">P0219</t>
  </si>
  <si>
    <t xml:space="preserve">INV18016</t>
  </si>
  <si>
    <t xml:space="preserve">P0220</t>
  </si>
  <si>
    <t xml:space="preserve">INV31027</t>
  </si>
  <si>
    <t xml:space="preserve">P0221</t>
  </si>
  <si>
    <t xml:space="preserve">INV37004</t>
  </si>
  <si>
    <t xml:space="preserve">P0222</t>
  </si>
  <si>
    <t xml:space="preserve">INV24005</t>
  </si>
  <si>
    <t xml:space="preserve">P0223</t>
  </si>
  <si>
    <t xml:space="preserve">INV31008</t>
  </si>
  <si>
    <t xml:space="preserve">P0224</t>
  </si>
  <si>
    <t xml:space="preserve">INV12023</t>
  </si>
  <si>
    <t xml:space="preserve">P0225</t>
  </si>
  <si>
    <t xml:space="preserve">INV16023</t>
  </si>
  <si>
    <t xml:space="preserve">P0226</t>
  </si>
  <si>
    <t xml:space="preserve">INV11012</t>
  </si>
  <si>
    <t xml:space="preserve">P0227</t>
  </si>
  <si>
    <t xml:space="preserve">INV18001</t>
  </si>
  <si>
    <t xml:space="preserve">P0228</t>
  </si>
  <si>
    <t xml:space="preserve">INV18006</t>
  </si>
  <si>
    <t xml:space="preserve">P0229</t>
  </si>
  <si>
    <t xml:space="preserve">INV20007</t>
  </si>
  <si>
    <t xml:space="preserve">P0230</t>
  </si>
  <si>
    <t xml:space="preserve">INV15006</t>
  </si>
  <si>
    <t xml:space="preserve">P0231</t>
  </si>
  <si>
    <t xml:space="preserve">INV37009</t>
  </si>
  <si>
    <t xml:space="preserve">P0232</t>
  </si>
  <si>
    <t xml:space="preserve">INV44007</t>
  </si>
  <si>
    <t xml:space="preserve">P0233</t>
  </si>
  <si>
    <t xml:space="preserve">LIC2505</t>
  </si>
  <si>
    <t xml:space="preserve">P0234</t>
  </si>
  <si>
    <t xml:space="preserve">INV3015</t>
  </si>
  <si>
    <t xml:space="preserve">P0235</t>
  </si>
  <si>
    <t xml:space="preserve">INV3016</t>
  </si>
  <si>
    <t xml:space="preserve">P0236</t>
  </si>
  <si>
    <t xml:space="preserve">INV15003</t>
  </si>
  <si>
    <t xml:space="preserve">P0237</t>
  </si>
  <si>
    <t xml:space="preserve">INV9025</t>
  </si>
  <si>
    <t xml:space="preserve">P0238</t>
  </si>
  <si>
    <t xml:space="preserve">INV11015</t>
  </si>
  <si>
    <t xml:space="preserve">P0239</t>
  </si>
  <si>
    <t xml:space="preserve">INV18002</t>
  </si>
  <si>
    <t xml:space="preserve">P0240</t>
  </si>
  <si>
    <t xml:space="preserve">INV4004</t>
  </si>
  <si>
    <t xml:space="preserve">P0241</t>
  </si>
  <si>
    <t xml:space="preserve">INV15012</t>
  </si>
  <si>
    <t xml:space="preserve">P0242</t>
  </si>
  <si>
    <t xml:space="preserve">INV25006</t>
  </si>
  <si>
    <t xml:space="preserve">P0243</t>
  </si>
  <si>
    <t xml:space="preserve">INV31031</t>
  </si>
  <si>
    <t xml:space="preserve">P0244</t>
  </si>
  <si>
    <t xml:space="preserve">INV30002</t>
  </si>
  <si>
    <t xml:space="preserve">P0245</t>
  </si>
  <si>
    <t xml:space="preserve">INV17003</t>
  </si>
  <si>
    <t xml:space="preserve">P0246</t>
  </si>
  <si>
    <t xml:space="preserve">INV39002</t>
  </si>
  <si>
    <t xml:space="preserve">P0247</t>
  </si>
  <si>
    <t xml:space="preserve">INV10001</t>
  </si>
  <si>
    <t xml:space="preserve">P0248</t>
  </si>
  <si>
    <t xml:space="preserve">INV31012</t>
  </si>
  <si>
    <t xml:space="preserve">P0249</t>
  </si>
  <si>
    <t xml:space="preserve">INV22011</t>
  </si>
  <si>
    <t xml:space="preserve">P0250</t>
  </si>
  <si>
    <t xml:space="preserve">INV25004</t>
  </si>
  <si>
    <t xml:space="preserve">P0251</t>
  </si>
  <si>
    <t xml:space="preserve">INV33002</t>
  </si>
  <si>
    <t xml:space="preserve">P0252</t>
  </si>
  <si>
    <t xml:space="preserve">INV37001</t>
  </si>
  <si>
    <t xml:space="preserve">P0253</t>
  </si>
  <si>
    <t xml:space="preserve">INV10003</t>
  </si>
  <si>
    <t xml:space="preserve">P0254</t>
  </si>
  <si>
    <t xml:space="preserve">INV11016</t>
  </si>
  <si>
    <t xml:space="preserve">P0255</t>
  </si>
  <si>
    <t xml:space="preserve">INV35006</t>
  </si>
  <si>
    <t xml:space="preserve">P0256</t>
  </si>
  <si>
    <t xml:space="preserve">INV40003</t>
  </si>
  <si>
    <t xml:space="preserve">P0257</t>
  </si>
  <si>
    <t xml:space="preserve">INV42002</t>
  </si>
  <si>
    <t xml:space="preserve">P0258</t>
  </si>
  <si>
    <t xml:space="preserve">INV8008</t>
  </si>
  <si>
    <t xml:space="preserve">P0259</t>
  </si>
  <si>
    <t xml:space="preserve">INV13001</t>
  </si>
  <si>
    <t xml:space="preserve">P0260</t>
  </si>
  <si>
    <t xml:space="preserve">INV22007</t>
  </si>
  <si>
    <t xml:space="preserve">P0261</t>
  </si>
  <si>
    <t xml:space="preserve">INV42011</t>
  </si>
  <si>
    <t xml:space="preserve">P0262</t>
  </si>
  <si>
    <t xml:space="preserve">RENT2506</t>
  </si>
  <si>
    <t xml:space="preserve">P0263</t>
  </si>
  <si>
    <t xml:space="preserve">INV7003</t>
  </si>
  <si>
    <t xml:space="preserve">P0264</t>
  </si>
  <si>
    <t xml:space="preserve">INV30004</t>
  </si>
  <si>
    <t xml:space="preserve">P0265</t>
  </si>
  <si>
    <t xml:space="preserve">INV31016</t>
  </si>
  <si>
    <t xml:space="preserve">P0266</t>
  </si>
  <si>
    <t xml:space="preserve">INV34007</t>
  </si>
  <si>
    <t xml:space="preserve">P0267</t>
  </si>
  <si>
    <t xml:space="preserve">INV31037</t>
  </si>
  <si>
    <t xml:space="preserve">P0268</t>
  </si>
  <si>
    <t xml:space="preserve">INV45002</t>
  </si>
  <si>
    <t xml:space="preserve">P0269</t>
  </si>
  <si>
    <t xml:space="preserve">INV4005</t>
  </si>
  <si>
    <t xml:space="preserve">P0270</t>
  </si>
  <si>
    <t xml:space="preserve">INV7013</t>
  </si>
  <si>
    <t xml:space="preserve">P0271</t>
  </si>
  <si>
    <t xml:space="preserve">P0272</t>
  </si>
  <si>
    <t xml:space="preserve">INV7016</t>
  </si>
  <si>
    <t xml:space="preserve">P0273</t>
  </si>
  <si>
    <t xml:space="preserve">INV8005</t>
  </si>
  <si>
    <t xml:space="preserve">P0274</t>
  </si>
  <si>
    <t xml:space="preserve">INV8011</t>
  </si>
  <si>
    <t xml:space="preserve">P0275</t>
  </si>
  <si>
    <t xml:space="preserve">INV5018</t>
  </si>
  <si>
    <t xml:space="preserve">P0276</t>
  </si>
  <si>
    <t xml:space="preserve">INV7004</t>
  </si>
  <si>
    <t xml:space="preserve">P0277</t>
  </si>
  <si>
    <t xml:space="preserve">INV9020</t>
  </si>
  <si>
    <t xml:space="preserve">P0278</t>
  </si>
  <si>
    <t xml:space="preserve">INV45001</t>
  </si>
  <si>
    <t xml:space="preserve">P0279</t>
  </si>
  <si>
    <t xml:space="preserve">INV12006</t>
  </si>
  <si>
    <t xml:space="preserve">P0280</t>
  </si>
  <si>
    <t xml:space="preserve">INV14002</t>
  </si>
  <si>
    <t xml:space="preserve">P0281</t>
  </si>
  <si>
    <t xml:space="preserve">INV34014</t>
  </si>
  <si>
    <t xml:space="preserve">P0282</t>
  </si>
  <si>
    <t xml:space="preserve">INV16007</t>
  </si>
  <si>
    <t xml:space="preserve">P0283</t>
  </si>
  <si>
    <t xml:space="preserve">INV37012</t>
  </si>
  <si>
    <t xml:space="preserve">P0284</t>
  </si>
  <si>
    <t xml:space="preserve">INV38001</t>
  </si>
  <si>
    <t xml:space="preserve">P0285</t>
  </si>
  <si>
    <t xml:space="preserve">INV33007</t>
  </si>
  <si>
    <t xml:space="preserve">P0286</t>
  </si>
  <si>
    <t xml:space="preserve">INV38005</t>
  </si>
  <si>
    <t xml:space="preserve">P0287</t>
  </si>
  <si>
    <t xml:space="preserve">INV39005</t>
  </si>
  <si>
    <t xml:space="preserve">P0288</t>
  </si>
  <si>
    <t xml:space="preserve">LIC2506</t>
  </si>
  <si>
    <t xml:space="preserve">P0289</t>
  </si>
  <si>
    <t xml:space="preserve">INV21005</t>
  </si>
  <si>
    <t xml:space="preserve">P0290</t>
  </si>
  <si>
    <t xml:space="preserve">INV33004</t>
  </si>
  <si>
    <t xml:space="preserve">P0291</t>
  </si>
  <si>
    <t xml:space="preserve">INV11009</t>
  </si>
  <si>
    <t xml:space="preserve">P0292</t>
  </si>
  <si>
    <t xml:space="preserve">INV6006</t>
  </si>
  <si>
    <t xml:space="preserve">P0293</t>
  </si>
  <si>
    <t xml:space="preserve">INV13010</t>
  </si>
  <si>
    <t xml:space="preserve">P0294</t>
  </si>
  <si>
    <t xml:space="preserve">INV30009</t>
  </si>
  <si>
    <t xml:space="preserve">P0295</t>
  </si>
  <si>
    <t xml:space="preserve">INV15018</t>
  </si>
  <si>
    <t xml:space="preserve">P0296</t>
  </si>
  <si>
    <t xml:space="preserve">INV31005</t>
  </si>
  <si>
    <t xml:space="preserve">P0297</t>
  </si>
  <si>
    <t xml:space="preserve">INV36003</t>
  </si>
  <si>
    <t xml:space="preserve">P0298</t>
  </si>
  <si>
    <t xml:space="preserve">INV14003</t>
  </si>
  <si>
    <t xml:space="preserve">P0299</t>
  </si>
  <si>
    <t xml:space="preserve">INV40005</t>
  </si>
  <si>
    <t xml:space="preserve">P0300</t>
  </si>
  <si>
    <t xml:space="preserve">INV9018</t>
  </si>
  <si>
    <t xml:space="preserve">P0301</t>
  </si>
  <si>
    <t xml:space="preserve">INV11018</t>
  </si>
  <si>
    <t xml:space="preserve">P0302</t>
  </si>
  <si>
    <t xml:space="preserve">INV16022</t>
  </si>
  <si>
    <t xml:space="preserve">P0303</t>
  </si>
  <si>
    <t xml:space="preserve">INV19008</t>
  </si>
  <si>
    <t xml:space="preserve">P0304</t>
  </si>
  <si>
    <t xml:space="preserve">INV25010</t>
  </si>
  <si>
    <t xml:space="preserve">P0305</t>
  </si>
  <si>
    <t xml:space="preserve">INV32009</t>
  </si>
  <si>
    <t xml:space="preserve">P0306</t>
  </si>
  <si>
    <t xml:space="preserve">INV35008</t>
  </si>
  <si>
    <t xml:space="preserve">P0307</t>
  </si>
  <si>
    <t xml:space="preserve">INV44012</t>
  </si>
  <si>
    <t xml:space="preserve">P0308</t>
  </si>
  <si>
    <t xml:space="preserve">INV18008</t>
  </si>
  <si>
    <t xml:space="preserve">P0309</t>
  </si>
  <si>
    <t xml:space="preserve">RENT2507</t>
  </si>
  <si>
    <t xml:space="preserve">P0310</t>
  </si>
  <si>
    <t xml:space="preserve">INV29009</t>
  </si>
  <si>
    <t xml:space="preserve">P0311</t>
  </si>
  <si>
    <t xml:space="preserve">INV12009</t>
  </si>
  <si>
    <t xml:space="preserve">P0312</t>
  </si>
  <si>
    <t xml:space="preserve">INV25014</t>
  </si>
  <si>
    <t xml:space="preserve">P0313</t>
  </si>
  <si>
    <t xml:space="preserve">INV34011</t>
  </si>
  <si>
    <t xml:space="preserve">P0314</t>
  </si>
  <si>
    <t xml:space="preserve">INV16015</t>
  </si>
  <si>
    <t xml:space="preserve">P0315</t>
  </si>
  <si>
    <t xml:space="preserve">INV9008</t>
  </si>
  <si>
    <t xml:space="preserve">P0316</t>
  </si>
  <si>
    <t xml:space="preserve">INV28005</t>
  </si>
  <si>
    <t xml:space="preserve">P0317</t>
  </si>
  <si>
    <t xml:space="preserve">INV28009</t>
  </si>
  <si>
    <t xml:space="preserve">P0318</t>
  </si>
  <si>
    <t xml:space="preserve">INV13012</t>
  </si>
  <si>
    <t xml:space="preserve">P0319</t>
  </si>
  <si>
    <t xml:space="preserve">INV31038</t>
  </si>
  <si>
    <t xml:space="preserve">P0320</t>
  </si>
  <si>
    <t xml:space="preserve">INV39014</t>
  </si>
  <si>
    <t xml:space="preserve">P0321</t>
  </si>
  <si>
    <t xml:space="preserve">INV15019</t>
  </si>
  <si>
    <t xml:space="preserve">P0322</t>
  </si>
  <si>
    <t xml:space="preserve">INV9022</t>
  </si>
  <si>
    <t xml:space="preserve">P0323</t>
  </si>
  <si>
    <t xml:space="preserve">INV30001</t>
  </si>
  <si>
    <t xml:space="preserve">P0324</t>
  </si>
  <si>
    <t xml:space="preserve">LIC2507</t>
  </si>
  <si>
    <t xml:space="preserve">P0325</t>
  </si>
  <si>
    <t xml:space="preserve">INV35014</t>
  </si>
  <si>
    <t xml:space="preserve">P0326</t>
  </si>
  <si>
    <t xml:space="preserve">INV13006</t>
  </si>
  <si>
    <t xml:space="preserve">P0327</t>
  </si>
  <si>
    <t xml:space="preserve">INV37015</t>
  </si>
  <si>
    <t xml:space="preserve">P0328</t>
  </si>
  <si>
    <t xml:space="preserve">INV18017</t>
  </si>
  <si>
    <t xml:space="preserve">P0329</t>
  </si>
  <si>
    <t xml:space="preserve">INV12018</t>
  </si>
  <si>
    <t xml:space="preserve">P0330</t>
  </si>
  <si>
    <t xml:space="preserve">INV21002</t>
  </si>
  <si>
    <t xml:space="preserve">P0331</t>
  </si>
  <si>
    <t xml:space="preserve">INV32001</t>
  </si>
  <si>
    <t xml:space="preserve">P0332</t>
  </si>
  <si>
    <t xml:space="preserve">INV32007</t>
  </si>
  <si>
    <t xml:space="preserve">P0333</t>
  </si>
  <si>
    <t xml:space="preserve">INV9015</t>
  </si>
  <si>
    <t xml:space="preserve">P0334</t>
  </si>
  <si>
    <t xml:space="preserve">INV9019</t>
  </si>
  <si>
    <t xml:space="preserve">P0335</t>
  </si>
  <si>
    <t xml:space="preserve">INV10005</t>
  </si>
  <si>
    <t xml:space="preserve">P0336</t>
  </si>
  <si>
    <t xml:space="preserve">INV24001</t>
  </si>
  <si>
    <t xml:space="preserve">P0337</t>
  </si>
  <si>
    <t xml:space="preserve">INV35005</t>
  </si>
  <si>
    <t xml:space="preserve">P0338</t>
  </si>
  <si>
    <t xml:space="preserve">INV6001</t>
  </si>
  <si>
    <t xml:space="preserve">P0339</t>
  </si>
  <si>
    <t xml:space="preserve">INV15011</t>
  </si>
  <si>
    <t xml:space="preserve">P0340</t>
  </si>
  <si>
    <t xml:space="preserve">INV31044</t>
  </si>
  <si>
    <t xml:space="preserve">P0341</t>
  </si>
  <si>
    <t xml:space="preserve">INV35002</t>
  </si>
  <si>
    <t xml:space="preserve">P0342</t>
  </si>
  <si>
    <t xml:space="preserve">INV16002</t>
  </si>
  <si>
    <t xml:space="preserve">P0343</t>
  </si>
  <si>
    <t xml:space="preserve">INV39001</t>
  </si>
  <si>
    <t xml:space="preserve">P0344</t>
  </si>
  <si>
    <t xml:space="preserve">INV12005</t>
  </si>
  <si>
    <t xml:space="preserve">P0345</t>
  </si>
  <si>
    <t xml:space="preserve">INV35004</t>
  </si>
  <si>
    <t xml:space="preserve">P0346</t>
  </si>
  <si>
    <t xml:space="preserve">INV38006</t>
  </si>
  <si>
    <t xml:space="preserve">P0347</t>
  </si>
  <si>
    <t xml:space="preserve">INV44010</t>
  </si>
  <si>
    <t xml:space="preserve">P0348</t>
  </si>
  <si>
    <t xml:space="preserve">INV16005</t>
  </si>
  <si>
    <t xml:space="preserve">P0349</t>
  </si>
  <si>
    <t xml:space="preserve">INV28004</t>
  </si>
  <si>
    <t xml:space="preserve">P0350</t>
  </si>
  <si>
    <t xml:space="preserve">INV42005</t>
  </si>
  <si>
    <t xml:space="preserve">P0351</t>
  </si>
  <si>
    <t xml:space="preserve">RENT2508</t>
  </si>
  <si>
    <t xml:space="preserve">P0352</t>
  </si>
  <si>
    <t xml:space="preserve">INV8012</t>
  </si>
  <si>
    <t xml:space="preserve">P0353</t>
  </si>
  <si>
    <t xml:space="preserve">INV31004</t>
  </si>
  <si>
    <t xml:space="preserve">P0354</t>
  </si>
  <si>
    <t xml:space="preserve">INV31035</t>
  </si>
  <si>
    <t xml:space="preserve">P0355</t>
  </si>
  <si>
    <t xml:space="preserve">INV35007</t>
  </si>
  <si>
    <t xml:space="preserve">P0356</t>
  </si>
  <si>
    <t xml:space="preserve">INV37013</t>
  </si>
  <si>
    <t xml:space="preserve">P0357</t>
  </si>
  <si>
    <t xml:space="preserve">INV39020</t>
  </si>
  <si>
    <t xml:space="preserve">P0358</t>
  </si>
  <si>
    <t xml:space="preserve">INV5015</t>
  </si>
  <si>
    <t xml:space="preserve">P0359</t>
  </si>
  <si>
    <t xml:space="preserve">INV5016</t>
  </si>
  <si>
    <t xml:space="preserve">P0360</t>
  </si>
  <si>
    <t xml:space="preserve">INV5017</t>
  </si>
  <si>
    <t xml:space="preserve">P0361</t>
  </si>
  <si>
    <t xml:space="preserve">INV44002</t>
  </si>
  <si>
    <t xml:space="preserve">P0362</t>
  </si>
  <si>
    <t xml:space="preserve">INV44004</t>
  </si>
  <si>
    <t xml:space="preserve">P0363</t>
  </si>
  <si>
    <t xml:space="preserve">INV26002</t>
  </si>
  <si>
    <t xml:space="preserve">P0364</t>
  </si>
  <si>
    <t xml:space="preserve">INV36002</t>
  </si>
  <si>
    <t xml:space="preserve">P0365</t>
  </si>
  <si>
    <t xml:space="preserve">INV7002</t>
  </si>
  <si>
    <t xml:space="preserve">P0366</t>
  </si>
  <si>
    <t xml:space="preserve">INV39007</t>
  </si>
  <si>
    <t xml:space="preserve">P0367</t>
  </si>
  <si>
    <t xml:space="preserve">INV39019</t>
  </si>
  <si>
    <t xml:space="preserve">P0368</t>
  </si>
  <si>
    <t xml:space="preserve">INV4010</t>
  </si>
  <si>
    <t xml:space="preserve">P0369</t>
  </si>
  <si>
    <t xml:space="preserve">INV31007</t>
  </si>
  <si>
    <t xml:space="preserve">P0370</t>
  </si>
  <si>
    <t xml:space="preserve">INV3009</t>
  </si>
  <si>
    <t xml:space="preserve">P0371</t>
  </si>
  <si>
    <t xml:space="preserve">INV5008</t>
  </si>
  <si>
    <t xml:space="preserve">P0372</t>
  </si>
  <si>
    <t xml:space="preserve">INV7011</t>
  </si>
  <si>
    <t xml:space="preserve">P0373</t>
  </si>
  <si>
    <t xml:space="preserve">INV31021</t>
  </si>
  <si>
    <t xml:space="preserve">P0374</t>
  </si>
  <si>
    <t xml:space="preserve">INV37002</t>
  </si>
  <si>
    <t xml:space="preserve">P0375</t>
  </si>
  <si>
    <t xml:space="preserve">INV6008</t>
  </si>
  <si>
    <t xml:space="preserve">P0376</t>
  </si>
  <si>
    <t xml:space="preserve">INV9009</t>
  </si>
  <si>
    <t xml:space="preserve">P0377</t>
  </si>
  <si>
    <t xml:space="preserve">INV12011</t>
  </si>
  <si>
    <t xml:space="preserve">P0378</t>
  </si>
  <si>
    <t xml:space="preserve">LIC2508</t>
  </si>
  <si>
    <t xml:space="preserve">P0379</t>
  </si>
  <si>
    <t xml:space="preserve">INV3012</t>
  </si>
  <si>
    <t xml:space="preserve">P0380</t>
  </si>
  <si>
    <t xml:space="preserve">INV9011</t>
  </si>
  <si>
    <t xml:space="preserve">P0381</t>
  </si>
  <si>
    <t xml:space="preserve">INV16024</t>
  </si>
  <si>
    <t xml:space="preserve">P0382</t>
  </si>
  <si>
    <t xml:space="preserve">INV29004</t>
  </si>
  <si>
    <t xml:space="preserve">P0383</t>
  </si>
  <si>
    <t xml:space="preserve">INV7014</t>
  </si>
  <si>
    <t xml:space="preserve">P0384</t>
  </si>
  <si>
    <t xml:space="preserve">INV15001</t>
  </si>
  <si>
    <t xml:space="preserve">P0385</t>
  </si>
  <si>
    <t xml:space="preserve">INV8009</t>
  </si>
  <si>
    <t xml:space="preserve">P0386</t>
  </si>
  <si>
    <t xml:space="preserve">INV12016</t>
  </si>
  <si>
    <t xml:space="preserve">P0387</t>
  </si>
  <si>
    <t xml:space="preserve">INV30007</t>
  </si>
  <si>
    <t xml:space="preserve">P0388</t>
  </si>
  <si>
    <t xml:space="preserve">INV10004</t>
  </si>
  <si>
    <t xml:space="preserve">P0389</t>
  </si>
  <si>
    <t xml:space="preserve">INV30012</t>
  </si>
  <si>
    <t xml:space="preserve">P0390</t>
  </si>
  <si>
    <t xml:space="preserve">INV31030</t>
  </si>
  <si>
    <t xml:space="preserve">P0391</t>
  </si>
  <si>
    <t xml:space="preserve">INV33010</t>
  </si>
  <si>
    <t xml:space="preserve">P0392</t>
  </si>
  <si>
    <t xml:space="preserve">INV12020</t>
  </si>
  <si>
    <t xml:space="preserve">P0393</t>
  </si>
  <si>
    <t xml:space="preserve">INV16009</t>
  </si>
  <si>
    <t xml:space="preserve">P0394</t>
  </si>
  <si>
    <t xml:space="preserve">INV17004</t>
  </si>
  <si>
    <t xml:space="preserve">P0395</t>
  </si>
  <si>
    <t xml:space="preserve">INV26001</t>
  </si>
  <si>
    <t xml:space="preserve">P0396</t>
  </si>
  <si>
    <t xml:space="preserve">INV45009</t>
  </si>
  <si>
    <t xml:space="preserve">P0397</t>
  </si>
  <si>
    <t xml:space="preserve">INV43005</t>
  </si>
  <si>
    <t xml:space="preserve">P0398</t>
  </si>
  <si>
    <t xml:space="preserve">INV13005</t>
  </si>
  <si>
    <t xml:space="preserve">P0399</t>
  </si>
  <si>
    <t xml:space="preserve">INV19005</t>
  </si>
  <si>
    <t xml:space="preserve">P0400</t>
  </si>
  <si>
    <t xml:space="preserve">INV23001</t>
  </si>
  <si>
    <t xml:space="preserve">P0401</t>
  </si>
  <si>
    <t xml:space="preserve">INV34004</t>
  </si>
  <si>
    <t xml:space="preserve">P0402</t>
  </si>
  <si>
    <t xml:space="preserve">INV35011</t>
  </si>
  <si>
    <t xml:space="preserve">P0403</t>
  </si>
  <si>
    <t xml:space="preserve">INV35017</t>
  </si>
  <si>
    <t xml:space="preserve">P0404</t>
  </si>
  <si>
    <t xml:space="preserve">INV43003</t>
  </si>
  <si>
    <t xml:space="preserve">P0405</t>
  </si>
  <si>
    <t xml:space="preserve">INV19007</t>
  </si>
  <si>
    <t xml:space="preserve">P0406</t>
  </si>
  <si>
    <t xml:space="preserve">INV26003</t>
  </si>
  <si>
    <t xml:space="preserve">P0407</t>
  </si>
  <si>
    <t xml:space="preserve">INV26004</t>
  </si>
  <si>
    <t xml:space="preserve">P0408</t>
  </si>
  <si>
    <t xml:space="preserve">INV31018</t>
  </si>
  <si>
    <t xml:space="preserve">P0409</t>
  </si>
  <si>
    <t xml:space="preserve">INV29007</t>
  </si>
  <si>
    <t xml:space="preserve">P0410</t>
  </si>
  <si>
    <t xml:space="preserve">INV7015</t>
  </si>
  <si>
    <t xml:space="preserve">P0411</t>
  </si>
  <si>
    <t xml:space="preserve">INV43010</t>
  </si>
  <si>
    <t xml:space="preserve">P0412</t>
  </si>
  <si>
    <t xml:space="preserve">INV11004</t>
  </si>
  <si>
    <t xml:space="preserve">P0413</t>
  </si>
  <si>
    <t xml:space="preserve">INV39008</t>
  </si>
  <si>
    <t xml:space="preserve">P0414</t>
  </si>
  <si>
    <t xml:space="preserve">INV44014</t>
  </si>
  <si>
    <t xml:space="preserve">P0415</t>
  </si>
  <si>
    <t xml:space="preserve">RENT2509</t>
  </si>
  <si>
    <t xml:space="preserve">P0416</t>
  </si>
  <si>
    <t xml:space="preserve">INV11010</t>
  </si>
  <si>
    <t xml:space="preserve">P0417</t>
  </si>
  <si>
    <t xml:space="preserve">INV37011</t>
  </si>
  <si>
    <t xml:space="preserve">P0418</t>
  </si>
  <si>
    <t xml:space="preserve">INV44015</t>
  </si>
  <si>
    <t xml:space="preserve">P0419</t>
  </si>
  <si>
    <t xml:space="preserve">INV3005</t>
  </si>
  <si>
    <t xml:space="preserve">P0420</t>
  </si>
  <si>
    <t xml:space="preserve">INV13016</t>
  </si>
  <si>
    <t xml:space="preserve">P0421</t>
  </si>
  <si>
    <t xml:space="preserve">INV22017</t>
  </si>
  <si>
    <t xml:space="preserve">P0422</t>
  </si>
  <si>
    <t xml:space="preserve">INV34005</t>
  </si>
  <si>
    <t xml:space="preserve">P0423</t>
  </si>
  <si>
    <t xml:space="preserve">INV39006</t>
  </si>
  <si>
    <t xml:space="preserve">P0424</t>
  </si>
  <si>
    <t xml:space="preserve">INV5010</t>
  </si>
  <si>
    <t xml:space="preserve">P0425</t>
  </si>
  <si>
    <t xml:space="preserve">INV19009</t>
  </si>
  <si>
    <t xml:space="preserve">P0426</t>
  </si>
  <si>
    <t xml:space="preserve">INV19010</t>
  </si>
  <si>
    <t xml:space="preserve">P0427</t>
  </si>
  <si>
    <t xml:space="preserve">INV22002</t>
  </si>
  <si>
    <t xml:space="preserve">P0428</t>
  </si>
  <si>
    <t xml:space="preserve">INV44008</t>
  </si>
  <si>
    <t xml:space="preserve">P0429</t>
  </si>
  <si>
    <t xml:space="preserve">INV45005</t>
  </si>
  <si>
    <t xml:space="preserve">P0430</t>
  </si>
  <si>
    <t xml:space="preserve">INV18014</t>
  </si>
  <si>
    <t xml:space="preserve">P0431</t>
  </si>
  <si>
    <t xml:space="preserve">INV29003</t>
  </si>
  <si>
    <t xml:space="preserve">P0432</t>
  </si>
  <si>
    <t xml:space="preserve">INV30008</t>
  </si>
  <si>
    <t xml:space="preserve">P0433</t>
  </si>
  <si>
    <t xml:space="preserve">INV39013</t>
  </si>
  <si>
    <t xml:space="preserve">P0434</t>
  </si>
  <si>
    <t xml:space="preserve">LIC2509</t>
  </si>
  <si>
    <t xml:space="preserve">P0435</t>
  </si>
  <si>
    <t xml:space="preserve">INV12004</t>
  </si>
  <si>
    <t xml:space="preserve">P0436</t>
  </si>
  <si>
    <t xml:space="preserve">INV20001</t>
  </si>
  <si>
    <t xml:space="preserve">P0437</t>
  </si>
  <si>
    <t xml:space="preserve">INV31034</t>
  </si>
  <si>
    <t xml:space="preserve">P0438</t>
  </si>
  <si>
    <t xml:space="preserve">INV25012</t>
  </si>
  <si>
    <t xml:space="preserve">P0439</t>
  </si>
  <si>
    <t xml:space="preserve">INV43004</t>
  </si>
  <si>
    <t xml:space="preserve">P0440</t>
  </si>
  <si>
    <t xml:space="preserve">INV22018</t>
  </si>
  <si>
    <t xml:space="preserve">P0441</t>
  </si>
  <si>
    <t xml:space="preserve">INV11014</t>
  </si>
  <si>
    <t xml:space="preserve">P0442</t>
  </si>
  <si>
    <t xml:space="preserve">INV31009</t>
  </si>
  <si>
    <t xml:space="preserve">P0443</t>
  </si>
  <si>
    <t xml:space="preserve">INV21007</t>
  </si>
  <si>
    <t xml:space="preserve">P0444</t>
  </si>
  <si>
    <t xml:space="preserve">INV22003</t>
  </si>
  <si>
    <t xml:space="preserve">P0445</t>
  </si>
  <si>
    <t xml:space="preserve">INV28006</t>
  </si>
  <si>
    <t xml:space="preserve">P0446</t>
  </si>
  <si>
    <t xml:space="preserve">INV37010</t>
  </si>
  <si>
    <t xml:space="preserve">P0447</t>
  </si>
  <si>
    <t xml:space="preserve">INV38003</t>
  </si>
  <si>
    <t xml:space="preserve">P0448</t>
  </si>
  <si>
    <t xml:space="preserve">INV8003</t>
  </si>
  <si>
    <t xml:space="preserve">P0449</t>
  </si>
  <si>
    <t xml:space="preserve">INV16001</t>
  </si>
  <si>
    <t xml:space="preserve">P0450</t>
  </si>
  <si>
    <t xml:space="preserve">INV4009</t>
  </si>
  <si>
    <t xml:space="preserve">P0451</t>
  </si>
  <si>
    <t xml:space="preserve">INV22009</t>
  </si>
  <si>
    <t xml:space="preserve">P0452</t>
  </si>
  <si>
    <t xml:space="preserve">INV34008</t>
  </si>
  <si>
    <t xml:space="preserve">P0453</t>
  </si>
  <si>
    <t xml:space="preserve">INV37003</t>
  </si>
  <si>
    <t xml:space="preserve">P0454</t>
  </si>
  <si>
    <t xml:space="preserve">P0455</t>
  </si>
  <si>
    <t xml:space="preserve">INV15020</t>
  </si>
  <si>
    <t xml:space="preserve">P0456</t>
  </si>
  <si>
    <t xml:space="preserve">INV22006</t>
  </si>
  <si>
    <t xml:space="preserve">P0457</t>
  </si>
  <si>
    <t xml:space="preserve">INV22008</t>
  </si>
  <si>
    <t xml:space="preserve">P0458</t>
  </si>
  <si>
    <t xml:space="preserve">INV36004</t>
  </si>
  <si>
    <t xml:space="preserve">P0459</t>
  </si>
  <si>
    <t xml:space="preserve">INV18021</t>
  </si>
  <si>
    <t xml:space="preserve">P0460</t>
  </si>
  <si>
    <t xml:space="preserve">INV12021</t>
  </si>
  <si>
    <t xml:space="preserve">P0461</t>
  </si>
  <si>
    <t xml:space="preserve">INV30010</t>
  </si>
  <si>
    <t xml:space="preserve">P0462</t>
  </si>
  <si>
    <t xml:space="preserve">INV32004</t>
  </si>
  <si>
    <t xml:space="preserve">P0463</t>
  </si>
  <si>
    <t xml:space="preserve">INV32013</t>
  </si>
  <si>
    <t xml:space="preserve">P0464</t>
  </si>
  <si>
    <t xml:space="preserve">INV22004</t>
  </si>
  <si>
    <t xml:space="preserve">P0465</t>
  </si>
  <si>
    <t xml:space="preserve">INV25013</t>
  </si>
  <si>
    <t xml:space="preserve">P0466</t>
  </si>
  <si>
    <t xml:space="preserve">INV37016</t>
  </si>
  <si>
    <t xml:space="preserve">P0467</t>
  </si>
  <si>
    <t xml:space="preserve">RENT2510</t>
  </si>
  <si>
    <t xml:space="preserve">P0468</t>
  </si>
  <si>
    <t xml:space="preserve">INV9021</t>
  </si>
  <si>
    <t xml:space="preserve">P0469</t>
  </si>
  <si>
    <t xml:space="preserve">INV13003</t>
  </si>
  <si>
    <t xml:space="preserve">P0470</t>
  </si>
  <si>
    <t xml:space="preserve">INV12003</t>
  </si>
  <si>
    <t xml:space="preserve">P0471</t>
  </si>
  <si>
    <t xml:space="preserve">INV27002</t>
  </si>
  <si>
    <t xml:space="preserve">P0472</t>
  </si>
  <si>
    <t xml:space="preserve">INV31033</t>
  </si>
  <si>
    <t xml:space="preserve">P0473</t>
  </si>
  <si>
    <t xml:space="preserve">INV7001</t>
  </si>
  <si>
    <t xml:space="preserve">P0474</t>
  </si>
  <si>
    <t xml:space="preserve">INV16017</t>
  </si>
  <si>
    <t xml:space="preserve">P0475</t>
  </si>
  <si>
    <t xml:space="preserve">INV24002</t>
  </si>
  <si>
    <t xml:space="preserve">P0476</t>
  </si>
  <si>
    <t xml:space="preserve">INV24004</t>
  </si>
  <si>
    <t xml:space="preserve">P0477</t>
  </si>
  <si>
    <t xml:space="preserve">INV33019</t>
  </si>
  <si>
    <t xml:space="preserve">P0478</t>
  </si>
  <si>
    <t xml:space="preserve">INV16021</t>
  </si>
  <si>
    <t xml:space="preserve">P0479</t>
  </si>
  <si>
    <t xml:space="preserve">INV25008</t>
  </si>
  <si>
    <t xml:space="preserve">P0480</t>
  </si>
  <si>
    <t xml:space="preserve">INV33012</t>
  </si>
  <si>
    <t xml:space="preserve">P0481</t>
  </si>
  <si>
    <t xml:space="preserve">INV24006</t>
  </si>
  <si>
    <t xml:space="preserve">P0482</t>
  </si>
  <si>
    <t xml:space="preserve">INV44013</t>
  </si>
  <si>
    <t xml:space="preserve">P0483</t>
  </si>
  <si>
    <t xml:space="preserve">INV12001</t>
  </si>
  <si>
    <t xml:space="preserve">P0484</t>
  </si>
  <si>
    <t xml:space="preserve">INV22020</t>
  </si>
  <si>
    <t xml:space="preserve">P0485</t>
  </si>
  <si>
    <t xml:space="preserve">LIC2510</t>
  </si>
  <si>
    <t xml:space="preserve">P0486</t>
  </si>
  <si>
    <t xml:space="preserve">INV23002</t>
  </si>
  <si>
    <t xml:space="preserve">P0487</t>
  </si>
  <si>
    <t xml:space="preserve">INV25009</t>
  </si>
  <si>
    <t xml:space="preserve">P0488</t>
  </si>
  <si>
    <t xml:space="preserve">INV33020</t>
  </si>
  <si>
    <t xml:space="preserve">P0489</t>
  </si>
  <si>
    <t xml:space="preserve">INV43008</t>
  </si>
  <si>
    <t xml:space="preserve">P0490</t>
  </si>
  <si>
    <t xml:space="preserve">INV8001</t>
  </si>
  <si>
    <t xml:space="preserve">P0491</t>
  </si>
  <si>
    <t xml:space="preserve">INV11005</t>
  </si>
  <si>
    <t xml:space="preserve">P0492</t>
  </si>
  <si>
    <t xml:space="preserve">INV13004</t>
  </si>
  <si>
    <t xml:space="preserve">P0493</t>
  </si>
  <si>
    <t xml:space="preserve">INV16018</t>
  </si>
  <si>
    <t xml:space="preserve">P0494</t>
  </si>
  <si>
    <t xml:space="preserve">INV18007</t>
  </si>
  <si>
    <t xml:space="preserve">P0495</t>
  </si>
  <si>
    <t xml:space="preserve">INV39009</t>
  </si>
  <si>
    <t xml:space="preserve">P0496</t>
  </si>
  <si>
    <t xml:space="preserve">INV15010</t>
  </si>
  <si>
    <t xml:space="preserve">P0497</t>
  </si>
  <si>
    <t xml:space="preserve">INV33001</t>
  </si>
  <si>
    <t xml:space="preserve">P0498</t>
  </si>
  <si>
    <t xml:space="preserve">INV35009</t>
  </si>
  <si>
    <t xml:space="preserve">P0499</t>
  </si>
  <si>
    <t xml:space="preserve">INV5007</t>
  </si>
  <si>
    <t xml:space="preserve">P0500</t>
  </si>
  <si>
    <t xml:space="preserve">INV35010</t>
  </si>
  <si>
    <t xml:space="preserve">P0501</t>
  </si>
  <si>
    <t xml:space="preserve">INV7007</t>
  </si>
  <si>
    <t xml:space="preserve">P0502</t>
  </si>
  <si>
    <t xml:space="preserve">INV32002</t>
  </si>
  <si>
    <t xml:space="preserve">P0503</t>
  </si>
  <si>
    <t xml:space="preserve">INV42012</t>
  </si>
  <si>
    <t xml:space="preserve">P0504</t>
  </si>
  <si>
    <t xml:space="preserve">INV3006</t>
  </si>
  <si>
    <t xml:space="preserve">P0505</t>
  </si>
  <si>
    <t xml:space="preserve">INV5013</t>
  </si>
  <si>
    <t xml:space="preserve">P0506</t>
  </si>
  <si>
    <t xml:space="preserve">INV21006</t>
  </si>
  <si>
    <t xml:space="preserve">P0507</t>
  </si>
  <si>
    <t xml:space="preserve">P0508</t>
  </si>
  <si>
    <t xml:space="preserve">INV27003</t>
  </si>
  <si>
    <t xml:space="preserve">P0509</t>
  </si>
  <si>
    <t xml:space="preserve">inv 39009</t>
  </si>
  <si>
    <t xml:space="preserve">P0510</t>
  </si>
  <si>
    <t xml:space="preserve">INV12008</t>
  </si>
  <si>
    <t xml:space="preserve">P0511</t>
  </si>
  <si>
    <t xml:space="preserve">INV21008</t>
  </si>
  <si>
    <t xml:space="preserve">P0512</t>
  </si>
  <si>
    <t xml:space="preserve">INV31028</t>
  </si>
  <si>
    <t xml:space="preserve">P0513</t>
  </si>
  <si>
    <t xml:space="preserve">INV31045</t>
  </si>
  <si>
    <t xml:space="preserve">P0514</t>
  </si>
  <si>
    <t xml:space="preserve">INV33022</t>
  </si>
  <si>
    <t xml:space="preserve">P0515</t>
  </si>
  <si>
    <t xml:space="preserve">INV39018</t>
  </si>
  <si>
    <t xml:space="preserve">P0516</t>
  </si>
  <si>
    <t xml:space="preserve">INV6004</t>
  </si>
  <si>
    <t xml:space="preserve">P0517</t>
  </si>
  <si>
    <t xml:space="preserve">INV29002</t>
  </si>
  <si>
    <t xml:space="preserve">P0518</t>
  </si>
  <si>
    <t xml:space="preserve">INV15013</t>
  </si>
  <si>
    <t xml:space="preserve">P0519</t>
  </si>
  <si>
    <t xml:space="preserve">INV35016</t>
  </si>
  <si>
    <t xml:space="preserve">P0520</t>
  </si>
  <si>
    <t xml:space="preserve">INV18004</t>
  </si>
  <si>
    <t xml:space="preserve">P0521</t>
  </si>
  <si>
    <t xml:space="preserve">INV13014</t>
  </si>
  <si>
    <t xml:space="preserve">P0522</t>
  </si>
  <si>
    <t xml:space="preserve">INV44011</t>
  </si>
  <si>
    <t xml:space="preserve">P0523</t>
  </si>
  <si>
    <t xml:space="preserve">INV13009</t>
  </si>
  <si>
    <t xml:space="preserve">P0524</t>
  </si>
  <si>
    <t xml:space="preserve">INV32015</t>
  </si>
  <si>
    <t xml:space="preserve">P0525</t>
  </si>
  <si>
    <t xml:space="preserve">INV32003</t>
  </si>
  <si>
    <t xml:space="preserve">P0526</t>
  </si>
  <si>
    <t xml:space="preserve">INV40002</t>
  </si>
  <si>
    <t xml:space="preserve">P0527</t>
  </si>
  <si>
    <t xml:space="preserve">RENT2511</t>
  </si>
  <si>
    <t xml:space="preserve">P0528</t>
  </si>
  <si>
    <t xml:space="preserve">INV3004</t>
  </si>
  <si>
    <t xml:space="preserve">P0529</t>
  </si>
  <si>
    <t xml:space="preserve">INV33008</t>
  </si>
  <si>
    <t xml:space="preserve">P0530</t>
  </si>
  <si>
    <t xml:space="preserve">INV39017</t>
  </si>
  <si>
    <t xml:space="preserve">P0531</t>
  </si>
  <si>
    <t xml:space="preserve">INV4003</t>
  </si>
  <si>
    <t xml:space="preserve">P0532</t>
  </si>
  <si>
    <t xml:space="preserve">INV7010</t>
  </si>
  <si>
    <t xml:space="preserve">P0533</t>
  </si>
  <si>
    <t xml:space="preserve">INV40007</t>
  </si>
  <si>
    <t xml:space="preserve">P0534</t>
  </si>
  <si>
    <t xml:space="preserve">INV44017</t>
  </si>
  <si>
    <t xml:space="preserve">P0535</t>
  </si>
  <si>
    <t xml:space="preserve">INV34006</t>
  </si>
  <si>
    <t xml:space="preserve">P0536</t>
  </si>
  <si>
    <t xml:space="preserve">INV18022</t>
  </si>
  <si>
    <t xml:space="preserve">P0537</t>
  </si>
  <si>
    <t xml:space="preserve">INV11002</t>
  </si>
  <si>
    <t xml:space="preserve">P0538</t>
  </si>
  <si>
    <t xml:space="preserve">INV15009</t>
  </si>
  <si>
    <t xml:space="preserve">P0539</t>
  </si>
  <si>
    <t xml:space="preserve">INV39004</t>
  </si>
  <si>
    <t xml:space="preserve">P0540</t>
  </si>
  <si>
    <t xml:space="preserve">INV10006</t>
  </si>
  <si>
    <t xml:space="preserve">P0541</t>
  </si>
  <si>
    <t xml:space="preserve">INV31025</t>
  </si>
  <si>
    <t xml:space="preserve">P0542</t>
  </si>
  <si>
    <t xml:space="preserve">INV 13014</t>
  </si>
  <si>
    <t xml:space="preserve">P0543</t>
  </si>
  <si>
    <t xml:space="preserve">INV34001</t>
  </si>
  <si>
    <t xml:space="preserve">P0544</t>
  </si>
  <si>
    <t xml:space="preserve">INV38008</t>
  </si>
  <si>
    <t xml:space="preserve">P0545</t>
  </si>
  <si>
    <t xml:space="preserve">LIC2511</t>
  </si>
  <si>
    <t xml:space="preserve">P0546</t>
  </si>
  <si>
    <t xml:space="preserve">INV3007</t>
  </si>
  <si>
    <t xml:space="preserve">P0547</t>
  </si>
  <si>
    <t xml:space="preserve">INV8010</t>
  </si>
  <si>
    <t xml:space="preserve">P0548</t>
  </si>
  <si>
    <t xml:space="preserve">INV33003</t>
  </si>
  <si>
    <t xml:space="preserve">P0549</t>
  </si>
  <si>
    <t xml:space="preserve">INV13013</t>
  </si>
  <si>
    <t xml:space="preserve">P0550</t>
  </si>
  <si>
    <t xml:space="preserve">INV25003</t>
  </si>
  <si>
    <t xml:space="preserve">P0551</t>
  </si>
  <si>
    <t xml:space="preserve">INV8002</t>
  </si>
  <si>
    <t xml:space="preserve">P0552</t>
  </si>
  <si>
    <t xml:space="preserve">INV33015</t>
  </si>
  <si>
    <t xml:space="preserve">P0553</t>
  </si>
  <si>
    <t xml:space="preserve">INV18010</t>
  </si>
  <si>
    <t xml:space="preserve">P0554</t>
  </si>
  <si>
    <t xml:space="preserve">INV18013</t>
  </si>
  <si>
    <t xml:space="preserve">P0555</t>
  </si>
  <si>
    <t xml:space="preserve">INV30003</t>
  </si>
  <si>
    <t xml:space="preserve">P0556</t>
  </si>
  <si>
    <t xml:space="preserve">INV8007</t>
  </si>
  <si>
    <t xml:space="preserve">P0557</t>
  </si>
  <si>
    <t xml:space="preserve">INV9006</t>
  </si>
  <si>
    <t xml:space="preserve">P0558</t>
  </si>
  <si>
    <t xml:space="preserve">INV16006</t>
  </si>
  <si>
    <t xml:space="preserve">P0559</t>
  </si>
  <si>
    <t xml:space="preserve">INV32006</t>
  </si>
  <si>
    <t xml:space="preserve">P0560</t>
  </si>
  <si>
    <t xml:space="preserve">INV32010</t>
  </si>
  <si>
    <t xml:space="preserve">P0561</t>
  </si>
  <si>
    <t xml:space="preserve">INV21001</t>
  </si>
  <si>
    <t xml:space="preserve">P0562</t>
  </si>
  <si>
    <t xml:space="preserve">INV29005</t>
  </si>
  <si>
    <t xml:space="preserve">P0563</t>
  </si>
  <si>
    <t xml:space="preserve">INV33016</t>
  </si>
  <si>
    <t xml:space="preserve">P0564</t>
  </si>
  <si>
    <t xml:space="preserve">INV5012</t>
  </si>
  <si>
    <t xml:space="preserve">P0565</t>
  </si>
  <si>
    <t xml:space="preserve">INV5004</t>
  </si>
  <si>
    <t xml:space="preserve">P0566</t>
  </si>
  <si>
    <t xml:space="preserve">INV16003</t>
  </si>
  <si>
    <t xml:space="preserve">P0567</t>
  </si>
  <si>
    <t xml:space="preserve">INV25005</t>
  </si>
  <si>
    <t xml:space="preserve">P0568</t>
  </si>
  <si>
    <t xml:space="preserve">INV9007</t>
  </si>
  <si>
    <t xml:space="preserve">P0569</t>
  </si>
  <si>
    <t xml:space="preserve">INV30005</t>
  </si>
  <si>
    <t xml:space="preserve">P0570</t>
  </si>
  <si>
    <t xml:space="preserve">INV34010</t>
  </si>
  <si>
    <t xml:space="preserve">P0571</t>
  </si>
  <si>
    <t xml:space="preserve">INV20006</t>
  </si>
  <si>
    <t xml:space="preserve">P0572</t>
  </si>
  <si>
    <t xml:space="preserve">INV44016</t>
  </si>
  <si>
    <t xml:space="preserve">P0573</t>
  </si>
  <si>
    <t xml:space="preserve">INV9003</t>
  </si>
  <si>
    <t xml:space="preserve">P0574</t>
  </si>
  <si>
    <t xml:space="preserve">INV31001</t>
  </si>
  <si>
    <t xml:space="preserve">P0575</t>
  </si>
  <si>
    <t xml:space="preserve">RENT2512</t>
  </si>
  <si>
    <t xml:space="preserve">P0576</t>
  </si>
  <si>
    <t xml:space="preserve">INV9001</t>
  </si>
  <si>
    <t xml:space="preserve">P0577</t>
  </si>
  <si>
    <t xml:space="preserve">INV16008</t>
  </si>
  <si>
    <t xml:space="preserve">P0578</t>
  </si>
  <si>
    <t xml:space="preserve">INV17001</t>
  </si>
  <si>
    <t xml:space="preserve">P0579</t>
  </si>
  <si>
    <t xml:space="preserve">INV37014</t>
  </si>
  <si>
    <t xml:space="preserve">P0580</t>
  </si>
  <si>
    <t xml:space="preserve">INV43002</t>
  </si>
  <si>
    <t xml:space="preserve">P0581</t>
  </si>
  <si>
    <t xml:space="preserve">INV16014</t>
  </si>
  <si>
    <t xml:space="preserve">P0582</t>
  </si>
  <si>
    <t xml:space="preserve">INV25011</t>
  </si>
  <si>
    <t xml:space="preserve">P0583</t>
  </si>
  <si>
    <t xml:space="preserve">INV44003</t>
  </si>
  <si>
    <t xml:space="preserve">P0584</t>
  </si>
  <si>
    <t xml:space="preserve">INV18020</t>
  </si>
  <si>
    <t xml:space="preserve">P0585</t>
  </si>
  <si>
    <t xml:space="preserve">INV20008</t>
  </si>
  <si>
    <t xml:space="preserve">P0586</t>
  </si>
  <si>
    <t xml:space="preserve">INV4006</t>
  </si>
  <si>
    <t xml:space="preserve">P0587</t>
  </si>
  <si>
    <t xml:space="preserve">INV28001</t>
  </si>
  <si>
    <t xml:space="preserve">P0588</t>
  </si>
  <si>
    <t xml:space="preserve">INV5001</t>
  </si>
  <si>
    <t xml:space="preserve">P0589</t>
  </si>
  <si>
    <t xml:space="preserve">INV8014</t>
  </si>
  <si>
    <t xml:space="preserve">P0590</t>
  </si>
  <si>
    <t xml:space="preserve">INV8015</t>
  </si>
  <si>
    <t xml:space="preserve">P0591</t>
  </si>
  <si>
    <t xml:space="preserve">INV8016</t>
  </si>
  <si>
    <t xml:space="preserve">P0592</t>
  </si>
  <si>
    <t xml:space="preserve">P0593</t>
  </si>
  <si>
    <t xml:space="preserve">INV34009</t>
  </si>
  <si>
    <t xml:space="preserve">P0594</t>
  </si>
  <si>
    <t xml:space="preserve">INV45007</t>
  </si>
  <si>
    <t xml:space="preserve">P0595</t>
  </si>
  <si>
    <t xml:space="preserve">INV15022</t>
  </si>
  <si>
    <t xml:space="preserve">P0596</t>
  </si>
  <si>
    <t xml:space="preserve">INV45006</t>
  </si>
  <si>
    <t xml:space="preserve">P0597</t>
  </si>
  <si>
    <t xml:space="preserve">inv/29005</t>
  </si>
  <si>
    <t xml:space="preserve">P0598</t>
  </si>
  <si>
    <t xml:space="preserve">INV38004</t>
  </si>
  <si>
    <t xml:space="preserve">P0599</t>
  </si>
  <si>
    <t xml:space="preserve">INV31011</t>
  </si>
  <si>
    <t xml:space="preserve">P0600</t>
  </si>
  <si>
    <t xml:space="preserve">INV31024</t>
  </si>
  <si>
    <t xml:space="preserve">P0601</t>
  </si>
  <si>
    <t xml:space="preserve">INV31039</t>
  </si>
  <si>
    <t xml:space="preserve">P0602</t>
  </si>
  <si>
    <t xml:space="preserve">LIC2512</t>
  </si>
  <si>
    <t xml:space="preserve">P0603</t>
  </si>
  <si>
    <t xml:space="preserve">INV14004</t>
  </si>
  <si>
    <t xml:space="preserve">P0604</t>
  </si>
  <si>
    <t xml:space="preserve">INV6007</t>
  </si>
  <si>
    <t xml:space="preserve">P0605</t>
  </si>
  <si>
    <t xml:space="preserve">INV36005</t>
  </si>
  <si>
    <t xml:space="preserve">P0606</t>
  </si>
  <si>
    <t xml:space="preserve">INV32016</t>
  </si>
  <si>
    <t xml:space="preserve">P0607</t>
  </si>
  <si>
    <t xml:space="preserve">INV33014</t>
  </si>
  <si>
    <t xml:space="preserve">P0608</t>
  </si>
  <si>
    <t xml:space="preserve">INV11007</t>
  </si>
  <si>
    <t xml:space="preserve">P0609</t>
  </si>
  <si>
    <t xml:space="preserve">INV44001</t>
  </si>
  <si>
    <t xml:space="preserve">P0610</t>
  </si>
  <si>
    <t xml:space="preserve">INV29008</t>
  </si>
  <si>
    <t xml:space="preserve">P0611</t>
  </si>
  <si>
    <t xml:space="preserve">INV17002</t>
  </si>
  <si>
    <t xml:space="preserve">P0612</t>
  </si>
  <si>
    <t xml:space="preserve">INV18005</t>
  </si>
  <si>
    <t xml:space="preserve">P0613</t>
  </si>
  <si>
    <t xml:space="preserve">INV18011</t>
  </si>
  <si>
    <t xml:space="preserve">P0614</t>
  </si>
  <si>
    <t xml:space="preserve">INV5003</t>
  </si>
  <si>
    <t xml:space="preserve">P0615</t>
  </si>
  <si>
    <t xml:space="preserve">INV12010</t>
  </si>
  <si>
    <t xml:space="preserve">P0616</t>
  </si>
  <si>
    <t xml:space="preserve">INV42006</t>
  </si>
  <si>
    <t xml:space="preserve">P0617</t>
  </si>
  <si>
    <t xml:space="preserve">INV22001</t>
  </si>
  <si>
    <t xml:space="preserve">P0618</t>
  </si>
  <si>
    <t xml:space="preserve">INV33021</t>
  </si>
  <si>
    <t xml:space="preserve">P0619</t>
  </si>
  <si>
    <t xml:space="preserve">INV39015</t>
  </si>
  <si>
    <t xml:space="preserve">P0620</t>
  </si>
  <si>
    <t xml:space="preserve">INV13015</t>
  </si>
  <si>
    <t xml:space="preserve">P0621</t>
  </si>
  <si>
    <t xml:space="preserve">INV16012</t>
  </si>
  <si>
    <t xml:space="preserve">P0622</t>
  </si>
  <si>
    <t xml:space="preserve">INV18015</t>
  </si>
  <si>
    <t xml:space="preserve">P0623</t>
  </si>
  <si>
    <t xml:space="preserve">INV19004</t>
  </si>
  <si>
    <t xml:space="preserve">P0624</t>
  </si>
  <si>
    <t xml:space="preserve">INV29011</t>
  </si>
  <si>
    <t xml:space="preserve">P0625</t>
  </si>
  <si>
    <t xml:space="preserve">INV5009</t>
  </si>
  <si>
    <t xml:space="preserve">P0626</t>
  </si>
  <si>
    <t xml:space="preserve">INV16010</t>
  </si>
  <si>
    <t xml:space="preserve">P0627</t>
  </si>
  <si>
    <t xml:space="preserve">INV31020</t>
  </si>
  <si>
    <t xml:space="preserve">P0628</t>
  </si>
  <si>
    <t xml:space="preserve">INV11008</t>
  </si>
  <si>
    <t xml:space="preserve">P0629</t>
  </si>
  <si>
    <t xml:space="preserve">INV13002</t>
  </si>
  <si>
    <t xml:space="preserve">P0630</t>
  </si>
  <si>
    <t xml:space="preserve">INV33005</t>
  </si>
  <si>
    <t xml:space="preserve">Benford's Law, first digit test, all payments</t>
  </si>
  <si>
    <t xml:space="preserve">z uses the continuity correction. MAD is the mean absolute deviation across nine digits.</t>
  </si>
  <si>
    <t xml:space="preserve">Count</t>
  </si>
  <si>
    <t xml:space="preserve">Actual %</t>
  </si>
  <si>
    <t xml:space="preserve">Expected %</t>
  </si>
  <si>
    <t xml:space="preserve">Difference</t>
  </si>
  <si>
    <t xml:space="preserve">z statistic</t>
  </si>
  <si>
    <t xml:space="preserve">Significant at 5 percent?</t>
  </si>
  <si>
    <t xml:space="preserve">Chi square term</t>
  </si>
  <si>
    <t xml:space="preserve">Total payments (n)</t>
  </si>
  <si>
    <t xml:space="preserve">MAD</t>
  </si>
  <si>
    <t xml:space="preserve">Conformity (MAD bands)</t>
  </si>
  <si>
    <t xml:space="preserve">Chi square</t>
  </si>
  <si>
    <t xml:space="preserve">Chi square critical (8 df, 5 percent)</t>
  </si>
  <si>
    <t xml:space="preserve">Chi square result</t>
  </si>
  <si>
    <t xml:space="preserve">Digits significant at 5 percent</t>
  </si>
  <si>
    <t xml:space="preserve">Vendor level Benford test and employee bank match</t>
  </si>
  <si>
    <t xml:space="preserve">Expected proportions in row 5. Flag needs the minimum payment count on the Parameters sheet.</t>
  </si>
  <si>
    <t xml:space="preserve">Payments (n)</t>
  </si>
  <si>
    <t xml:space="preserve">Digit 1</t>
  </si>
  <si>
    <t xml:space="preserve">Digit 2</t>
  </si>
  <si>
    <t xml:space="preserve">Digit 3</t>
  </si>
  <si>
    <t xml:space="preserve">Digit 4</t>
  </si>
  <si>
    <t xml:space="preserve">Digit 5</t>
  </si>
  <si>
    <t xml:space="preserve">Digit 6</t>
  </si>
  <si>
    <t xml:space="preserve">Digit 7</t>
  </si>
  <si>
    <t xml:space="preserve">Digit 8</t>
  </si>
  <si>
    <t xml:space="preserve">Digit 9</t>
  </si>
  <si>
    <t xml:space="preserve">Benford flag</t>
  </si>
  <si>
    <t xml:space="preserve">Expected</t>
  </si>
  <si>
    <t xml:space="preserve">Chart of accounts</t>
  </si>
  <si>
    <t xml:space="preserve">Account</t>
  </si>
  <si>
    <t xml:space="preserve">Name</t>
  </si>
  <si>
    <t xml:space="preserve">Class</t>
  </si>
  <si>
    <t xml:space="preserve">Cash at bank</t>
  </si>
  <si>
    <t xml:space="preserve">Asset</t>
  </si>
  <si>
    <t xml:space="preserve">Trade receivables</t>
  </si>
  <si>
    <t xml:space="preserve">Inventory</t>
  </si>
  <si>
    <t xml:space="preserve">Fixed assets</t>
  </si>
  <si>
    <t xml:space="preserve">Trade payables</t>
  </si>
  <si>
    <t xml:space="preserve">Liability</t>
  </si>
  <si>
    <t xml:space="preserve">Accruals</t>
  </si>
  <si>
    <t xml:space="preserve">Loans</t>
  </si>
  <si>
    <t xml:space="preserve">Sales revenue</t>
  </si>
  <si>
    <t xml:space="preserve">Revenue</t>
  </si>
  <si>
    <t xml:space="preserve">Other income</t>
  </si>
  <si>
    <t xml:space="preserve">Cost of sales</t>
  </si>
  <si>
    <t xml:space="preserve">Expense</t>
  </si>
  <si>
    <t xml:space="preserve">Salaries</t>
  </si>
  <si>
    <t xml:space="preserve">Rent</t>
  </si>
  <si>
    <t xml:space="preserve">Utilities</t>
  </si>
  <si>
    <t xml:space="preserve">Sundry expense</t>
  </si>
  <si>
    <t xml:space="preserve">Suspense</t>
  </si>
  <si>
    <t xml:space="preserve">Journal entry lines</t>
  </si>
  <si>
    <t xml:space="preserve">Inputs in blue. Class is a formula.</t>
  </si>
  <si>
    <t xml:space="preserve">Line ID</t>
  </si>
  <si>
    <t xml:space="preserve">JE no</t>
  </si>
  <si>
    <t xml:space="preserve">Posting date</t>
  </si>
  <si>
    <t xml:space="preserve">Document date</t>
  </si>
  <si>
    <t xml:space="preserve">Debit (USD)</t>
  </si>
  <si>
    <t xml:space="preserve">Credit (USD)</t>
  </si>
  <si>
    <t xml:space="preserve">User</t>
  </si>
  <si>
    <t xml:space="preserve">Source</t>
  </si>
  <si>
    <t xml:space="preserve">Description</t>
  </si>
  <si>
    <t xml:space="preserve">L00001</t>
  </si>
  <si>
    <t xml:space="preserve">System</t>
  </si>
  <si>
    <t xml:space="preserve">Customer receipts</t>
  </si>
  <si>
    <t xml:space="preserve">L00002</t>
  </si>
  <si>
    <t xml:space="preserve">L00003</t>
  </si>
  <si>
    <t xml:space="preserve">Sales invoice batch</t>
  </si>
  <si>
    <t xml:space="preserve">L00004</t>
  </si>
  <si>
    <t xml:space="preserve">L00005</t>
  </si>
  <si>
    <t xml:space="preserve">L00006</t>
  </si>
  <si>
    <t xml:space="preserve">L00007</t>
  </si>
  <si>
    <t xml:space="preserve">L00008</t>
  </si>
  <si>
    <t xml:space="preserve">L00009</t>
  </si>
  <si>
    <t xml:space="preserve">L00010</t>
  </si>
  <si>
    <t xml:space="preserve">Manual</t>
  </si>
  <si>
    <t xml:space="preserve">Accrual for sundry costs</t>
  </si>
  <si>
    <t xml:space="preserve">L00011</t>
  </si>
  <si>
    <t xml:space="preserve">L00012</t>
  </si>
  <si>
    <t xml:space="preserve">Round accrual 3</t>
  </si>
  <si>
    <t xml:space="preserve">L00013</t>
  </si>
  <si>
    <t xml:space="preserve">L00014</t>
  </si>
  <si>
    <t xml:space="preserve">Supplier invoices</t>
  </si>
  <si>
    <t xml:space="preserve">L00015</t>
  </si>
  <si>
    <t xml:space="preserve">L00016</t>
  </si>
  <si>
    <t xml:space="preserve">L00017</t>
  </si>
  <si>
    <t xml:space="preserve">Supplier payments</t>
  </si>
  <si>
    <t xml:space="preserve">L00018</t>
  </si>
  <si>
    <t xml:space="preserve">L00019</t>
  </si>
  <si>
    <t xml:space="preserve">L00020</t>
  </si>
  <si>
    <t xml:space="preserve">L00021</t>
  </si>
  <si>
    <t xml:space="preserve">L00022</t>
  </si>
  <si>
    <t xml:space="preserve">L00023</t>
  </si>
  <si>
    <t xml:space="preserve">L00024</t>
  </si>
  <si>
    <t xml:space="preserve">L00025</t>
  </si>
  <si>
    <t xml:space="preserve">L00026</t>
  </si>
  <si>
    <t xml:space="preserve">L00027</t>
  </si>
  <si>
    <t xml:space="preserve">Cost of sales posting</t>
  </si>
  <si>
    <t xml:space="preserve">L00028</t>
  </si>
  <si>
    <t xml:space="preserve">L00029</t>
  </si>
  <si>
    <t xml:space="preserve">L00030</t>
  </si>
  <si>
    <t xml:space="preserve">L00031</t>
  </si>
  <si>
    <t xml:space="preserve">L00032</t>
  </si>
  <si>
    <t xml:space="preserve">L00033</t>
  </si>
  <si>
    <t xml:space="preserve">Accrual reversal</t>
  </si>
  <si>
    <t xml:space="preserve">L00034</t>
  </si>
  <si>
    <t xml:space="preserve">L00035</t>
  </si>
  <si>
    <t xml:space="preserve">L00036</t>
  </si>
  <si>
    <t xml:space="preserve">L00037</t>
  </si>
  <si>
    <t xml:space="preserve">L00038</t>
  </si>
  <si>
    <t xml:space="preserve">L00039</t>
  </si>
  <si>
    <t xml:space="preserve">L00040</t>
  </si>
  <si>
    <t xml:space="preserve">L00041</t>
  </si>
  <si>
    <t xml:space="preserve">L00042</t>
  </si>
  <si>
    <t xml:space="preserve">L00043</t>
  </si>
  <si>
    <t xml:space="preserve">L00044</t>
  </si>
  <si>
    <t xml:space="preserve">Utilities invoices</t>
  </si>
  <si>
    <t xml:space="preserve">L00045</t>
  </si>
  <si>
    <t xml:space="preserve">L00046</t>
  </si>
  <si>
    <t xml:space="preserve">L00047</t>
  </si>
  <si>
    <t xml:space="preserve">L00048</t>
  </si>
  <si>
    <t xml:space="preserve">L00049</t>
  </si>
  <si>
    <t xml:space="preserve">L00050</t>
  </si>
  <si>
    <t xml:space="preserve">L00051</t>
  </si>
  <si>
    <t xml:space="preserve">L00052</t>
  </si>
  <si>
    <t xml:space="preserve">L00053</t>
  </si>
  <si>
    <t xml:space="preserve">L00054</t>
  </si>
  <si>
    <t xml:space="preserve">L00055</t>
  </si>
  <si>
    <t xml:space="preserve">L00056</t>
  </si>
  <si>
    <t xml:space="preserve">L00057</t>
  </si>
  <si>
    <t xml:space="preserve">L00058</t>
  </si>
  <si>
    <t xml:space="preserve">L00059</t>
  </si>
  <si>
    <t xml:space="preserve">L00060</t>
  </si>
  <si>
    <t xml:space="preserve">L00061</t>
  </si>
  <si>
    <t xml:space="preserve">L00062</t>
  </si>
  <si>
    <t xml:space="preserve">L00063</t>
  </si>
  <si>
    <t xml:space="preserve">L00064</t>
  </si>
  <si>
    <t xml:space="preserve">L00065</t>
  </si>
  <si>
    <t xml:space="preserve">L00066</t>
  </si>
  <si>
    <t xml:space="preserve">L00067</t>
  </si>
  <si>
    <t xml:space="preserve">L00068</t>
  </si>
  <si>
    <t xml:space="preserve">L00069</t>
  </si>
  <si>
    <t xml:space="preserve">L00070</t>
  </si>
  <si>
    <t xml:space="preserve">Fixed asset additions</t>
  </si>
  <si>
    <t xml:space="preserve">L00071</t>
  </si>
  <si>
    <t xml:space="preserve">L00072</t>
  </si>
  <si>
    <t xml:space="preserve">L00073</t>
  </si>
  <si>
    <t xml:space="preserve">L00074</t>
  </si>
  <si>
    <t xml:space="preserve">L00075</t>
  </si>
  <si>
    <t xml:space="preserve">L00076</t>
  </si>
  <si>
    <t xml:space="preserve">L00077</t>
  </si>
  <si>
    <t xml:space="preserve">L00078</t>
  </si>
  <si>
    <t xml:space="preserve">L00079</t>
  </si>
  <si>
    <t xml:space="preserve">L00080</t>
  </si>
  <si>
    <t xml:space="preserve">L00081</t>
  </si>
  <si>
    <t xml:space="preserve">L00082</t>
  </si>
  <si>
    <t xml:space="preserve">L00083</t>
  </si>
  <si>
    <t xml:space="preserve">L00084</t>
  </si>
  <si>
    <t xml:space="preserve">L00085</t>
  </si>
  <si>
    <t xml:space="preserve">L00086</t>
  </si>
  <si>
    <t xml:space="preserve">L00087</t>
  </si>
  <si>
    <t xml:space="preserve">L00088</t>
  </si>
  <si>
    <t xml:space="preserve">L00089</t>
  </si>
  <si>
    <t xml:space="preserve">L00090</t>
  </si>
  <si>
    <t xml:space="preserve">L00091</t>
  </si>
  <si>
    <t xml:space="preserve">L00092</t>
  </si>
  <si>
    <t xml:space="preserve">L00093</t>
  </si>
  <si>
    <t xml:space="preserve">L00094</t>
  </si>
  <si>
    <t xml:space="preserve">L00095</t>
  </si>
  <si>
    <t xml:space="preserve">L00096</t>
  </si>
  <si>
    <t xml:space="preserve">L00097</t>
  </si>
  <si>
    <t xml:space="preserve">Suspense clearing 3</t>
  </si>
  <si>
    <t xml:space="preserve">L00098</t>
  </si>
  <si>
    <t xml:space="preserve">L00099</t>
  </si>
  <si>
    <t xml:space="preserve">L00100</t>
  </si>
  <si>
    <t xml:space="preserve">L00101</t>
  </si>
  <si>
    <t xml:space="preserve">L00102</t>
  </si>
  <si>
    <t xml:space="preserve">L00103</t>
  </si>
  <si>
    <t xml:space="preserve">L00104</t>
  </si>
  <si>
    <t xml:space="preserve">L00105</t>
  </si>
  <si>
    <t xml:space="preserve">L00106</t>
  </si>
  <si>
    <t xml:space="preserve">L00107</t>
  </si>
  <si>
    <t xml:space="preserve">L00108</t>
  </si>
  <si>
    <t xml:space="preserve">L00109</t>
  </si>
  <si>
    <t xml:space="preserve">L00110</t>
  </si>
  <si>
    <t xml:space="preserve">L00111</t>
  </si>
  <si>
    <t xml:space="preserve">L00112</t>
  </si>
  <si>
    <t xml:space="preserve">L00113</t>
  </si>
  <si>
    <t xml:space="preserve">Round accrual 1</t>
  </si>
  <si>
    <t xml:space="preserve">L00114</t>
  </si>
  <si>
    <t xml:space="preserve">L00115</t>
  </si>
  <si>
    <t xml:space="preserve">L00116</t>
  </si>
  <si>
    <t xml:space="preserve">L00117</t>
  </si>
  <si>
    <t xml:space="preserve">L00118</t>
  </si>
  <si>
    <t xml:space="preserve">L00119</t>
  </si>
  <si>
    <t xml:space="preserve">L00120</t>
  </si>
  <si>
    <t xml:space="preserve">L00121</t>
  </si>
  <si>
    <t xml:space="preserve">L00122</t>
  </si>
  <si>
    <t xml:space="preserve">L00123</t>
  </si>
  <si>
    <t xml:space="preserve">L00124</t>
  </si>
  <si>
    <t xml:space="preserve">L00125</t>
  </si>
  <si>
    <t xml:space="preserve">L00126</t>
  </si>
  <si>
    <t xml:space="preserve">L00127</t>
  </si>
  <si>
    <t xml:space="preserve">Monthly payroll</t>
  </si>
  <si>
    <t xml:space="preserve">L00128</t>
  </si>
  <si>
    <t xml:space="preserve">L00129</t>
  </si>
  <si>
    <t xml:space="preserve">L00130</t>
  </si>
  <si>
    <t xml:space="preserve">L00131</t>
  </si>
  <si>
    <t xml:space="preserve">Round accrual 2</t>
  </si>
  <si>
    <t xml:space="preserve">L00132</t>
  </si>
  <si>
    <t xml:space="preserve">L00133</t>
  </si>
  <si>
    <t xml:space="preserve">L00134</t>
  </si>
  <si>
    <t xml:space="preserve">L00135</t>
  </si>
  <si>
    <t xml:space="preserve">L00136</t>
  </si>
  <si>
    <t xml:space="preserve">L00137</t>
  </si>
  <si>
    <t xml:space="preserve">L00138</t>
  </si>
  <si>
    <t xml:space="preserve">L00139</t>
  </si>
  <si>
    <t xml:space="preserve">L00140</t>
  </si>
  <si>
    <t xml:space="preserve">L00141</t>
  </si>
  <si>
    <t xml:space="preserve">L00142</t>
  </si>
  <si>
    <t xml:space="preserve">L00143</t>
  </si>
  <si>
    <t xml:space="preserve">L00144</t>
  </si>
  <si>
    <t xml:space="preserve">L00145</t>
  </si>
  <si>
    <t xml:space="preserve">L00146</t>
  </si>
  <si>
    <t xml:space="preserve">L00147</t>
  </si>
  <si>
    <t xml:space="preserve">L00148</t>
  </si>
  <si>
    <t xml:space="preserve">L00149</t>
  </si>
  <si>
    <t xml:space="preserve">L00150</t>
  </si>
  <si>
    <t xml:space="preserve">L00151</t>
  </si>
  <si>
    <t xml:space="preserve">L00152</t>
  </si>
  <si>
    <t xml:space="preserve">L00153</t>
  </si>
  <si>
    <t xml:space="preserve">L00154</t>
  </si>
  <si>
    <t xml:space="preserve">L00155</t>
  </si>
  <si>
    <t xml:space="preserve">L00156</t>
  </si>
  <si>
    <t xml:space="preserve">L00157</t>
  </si>
  <si>
    <t xml:space="preserve">L00158</t>
  </si>
  <si>
    <t xml:space="preserve">L00159</t>
  </si>
  <si>
    <t xml:space="preserve">L00160</t>
  </si>
  <si>
    <t xml:space="preserve">L00161</t>
  </si>
  <si>
    <t xml:space="preserve">L00162</t>
  </si>
  <si>
    <t xml:space="preserve">L00163</t>
  </si>
  <si>
    <t xml:space="preserve">L00164</t>
  </si>
  <si>
    <t xml:space="preserve">L00165</t>
  </si>
  <si>
    <t xml:space="preserve">L00166</t>
  </si>
  <si>
    <t xml:space="preserve">L00167</t>
  </si>
  <si>
    <t xml:space="preserve">L00168</t>
  </si>
  <si>
    <t xml:space="preserve">L00169</t>
  </si>
  <si>
    <t xml:space="preserve">L00170</t>
  </si>
  <si>
    <t xml:space="preserve">L00171</t>
  </si>
  <si>
    <t xml:space="preserve">L00172</t>
  </si>
  <si>
    <t xml:space="preserve">L00173</t>
  </si>
  <si>
    <t xml:space="preserve">L00174</t>
  </si>
  <si>
    <t xml:space="preserve">L00175</t>
  </si>
  <si>
    <t xml:space="preserve">L00176</t>
  </si>
  <si>
    <t xml:space="preserve">L00177</t>
  </si>
  <si>
    <t xml:space="preserve">L00178</t>
  </si>
  <si>
    <t xml:space="preserve">L00179</t>
  </si>
  <si>
    <t xml:space="preserve">L00180</t>
  </si>
  <si>
    <t xml:space="preserve">L00181</t>
  </si>
  <si>
    <t xml:space="preserve">L00182</t>
  </si>
  <si>
    <t xml:space="preserve">L00183</t>
  </si>
  <si>
    <t xml:space="preserve">L00184</t>
  </si>
  <si>
    <t xml:space="preserve">L00185</t>
  </si>
  <si>
    <t xml:space="preserve">L00186</t>
  </si>
  <si>
    <t xml:space="preserve">L00187</t>
  </si>
  <si>
    <t xml:space="preserve">L00188</t>
  </si>
  <si>
    <t xml:space="preserve">L00189</t>
  </si>
  <si>
    <t xml:space="preserve">L00190</t>
  </si>
  <si>
    <t xml:space="preserve">L00191</t>
  </si>
  <si>
    <t xml:space="preserve">L00192</t>
  </si>
  <si>
    <t xml:space="preserve">Round accrual 4</t>
  </si>
  <si>
    <t xml:space="preserve">L00193</t>
  </si>
  <si>
    <t xml:space="preserve">L00194</t>
  </si>
  <si>
    <t xml:space="preserve">L00195</t>
  </si>
  <si>
    <t xml:space="preserve">L00196</t>
  </si>
  <si>
    <t xml:space="preserve">L00197</t>
  </si>
  <si>
    <t xml:space="preserve">L00198</t>
  </si>
  <si>
    <t xml:space="preserve">L00199</t>
  </si>
  <si>
    <t xml:space="preserve">L00200</t>
  </si>
  <si>
    <t xml:space="preserve">L00201</t>
  </si>
  <si>
    <t xml:space="preserve">L00202</t>
  </si>
  <si>
    <t xml:space="preserve">L00203</t>
  </si>
  <si>
    <t xml:space="preserve">L00204</t>
  </si>
  <si>
    <t xml:space="preserve">L00205</t>
  </si>
  <si>
    <t xml:space="preserve">L00206</t>
  </si>
  <si>
    <t xml:space="preserve">L00207</t>
  </si>
  <si>
    <t xml:space="preserve">L00208</t>
  </si>
  <si>
    <t xml:space="preserve">L00209</t>
  </si>
  <si>
    <t xml:space="preserve">L00210</t>
  </si>
  <si>
    <t xml:space="preserve">L00211</t>
  </si>
  <si>
    <t xml:space="preserve">L00212</t>
  </si>
  <si>
    <t xml:space="preserve">L00213</t>
  </si>
  <si>
    <t xml:space="preserve">L00214</t>
  </si>
  <si>
    <t xml:space="preserve">L00215</t>
  </si>
  <si>
    <t xml:space="preserve">L00216</t>
  </si>
  <si>
    <t xml:space="preserve">L00217</t>
  </si>
  <si>
    <t xml:space="preserve">L00218</t>
  </si>
  <si>
    <t xml:space="preserve">L00219</t>
  </si>
  <si>
    <t xml:space="preserve">L00220</t>
  </si>
  <si>
    <t xml:space="preserve">L00221</t>
  </si>
  <si>
    <t xml:space="preserve">L00222</t>
  </si>
  <si>
    <t xml:space="preserve">L00223</t>
  </si>
  <si>
    <t xml:space="preserve">L00224</t>
  </si>
  <si>
    <t xml:space="preserve">L00225</t>
  </si>
  <si>
    <t xml:space="preserve">L00226</t>
  </si>
  <si>
    <t xml:space="preserve">L00227</t>
  </si>
  <si>
    <t xml:space="preserve">L00228</t>
  </si>
  <si>
    <t xml:space="preserve">L00229</t>
  </si>
  <si>
    <t xml:space="preserve">L00230</t>
  </si>
  <si>
    <t xml:space="preserve">L00231</t>
  </si>
  <si>
    <t xml:space="preserve">L00232</t>
  </si>
  <si>
    <t xml:space="preserve">L00233</t>
  </si>
  <si>
    <t xml:space="preserve">L00234</t>
  </si>
  <si>
    <t xml:space="preserve">L00235</t>
  </si>
  <si>
    <t xml:space="preserve">L00236</t>
  </si>
  <si>
    <t xml:space="preserve">L00237</t>
  </si>
  <si>
    <t xml:space="preserve">L00238</t>
  </si>
  <si>
    <t xml:space="preserve">L00239</t>
  </si>
  <si>
    <t xml:space="preserve">L00240</t>
  </si>
  <si>
    <t xml:space="preserve">Weekend adjustment 3</t>
  </si>
  <si>
    <t xml:space="preserve">L00241</t>
  </si>
  <si>
    <t xml:space="preserve">L00242</t>
  </si>
  <si>
    <t xml:space="preserve">L00243</t>
  </si>
  <si>
    <t xml:space="preserve">L00244</t>
  </si>
  <si>
    <t xml:space="preserve">L00245</t>
  </si>
  <si>
    <t xml:space="preserve">L00246</t>
  </si>
  <si>
    <t xml:space="preserve">L00247</t>
  </si>
  <si>
    <t xml:space="preserve">L00248</t>
  </si>
  <si>
    <t xml:space="preserve">L00249</t>
  </si>
  <si>
    <t xml:space="preserve">L00250</t>
  </si>
  <si>
    <t xml:space="preserve">L00251</t>
  </si>
  <si>
    <t xml:space="preserve">L00252</t>
  </si>
  <si>
    <t xml:space="preserve">L00253</t>
  </si>
  <si>
    <t xml:space="preserve">L00254</t>
  </si>
  <si>
    <t xml:space="preserve">L00255</t>
  </si>
  <si>
    <t xml:space="preserve">L00256</t>
  </si>
  <si>
    <t xml:space="preserve">L00257</t>
  </si>
  <si>
    <t xml:space="preserve">L00258</t>
  </si>
  <si>
    <t xml:space="preserve">L00259</t>
  </si>
  <si>
    <t xml:space="preserve">Adjustment 1</t>
  </si>
  <si>
    <t xml:space="preserve">L00260</t>
  </si>
  <si>
    <t xml:space="preserve">L00261</t>
  </si>
  <si>
    <t xml:space="preserve">L00262</t>
  </si>
  <si>
    <t xml:space="preserve">L00263</t>
  </si>
  <si>
    <t xml:space="preserve">L00264</t>
  </si>
  <si>
    <t xml:space="preserve">L00265</t>
  </si>
  <si>
    <t xml:space="preserve">TEMP02</t>
  </si>
  <si>
    <t xml:space="preserve">Manual journal 1</t>
  </si>
  <si>
    <t xml:space="preserve">L00266</t>
  </si>
  <si>
    <t xml:space="preserve">L00267</t>
  </si>
  <si>
    <t xml:space="preserve">L00268</t>
  </si>
  <si>
    <t xml:space="preserve">L00269</t>
  </si>
  <si>
    <t xml:space="preserve">L00270</t>
  </si>
  <si>
    <t xml:space="preserve">L00271</t>
  </si>
  <si>
    <t xml:space="preserve">L00272</t>
  </si>
  <si>
    <t xml:space="preserve">L00273</t>
  </si>
  <si>
    <t xml:space="preserve">L00274</t>
  </si>
  <si>
    <t xml:space="preserve">L00275</t>
  </si>
  <si>
    <t xml:space="preserve">L00276</t>
  </si>
  <si>
    <t xml:space="preserve">L00277</t>
  </si>
  <si>
    <t xml:space="preserve">L00278</t>
  </si>
  <si>
    <t xml:space="preserve">L00279</t>
  </si>
  <si>
    <t xml:space="preserve">L00280</t>
  </si>
  <si>
    <t xml:space="preserve">L00281</t>
  </si>
  <si>
    <t xml:space="preserve">L00282</t>
  </si>
  <si>
    <t xml:space="preserve">L00283</t>
  </si>
  <si>
    <t xml:space="preserve">L00284</t>
  </si>
  <si>
    <t xml:space="preserve">L00285</t>
  </si>
  <si>
    <t xml:space="preserve">L00286</t>
  </si>
  <si>
    <t xml:space="preserve">L00287</t>
  </si>
  <si>
    <t xml:space="preserve">L00288</t>
  </si>
  <si>
    <t xml:space="preserve">L00289</t>
  </si>
  <si>
    <t xml:space="preserve">L00290</t>
  </si>
  <si>
    <t xml:space="preserve">L00291</t>
  </si>
  <si>
    <t xml:space="preserve">L00292</t>
  </si>
  <si>
    <t xml:space="preserve">L00293</t>
  </si>
  <si>
    <t xml:space="preserve">L00294</t>
  </si>
  <si>
    <t xml:space="preserve">L00295</t>
  </si>
  <si>
    <t xml:space="preserve">L00296</t>
  </si>
  <si>
    <t xml:space="preserve">L00297</t>
  </si>
  <si>
    <t xml:space="preserve">L00298</t>
  </si>
  <si>
    <t xml:space="preserve">L00299</t>
  </si>
  <si>
    <t xml:space="preserve">L00300</t>
  </si>
  <si>
    <t xml:space="preserve">L00301</t>
  </si>
  <si>
    <t xml:space="preserve">L00302</t>
  </si>
  <si>
    <t xml:space="preserve">L00303</t>
  </si>
  <si>
    <t xml:space="preserve">L00304</t>
  </si>
  <si>
    <t xml:space="preserve">L00305</t>
  </si>
  <si>
    <t xml:space="preserve">L00306</t>
  </si>
  <si>
    <t xml:space="preserve">L00307</t>
  </si>
  <si>
    <t xml:space="preserve">L00308</t>
  </si>
  <si>
    <t xml:space="preserve">L00309</t>
  </si>
  <si>
    <t xml:space="preserve">L00310</t>
  </si>
  <si>
    <t xml:space="preserve">L00311</t>
  </si>
  <si>
    <t xml:space="preserve">L00312</t>
  </si>
  <si>
    <t xml:space="preserve">L00313</t>
  </si>
  <si>
    <t xml:space="preserve">L00314</t>
  </si>
  <si>
    <t xml:space="preserve">L00315</t>
  </si>
  <si>
    <t xml:space="preserve">L00316</t>
  </si>
  <si>
    <t xml:space="preserve">L00317</t>
  </si>
  <si>
    <t xml:space="preserve">L00318</t>
  </si>
  <si>
    <t xml:space="preserve">L00319</t>
  </si>
  <si>
    <t xml:space="preserve">L00320</t>
  </si>
  <si>
    <t xml:space="preserve">L00321</t>
  </si>
  <si>
    <t xml:space="preserve">L00322</t>
  </si>
  <si>
    <t xml:space="preserve">L00323</t>
  </si>
  <si>
    <t xml:space="preserve">L00324</t>
  </si>
  <si>
    <t xml:space="preserve">L00325</t>
  </si>
  <si>
    <t xml:space="preserve">L00326</t>
  </si>
  <si>
    <t xml:space="preserve">L00327</t>
  </si>
  <si>
    <t xml:space="preserve">L00328</t>
  </si>
  <si>
    <t xml:space="preserve">L00329</t>
  </si>
  <si>
    <t xml:space="preserve">L00330</t>
  </si>
  <si>
    <t xml:space="preserve">L00331</t>
  </si>
  <si>
    <t xml:space="preserve">L00332</t>
  </si>
  <si>
    <t xml:space="preserve">L00333</t>
  </si>
  <si>
    <t xml:space="preserve">L00334</t>
  </si>
  <si>
    <t xml:space="preserve">L00335</t>
  </si>
  <si>
    <t xml:space="preserve">L00336</t>
  </si>
  <si>
    <t xml:space="preserve">L00337</t>
  </si>
  <si>
    <t xml:space="preserve">L00338</t>
  </si>
  <si>
    <t xml:space="preserve">L00339</t>
  </si>
  <si>
    <t xml:space="preserve">L00340</t>
  </si>
  <si>
    <t xml:space="preserve">L00341</t>
  </si>
  <si>
    <t xml:space="preserve">L00342</t>
  </si>
  <si>
    <t xml:space="preserve">L00343</t>
  </si>
  <si>
    <t xml:space="preserve">L00344</t>
  </si>
  <si>
    <t xml:space="preserve">L00345</t>
  </si>
  <si>
    <t xml:space="preserve">L00346</t>
  </si>
  <si>
    <t xml:space="preserve">L00347</t>
  </si>
  <si>
    <t xml:space="preserve">L00348</t>
  </si>
  <si>
    <t xml:space="preserve">L00349</t>
  </si>
  <si>
    <t xml:space="preserve">L00350</t>
  </si>
  <si>
    <t xml:space="preserve">L00351</t>
  </si>
  <si>
    <t xml:space="preserve">Prior period correction 3</t>
  </si>
  <si>
    <t xml:space="preserve">L00352</t>
  </si>
  <si>
    <t xml:space="preserve">L00353</t>
  </si>
  <si>
    <t xml:space="preserve">L00354</t>
  </si>
  <si>
    <t xml:space="preserve">L00355</t>
  </si>
  <si>
    <t xml:space="preserve">L00356</t>
  </si>
  <si>
    <t xml:space="preserve">L00357</t>
  </si>
  <si>
    <t xml:space="preserve">L00358</t>
  </si>
  <si>
    <t xml:space="preserve">L00359</t>
  </si>
  <si>
    <t xml:space="preserve">L00360</t>
  </si>
  <si>
    <t xml:space="preserve">L00361</t>
  </si>
  <si>
    <t xml:space="preserve">L00362</t>
  </si>
  <si>
    <t xml:space="preserve">L00363</t>
  </si>
  <si>
    <t xml:space="preserve">L00364</t>
  </si>
  <si>
    <t xml:space="preserve">L00365</t>
  </si>
  <si>
    <t xml:space="preserve">L00366</t>
  </si>
  <si>
    <t xml:space="preserve">L00367</t>
  </si>
  <si>
    <t xml:space="preserve">L00368</t>
  </si>
  <si>
    <t xml:space="preserve">L00369</t>
  </si>
  <si>
    <t xml:space="preserve">L00370</t>
  </si>
  <si>
    <t xml:space="preserve">L00371</t>
  </si>
  <si>
    <t xml:space="preserve">L00372</t>
  </si>
  <si>
    <t xml:space="preserve">L00373</t>
  </si>
  <si>
    <t xml:space="preserve">L00374</t>
  </si>
  <si>
    <t xml:space="preserve">L00375</t>
  </si>
  <si>
    <t xml:space="preserve">Manual accrual 5</t>
  </si>
  <si>
    <t xml:space="preserve">L00376</t>
  </si>
  <si>
    <t xml:space="preserve">L00377</t>
  </si>
  <si>
    <t xml:space="preserve">L00378</t>
  </si>
  <si>
    <t xml:space="preserve">L00379</t>
  </si>
  <si>
    <t xml:space="preserve">L00380</t>
  </si>
  <si>
    <t xml:space="preserve">L00381</t>
  </si>
  <si>
    <t xml:space="preserve">L00382</t>
  </si>
  <si>
    <t xml:space="preserve">L00383</t>
  </si>
  <si>
    <t xml:space="preserve">L00384</t>
  </si>
  <si>
    <t xml:space="preserve">L00385</t>
  </si>
  <si>
    <t xml:space="preserve">L00386</t>
  </si>
  <si>
    <t xml:space="preserve">L00387</t>
  </si>
  <si>
    <t xml:space="preserve">L00388</t>
  </si>
  <si>
    <t xml:space="preserve">L00389</t>
  </si>
  <si>
    <t xml:space="preserve">L00390</t>
  </si>
  <si>
    <t xml:space="preserve">L00391</t>
  </si>
  <si>
    <t xml:space="preserve">L00392</t>
  </si>
  <si>
    <t xml:space="preserve">Suspense clearing 1</t>
  </si>
  <si>
    <t xml:space="preserve">L00393</t>
  </si>
  <si>
    <t xml:space="preserve">L00394</t>
  </si>
  <si>
    <t xml:space="preserve">L00395</t>
  </si>
  <si>
    <t xml:space="preserve">L00396</t>
  </si>
  <si>
    <t xml:space="preserve">L00397</t>
  </si>
  <si>
    <t xml:space="preserve">L00398</t>
  </si>
  <si>
    <t xml:space="preserve">L00399</t>
  </si>
  <si>
    <t xml:space="preserve">L00400</t>
  </si>
  <si>
    <t xml:space="preserve">L00401</t>
  </si>
  <si>
    <t xml:space="preserve">L00402</t>
  </si>
  <si>
    <t xml:space="preserve">L00403</t>
  </si>
  <si>
    <t xml:space="preserve">L00404</t>
  </si>
  <si>
    <t xml:space="preserve">L00405</t>
  </si>
  <si>
    <t xml:space="preserve">L00406</t>
  </si>
  <si>
    <t xml:space="preserve">L00407</t>
  </si>
  <si>
    <t xml:space="preserve">L00408</t>
  </si>
  <si>
    <t xml:space="preserve">L00409</t>
  </si>
  <si>
    <t xml:space="preserve">L00410</t>
  </si>
  <si>
    <t xml:space="preserve">L00411</t>
  </si>
  <si>
    <t xml:space="preserve">L00412</t>
  </si>
  <si>
    <t xml:space="preserve">L00413</t>
  </si>
  <si>
    <t xml:space="preserve">L00414</t>
  </si>
  <si>
    <t xml:space="preserve">L00415</t>
  </si>
  <si>
    <t xml:space="preserve">L00416</t>
  </si>
  <si>
    <t xml:space="preserve">L00417</t>
  </si>
  <si>
    <t xml:space="preserve">L00418</t>
  </si>
  <si>
    <t xml:space="preserve">L00419</t>
  </si>
  <si>
    <t xml:space="preserve">L00420</t>
  </si>
  <si>
    <t xml:space="preserve">L00421</t>
  </si>
  <si>
    <t xml:space="preserve">L00422</t>
  </si>
  <si>
    <t xml:space="preserve">L00423</t>
  </si>
  <si>
    <t xml:space="preserve">L00424</t>
  </si>
  <si>
    <t xml:space="preserve">L00425</t>
  </si>
  <si>
    <t xml:space="preserve">L00426</t>
  </si>
  <si>
    <t xml:space="preserve">L00427</t>
  </si>
  <si>
    <t xml:space="preserve">L00428</t>
  </si>
  <si>
    <t xml:space="preserve">Weekend adjustment 2</t>
  </si>
  <si>
    <t xml:space="preserve">L00429</t>
  </si>
  <si>
    <t xml:space="preserve">L00430</t>
  </si>
  <si>
    <t xml:space="preserve">L00431</t>
  </si>
  <si>
    <t xml:space="preserve">L00432</t>
  </si>
  <si>
    <t xml:space="preserve">L00433</t>
  </si>
  <si>
    <t xml:space="preserve">L00434</t>
  </si>
  <si>
    <t xml:space="preserve">L00435</t>
  </si>
  <si>
    <t xml:space="preserve">L00436</t>
  </si>
  <si>
    <t xml:space="preserve">L00437</t>
  </si>
  <si>
    <t xml:space="preserve">L00438</t>
  </si>
  <si>
    <t xml:space="preserve">L00439</t>
  </si>
  <si>
    <t xml:space="preserve">L00440</t>
  </si>
  <si>
    <t xml:space="preserve">L00441</t>
  </si>
  <si>
    <t xml:space="preserve">L00442</t>
  </si>
  <si>
    <t xml:space="preserve">L00443</t>
  </si>
  <si>
    <t xml:space="preserve">L00444</t>
  </si>
  <si>
    <t xml:space="preserve">L00445</t>
  </si>
  <si>
    <t xml:space="preserve">L00446</t>
  </si>
  <si>
    <t xml:space="preserve">L00447</t>
  </si>
  <si>
    <t xml:space="preserve">L00448</t>
  </si>
  <si>
    <t xml:space="preserve">L00449</t>
  </si>
  <si>
    <t xml:space="preserve">L00450</t>
  </si>
  <si>
    <t xml:space="preserve">L00451</t>
  </si>
  <si>
    <t xml:space="preserve">L00452</t>
  </si>
  <si>
    <t xml:space="preserve">L00453</t>
  </si>
  <si>
    <t xml:space="preserve">L00454</t>
  </si>
  <si>
    <t xml:space="preserve">L00455</t>
  </si>
  <si>
    <t xml:space="preserve">L00456</t>
  </si>
  <si>
    <t xml:space="preserve">L00457</t>
  </si>
  <si>
    <t xml:space="preserve">L00458</t>
  </si>
  <si>
    <t xml:space="preserve">L00459</t>
  </si>
  <si>
    <t xml:space="preserve">L00460</t>
  </si>
  <si>
    <t xml:space="preserve">L00461</t>
  </si>
  <si>
    <t xml:space="preserve">L00462</t>
  </si>
  <si>
    <t xml:space="preserve">L00463</t>
  </si>
  <si>
    <t xml:space="preserve">L00464</t>
  </si>
  <si>
    <t xml:space="preserve">L00465</t>
  </si>
  <si>
    <t xml:space="preserve">L00466</t>
  </si>
  <si>
    <t xml:space="preserve">L00467</t>
  </si>
  <si>
    <t xml:space="preserve">L00468</t>
  </si>
  <si>
    <t xml:space="preserve">L00469</t>
  </si>
  <si>
    <t xml:space="preserve">L00470</t>
  </si>
  <si>
    <t xml:space="preserve">L00471</t>
  </si>
  <si>
    <t xml:space="preserve">L00472</t>
  </si>
  <si>
    <t xml:space="preserve">L00473</t>
  </si>
  <si>
    <t xml:space="preserve">L00474</t>
  </si>
  <si>
    <t xml:space="preserve">L00475</t>
  </si>
  <si>
    <t xml:space="preserve">L00476</t>
  </si>
  <si>
    <t xml:space="preserve">L00477</t>
  </si>
  <si>
    <t xml:space="preserve">L00478</t>
  </si>
  <si>
    <t xml:space="preserve">L00479</t>
  </si>
  <si>
    <t xml:space="preserve">L00480</t>
  </si>
  <si>
    <t xml:space="preserve">L00481</t>
  </si>
  <si>
    <t xml:space="preserve">L00482</t>
  </si>
  <si>
    <t xml:space="preserve">L00483</t>
  </si>
  <si>
    <t xml:space="preserve">L00484</t>
  </si>
  <si>
    <t xml:space="preserve">L00485</t>
  </si>
  <si>
    <t xml:space="preserve">L00486</t>
  </si>
  <si>
    <t xml:space="preserve">L00487</t>
  </si>
  <si>
    <t xml:space="preserve">L00488</t>
  </si>
  <si>
    <t xml:space="preserve">L00489</t>
  </si>
  <si>
    <t xml:space="preserve">L00490</t>
  </si>
  <si>
    <t xml:space="preserve">L00491</t>
  </si>
  <si>
    <t xml:space="preserve">L00492</t>
  </si>
  <si>
    <t xml:space="preserve">L00493</t>
  </si>
  <si>
    <t xml:space="preserve">L00494</t>
  </si>
  <si>
    <t xml:space="preserve">L00495</t>
  </si>
  <si>
    <t xml:space="preserve">L00496</t>
  </si>
  <si>
    <t xml:space="preserve">L00497</t>
  </si>
  <si>
    <t xml:space="preserve">L00498</t>
  </si>
  <si>
    <t xml:space="preserve">L00499</t>
  </si>
  <si>
    <t xml:space="preserve">L00500</t>
  </si>
  <si>
    <t xml:space="preserve">L00501</t>
  </si>
  <si>
    <t xml:space="preserve">L00502</t>
  </si>
  <si>
    <t xml:space="preserve">L00503</t>
  </si>
  <si>
    <t xml:space="preserve">L00504</t>
  </si>
  <si>
    <t xml:space="preserve">L00505</t>
  </si>
  <si>
    <t xml:space="preserve">L00506</t>
  </si>
  <si>
    <t xml:space="preserve">L00507</t>
  </si>
  <si>
    <t xml:space="preserve">L00508</t>
  </si>
  <si>
    <t xml:space="preserve">L00509</t>
  </si>
  <si>
    <t xml:space="preserve">L00510</t>
  </si>
  <si>
    <t xml:space="preserve">L00511</t>
  </si>
  <si>
    <t xml:space="preserve">L00512</t>
  </si>
  <si>
    <t xml:space="preserve">L00513</t>
  </si>
  <si>
    <t xml:space="preserve">L00514</t>
  </si>
  <si>
    <t xml:space="preserve">L00515</t>
  </si>
  <si>
    <t xml:space="preserve">L00516</t>
  </si>
  <si>
    <t xml:space="preserve">L00517</t>
  </si>
  <si>
    <t xml:space="preserve">L00518</t>
  </si>
  <si>
    <t xml:space="preserve">L00519</t>
  </si>
  <si>
    <t xml:space="preserve">L00520</t>
  </si>
  <si>
    <t xml:space="preserve">L00521</t>
  </si>
  <si>
    <t xml:space="preserve">L00522</t>
  </si>
  <si>
    <t xml:space="preserve">L00523</t>
  </si>
  <si>
    <t xml:space="preserve">L00524</t>
  </si>
  <si>
    <t xml:space="preserve">L00525</t>
  </si>
  <si>
    <t xml:space="preserve">L00526</t>
  </si>
  <si>
    <t xml:space="preserve">L00527</t>
  </si>
  <si>
    <t xml:space="preserve">L00528</t>
  </si>
  <si>
    <t xml:space="preserve">L00529</t>
  </si>
  <si>
    <t xml:space="preserve">L00530</t>
  </si>
  <si>
    <t xml:space="preserve">L00531</t>
  </si>
  <si>
    <t xml:space="preserve">L00532</t>
  </si>
  <si>
    <t xml:space="preserve">L00533</t>
  </si>
  <si>
    <t xml:space="preserve">L00534</t>
  </si>
  <si>
    <t xml:space="preserve">L00535</t>
  </si>
  <si>
    <t xml:space="preserve">L00536</t>
  </si>
  <si>
    <t xml:space="preserve">L00537</t>
  </si>
  <si>
    <t xml:space="preserve">L00538</t>
  </si>
  <si>
    <t xml:space="preserve">L00539</t>
  </si>
  <si>
    <t xml:space="preserve">L00540</t>
  </si>
  <si>
    <t xml:space="preserve">L00541</t>
  </si>
  <si>
    <t xml:space="preserve">L00542</t>
  </si>
  <si>
    <t xml:space="preserve">L00543</t>
  </si>
  <si>
    <t xml:space="preserve">L00544</t>
  </si>
  <si>
    <t xml:space="preserve">L00545</t>
  </si>
  <si>
    <t xml:space="preserve">L00546</t>
  </si>
  <si>
    <t xml:space="preserve">L00547</t>
  </si>
  <si>
    <t xml:space="preserve">L00548</t>
  </si>
  <si>
    <t xml:space="preserve">L00549</t>
  </si>
  <si>
    <t xml:space="preserve">L00550</t>
  </si>
  <si>
    <t xml:space="preserve">L00551</t>
  </si>
  <si>
    <t xml:space="preserve">L00552</t>
  </si>
  <si>
    <t xml:space="preserve">L00553</t>
  </si>
  <si>
    <t xml:space="preserve">L00554</t>
  </si>
  <si>
    <t xml:space="preserve">L00555</t>
  </si>
  <si>
    <t xml:space="preserve">L00556</t>
  </si>
  <si>
    <t xml:space="preserve">L00557</t>
  </si>
  <si>
    <t xml:space="preserve">L00558</t>
  </si>
  <si>
    <t xml:space="preserve">L00559</t>
  </si>
  <si>
    <t xml:space="preserve">L00560</t>
  </si>
  <si>
    <t xml:space="preserve">L00561</t>
  </si>
  <si>
    <t xml:space="preserve">L00562</t>
  </si>
  <si>
    <t xml:space="preserve">L00563</t>
  </si>
  <si>
    <t xml:space="preserve">L00564</t>
  </si>
  <si>
    <t xml:space="preserve">L00565</t>
  </si>
  <si>
    <t xml:space="preserve">L00566</t>
  </si>
  <si>
    <t xml:space="preserve">L00567</t>
  </si>
  <si>
    <t xml:space="preserve">L00568</t>
  </si>
  <si>
    <t xml:space="preserve">L00569</t>
  </si>
  <si>
    <t xml:space="preserve">L00570</t>
  </si>
  <si>
    <t xml:space="preserve">L00571</t>
  </si>
  <si>
    <t xml:space="preserve">L00572</t>
  </si>
  <si>
    <t xml:space="preserve">L00573</t>
  </si>
  <si>
    <t xml:space="preserve">L00574</t>
  </si>
  <si>
    <t xml:space="preserve">L00575</t>
  </si>
  <si>
    <t xml:space="preserve">L00576</t>
  </si>
  <si>
    <t xml:space="preserve">L00577</t>
  </si>
  <si>
    <t xml:space="preserve">L00578</t>
  </si>
  <si>
    <t xml:space="preserve">L00579</t>
  </si>
  <si>
    <t xml:space="preserve">L00580</t>
  </si>
  <si>
    <t xml:space="preserve">L00581</t>
  </si>
  <si>
    <t xml:space="preserve">L00582</t>
  </si>
  <si>
    <t xml:space="preserve">Weekend adjustment 7</t>
  </si>
  <si>
    <t xml:space="preserve">L00583</t>
  </si>
  <si>
    <t xml:space="preserve">L00584</t>
  </si>
  <si>
    <t xml:space="preserve">L00585</t>
  </si>
  <si>
    <t xml:space="preserve">L00586</t>
  </si>
  <si>
    <t xml:space="preserve">L00587</t>
  </si>
  <si>
    <t xml:space="preserve">L00588</t>
  </si>
  <si>
    <t xml:space="preserve">L00589</t>
  </si>
  <si>
    <t xml:space="preserve">L00590</t>
  </si>
  <si>
    <t xml:space="preserve">L00591</t>
  </si>
  <si>
    <t xml:space="preserve">L00592</t>
  </si>
  <si>
    <t xml:space="preserve">L00593</t>
  </si>
  <si>
    <t xml:space="preserve">L00594</t>
  </si>
  <si>
    <t xml:space="preserve">L00595</t>
  </si>
  <si>
    <t xml:space="preserve">L00596</t>
  </si>
  <si>
    <t xml:space="preserve">L00597</t>
  </si>
  <si>
    <t xml:space="preserve">L00598</t>
  </si>
  <si>
    <t xml:space="preserve">L00599</t>
  </si>
  <si>
    <t xml:space="preserve">L00600</t>
  </si>
  <si>
    <t xml:space="preserve">L00601</t>
  </si>
  <si>
    <t xml:space="preserve">L00602</t>
  </si>
  <si>
    <t xml:space="preserve">L00603</t>
  </si>
  <si>
    <t xml:space="preserve">L00604</t>
  </si>
  <si>
    <t xml:space="preserve">L00605</t>
  </si>
  <si>
    <t xml:space="preserve">L00606</t>
  </si>
  <si>
    <t xml:space="preserve">L00607</t>
  </si>
  <si>
    <t xml:space="preserve">L00608</t>
  </si>
  <si>
    <t xml:space="preserve">L00609</t>
  </si>
  <si>
    <t xml:space="preserve">L00610</t>
  </si>
  <si>
    <t xml:space="preserve">L00611</t>
  </si>
  <si>
    <t xml:space="preserve">Weekend adjustment 5</t>
  </si>
  <si>
    <t xml:space="preserve">L00612</t>
  </si>
  <si>
    <t xml:space="preserve">L00613</t>
  </si>
  <si>
    <t xml:space="preserve">L00614</t>
  </si>
  <si>
    <t xml:space="preserve">L00615</t>
  </si>
  <si>
    <t xml:space="preserve">L00616</t>
  </si>
  <si>
    <t xml:space="preserve">L00617</t>
  </si>
  <si>
    <t xml:space="preserve">L00618</t>
  </si>
  <si>
    <t xml:space="preserve">L00619</t>
  </si>
  <si>
    <t xml:space="preserve">L00620</t>
  </si>
  <si>
    <t xml:space="preserve">L00621</t>
  </si>
  <si>
    <t xml:space="preserve">L00622</t>
  </si>
  <si>
    <t xml:space="preserve">L00623</t>
  </si>
  <si>
    <t xml:space="preserve">L00624</t>
  </si>
  <si>
    <t xml:space="preserve">L00625</t>
  </si>
  <si>
    <t xml:space="preserve">L00626</t>
  </si>
  <si>
    <t xml:space="preserve">L00627</t>
  </si>
  <si>
    <t xml:space="preserve">L00628</t>
  </si>
  <si>
    <t xml:space="preserve">L00629</t>
  </si>
  <si>
    <t xml:space="preserve">L00630</t>
  </si>
  <si>
    <t xml:space="preserve">L00631</t>
  </si>
  <si>
    <t xml:space="preserve">L00632</t>
  </si>
  <si>
    <t xml:space="preserve">L00633</t>
  </si>
  <si>
    <t xml:space="preserve">L00634</t>
  </si>
  <si>
    <t xml:space="preserve">L00635</t>
  </si>
  <si>
    <t xml:space="preserve">L00636</t>
  </si>
  <si>
    <t xml:space="preserve">L00637</t>
  </si>
  <si>
    <t xml:space="preserve">L00638</t>
  </si>
  <si>
    <t xml:space="preserve">L00639</t>
  </si>
  <si>
    <t xml:space="preserve">L00640</t>
  </si>
  <si>
    <t xml:space="preserve">L00641</t>
  </si>
  <si>
    <t xml:space="preserve">L00642</t>
  </si>
  <si>
    <t xml:space="preserve">L00643</t>
  </si>
  <si>
    <t xml:space="preserve">L00644</t>
  </si>
  <si>
    <t xml:space="preserve">L00645</t>
  </si>
  <si>
    <t xml:space="preserve">L00646</t>
  </si>
  <si>
    <t xml:space="preserve">L00647</t>
  </si>
  <si>
    <t xml:space="preserve">L00648</t>
  </si>
  <si>
    <t xml:space="preserve">L00649</t>
  </si>
  <si>
    <t xml:space="preserve">L00650</t>
  </si>
  <si>
    <t xml:space="preserve">L00651</t>
  </si>
  <si>
    <t xml:space="preserve">Prior period correction 6</t>
  </si>
  <si>
    <t xml:space="preserve">L00652</t>
  </si>
  <si>
    <t xml:space="preserve">L00653</t>
  </si>
  <si>
    <t xml:space="preserve">L00654</t>
  </si>
  <si>
    <t xml:space="preserve">L00655</t>
  </si>
  <si>
    <t xml:space="preserve">L00656</t>
  </si>
  <si>
    <t xml:space="preserve">L00657</t>
  </si>
  <si>
    <t xml:space="preserve">L00658</t>
  </si>
  <si>
    <t xml:space="preserve">L00659</t>
  </si>
  <si>
    <t xml:space="preserve">Manual accrual 3</t>
  </si>
  <si>
    <t xml:space="preserve">L00660</t>
  </si>
  <si>
    <t xml:space="preserve">L00661</t>
  </si>
  <si>
    <t xml:space="preserve">L00662</t>
  </si>
  <si>
    <t xml:space="preserve">L00663</t>
  </si>
  <si>
    <t xml:space="preserve">L00664</t>
  </si>
  <si>
    <t xml:space="preserve">L00665</t>
  </si>
  <si>
    <t xml:space="preserve">L00666</t>
  </si>
  <si>
    <t xml:space="preserve">L00667</t>
  </si>
  <si>
    <t xml:space="preserve">L00668</t>
  </si>
  <si>
    <t xml:space="preserve">L00669</t>
  </si>
  <si>
    <t xml:space="preserve">L00670</t>
  </si>
  <si>
    <t xml:space="preserve">L00671</t>
  </si>
  <si>
    <t xml:space="preserve">L00672</t>
  </si>
  <si>
    <t xml:space="preserve">L00673</t>
  </si>
  <si>
    <t xml:space="preserve">L00674</t>
  </si>
  <si>
    <t xml:space="preserve">L00675</t>
  </si>
  <si>
    <t xml:space="preserve">L00676</t>
  </si>
  <si>
    <t xml:space="preserve">L00677</t>
  </si>
  <si>
    <t xml:space="preserve">L00678</t>
  </si>
  <si>
    <t xml:space="preserve">L00679</t>
  </si>
  <si>
    <t xml:space="preserve">L00680</t>
  </si>
  <si>
    <t xml:space="preserve">L00681</t>
  </si>
  <si>
    <t xml:space="preserve">L00682</t>
  </si>
  <si>
    <t xml:space="preserve">L00683</t>
  </si>
  <si>
    <t xml:space="preserve">L00684</t>
  </si>
  <si>
    <t xml:space="preserve">Weekend adjustment 4</t>
  </si>
  <si>
    <t xml:space="preserve">L00685</t>
  </si>
  <si>
    <t xml:space="preserve">L00686</t>
  </si>
  <si>
    <t xml:space="preserve">L00687</t>
  </si>
  <si>
    <t xml:space="preserve">L00688</t>
  </si>
  <si>
    <t xml:space="preserve">L00689</t>
  </si>
  <si>
    <t xml:space="preserve">L00690</t>
  </si>
  <si>
    <t xml:space="preserve">Prior period correction 2</t>
  </si>
  <si>
    <t xml:space="preserve">L00691</t>
  </si>
  <si>
    <t xml:space="preserve">L00692</t>
  </si>
  <si>
    <t xml:space="preserve">L00693</t>
  </si>
  <si>
    <t xml:space="preserve">L00694</t>
  </si>
  <si>
    <t xml:space="preserve">L00695</t>
  </si>
  <si>
    <t xml:space="preserve">L00696</t>
  </si>
  <si>
    <t xml:space="preserve">L00697</t>
  </si>
  <si>
    <t xml:space="preserve">L00698</t>
  </si>
  <si>
    <t xml:space="preserve">L00699</t>
  </si>
  <si>
    <t xml:space="preserve">L00700</t>
  </si>
  <si>
    <t xml:space="preserve">L00701</t>
  </si>
  <si>
    <t xml:space="preserve">L00702</t>
  </si>
  <si>
    <t xml:space="preserve">L00703</t>
  </si>
  <si>
    <t xml:space="preserve">L00704</t>
  </si>
  <si>
    <t xml:space="preserve">L00705</t>
  </si>
  <si>
    <t xml:space="preserve">L00706</t>
  </si>
  <si>
    <t xml:space="preserve">L00707</t>
  </si>
  <si>
    <t xml:space="preserve">L00708</t>
  </si>
  <si>
    <t xml:space="preserve">L00709</t>
  </si>
  <si>
    <t xml:space="preserve">L00710</t>
  </si>
  <si>
    <t xml:space="preserve">L00711</t>
  </si>
  <si>
    <t xml:space="preserve">L00712</t>
  </si>
  <si>
    <t xml:space="preserve">L00713</t>
  </si>
  <si>
    <t xml:space="preserve">L00714</t>
  </si>
  <si>
    <t xml:space="preserve">L00715</t>
  </si>
  <si>
    <t xml:space="preserve">L00716</t>
  </si>
  <si>
    <t xml:space="preserve">L00717</t>
  </si>
  <si>
    <t xml:space="preserve">L00718</t>
  </si>
  <si>
    <t xml:space="preserve">L00719</t>
  </si>
  <si>
    <t xml:space="preserve">L00720</t>
  </si>
  <si>
    <t xml:space="preserve">L00721</t>
  </si>
  <si>
    <t xml:space="preserve">L00722</t>
  </si>
  <si>
    <t xml:space="preserve">L00723</t>
  </si>
  <si>
    <t xml:space="preserve">L00724</t>
  </si>
  <si>
    <t xml:space="preserve">L00725</t>
  </si>
  <si>
    <t xml:space="preserve">L00726</t>
  </si>
  <si>
    <t xml:space="preserve">L00727</t>
  </si>
  <si>
    <t xml:space="preserve">L00728</t>
  </si>
  <si>
    <t xml:space="preserve">L00729</t>
  </si>
  <si>
    <t xml:space="preserve">L00730</t>
  </si>
  <si>
    <t xml:space="preserve">L00731</t>
  </si>
  <si>
    <t xml:space="preserve">L00732</t>
  </si>
  <si>
    <t xml:space="preserve">L00733</t>
  </si>
  <si>
    <t xml:space="preserve">L00734</t>
  </si>
  <si>
    <t xml:space="preserve">L00735</t>
  </si>
  <si>
    <t xml:space="preserve">L00736</t>
  </si>
  <si>
    <t xml:space="preserve">L00737</t>
  </si>
  <si>
    <t xml:space="preserve">L00738</t>
  </si>
  <si>
    <t xml:space="preserve">L00739</t>
  </si>
  <si>
    <t xml:space="preserve">L00740</t>
  </si>
  <si>
    <t xml:space="preserve">L00741</t>
  </si>
  <si>
    <t xml:space="preserve">L00742</t>
  </si>
  <si>
    <t xml:space="preserve">L00743</t>
  </si>
  <si>
    <t xml:space="preserve">L00744</t>
  </si>
  <si>
    <t xml:space="preserve">L00745</t>
  </si>
  <si>
    <t xml:space="preserve">L00746</t>
  </si>
  <si>
    <t xml:space="preserve">L00747</t>
  </si>
  <si>
    <t xml:space="preserve">Manual journal 3</t>
  </si>
  <si>
    <t xml:space="preserve">L00748</t>
  </si>
  <si>
    <t xml:space="preserve">L00749</t>
  </si>
  <si>
    <t xml:space="preserve">L00750</t>
  </si>
  <si>
    <t xml:space="preserve">L00751</t>
  </si>
  <si>
    <t xml:space="preserve">L00752</t>
  </si>
  <si>
    <t xml:space="preserve">L00753</t>
  </si>
  <si>
    <t xml:space="preserve">L00754</t>
  </si>
  <si>
    <t xml:space="preserve">L00755</t>
  </si>
  <si>
    <t xml:space="preserve">L00756</t>
  </si>
  <si>
    <t xml:space="preserve">L00757</t>
  </si>
  <si>
    <t xml:space="preserve">L00758</t>
  </si>
  <si>
    <t xml:space="preserve">L00759</t>
  </si>
  <si>
    <t xml:space="preserve">L00760</t>
  </si>
  <si>
    <t xml:space="preserve">L00761</t>
  </si>
  <si>
    <t xml:space="preserve">L00762</t>
  </si>
  <si>
    <t xml:space="preserve">L00763</t>
  </si>
  <si>
    <t xml:space="preserve">Prior period correction 5</t>
  </si>
  <si>
    <t xml:space="preserve">L00764</t>
  </si>
  <si>
    <t xml:space="preserve">L00765</t>
  </si>
  <si>
    <t xml:space="preserve">L00766</t>
  </si>
  <si>
    <t xml:space="preserve">L00767</t>
  </si>
  <si>
    <t xml:space="preserve">L00768</t>
  </si>
  <si>
    <t xml:space="preserve">L00769</t>
  </si>
  <si>
    <t xml:space="preserve">L00770</t>
  </si>
  <si>
    <t xml:space="preserve">L00771</t>
  </si>
  <si>
    <t xml:space="preserve">L00772</t>
  </si>
  <si>
    <t xml:space="preserve">L00773</t>
  </si>
  <si>
    <t xml:space="preserve">L00774</t>
  </si>
  <si>
    <t xml:space="preserve">L00775</t>
  </si>
  <si>
    <t xml:space="preserve">L00776</t>
  </si>
  <si>
    <t xml:space="preserve">L00777</t>
  </si>
  <si>
    <t xml:space="preserve">L00778</t>
  </si>
  <si>
    <t xml:space="preserve">L00779</t>
  </si>
  <si>
    <t xml:space="preserve">L00780</t>
  </si>
  <si>
    <t xml:space="preserve">L00781</t>
  </si>
  <si>
    <t xml:space="preserve">L00782</t>
  </si>
  <si>
    <t xml:space="preserve">L00783</t>
  </si>
  <si>
    <t xml:space="preserve">L00784</t>
  </si>
  <si>
    <t xml:space="preserve">L00785</t>
  </si>
  <si>
    <t xml:space="preserve">L00786</t>
  </si>
  <si>
    <t xml:space="preserve">L00787</t>
  </si>
  <si>
    <t xml:space="preserve">L00788</t>
  </si>
  <si>
    <t xml:space="preserve">L00789</t>
  </si>
  <si>
    <t xml:space="preserve">L00790</t>
  </si>
  <si>
    <t xml:space="preserve">L00791</t>
  </si>
  <si>
    <t xml:space="preserve">L00792</t>
  </si>
  <si>
    <t xml:space="preserve">Manual accrual 1</t>
  </si>
  <si>
    <t xml:space="preserve">L00793</t>
  </si>
  <si>
    <t xml:space="preserve">L00794</t>
  </si>
  <si>
    <t xml:space="preserve">L00795</t>
  </si>
  <si>
    <t xml:space="preserve">L00796</t>
  </si>
  <si>
    <t xml:space="preserve">L00797</t>
  </si>
  <si>
    <t xml:space="preserve">L00798</t>
  </si>
  <si>
    <t xml:space="preserve">L00799</t>
  </si>
  <si>
    <t xml:space="preserve">L00800</t>
  </si>
  <si>
    <t xml:space="preserve">L00801</t>
  </si>
  <si>
    <t xml:space="preserve">L00802</t>
  </si>
  <si>
    <t xml:space="preserve">L00803</t>
  </si>
  <si>
    <t xml:space="preserve">L00804</t>
  </si>
  <si>
    <t xml:space="preserve">L00805</t>
  </si>
  <si>
    <t xml:space="preserve">L00806</t>
  </si>
  <si>
    <t xml:space="preserve">L00807</t>
  </si>
  <si>
    <t xml:space="preserve">L00808</t>
  </si>
  <si>
    <t xml:space="preserve">L00809</t>
  </si>
  <si>
    <t xml:space="preserve">L00810</t>
  </si>
  <si>
    <t xml:space="preserve">L00811</t>
  </si>
  <si>
    <t xml:space="preserve">L00812</t>
  </si>
  <si>
    <t xml:space="preserve">L00813</t>
  </si>
  <si>
    <t xml:space="preserve">L00814</t>
  </si>
  <si>
    <t xml:space="preserve">L00815</t>
  </si>
  <si>
    <t xml:space="preserve">L00816</t>
  </si>
  <si>
    <t xml:space="preserve">L00817</t>
  </si>
  <si>
    <t xml:space="preserve">L00818</t>
  </si>
  <si>
    <t xml:space="preserve">L00819</t>
  </si>
  <si>
    <t xml:space="preserve">L00820</t>
  </si>
  <si>
    <t xml:space="preserve">L00821</t>
  </si>
  <si>
    <t xml:space="preserve">L00822</t>
  </si>
  <si>
    <t xml:space="preserve">L00823</t>
  </si>
  <si>
    <t xml:space="preserve">L00824</t>
  </si>
  <si>
    <t xml:space="preserve">L00825</t>
  </si>
  <si>
    <t xml:space="preserve">L00826</t>
  </si>
  <si>
    <t xml:space="preserve">L00827</t>
  </si>
  <si>
    <t xml:space="preserve">L00828</t>
  </si>
  <si>
    <t xml:space="preserve">L00829</t>
  </si>
  <si>
    <t xml:space="preserve">L00830</t>
  </si>
  <si>
    <t xml:space="preserve">L00831</t>
  </si>
  <si>
    <t xml:space="preserve">L00832</t>
  </si>
  <si>
    <t xml:space="preserve">L00833</t>
  </si>
  <si>
    <t xml:space="preserve">L00834</t>
  </si>
  <si>
    <t xml:space="preserve">L00835</t>
  </si>
  <si>
    <t xml:space="preserve">L00836</t>
  </si>
  <si>
    <t xml:space="preserve">L00837</t>
  </si>
  <si>
    <t xml:space="preserve">L00838</t>
  </si>
  <si>
    <t xml:space="preserve">L00839</t>
  </si>
  <si>
    <t xml:space="preserve">L00840</t>
  </si>
  <si>
    <t xml:space="preserve">L00841</t>
  </si>
  <si>
    <t xml:space="preserve">L00842</t>
  </si>
  <si>
    <t xml:space="preserve">L00843</t>
  </si>
  <si>
    <t xml:space="preserve">L00844</t>
  </si>
  <si>
    <t xml:space="preserve">L00845</t>
  </si>
  <si>
    <t xml:space="preserve">L00846</t>
  </si>
  <si>
    <t xml:space="preserve">L00847</t>
  </si>
  <si>
    <t xml:space="preserve">L00848</t>
  </si>
  <si>
    <t xml:space="preserve">L00849</t>
  </si>
  <si>
    <t xml:space="preserve">L00850</t>
  </si>
  <si>
    <t xml:space="preserve">L00851</t>
  </si>
  <si>
    <t xml:space="preserve">L00852</t>
  </si>
  <si>
    <t xml:space="preserve">L00853</t>
  </si>
  <si>
    <t xml:space="preserve">L00854</t>
  </si>
  <si>
    <t xml:space="preserve">L00855</t>
  </si>
  <si>
    <t xml:space="preserve">L00856</t>
  </si>
  <si>
    <t xml:space="preserve">L00857</t>
  </si>
  <si>
    <t xml:space="preserve">L00858</t>
  </si>
  <si>
    <t xml:space="preserve">L00859</t>
  </si>
  <si>
    <t xml:space="preserve">L00860</t>
  </si>
  <si>
    <t xml:space="preserve">L00861</t>
  </si>
  <si>
    <t xml:space="preserve">L00862</t>
  </si>
  <si>
    <t xml:space="preserve">L00863</t>
  </si>
  <si>
    <t xml:space="preserve">L00864</t>
  </si>
  <si>
    <t xml:space="preserve">L00865</t>
  </si>
  <si>
    <t xml:space="preserve">L00866</t>
  </si>
  <si>
    <t xml:space="preserve">L00867</t>
  </si>
  <si>
    <t xml:space="preserve">L00868</t>
  </si>
  <si>
    <t xml:space="preserve">L00869</t>
  </si>
  <si>
    <t xml:space="preserve">L00870</t>
  </si>
  <si>
    <t xml:space="preserve">L00871</t>
  </si>
  <si>
    <t xml:space="preserve">L00872</t>
  </si>
  <si>
    <t xml:space="preserve">L00873</t>
  </si>
  <si>
    <t xml:space="preserve">L00874</t>
  </si>
  <si>
    <t xml:space="preserve">L00875</t>
  </si>
  <si>
    <t xml:space="preserve">L00876</t>
  </si>
  <si>
    <t xml:space="preserve">L00877</t>
  </si>
  <si>
    <t xml:space="preserve">L00878</t>
  </si>
  <si>
    <t xml:space="preserve">L00879</t>
  </si>
  <si>
    <t xml:space="preserve">L00880</t>
  </si>
  <si>
    <t xml:space="preserve">L00881</t>
  </si>
  <si>
    <t xml:space="preserve">L00882</t>
  </si>
  <si>
    <t xml:space="preserve">L00883</t>
  </si>
  <si>
    <t xml:space="preserve">L00884</t>
  </si>
  <si>
    <t xml:space="preserve">L00885</t>
  </si>
  <si>
    <t xml:space="preserve">L00886</t>
  </si>
  <si>
    <t xml:space="preserve">L00887</t>
  </si>
  <si>
    <t xml:space="preserve">L00888</t>
  </si>
  <si>
    <t xml:space="preserve">L00889</t>
  </si>
  <si>
    <t xml:space="preserve">L00890</t>
  </si>
  <si>
    <t xml:space="preserve">L00891</t>
  </si>
  <si>
    <t xml:space="preserve">L00892</t>
  </si>
  <si>
    <t xml:space="preserve">L00893</t>
  </si>
  <si>
    <t xml:space="preserve">L00894</t>
  </si>
  <si>
    <t xml:space="preserve">L00895</t>
  </si>
  <si>
    <t xml:space="preserve">L00896</t>
  </si>
  <si>
    <t xml:space="preserve">L00897</t>
  </si>
  <si>
    <t xml:space="preserve">L00898</t>
  </si>
  <si>
    <t xml:space="preserve">L00899</t>
  </si>
  <si>
    <t xml:space="preserve">L00900</t>
  </si>
  <si>
    <t xml:space="preserve">L00901</t>
  </si>
  <si>
    <t xml:space="preserve">L00902</t>
  </si>
  <si>
    <t xml:space="preserve">L00903</t>
  </si>
  <si>
    <t xml:space="preserve">L00904</t>
  </si>
  <si>
    <t xml:space="preserve">L00905</t>
  </si>
  <si>
    <t xml:space="preserve">L00906</t>
  </si>
  <si>
    <t xml:space="preserve">L00907</t>
  </si>
  <si>
    <t xml:space="preserve">L00908</t>
  </si>
  <si>
    <t xml:space="preserve">L00909</t>
  </si>
  <si>
    <t xml:space="preserve">L00910</t>
  </si>
  <si>
    <t xml:space="preserve">L00911</t>
  </si>
  <si>
    <t xml:space="preserve">L00912</t>
  </si>
  <si>
    <t xml:space="preserve">L00913</t>
  </si>
  <si>
    <t xml:space="preserve">L00914</t>
  </si>
  <si>
    <t xml:space="preserve">L00915</t>
  </si>
  <si>
    <t xml:space="preserve">L00916</t>
  </si>
  <si>
    <t xml:space="preserve">L00917</t>
  </si>
  <si>
    <t xml:space="preserve">L00918</t>
  </si>
  <si>
    <t xml:space="preserve">L00919</t>
  </si>
  <si>
    <t xml:space="preserve">L00920</t>
  </si>
  <si>
    <t xml:space="preserve">L00921</t>
  </si>
  <si>
    <t xml:space="preserve">L00922</t>
  </si>
  <si>
    <t xml:space="preserve">L00923</t>
  </si>
  <si>
    <t xml:space="preserve">L00924</t>
  </si>
  <si>
    <t xml:space="preserve">L00925</t>
  </si>
  <si>
    <t xml:space="preserve">L00926</t>
  </si>
  <si>
    <t xml:space="preserve">L00927</t>
  </si>
  <si>
    <t xml:space="preserve">L00928</t>
  </si>
  <si>
    <t xml:space="preserve">L00929</t>
  </si>
  <si>
    <t xml:space="preserve">L00930</t>
  </si>
  <si>
    <t xml:space="preserve">L00931</t>
  </si>
  <si>
    <t xml:space="preserve">L00932</t>
  </si>
  <si>
    <t xml:space="preserve">L00933</t>
  </si>
  <si>
    <t xml:space="preserve">L00934</t>
  </si>
  <si>
    <t xml:space="preserve">L00935</t>
  </si>
  <si>
    <t xml:space="preserve">L00936</t>
  </si>
  <si>
    <t xml:space="preserve">L00937</t>
  </si>
  <si>
    <t xml:space="preserve">L00938</t>
  </si>
  <si>
    <t xml:space="preserve">L00939</t>
  </si>
  <si>
    <t xml:space="preserve">L00940</t>
  </si>
  <si>
    <t xml:space="preserve">L00941</t>
  </si>
  <si>
    <t xml:space="preserve">L00942</t>
  </si>
  <si>
    <t xml:space="preserve">L00943</t>
  </si>
  <si>
    <t xml:space="preserve">L00944</t>
  </si>
  <si>
    <t xml:space="preserve">L00945</t>
  </si>
  <si>
    <t xml:space="preserve">L00946</t>
  </si>
  <si>
    <t xml:space="preserve">L00947</t>
  </si>
  <si>
    <t xml:space="preserve">L00948</t>
  </si>
  <si>
    <t xml:space="preserve">L00949</t>
  </si>
  <si>
    <t xml:space="preserve">Round accrual 5</t>
  </si>
  <si>
    <t xml:space="preserve">L00950</t>
  </si>
  <si>
    <t xml:space="preserve">L00951</t>
  </si>
  <si>
    <t xml:space="preserve">L00952</t>
  </si>
  <si>
    <t xml:space="preserve">L00953</t>
  </si>
  <si>
    <t xml:space="preserve">L00954</t>
  </si>
  <si>
    <t xml:space="preserve">L00955</t>
  </si>
  <si>
    <t xml:space="preserve">L00956</t>
  </si>
  <si>
    <t xml:space="preserve">L00957</t>
  </si>
  <si>
    <t xml:space="preserve">L00958</t>
  </si>
  <si>
    <t xml:space="preserve">L00959</t>
  </si>
  <si>
    <t xml:space="preserve">L00960</t>
  </si>
  <si>
    <t xml:space="preserve">L00961</t>
  </si>
  <si>
    <t xml:space="preserve">L00962</t>
  </si>
  <si>
    <t xml:space="preserve">L00963</t>
  </si>
  <si>
    <t xml:space="preserve">L00964</t>
  </si>
  <si>
    <t xml:space="preserve">L00965</t>
  </si>
  <si>
    <t xml:space="preserve">L00966</t>
  </si>
  <si>
    <t xml:space="preserve">L00967</t>
  </si>
  <si>
    <t xml:space="preserve">L00968</t>
  </si>
  <si>
    <t xml:space="preserve">L00969</t>
  </si>
  <si>
    <t xml:space="preserve">L00970</t>
  </si>
  <si>
    <t xml:space="preserve">L00971</t>
  </si>
  <si>
    <t xml:space="preserve">L00972</t>
  </si>
  <si>
    <t xml:space="preserve">L00973</t>
  </si>
  <si>
    <t xml:space="preserve">L00974</t>
  </si>
  <si>
    <t xml:space="preserve">L00975</t>
  </si>
  <si>
    <t xml:space="preserve">L00976</t>
  </si>
  <si>
    <t xml:space="preserve">L00977</t>
  </si>
  <si>
    <t xml:space="preserve">L00978</t>
  </si>
  <si>
    <t xml:space="preserve">L00979</t>
  </si>
  <si>
    <t xml:space="preserve">L00980</t>
  </si>
  <si>
    <t xml:space="preserve">L00981</t>
  </si>
  <si>
    <t xml:space="preserve">L00982</t>
  </si>
  <si>
    <t xml:space="preserve">L00983</t>
  </si>
  <si>
    <t xml:space="preserve">L00984</t>
  </si>
  <si>
    <t xml:space="preserve">L00985</t>
  </si>
  <si>
    <t xml:space="preserve">L00986</t>
  </si>
  <si>
    <t xml:space="preserve">L00987</t>
  </si>
  <si>
    <t xml:space="preserve">L00988</t>
  </si>
  <si>
    <t xml:space="preserve">L00989</t>
  </si>
  <si>
    <t xml:space="preserve">L00990</t>
  </si>
  <si>
    <t xml:space="preserve">L00991</t>
  </si>
  <si>
    <t xml:space="preserve">L00992</t>
  </si>
  <si>
    <t xml:space="preserve">L00993</t>
  </si>
  <si>
    <t xml:space="preserve">L00994</t>
  </si>
  <si>
    <t xml:space="preserve">L00995</t>
  </si>
  <si>
    <t xml:space="preserve">L00996</t>
  </si>
  <si>
    <t xml:space="preserve">L00997</t>
  </si>
  <si>
    <t xml:space="preserve">L00998</t>
  </si>
  <si>
    <t xml:space="preserve">L00999</t>
  </si>
  <si>
    <t xml:space="preserve">Adjustment 3</t>
  </si>
  <si>
    <t xml:space="preserve">L01000</t>
  </si>
  <si>
    <t xml:space="preserve">L01001</t>
  </si>
  <si>
    <t xml:space="preserve">L01002</t>
  </si>
  <si>
    <t xml:space="preserve">L01003</t>
  </si>
  <si>
    <t xml:space="preserve">L01004</t>
  </si>
  <si>
    <t xml:space="preserve">L01005</t>
  </si>
  <si>
    <t xml:space="preserve">L01006</t>
  </si>
  <si>
    <t xml:space="preserve">L01007</t>
  </si>
  <si>
    <t xml:space="preserve">L01008</t>
  </si>
  <si>
    <t xml:space="preserve">L01009</t>
  </si>
  <si>
    <t xml:space="preserve">L01010</t>
  </si>
  <si>
    <t xml:space="preserve">L01011</t>
  </si>
  <si>
    <t xml:space="preserve">L01012</t>
  </si>
  <si>
    <t xml:space="preserve">L01013</t>
  </si>
  <si>
    <t xml:space="preserve">L01014</t>
  </si>
  <si>
    <t xml:space="preserve">L01015</t>
  </si>
  <si>
    <t xml:space="preserve">L01016</t>
  </si>
  <si>
    <t xml:space="preserve">L01017</t>
  </si>
  <si>
    <t xml:space="preserve">L01018</t>
  </si>
  <si>
    <t xml:space="preserve">L01019</t>
  </si>
  <si>
    <t xml:space="preserve">L01020</t>
  </si>
  <si>
    <t xml:space="preserve">L01021</t>
  </si>
  <si>
    <t xml:space="preserve">L01022</t>
  </si>
  <si>
    <t xml:space="preserve">L01023</t>
  </si>
  <si>
    <t xml:space="preserve">L01024</t>
  </si>
  <si>
    <t xml:space="preserve">L01025</t>
  </si>
  <si>
    <t xml:space="preserve">L01026</t>
  </si>
  <si>
    <t xml:space="preserve">L01027</t>
  </si>
  <si>
    <t xml:space="preserve">L01028</t>
  </si>
  <si>
    <t xml:space="preserve">L01029</t>
  </si>
  <si>
    <t xml:space="preserve">L01030</t>
  </si>
  <si>
    <t xml:space="preserve">L01031</t>
  </si>
  <si>
    <t xml:space="preserve">L01032</t>
  </si>
  <si>
    <t xml:space="preserve">L01033</t>
  </si>
  <si>
    <t xml:space="preserve">L01034</t>
  </si>
  <si>
    <t xml:space="preserve">L01035</t>
  </si>
  <si>
    <t xml:space="preserve">L01036</t>
  </si>
  <si>
    <t xml:space="preserve">L01037</t>
  </si>
  <si>
    <t xml:space="preserve">L01038</t>
  </si>
  <si>
    <t xml:space="preserve">L01039</t>
  </si>
  <si>
    <t xml:space="preserve">L01040</t>
  </si>
  <si>
    <t xml:space="preserve">L01041</t>
  </si>
  <si>
    <t xml:space="preserve">L01042</t>
  </si>
  <si>
    <t xml:space="preserve">L01043</t>
  </si>
  <si>
    <t xml:space="preserve">L01044</t>
  </si>
  <si>
    <t xml:space="preserve">L01045</t>
  </si>
  <si>
    <t xml:space="preserve">L01046</t>
  </si>
  <si>
    <t xml:space="preserve">L01047</t>
  </si>
  <si>
    <t xml:space="preserve">L01048</t>
  </si>
  <si>
    <t xml:space="preserve">L01049</t>
  </si>
  <si>
    <t xml:space="preserve">Manual accrual 4</t>
  </si>
  <si>
    <t xml:space="preserve">L01050</t>
  </si>
  <si>
    <t xml:space="preserve">L01051</t>
  </si>
  <si>
    <t xml:space="preserve">L01052</t>
  </si>
  <si>
    <t xml:space="preserve">L01053</t>
  </si>
  <si>
    <t xml:space="preserve">L01054</t>
  </si>
  <si>
    <t xml:space="preserve">L01055</t>
  </si>
  <si>
    <t xml:space="preserve">L01056</t>
  </si>
  <si>
    <t xml:space="preserve">L01057</t>
  </si>
  <si>
    <t xml:space="preserve">L01058</t>
  </si>
  <si>
    <t xml:space="preserve">L01059</t>
  </si>
  <si>
    <t xml:space="preserve">L01060</t>
  </si>
  <si>
    <t xml:space="preserve">L01061</t>
  </si>
  <si>
    <t xml:space="preserve">L01062</t>
  </si>
  <si>
    <t xml:space="preserve">L01063</t>
  </si>
  <si>
    <t xml:space="preserve">L01064</t>
  </si>
  <si>
    <t xml:space="preserve">L01065</t>
  </si>
  <si>
    <t xml:space="preserve">L01066</t>
  </si>
  <si>
    <t xml:space="preserve">L01067</t>
  </si>
  <si>
    <t xml:space="preserve">L01068</t>
  </si>
  <si>
    <t xml:space="preserve">L01069</t>
  </si>
  <si>
    <t xml:space="preserve">L01070</t>
  </si>
  <si>
    <t xml:space="preserve">L01071</t>
  </si>
  <si>
    <t xml:space="preserve">L01072</t>
  </si>
  <si>
    <t xml:space="preserve">L01073</t>
  </si>
  <si>
    <t xml:space="preserve">L01074</t>
  </si>
  <si>
    <t xml:space="preserve">L01075</t>
  </si>
  <si>
    <t xml:space="preserve">L01076</t>
  </si>
  <si>
    <t xml:space="preserve">L01077</t>
  </si>
  <si>
    <t xml:space="preserve">L01078</t>
  </si>
  <si>
    <t xml:space="preserve">L01079</t>
  </si>
  <si>
    <t xml:space="preserve">L01080</t>
  </si>
  <si>
    <t xml:space="preserve">L01081</t>
  </si>
  <si>
    <t xml:space="preserve">L01082</t>
  </si>
  <si>
    <t xml:space="preserve">L01083</t>
  </si>
  <si>
    <t xml:space="preserve">L01084</t>
  </si>
  <si>
    <t xml:space="preserve">L01085</t>
  </si>
  <si>
    <t xml:space="preserve">L01086</t>
  </si>
  <si>
    <t xml:space="preserve">L01087</t>
  </si>
  <si>
    <t xml:space="preserve">L01088</t>
  </si>
  <si>
    <t xml:space="preserve">L01089</t>
  </si>
  <si>
    <t xml:space="preserve">L01090</t>
  </si>
  <si>
    <t xml:space="preserve">L01091</t>
  </si>
  <si>
    <t xml:space="preserve">L01092</t>
  </si>
  <si>
    <t xml:space="preserve">L01093</t>
  </si>
  <si>
    <t xml:space="preserve">L01094</t>
  </si>
  <si>
    <t xml:space="preserve">L01095</t>
  </si>
  <si>
    <t xml:space="preserve">L01096</t>
  </si>
  <si>
    <t xml:space="preserve">L01097</t>
  </si>
  <si>
    <t xml:space="preserve">L01098</t>
  </si>
  <si>
    <t xml:space="preserve">L01099</t>
  </si>
  <si>
    <t xml:space="preserve">L01100</t>
  </si>
  <si>
    <t xml:space="preserve">L01101</t>
  </si>
  <si>
    <t xml:space="preserve">L01102</t>
  </si>
  <si>
    <t xml:space="preserve">L01103</t>
  </si>
  <si>
    <t xml:space="preserve">L01104</t>
  </si>
  <si>
    <t xml:space="preserve">L01105</t>
  </si>
  <si>
    <t xml:space="preserve">L01106</t>
  </si>
  <si>
    <t xml:space="preserve">L01107</t>
  </si>
  <si>
    <t xml:space="preserve">L01108</t>
  </si>
  <si>
    <t xml:space="preserve">L01109</t>
  </si>
  <si>
    <t xml:space="preserve">L01110</t>
  </si>
  <si>
    <t xml:space="preserve">L01111</t>
  </si>
  <si>
    <t xml:space="preserve">L01112</t>
  </si>
  <si>
    <t xml:space="preserve">L01113</t>
  </si>
  <si>
    <t xml:space="preserve">L01114</t>
  </si>
  <si>
    <t xml:space="preserve">L01115</t>
  </si>
  <si>
    <t xml:space="preserve">L01116</t>
  </si>
  <si>
    <t xml:space="preserve">L01117</t>
  </si>
  <si>
    <t xml:space="preserve">L01118</t>
  </si>
  <si>
    <t xml:space="preserve">L01119</t>
  </si>
  <si>
    <t xml:space="preserve">L01120</t>
  </si>
  <si>
    <t xml:space="preserve">L01121</t>
  </si>
  <si>
    <t xml:space="preserve">L01122</t>
  </si>
  <si>
    <t xml:space="preserve">L01123</t>
  </si>
  <si>
    <t xml:space="preserve">L01124</t>
  </si>
  <si>
    <t xml:space="preserve">L01125</t>
  </si>
  <si>
    <t xml:space="preserve">L01126</t>
  </si>
  <si>
    <t xml:space="preserve">L01127</t>
  </si>
  <si>
    <t xml:space="preserve">L01128</t>
  </si>
  <si>
    <t xml:space="preserve">L01129</t>
  </si>
  <si>
    <t xml:space="preserve">Manual accrual 2</t>
  </si>
  <si>
    <t xml:space="preserve">L01130</t>
  </si>
  <si>
    <t xml:space="preserve">L01131</t>
  </si>
  <si>
    <t xml:space="preserve">L01132</t>
  </si>
  <si>
    <t xml:space="preserve">L01133</t>
  </si>
  <si>
    <t xml:space="preserve">L01134</t>
  </si>
  <si>
    <t xml:space="preserve">L01135</t>
  </si>
  <si>
    <t xml:space="preserve">L01136</t>
  </si>
  <si>
    <t xml:space="preserve">L01137</t>
  </si>
  <si>
    <t xml:space="preserve">L01138</t>
  </si>
  <si>
    <t xml:space="preserve">L01139</t>
  </si>
  <si>
    <t xml:space="preserve">L01140</t>
  </si>
  <si>
    <t xml:space="preserve">L01141</t>
  </si>
  <si>
    <t xml:space="preserve">L01142</t>
  </si>
  <si>
    <t xml:space="preserve">L01143</t>
  </si>
  <si>
    <t xml:space="preserve">L01144</t>
  </si>
  <si>
    <t xml:space="preserve">L01145</t>
  </si>
  <si>
    <t xml:space="preserve">L01146</t>
  </si>
  <si>
    <t xml:space="preserve">L01147</t>
  </si>
  <si>
    <t xml:space="preserve">L01148</t>
  </si>
  <si>
    <t xml:space="preserve">L01149</t>
  </si>
  <si>
    <t xml:space="preserve">L01150</t>
  </si>
  <si>
    <t xml:space="preserve">L01151</t>
  </si>
  <si>
    <t xml:space="preserve">Round accrual 6</t>
  </si>
  <si>
    <t xml:space="preserve">L01152</t>
  </si>
  <si>
    <t xml:space="preserve">L01153</t>
  </si>
  <si>
    <t xml:space="preserve">L01154</t>
  </si>
  <si>
    <t xml:space="preserve">L01155</t>
  </si>
  <si>
    <t xml:space="preserve">L01156</t>
  </si>
  <si>
    <t xml:space="preserve">L01157</t>
  </si>
  <si>
    <t xml:space="preserve">L01158</t>
  </si>
  <si>
    <t xml:space="preserve">L01159</t>
  </si>
  <si>
    <t xml:space="preserve">L01160</t>
  </si>
  <si>
    <t xml:space="preserve">L01161</t>
  </si>
  <si>
    <t xml:space="preserve">L01162</t>
  </si>
  <si>
    <t xml:space="preserve">L01163</t>
  </si>
  <si>
    <t xml:space="preserve">L01164</t>
  </si>
  <si>
    <t xml:space="preserve">L01165</t>
  </si>
  <si>
    <t xml:space="preserve">L01166</t>
  </si>
  <si>
    <t xml:space="preserve">L01167</t>
  </si>
  <si>
    <t xml:space="preserve">L01168</t>
  </si>
  <si>
    <t xml:space="preserve">L01169</t>
  </si>
  <si>
    <t xml:space="preserve">L01170</t>
  </si>
  <si>
    <t xml:space="preserve">L01171</t>
  </si>
  <si>
    <t xml:space="preserve">L01172</t>
  </si>
  <si>
    <t xml:space="preserve">Weekend adjustment 1</t>
  </si>
  <si>
    <t xml:space="preserve">L01173</t>
  </si>
  <si>
    <t xml:space="preserve">L01174</t>
  </si>
  <si>
    <t xml:space="preserve">L01175</t>
  </si>
  <si>
    <t xml:space="preserve">L01176</t>
  </si>
  <si>
    <t xml:space="preserve">L01177</t>
  </si>
  <si>
    <t xml:space="preserve">L01178</t>
  </si>
  <si>
    <t xml:space="preserve">L01179</t>
  </si>
  <si>
    <t xml:space="preserve">L01180</t>
  </si>
  <si>
    <t xml:space="preserve">L01181</t>
  </si>
  <si>
    <t xml:space="preserve">L01182</t>
  </si>
  <si>
    <t xml:space="preserve">L01183</t>
  </si>
  <si>
    <t xml:space="preserve">L01184</t>
  </si>
  <si>
    <t xml:space="preserve">L01185</t>
  </si>
  <si>
    <t xml:space="preserve">L01186</t>
  </si>
  <si>
    <t xml:space="preserve">L01187</t>
  </si>
  <si>
    <t xml:space="preserve">L01188</t>
  </si>
  <si>
    <t xml:space="preserve">L01189</t>
  </si>
  <si>
    <t xml:space="preserve">L01190</t>
  </si>
  <si>
    <t xml:space="preserve">L01191</t>
  </si>
  <si>
    <t xml:space="preserve">L01192</t>
  </si>
  <si>
    <t xml:space="preserve">L01193</t>
  </si>
  <si>
    <t xml:space="preserve">L01194</t>
  </si>
  <si>
    <t xml:space="preserve">L01195</t>
  </si>
  <si>
    <t xml:space="preserve">L01196</t>
  </si>
  <si>
    <t xml:space="preserve">L01197</t>
  </si>
  <si>
    <t xml:space="preserve">L01198</t>
  </si>
  <si>
    <t xml:space="preserve">L01199</t>
  </si>
  <si>
    <t xml:space="preserve">L01200</t>
  </si>
  <si>
    <t xml:space="preserve">L01201</t>
  </si>
  <si>
    <t xml:space="preserve">L01202</t>
  </si>
  <si>
    <t xml:space="preserve">L01203</t>
  </si>
  <si>
    <t xml:space="preserve">L01204</t>
  </si>
  <si>
    <t xml:space="preserve">L01205</t>
  </si>
  <si>
    <t xml:space="preserve">Weekend adjustment 6</t>
  </si>
  <si>
    <t xml:space="preserve">L01206</t>
  </si>
  <si>
    <t xml:space="preserve">L01207</t>
  </si>
  <si>
    <t xml:space="preserve">L01208</t>
  </si>
  <si>
    <t xml:space="preserve">L01209</t>
  </si>
  <si>
    <t xml:space="preserve">L01210</t>
  </si>
  <si>
    <t xml:space="preserve">L01211</t>
  </si>
  <si>
    <t xml:space="preserve">L01212</t>
  </si>
  <si>
    <t xml:space="preserve">L01213</t>
  </si>
  <si>
    <t xml:space="preserve">L01214</t>
  </si>
  <si>
    <t xml:space="preserve">L01215</t>
  </si>
  <si>
    <t xml:space="preserve">L01216</t>
  </si>
  <si>
    <t xml:space="preserve">L01217</t>
  </si>
  <si>
    <t xml:space="preserve">L01218</t>
  </si>
  <si>
    <t xml:space="preserve">L01219</t>
  </si>
  <si>
    <t xml:space="preserve">L01220</t>
  </si>
  <si>
    <t xml:space="preserve">L01221</t>
  </si>
  <si>
    <t xml:space="preserve">L01222</t>
  </si>
  <si>
    <t xml:space="preserve">L01223</t>
  </si>
  <si>
    <t xml:space="preserve">L01224</t>
  </si>
  <si>
    <t xml:space="preserve">L01225</t>
  </si>
  <si>
    <t xml:space="preserve">L01226</t>
  </si>
  <si>
    <t xml:space="preserve">L01227</t>
  </si>
  <si>
    <t xml:space="preserve">L01228</t>
  </si>
  <si>
    <t xml:space="preserve">L01229</t>
  </si>
  <si>
    <t xml:space="preserve">L01230</t>
  </si>
  <si>
    <t xml:space="preserve">L01231</t>
  </si>
  <si>
    <t xml:space="preserve">L01232</t>
  </si>
  <si>
    <t xml:space="preserve">L01233</t>
  </si>
  <si>
    <t xml:space="preserve">L01234</t>
  </si>
  <si>
    <t xml:space="preserve">L01235</t>
  </si>
  <si>
    <t xml:space="preserve">L01236</t>
  </si>
  <si>
    <t xml:space="preserve">L01237</t>
  </si>
  <si>
    <t xml:space="preserve">L01238</t>
  </si>
  <si>
    <t xml:space="preserve">L01239</t>
  </si>
  <si>
    <t xml:space="preserve">L01240</t>
  </si>
  <si>
    <t xml:space="preserve">L01241</t>
  </si>
  <si>
    <t xml:space="preserve">Suspense clearing 4</t>
  </si>
  <si>
    <t xml:space="preserve">L01242</t>
  </si>
  <si>
    <t xml:space="preserve">L01243</t>
  </si>
  <si>
    <t xml:space="preserve">L01244</t>
  </si>
  <si>
    <t xml:space="preserve">L01245</t>
  </si>
  <si>
    <t xml:space="preserve">L01246</t>
  </si>
  <si>
    <t xml:space="preserve">L01247</t>
  </si>
  <si>
    <t xml:space="preserve">L01248</t>
  </si>
  <si>
    <t xml:space="preserve">L01249</t>
  </si>
  <si>
    <t xml:space="preserve">L01250</t>
  </si>
  <si>
    <t xml:space="preserve">L01251</t>
  </si>
  <si>
    <t xml:space="preserve">L01252</t>
  </si>
  <si>
    <t xml:space="preserve">L01253</t>
  </si>
  <si>
    <t xml:space="preserve">L01254</t>
  </si>
  <si>
    <t xml:space="preserve">L01255</t>
  </si>
  <si>
    <t xml:space="preserve">L01256</t>
  </si>
  <si>
    <t xml:space="preserve">L01257</t>
  </si>
  <si>
    <t xml:space="preserve">L01258</t>
  </si>
  <si>
    <t xml:space="preserve">L01259</t>
  </si>
  <si>
    <t xml:space="preserve">L01260</t>
  </si>
  <si>
    <t xml:space="preserve">L01261</t>
  </si>
  <si>
    <t xml:space="preserve">L01262</t>
  </si>
  <si>
    <t xml:space="preserve">L01263</t>
  </si>
  <si>
    <t xml:space="preserve">L01264</t>
  </si>
  <si>
    <t xml:space="preserve">L01265</t>
  </si>
  <si>
    <t xml:space="preserve">L01266</t>
  </si>
  <si>
    <t xml:space="preserve">L01267</t>
  </si>
  <si>
    <t xml:space="preserve">L01268</t>
  </si>
  <si>
    <t xml:space="preserve">L01269</t>
  </si>
  <si>
    <t xml:space="preserve">L01270</t>
  </si>
  <si>
    <t xml:space="preserve">L01271</t>
  </si>
  <si>
    <t xml:space="preserve">L01272</t>
  </si>
  <si>
    <t xml:space="preserve">L01273</t>
  </si>
  <si>
    <t xml:space="preserve">L01274</t>
  </si>
  <si>
    <t xml:space="preserve">L01275</t>
  </si>
  <si>
    <t xml:space="preserve">L01276</t>
  </si>
  <si>
    <t xml:space="preserve">L01277</t>
  </si>
  <si>
    <t xml:space="preserve">L01278</t>
  </si>
  <si>
    <t xml:space="preserve">L01279</t>
  </si>
  <si>
    <t xml:space="preserve">L01280</t>
  </si>
  <si>
    <t xml:space="preserve">L01281</t>
  </si>
  <si>
    <t xml:space="preserve">L01282</t>
  </si>
  <si>
    <t xml:space="preserve">L01283</t>
  </si>
  <si>
    <t xml:space="preserve">L01284</t>
  </si>
  <si>
    <t xml:space="preserve">L01285</t>
  </si>
  <si>
    <t xml:space="preserve">L01286</t>
  </si>
  <si>
    <t xml:space="preserve">L01287</t>
  </si>
  <si>
    <t xml:space="preserve">L01288</t>
  </si>
  <si>
    <t xml:space="preserve">L01289</t>
  </si>
  <si>
    <t xml:space="preserve">L01290</t>
  </si>
  <si>
    <t xml:space="preserve">L01291</t>
  </si>
  <si>
    <t xml:space="preserve">L01292</t>
  </si>
  <si>
    <t xml:space="preserve">L01293</t>
  </si>
  <si>
    <t xml:space="preserve">L01294</t>
  </si>
  <si>
    <t xml:space="preserve">L01295</t>
  </si>
  <si>
    <t xml:space="preserve">L01296</t>
  </si>
  <si>
    <t xml:space="preserve">L01297</t>
  </si>
  <si>
    <t xml:space="preserve">L01298</t>
  </si>
  <si>
    <t xml:space="preserve">L01299</t>
  </si>
  <si>
    <t xml:space="preserve">L01300</t>
  </si>
  <si>
    <t xml:space="preserve">L01301</t>
  </si>
  <si>
    <t xml:space="preserve">L01302</t>
  </si>
  <si>
    <t xml:space="preserve">L01303</t>
  </si>
  <si>
    <t xml:space="preserve">L01304</t>
  </si>
  <si>
    <t xml:space="preserve">L01305</t>
  </si>
  <si>
    <t xml:space="preserve">L01306</t>
  </si>
  <si>
    <t xml:space="preserve">L01307</t>
  </si>
  <si>
    <t xml:space="preserve">L01308</t>
  </si>
  <si>
    <t xml:space="preserve">L01309</t>
  </si>
  <si>
    <t xml:space="preserve">L01310</t>
  </si>
  <si>
    <t xml:space="preserve">L01311</t>
  </si>
  <si>
    <t xml:space="preserve">L01312</t>
  </si>
  <si>
    <t xml:space="preserve">L01313</t>
  </si>
  <si>
    <t xml:space="preserve">L01314</t>
  </si>
  <si>
    <t xml:space="preserve">L01315</t>
  </si>
  <si>
    <t xml:space="preserve">L01316</t>
  </si>
  <si>
    <t xml:space="preserve">L01317</t>
  </si>
  <si>
    <t xml:space="preserve">L01318</t>
  </si>
  <si>
    <t xml:space="preserve">L01319</t>
  </si>
  <si>
    <t xml:space="preserve">L01320</t>
  </si>
  <si>
    <t xml:space="preserve">L01321</t>
  </si>
  <si>
    <t xml:space="preserve">L01322</t>
  </si>
  <si>
    <t xml:space="preserve">L01323</t>
  </si>
  <si>
    <t xml:space="preserve">L01324</t>
  </si>
  <si>
    <t xml:space="preserve">L01325</t>
  </si>
  <si>
    <t xml:space="preserve">L01326</t>
  </si>
  <si>
    <t xml:space="preserve">L01327</t>
  </si>
  <si>
    <t xml:space="preserve">L01328</t>
  </si>
  <si>
    <t xml:space="preserve">L01329</t>
  </si>
  <si>
    <t xml:space="preserve">L01330</t>
  </si>
  <si>
    <t xml:space="preserve">L01331</t>
  </si>
  <si>
    <t xml:space="preserve">L01332</t>
  </si>
  <si>
    <t xml:space="preserve">L01333</t>
  </si>
  <si>
    <t xml:space="preserve">L01334</t>
  </si>
  <si>
    <t xml:space="preserve">L01335</t>
  </si>
  <si>
    <t xml:space="preserve">L01336</t>
  </si>
  <si>
    <t xml:space="preserve">L01337</t>
  </si>
  <si>
    <t xml:space="preserve">L01338</t>
  </si>
  <si>
    <t xml:space="preserve">L01339</t>
  </si>
  <si>
    <t xml:space="preserve">L01340</t>
  </si>
  <si>
    <t xml:space="preserve">L01341</t>
  </si>
  <si>
    <t xml:space="preserve">L01342</t>
  </si>
  <si>
    <t xml:space="preserve">L01343</t>
  </si>
  <si>
    <t xml:space="preserve">L01344</t>
  </si>
  <si>
    <t xml:space="preserve">L01345</t>
  </si>
  <si>
    <t xml:space="preserve">L01346</t>
  </si>
  <si>
    <t xml:space="preserve">L01347</t>
  </si>
  <si>
    <t xml:space="preserve">L01348</t>
  </si>
  <si>
    <t xml:space="preserve">L01349</t>
  </si>
  <si>
    <t xml:space="preserve">L01350</t>
  </si>
  <si>
    <t xml:space="preserve">L01351</t>
  </si>
  <si>
    <t xml:space="preserve">L01352</t>
  </si>
  <si>
    <t xml:space="preserve">L01353</t>
  </si>
  <si>
    <t xml:space="preserve">L01354</t>
  </si>
  <si>
    <t xml:space="preserve">L01355</t>
  </si>
  <si>
    <t xml:space="preserve">L01356</t>
  </si>
  <si>
    <t xml:space="preserve">L01357</t>
  </si>
  <si>
    <t xml:space="preserve">L01358</t>
  </si>
  <si>
    <t xml:space="preserve">L01359</t>
  </si>
  <si>
    <t xml:space="preserve">L01360</t>
  </si>
  <si>
    <t xml:space="preserve">L01361</t>
  </si>
  <si>
    <t xml:space="preserve">L01362</t>
  </si>
  <si>
    <t xml:space="preserve">L01363</t>
  </si>
  <si>
    <t xml:space="preserve">L01364</t>
  </si>
  <si>
    <t xml:space="preserve">L01365</t>
  </si>
  <si>
    <t xml:space="preserve">L01366</t>
  </si>
  <si>
    <t xml:space="preserve">L01367</t>
  </si>
  <si>
    <t xml:space="preserve">L01368</t>
  </si>
  <si>
    <t xml:space="preserve">Prior period correction 1</t>
  </si>
  <si>
    <t xml:space="preserve">L01369</t>
  </si>
  <si>
    <t xml:space="preserve">L01370</t>
  </si>
  <si>
    <t xml:space="preserve">L01371</t>
  </si>
  <si>
    <t xml:space="preserve">L01372</t>
  </si>
  <si>
    <t xml:space="preserve">L01373</t>
  </si>
  <si>
    <t xml:space="preserve">L01374</t>
  </si>
  <si>
    <t xml:space="preserve">L01375</t>
  </si>
  <si>
    <t xml:space="preserve">L01376</t>
  </si>
  <si>
    <t xml:space="preserve">ADMIN</t>
  </si>
  <si>
    <t xml:space="preserve">Manual journal 5</t>
  </si>
  <si>
    <t xml:space="preserve">L01377</t>
  </si>
  <si>
    <t xml:space="preserve">L01378</t>
  </si>
  <si>
    <t xml:space="preserve">L01379</t>
  </si>
  <si>
    <t xml:space="preserve">L01380</t>
  </si>
  <si>
    <t xml:space="preserve">L01381</t>
  </si>
  <si>
    <t xml:space="preserve">L01382</t>
  </si>
  <si>
    <t xml:space="preserve">L01383</t>
  </si>
  <si>
    <t xml:space="preserve">L01384</t>
  </si>
  <si>
    <t xml:space="preserve">L01385</t>
  </si>
  <si>
    <t xml:space="preserve">L01386</t>
  </si>
  <si>
    <t xml:space="preserve">Suspense clearing 2</t>
  </si>
  <si>
    <t xml:space="preserve">L01387</t>
  </si>
  <si>
    <t xml:space="preserve">L01388</t>
  </si>
  <si>
    <t xml:space="preserve">L01389</t>
  </si>
  <si>
    <t xml:space="preserve">L01390</t>
  </si>
  <si>
    <t xml:space="preserve">L01391</t>
  </si>
  <si>
    <t xml:space="preserve">L01392</t>
  </si>
  <si>
    <t xml:space="preserve">L01393</t>
  </si>
  <si>
    <t xml:space="preserve">L01394</t>
  </si>
  <si>
    <t xml:space="preserve">L01395</t>
  </si>
  <si>
    <t xml:space="preserve">L01396</t>
  </si>
  <si>
    <t xml:space="preserve">L01397</t>
  </si>
  <si>
    <t xml:space="preserve">L01398</t>
  </si>
  <si>
    <t xml:space="preserve">L01399</t>
  </si>
  <si>
    <t xml:space="preserve">L01400</t>
  </si>
  <si>
    <t xml:space="preserve">L01401</t>
  </si>
  <si>
    <t xml:space="preserve">L01402</t>
  </si>
  <si>
    <t xml:space="preserve">L01403</t>
  </si>
  <si>
    <t xml:space="preserve">L01404</t>
  </si>
  <si>
    <t xml:space="preserve">L01405</t>
  </si>
  <si>
    <t xml:space="preserve">L01406</t>
  </si>
  <si>
    <t xml:space="preserve">L01407</t>
  </si>
  <si>
    <t xml:space="preserve">L01408</t>
  </si>
  <si>
    <t xml:space="preserve">L01409</t>
  </si>
  <si>
    <t xml:space="preserve">L01410</t>
  </si>
  <si>
    <t xml:space="preserve">L01411</t>
  </si>
  <si>
    <t xml:space="preserve">L01412</t>
  </si>
  <si>
    <t xml:space="preserve">L01413</t>
  </si>
  <si>
    <t xml:space="preserve">L01414</t>
  </si>
  <si>
    <t xml:space="preserve">L01415</t>
  </si>
  <si>
    <t xml:space="preserve">L01416</t>
  </si>
  <si>
    <t xml:space="preserve">L01417</t>
  </si>
  <si>
    <t xml:space="preserve">L01418</t>
  </si>
  <si>
    <t xml:space="preserve">L01419</t>
  </si>
  <si>
    <t xml:space="preserve">L01420</t>
  </si>
  <si>
    <t xml:space="preserve">L01421</t>
  </si>
  <si>
    <t xml:space="preserve">L01422</t>
  </si>
  <si>
    <t xml:space="preserve">L01423</t>
  </si>
  <si>
    <t xml:space="preserve">L01424</t>
  </si>
  <si>
    <t xml:space="preserve">L01425</t>
  </si>
  <si>
    <t xml:space="preserve">L01426</t>
  </si>
  <si>
    <t xml:space="preserve">L01427</t>
  </si>
  <si>
    <t xml:space="preserve">L01428</t>
  </si>
  <si>
    <t xml:space="preserve">L01429</t>
  </si>
  <si>
    <t xml:space="preserve">L01430</t>
  </si>
  <si>
    <t xml:space="preserve">L01431</t>
  </si>
  <si>
    <t xml:space="preserve">L01432</t>
  </si>
  <si>
    <t xml:space="preserve">L01433</t>
  </si>
  <si>
    <t xml:space="preserve">L01434</t>
  </si>
  <si>
    <t xml:space="preserve">L01435</t>
  </si>
  <si>
    <t xml:space="preserve">L01436</t>
  </si>
  <si>
    <t xml:space="preserve">L01437</t>
  </si>
  <si>
    <t xml:space="preserve">L01438</t>
  </si>
  <si>
    <t xml:space="preserve">L01439</t>
  </si>
  <si>
    <t xml:space="preserve">L01440</t>
  </si>
  <si>
    <t xml:space="preserve">Prior period correction 4</t>
  </si>
  <si>
    <t xml:space="preserve">L01441</t>
  </si>
  <si>
    <t xml:space="preserve">L01442</t>
  </si>
  <si>
    <t xml:space="preserve">L01443</t>
  </si>
  <si>
    <t xml:space="preserve">L01444</t>
  </si>
  <si>
    <t xml:space="preserve">L01445</t>
  </si>
  <si>
    <t xml:space="preserve">L01446</t>
  </si>
  <si>
    <t xml:space="preserve">L01447</t>
  </si>
  <si>
    <t xml:space="preserve">L01448</t>
  </si>
  <si>
    <t xml:space="preserve">L01449</t>
  </si>
  <si>
    <t xml:space="preserve">L01450</t>
  </si>
  <si>
    <t xml:space="preserve">L01451</t>
  </si>
  <si>
    <t xml:space="preserve">L01452</t>
  </si>
  <si>
    <t xml:space="preserve">L01453</t>
  </si>
  <si>
    <t xml:space="preserve">L01454</t>
  </si>
  <si>
    <t xml:space="preserve">L01455</t>
  </si>
  <si>
    <t xml:space="preserve">L01456</t>
  </si>
  <si>
    <t xml:space="preserve">L01457</t>
  </si>
  <si>
    <t xml:space="preserve">L01458</t>
  </si>
  <si>
    <t xml:space="preserve">L01459</t>
  </si>
  <si>
    <t xml:space="preserve">L01460</t>
  </si>
  <si>
    <t xml:space="preserve">L01461</t>
  </si>
  <si>
    <t xml:space="preserve">L01462</t>
  </si>
  <si>
    <t xml:space="preserve">L01463</t>
  </si>
  <si>
    <t xml:space="preserve">L01464</t>
  </si>
  <si>
    <t xml:space="preserve">L01465</t>
  </si>
  <si>
    <t xml:space="preserve">L01466</t>
  </si>
  <si>
    <t xml:space="preserve">L01467</t>
  </si>
  <si>
    <t xml:space="preserve">L01468</t>
  </si>
  <si>
    <t xml:space="preserve">L01469</t>
  </si>
  <si>
    <t xml:space="preserve">L01470</t>
  </si>
  <si>
    <t xml:space="preserve">L01471</t>
  </si>
  <si>
    <t xml:space="preserve">L01472</t>
  </si>
  <si>
    <t xml:space="preserve">L01473</t>
  </si>
  <si>
    <t xml:space="preserve">L01474</t>
  </si>
  <si>
    <t xml:space="preserve">L01475</t>
  </si>
  <si>
    <t xml:space="preserve">L01476</t>
  </si>
  <si>
    <t xml:space="preserve">L01477</t>
  </si>
  <si>
    <t xml:space="preserve">L01478</t>
  </si>
  <si>
    <t xml:space="preserve">L01479</t>
  </si>
  <si>
    <t xml:space="preserve">L01480</t>
  </si>
  <si>
    <t xml:space="preserve">L01481</t>
  </si>
  <si>
    <t xml:space="preserve">L01482</t>
  </si>
  <si>
    <t xml:space="preserve">L01483</t>
  </si>
  <si>
    <t xml:space="preserve">L01484</t>
  </si>
  <si>
    <t xml:space="preserve">L01485</t>
  </si>
  <si>
    <t xml:space="preserve">L01486</t>
  </si>
  <si>
    <t xml:space="preserve">L01487</t>
  </si>
  <si>
    <t xml:space="preserve">L01488</t>
  </si>
  <si>
    <t xml:space="preserve">L01489</t>
  </si>
  <si>
    <t xml:space="preserve">Weekend adjustment 8</t>
  </si>
  <si>
    <t xml:space="preserve">L01490</t>
  </si>
  <si>
    <t xml:space="preserve">L01491</t>
  </si>
  <si>
    <t xml:space="preserve">L01492</t>
  </si>
  <si>
    <t xml:space="preserve">L01493</t>
  </si>
  <si>
    <t xml:space="preserve">L01494</t>
  </si>
  <si>
    <t xml:space="preserve">L01495</t>
  </si>
  <si>
    <t xml:space="preserve">L01496</t>
  </si>
  <si>
    <t xml:space="preserve">L01497</t>
  </si>
  <si>
    <t xml:space="preserve">L01498</t>
  </si>
  <si>
    <t xml:space="preserve">L01499</t>
  </si>
  <si>
    <t xml:space="preserve">L01500</t>
  </si>
  <si>
    <t xml:space="preserve">L01501</t>
  </si>
  <si>
    <t xml:space="preserve">L01502</t>
  </si>
  <si>
    <t xml:space="preserve">L01503</t>
  </si>
  <si>
    <t xml:space="preserve">L01504</t>
  </si>
  <si>
    <t xml:space="preserve">L01505</t>
  </si>
  <si>
    <t xml:space="preserve">L01506</t>
  </si>
  <si>
    <t xml:space="preserve">L01507</t>
  </si>
  <si>
    <t xml:space="preserve">L01508</t>
  </si>
  <si>
    <t xml:space="preserve">L01509</t>
  </si>
  <si>
    <t xml:space="preserve">L01510</t>
  </si>
  <si>
    <t xml:space="preserve">L01511</t>
  </si>
  <si>
    <t xml:space="preserve">L01512</t>
  </si>
  <si>
    <t xml:space="preserve">L01513</t>
  </si>
  <si>
    <t xml:space="preserve">L01514</t>
  </si>
  <si>
    <t xml:space="preserve">L01515</t>
  </si>
  <si>
    <t xml:space="preserve">L01516</t>
  </si>
  <si>
    <t xml:space="preserve">L01517</t>
  </si>
  <si>
    <t xml:space="preserve">L01518</t>
  </si>
  <si>
    <t xml:space="preserve">L01519</t>
  </si>
  <si>
    <t xml:space="preserve">L01520</t>
  </si>
  <si>
    <t xml:space="preserve">L01521</t>
  </si>
  <si>
    <t xml:space="preserve">L01522</t>
  </si>
  <si>
    <t xml:space="preserve">L01523</t>
  </si>
  <si>
    <t xml:space="preserve">L01524</t>
  </si>
  <si>
    <t xml:space="preserve">L01525</t>
  </si>
  <si>
    <t xml:space="preserve">L01526</t>
  </si>
  <si>
    <t xml:space="preserve">L01527</t>
  </si>
  <si>
    <t xml:space="preserve">L01528</t>
  </si>
  <si>
    <t xml:space="preserve">L01529</t>
  </si>
  <si>
    <t xml:space="preserve">Manual journal 2</t>
  </si>
  <si>
    <t xml:space="preserve">L01530</t>
  </si>
  <si>
    <t xml:space="preserve">L01531</t>
  </si>
  <si>
    <t xml:space="preserve">L01532</t>
  </si>
  <si>
    <t xml:space="preserve">L01533</t>
  </si>
  <si>
    <t xml:space="preserve">L01534</t>
  </si>
  <si>
    <t xml:space="preserve">L01535</t>
  </si>
  <si>
    <t xml:space="preserve">L01536</t>
  </si>
  <si>
    <t xml:space="preserve">L01537</t>
  </si>
  <si>
    <t xml:space="preserve">L01538</t>
  </si>
  <si>
    <t xml:space="preserve">L01539</t>
  </si>
  <si>
    <t xml:space="preserve">L01540</t>
  </si>
  <si>
    <t xml:space="preserve">L01541</t>
  </si>
  <si>
    <t xml:space="preserve">L01542</t>
  </si>
  <si>
    <t xml:space="preserve">L01543</t>
  </si>
  <si>
    <t xml:space="preserve">L01544</t>
  </si>
  <si>
    <t xml:space="preserve">L01545</t>
  </si>
  <si>
    <t xml:space="preserve">L01546</t>
  </si>
  <si>
    <t xml:space="preserve">L01547</t>
  </si>
  <si>
    <t xml:space="preserve">L01548</t>
  </si>
  <si>
    <t xml:space="preserve">L01549</t>
  </si>
  <si>
    <t xml:space="preserve">L01550</t>
  </si>
  <si>
    <t xml:space="preserve">L01551</t>
  </si>
  <si>
    <t xml:space="preserve">L01552</t>
  </si>
  <si>
    <t xml:space="preserve">L01553</t>
  </si>
  <si>
    <t xml:space="preserve">L01554</t>
  </si>
  <si>
    <t xml:space="preserve">L01555</t>
  </si>
  <si>
    <t xml:space="preserve">L01556</t>
  </si>
  <si>
    <t xml:space="preserve">L01557</t>
  </si>
  <si>
    <t xml:space="preserve">L01558</t>
  </si>
  <si>
    <t xml:space="preserve">L01559</t>
  </si>
  <si>
    <t xml:space="preserve">L01560</t>
  </si>
  <si>
    <t xml:space="preserve">L01561</t>
  </si>
  <si>
    <t xml:space="preserve">L01562</t>
  </si>
  <si>
    <t xml:space="preserve">L01563</t>
  </si>
  <si>
    <t xml:space="preserve">L01564</t>
  </si>
  <si>
    <t xml:space="preserve">L01565</t>
  </si>
  <si>
    <t xml:space="preserve">L01566</t>
  </si>
  <si>
    <t xml:space="preserve">L01567</t>
  </si>
  <si>
    <t xml:space="preserve">L01568</t>
  </si>
  <si>
    <t xml:space="preserve">L01569</t>
  </si>
  <si>
    <t xml:space="preserve">L01570</t>
  </si>
  <si>
    <t xml:space="preserve">L01571</t>
  </si>
  <si>
    <t xml:space="preserve">L01572</t>
  </si>
  <si>
    <t xml:space="preserve">L01573</t>
  </si>
  <si>
    <t xml:space="preserve">L01574</t>
  </si>
  <si>
    <t xml:space="preserve">L01575</t>
  </si>
  <si>
    <t xml:space="preserve">L01576</t>
  </si>
  <si>
    <t xml:space="preserve">L01577</t>
  </si>
  <si>
    <t xml:space="preserve">L01578</t>
  </si>
  <si>
    <t xml:space="preserve">L01579</t>
  </si>
  <si>
    <t xml:space="preserve">L01580</t>
  </si>
  <si>
    <t xml:space="preserve">L01581</t>
  </si>
  <si>
    <t xml:space="preserve">L01582</t>
  </si>
  <si>
    <t xml:space="preserve">L01583</t>
  </si>
  <si>
    <t xml:space="preserve">L01584</t>
  </si>
  <si>
    <t xml:space="preserve">L01585</t>
  </si>
  <si>
    <t xml:space="preserve">L01586</t>
  </si>
  <si>
    <t xml:space="preserve">L01587</t>
  </si>
  <si>
    <t xml:space="preserve">L01588</t>
  </si>
  <si>
    <t xml:space="preserve">L01589</t>
  </si>
  <si>
    <t xml:space="preserve">L01590</t>
  </si>
  <si>
    <t xml:space="preserve">L01591</t>
  </si>
  <si>
    <t xml:space="preserve">L01592</t>
  </si>
  <si>
    <t xml:space="preserve">L01593</t>
  </si>
  <si>
    <t xml:space="preserve">L01594</t>
  </si>
  <si>
    <t xml:space="preserve">L01595</t>
  </si>
  <si>
    <t xml:space="preserve">L01596</t>
  </si>
  <si>
    <t xml:space="preserve">L01597</t>
  </si>
  <si>
    <t xml:space="preserve">L01598</t>
  </si>
  <si>
    <t xml:space="preserve">L01599</t>
  </si>
  <si>
    <t xml:space="preserve">L01600</t>
  </si>
  <si>
    <t xml:space="preserve">L01601</t>
  </si>
  <si>
    <t xml:space="preserve">L01602</t>
  </si>
  <si>
    <t xml:space="preserve">L01603</t>
  </si>
  <si>
    <t xml:space="preserve">L01604</t>
  </si>
  <si>
    <t xml:space="preserve">L01605</t>
  </si>
  <si>
    <t xml:space="preserve">L01606</t>
  </si>
  <si>
    <t xml:space="preserve">L01607</t>
  </si>
  <si>
    <t xml:space="preserve">L01608</t>
  </si>
  <si>
    <t xml:space="preserve">L01609</t>
  </si>
  <si>
    <t xml:space="preserve">L01610</t>
  </si>
  <si>
    <t xml:space="preserve">L01611</t>
  </si>
  <si>
    <t xml:space="preserve">L01612</t>
  </si>
  <si>
    <t xml:space="preserve">L01613</t>
  </si>
  <si>
    <t xml:space="preserve">L01614</t>
  </si>
  <si>
    <t xml:space="preserve">L01615</t>
  </si>
  <si>
    <t xml:space="preserve">L01616</t>
  </si>
  <si>
    <t xml:space="preserve">L01617</t>
  </si>
  <si>
    <t xml:space="preserve">L01618</t>
  </si>
  <si>
    <t xml:space="preserve">L01619</t>
  </si>
  <si>
    <t xml:space="preserve">L01620</t>
  </si>
  <si>
    <t xml:space="preserve">L01621</t>
  </si>
  <si>
    <t xml:space="preserve">L01622</t>
  </si>
  <si>
    <t xml:space="preserve">Manual journal 4</t>
  </si>
  <si>
    <t xml:space="preserve">L01623</t>
  </si>
  <si>
    <t xml:space="preserve">L01624</t>
  </si>
  <si>
    <t xml:space="preserve">L01625</t>
  </si>
  <si>
    <t xml:space="preserve">L01626</t>
  </si>
  <si>
    <t xml:space="preserve">L01627</t>
  </si>
  <si>
    <t xml:space="preserve">L01628</t>
  </si>
  <si>
    <t xml:space="preserve">L01629</t>
  </si>
  <si>
    <t xml:space="preserve">L01630</t>
  </si>
  <si>
    <t xml:space="preserve">L01631</t>
  </si>
  <si>
    <t xml:space="preserve">L01632</t>
  </si>
  <si>
    <t xml:space="preserve">L01633</t>
  </si>
  <si>
    <t xml:space="preserve">L01634</t>
  </si>
  <si>
    <t xml:space="preserve">L01635</t>
  </si>
  <si>
    <t xml:space="preserve">L01636</t>
  </si>
  <si>
    <t xml:space="preserve">L01637</t>
  </si>
  <si>
    <t xml:space="preserve">L01638</t>
  </si>
  <si>
    <t xml:space="preserve">L01639</t>
  </si>
  <si>
    <t xml:space="preserve">L01640</t>
  </si>
  <si>
    <t xml:space="preserve">L01641</t>
  </si>
  <si>
    <t xml:space="preserve">L01642</t>
  </si>
  <si>
    <t xml:space="preserve">L01643</t>
  </si>
  <si>
    <t xml:space="preserve">L01644</t>
  </si>
  <si>
    <t xml:space="preserve">L01645</t>
  </si>
  <si>
    <t xml:space="preserve">L01646</t>
  </si>
  <si>
    <t xml:space="preserve">L01647</t>
  </si>
  <si>
    <t xml:space="preserve">L01648</t>
  </si>
  <si>
    <t xml:space="preserve">L01649</t>
  </si>
  <si>
    <t xml:space="preserve">L01650</t>
  </si>
  <si>
    <t xml:space="preserve">L01651</t>
  </si>
  <si>
    <t xml:space="preserve">L01652</t>
  </si>
  <si>
    <t xml:space="preserve">L01653</t>
  </si>
  <si>
    <t xml:space="preserve">L01654</t>
  </si>
  <si>
    <t xml:space="preserve">L01655</t>
  </si>
  <si>
    <t xml:space="preserve">L01656</t>
  </si>
  <si>
    <t xml:space="preserve">L01657</t>
  </si>
  <si>
    <t xml:space="preserve">L01658</t>
  </si>
  <si>
    <t xml:space="preserve">L01659</t>
  </si>
  <si>
    <t xml:space="preserve">L01660</t>
  </si>
  <si>
    <t xml:space="preserve">L01661</t>
  </si>
  <si>
    <t xml:space="preserve">L01662</t>
  </si>
  <si>
    <t xml:space="preserve">L01663</t>
  </si>
  <si>
    <t xml:space="preserve">L01664</t>
  </si>
  <si>
    <t xml:space="preserve">L01665</t>
  </si>
  <si>
    <t xml:space="preserve">L01666</t>
  </si>
  <si>
    <t xml:space="preserve">L01667</t>
  </si>
  <si>
    <t xml:space="preserve">L01668</t>
  </si>
  <si>
    <t xml:space="preserve">L01669</t>
  </si>
  <si>
    <t xml:space="preserve">L01670</t>
  </si>
  <si>
    <t xml:space="preserve">L01671</t>
  </si>
  <si>
    <t xml:space="preserve">L01672</t>
  </si>
  <si>
    <t xml:space="preserve">L01673</t>
  </si>
  <si>
    <t xml:space="preserve">L01674</t>
  </si>
  <si>
    <t xml:space="preserve">L01675</t>
  </si>
  <si>
    <t xml:space="preserve">L01676</t>
  </si>
  <si>
    <t xml:space="preserve">L01677</t>
  </si>
  <si>
    <t xml:space="preserve">L01678</t>
  </si>
  <si>
    <t xml:space="preserve">L01679</t>
  </si>
  <si>
    <t xml:space="preserve">L01680</t>
  </si>
  <si>
    <t xml:space="preserve">L01681</t>
  </si>
  <si>
    <t xml:space="preserve">L01682</t>
  </si>
  <si>
    <t xml:space="preserve">L01683</t>
  </si>
  <si>
    <t xml:space="preserve">L01684</t>
  </si>
  <si>
    <t xml:space="preserve">L01685</t>
  </si>
  <si>
    <t xml:space="preserve">L01686</t>
  </si>
  <si>
    <t xml:space="preserve">L01687</t>
  </si>
  <si>
    <t xml:space="preserve">L01688</t>
  </si>
  <si>
    <t xml:space="preserve">L01689</t>
  </si>
  <si>
    <t xml:space="preserve">L01690</t>
  </si>
  <si>
    <t xml:space="preserve">L01691</t>
  </si>
  <si>
    <t xml:space="preserve">L01692</t>
  </si>
  <si>
    <t xml:space="preserve">L01693</t>
  </si>
  <si>
    <t xml:space="preserve">L01694</t>
  </si>
  <si>
    <t xml:space="preserve">L01695</t>
  </si>
  <si>
    <t xml:space="preserve">L01696</t>
  </si>
  <si>
    <t xml:space="preserve">L01697</t>
  </si>
  <si>
    <t xml:space="preserve">L01698</t>
  </si>
  <si>
    <t xml:space="preserve">L01699</t>
  </si>
  <si>
    <t xml:space="preserve">L01700</t>
  </si>
  <si>
    <t xml:space="preserve">L01701</t>
  </si>
  <si>
    <t xml:space="preserve">L01702</t>
  </si>
  <si>
    <t xml:space="preserve">L01703</t>
  </si>
  <si>
    <t xml:space="preserve">L01704</t>
  </si>
  <si>
    <t xml:space="preserve">L01705</t>
  </si>
  <si>
    <t xml:space="preserve">L01706</t>
  </si>
  <si>
    <t xml:space="preserve">Year end sales adjustment</t>
  </si>
  <si>
    <t xml:space="preserve">L01707</t>
  </si>
  <si>
    <t xml:space="preserve">L01708</t>
  </si>
  <si>
    <t xml:space="preserve">L01709</t>
  </si>
  <si>
    <t xml:space="preserve">L01710</t>
  </si>
  <si>
    <t xml:space="preserve">Adjustment 2</t>
  </si>
  <si>
    <t xml:space="preserve">L01711</t>
  </si>
  <si>
    <t xml:space="preserve">L01712</t>
  </si>
  <si>
    <t xml:space="preserve">L01713</t>
  </si>
  <si>
    <t xml:space="preserve">L01714</t>
  </si>
  <si>
    <t xml:space="preserve">L01715</t>
  </si>
  <si>
    <t xml:space="preserve">L01716</t>
  </si>
  <si>
    <t xml:space="preserve">L01717</t>
  </si>
  <si>
    <t xml:space="preserve">L01718</t>
  </si>
  <si>
    <t xml:space="preserve">L01719</t>
  </si>
  <si>
    <t xml:space="preserve">L01720</t>
  </si>
  <si>
    <t xml:space="preserve">L01721</t>
  </si>
  <si>
    <t xml:space="preserve">L01722</t>
  </si>
  <si>
    <t xml:space="preserve">L01723</t>
  </si>
  <si>
    <t xml:space="preserve">L01724</t>
  </si>
  <si>
    <t xml:space="preserve">Sales cutoff entry</t>
  </si>
  <si>
    <t xml:space="preserve">L01725</t>
  </si>
  <si>
    <t xml:space="preserve">L01726</t>
  </si>
  <si>
    <t xml:space="preserve">L01727</t>
  </si>
  <si>
    <t xml:space="preserve">L01728</t>
  </si>
  <si>
    <t xml:space="preserve">L01729</t>
  </si>
  <si>
    <t xml:space="preserve">Journal entry tests, one row per entry</t>
  </si>
  <si>
    <t xml:space="preserve">JE number is from the engine (brown). All other columns are formulas.</t>
  </si>
  <si>
    <t xml:space="preserve">Lines</t>
  </si>
  <si>
    <t xml:space="preserve">Total debit</t>
  </si>
  <si>
    <t xml:space="preserve">Total credit</t>
  </si>
  <si>
    <t xml:space="preserve">Debit less credit</t>
  </si>
  <si>
    <t xml:space="preserve">Lag (days)</t>
  </si>
  <si>
    <t xml:space="preserve">Revenue lines</t>
  </si>
  <si>
    <t xml:space="preserve">Suspense lines</t>
  </si>
  <si>
    <t xml:space="preserve">Unbalanced</t>
  </si>
  <si>
    <t xml:space="preserve">Weekend</t>
  </si>
  <si>
    <t xml:space="preserve">Late posting</t>
  </si>
  <si>
    <t xml:space="preserve">Year end window</t>
  </si>
  <si>
    <t xml:space="preserve">Unauthorised user</t>
  </si>
  <si>
    <t xml:space="preserve">Manual to revenue</t>
  </si>
  <si>
    <t xml:space="preserve">Manual to suspense</t>
  </si>
  <si>
    <t xml:space="preserve">Sequence gap</t>
  </si>
  <si>
    <t xml:space="preserve">Answer key: seeded anomalies and known benign patterns</t>
  </si>
  <si>
    <t xml:space="preserve">For validation only. Detected? is a live lookup into the flag columns. Benign rows are expected false positives.</t>
  </si>
  <si>
    <t xml:space="preserve">Level</t>
  </si>
  <si>
    <t xml:space="preserve">ID</t>
  </si>
  <si>
    <t xml:space="preserve">Test key</t>
  </si>
  <si>
    <t xml:space="preserve">Category</t>
  </si>
  <si>
    <t xml:space="preserve">Detected?</t>
  </si>
  <si>
    <t xml:space="preserve">Payment</t>
  </si>
  <si>
    <t xml:space="preserve">p_rnd</t>
  </si>
  <si>
    <t xml:space="preserve">Benign by construction</t>
  </si>
  <si>
    <t xml:space="preserve">Monthly rent</t>
  </si>
  <si>
    <t xml:space="preserve">Seeded anomaly</t>
  </si>
  <si>
    <t xml:space="preserve">p_dup</t>
  </si>
  <si>
    <t xml:space="preserve">Exact duplicate</t>
  </si>
  <si>
    <t xml:space="preserve">p_below</t>
  </si>
  <si>
    <t xml:space="preserve">Threshold avoidance vendor</t>
  </si>
  <si>
    <t xml:space="preserve">Monthly licence</t>
  </si>
  <si>
    <t xml:space="preserve">p_near</t>
  </si>
  <si>
    <t xml:space="preserve">Monthly rent, same amount within the window</t>
  </si>
  <si>
    <t xml:space="preserve">Monthly licence, same amount within the window</t>
  </si>
  <si>
    <t xml:space="preserve">p_split</t>
  </si>
  <si>
    <t xml:space="preserve">Counterpart of seeded anomaly</t>
  </si>
  <si>
    <t xml:space="preserve">Same day collision of threshold avoidance payments</t>
  </si>
  <si>
    <t xml:space="preserve">p_auth</t>
  </si>
  <si>
    <t xml:space="preserve">Duplicate, invoice number reformatted</t>
  </si>
  <si>
    <t xml:space="preserve">Same amount, new invoice number</t>
  </si>
  <si>
    <t xml:space="preserve">Journal entry</t>
  </si>
  <si>
    <t xml:space="preserve">j_rnd</t>
  </si>
  <si>
    <t xml:space="preserve">j_nodesc</t>
  </si>
  <si>
    <t xml:space="preserve">j_wkd</t>
  </si>
  <si>
    <t xml:space="preserve">j_susp</t>
  </si>
  <si>
    <t xml:space="preserve">j_gap</t>
  </si>
  <si>
    <t xml:space="preserve">j_unb</t>
  </si>
  <si>
    <t xml:space="preserve">j_unauth</t>
  </si>
  <si>
    <t xml:space="preserve">j_late</t>
  </si>
  <si>
    <t xml:space="preserve">j_below</t>
  </si>
  <si>
    <t xml:space="preserve">j_mrev</t>
  </si>
  <si>
    <t xml:space="preserve">j_pend</t>
  </si>
  <si>
    <t xml:space="preserve">v_benf</t>
  </si>
  <si>
    <t xml:space="preserve">Payments clustered below the approval limit</t>
  </si>
  <si>
    <t xml:space="preserve">v_emp</t>
  </si>
  <si>
    <t xml:space="preserve">Vendor bank account equals employee E014 bank account</t>
  </si>
  <si>
    <t xml:space="preserve">Exceptions summary and High risk lists</t>
  </si>
  <si>
    <t xml:space="preserve">Recall is measured against the answer key. Flagged but not in key = items a reviewer must clear.</t>
  </si>
  <si>
    <t xml:space="preserve">Test</t>
  </si>
  <si>
    <t xml:space="preserve">Population</t>
  </si>
  <si>
    <t xml:space="preserve">Flagged</t>
  </si>
  <si>
    <t xml:space="preserve">Flag rate</t>
  </si>
  <si>
    <t xml:space="preserve">Seeded anomalies</t>
  </si>
  <si>
    <t xml:space="preserve">Seeded detected</t>
  </si>
  <si>
    <t xml:space="preserve">Recall</t>
  </si>
  <si>
    <t xml:space="preserve">Flagged, not in answer key</t>
  </si>
  <si>
    <t xml:space="preserve">Duplicate payment (vendor, normalised invoice, amount)</t>
  </si>
  <si>
    <t xml:space="preserve">Near duplicate payment</t>
  </si>
  <si>
    <t xml:space="preserve">Round sum payment</t>
  </si>
  <si>
    <t xml:space="preserve">Payment just below approval limit</t>
  </si>
  <si>
    <t xml:space="preserve">Same day split payments above limit</t>
  </si>
  <si>
    <t xml:space="preserve">Vendor bank account matches employee</t>
  </si>
  <si>
    <t xml:space="preserve">Unbalanced journal entry</t>
  </si>
  <si>
    <t xml:space="preserve">Posted on a weekend</t>
  </si>
  <si>
    <t xml:space="preserve">Late posting versus document date</t>
  </si>
  <si>
    <t xml:space="preserve">Posted in last days of the year</t>
  </si>
  <si>
    <t xml:space="preserve">Posted by unauthorised user</t>
  </si>
  <si>
    <t xml:space="preserve">Round total entry</t>
  </si>
  <si>
    <t xml:space="preserve">Entry without description</t>
  </si>
  <si>
    <t xml:space="preserve">Sequence gap before entry</t>
  </si>
  <si>
    <t xml:space="preserve">High risk payments (ranked by engine, details are formulas)</t>
  </si>
  <si>
    <t xml:space="preserve">Date</t>
  </si>
  <si>
    <t xml:space="preserve">Score</t>
  </si>
  <si>
    <t xml:space="preserve">Reviewer disposition (input)</t>
  </si>
  <si>
    <t xml:space="preserve">High risk journal entries (ranked by engine, details are formulas)</t>
  </si>
  <si>
    <t xml:space="preserve">Total debit (USD)</t>
  </si>
  <si>
    <t xml:space="preserve">Controls</t>
  </si>
  <si>
    <t xml:space="preserve">Differences must be zero. Overall result must read PASS.</t>
  </si>
  <si>
    <t xml:space="preserve">Control</t>
  </si>
  <si>
    <t xml:space="preserve">Result</t>
  </si>
  <si>
    <t xml:space="preserve">Pass?</t>
  </si>
  <si>
    <t xml:space="preserve">Payments listed less Benford digit counts</t>
  </si>
  <si>
    <t xml:space="preserve">Payments listed less Vendor_Benford counts</t>
  </si>
  <si>
    <t xml:space="preserve">JE lines in JE_Lines less lines assigned to entries</t>
  </si>
  <si>
    <t xml:space="preserve">Total debits less total credits per JE_Lines, less sum of entry differences</t>
  </si>
  <si>
    <t xml:space="preserve">Every JE line has a class (count of errors)</t>
  </si>
  <si>
    <t xml:space="preserve">Errors in Payments flag and score columns</t>
  </si>
  <si>
    <t xml:space="preserve">Errors in JE_Entries flag and score columns</t>
  </si>
  <si>
    <t xml:space="preserve">High risk payments in list less High in Payments</t>
  </si>
  <si>
    <t xml:space="preserve">High risk entries in list less High in JE_Entries</t>
  </si>
  <si>
    <t xml:space="preserve">Duplicate payment IDs</t>
  </si>
  <si>
    <t xml:space="preserve">Duplicate JE numbers in JE_Entries</t>
  </si>
  <si>
    <t xml:space="preserve">Answer key rows with lookup errors</t>
  </si>
  <si>
    <t xml:space="preserve">OVERALL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</si>
</sst>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\ mmm\ yyyy"/>
    <numFmt numFmtId="166" formatCode="#,##0.00;\(#,##0.00\)"/>
    <numFmt numFmtId="167" formatCode="0.00%"/>
    <numFmt numFmtId="168" formatCode="0.00"/>
    <numFmt numFmtId="169" formatCode="0.0000"/>
    <numFmt numFmtId="170" formatCode="0.0%"/>
    <numFmt numFmtId="171" formatCode="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i val="true"/>
      <sz val="11"/>
      <color rgb="FF595959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1"/>
      <color rgb="FF7F6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First digit: actual vs expected (sample data)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Benford!C4</c:f>
              <c:strCache>
                <c:ptCount val="1"/>
                <c:pt idx="0">
                  <c:v>Actual %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Benford!$A$5:$A$13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Benford!$C$5:$C$13</c:f>
              <c:numCache>
                <c:formatCode>0.00%</c:formatCode>
                <c:ptCount val="9"/>
                <c:pt idx="0">
                  <c:v>0.268253968253968</c:v>
                </c:pt>
                <c:pt idx="1">
                  <c:v>0.184126984126984</c:v>
                </c:pt>
                <c:pt idx="2">
                  <c:v>0.0888888888888889</c:v>
                </c:pt>
                <c:pt idx="3">
                  <c:v>0.176190476190476</c:v>
                </c:pt>
                <c:pt idx="4">
                  <c:v>0.0698412698412698</c:v>
                </c:pt>
                <c:pt idx="5">
                  <c:v>0.0650793650793651</c:v>
                </c:pt>
                <c:pt idx="6">
                  <c:v>0.0492063492063492</c:v>
                </c:pt>
                <c:pt idx="7">
                  <c:v>0.0619047619047619</c:v>
                </c:pt>
                <c:pt idx="8">
                  <c:v>0.0365079365079365</c:v>
                </c:pt>
              </c:numCache>
            </c:numRef>
          </c:val>
        </c:ser>
        <c:ser>
          <c:idx val="1"/>
          <c:order val="1"/>
          <c:tx>
            <c:strRef>
              <c:f>Benford!D4</c:f>
              <c:strCache>
                <c:ptCount val="1"/>
                <c:pt idx="0">
                  <c:v>Expected %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Benford!$A$5:$A$13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strCache>
            </c:strRef>
          </c:cat>
          <c:val>
            <c:numRef>
              <c:f>Benford!$D$5:$D$13</c:f>
              <c:numCache>
                <c:formatCode>0.00%</c:formatCode>
                <c:ptCount val="9"/>
                <c:pt idx="0">
                  <c:v>0.301029995663981</c:v>
                </c:pt>
                <c:pt idx="1">
                  <c:v>0.176091259055681</c:v>
                </c:pt>
                <c:pt idx="2">
                  <c:v>0.1249387366083</c:v>
                </c:pt>
                <c:pt idx="3">
                  <c:v>0.0969100130080564</c:v>
                </c:pt>
                <c:pt idx="4">
                  <c:v>0.0791812460476248</c:v>
                </c:pt>
                <c:pt idx="5">
                  <c:v>0.0669467896306132</c:v>
                </c:pt>
                <c:pt idx="6">
                  <c:v>0.0579919469776867</c:v>
                </c:pt>
                <c:pt idx="7">
                  <c:v>0.0511525224473813</c:v>
                </c:pt>
                <c:pt idx="8">
                  <c:v>0.0457574905606751</c:v>
                </c:pt>
              </c:numCache>
            </c:numRef>
          </c:val>
        </c:ser>
        <c:gapWidth val="150"/>
        <c:overlap val="0"/>
        <c:axId val="10153548"/>
        <c:axId val="80753676"/>
      </c:barChart>
      <c:catAx>
        <c:axId val="101535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753676"/>
        <c:crosses val="autoZero"/>
        <c:auto val="1"/>
        <c:lblAlgn val="ctr"/>
        <c:lblOffset val="100"/>
        <c:noMultiLvlLbl val="0"/>
      </c:catAx>
      <c:valAx>
        <c:axId val="807536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015354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13</xdr:row>
      <xdr:rowOff>160560</xdr:rowOff>
    </xdr:from>
    <xdr:to>
      <xdr:col>8</xdr:col>
      <xdr:colOff>120960</xdr:colOff>
      <xdr:row>28</xdr:row>
      <xdr:rowOff>182880</xdr:rowOff>
    </xdr:to>
    <xdr:graphicFrame>
      <xdr:nvGraphicFramePr>
        <xdr:cNvPr id="0" name="Chart 1"/>
        <xdr:cNvGraphicFramePr/>
      </xdr:nvGraphicFramePr>
      <xdr:xfrm>
        <a:off x="4511160" y="29052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1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5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/>
    </row>
    <row r="4" customFormat="false" ht="15" hidden="false" customHeight="false" outlineLevel="0" collapsed="false">
      <c r="A4" s="4" t="s">
        <v>2</v>
      </c>
    </row>
    <row r="5" customFormat="false" ht="28.3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4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4" t="s">
        <v>15</v>
      </c>
    </row>
    <row r="20" customFormat="false" ht="15" hidden="false" customHeight="false" outlineLevel="0" collapsed="false">
      <c r="A20" s="3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 t="s">
        <v>18</v>
      </c>
    </row>
    <row r="23" customFormat="false" ht="15" hidden="false" customHeight="false" outlineLevel="0" collapsed="false">
      <c r="A23" s="3"/>
    </row>
    <row r="24" customFormat="false" ht="15" hidden="false" customHeight="false" outlineLevel="0" collapsed="false">
      <c r="A24" s="4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3" t="s">
        <v>21</v>
      </c>
    </row>
    <row r="27" customFormat="false" ht="15" hidden="false" customHeight="false" outlineLevel="0" collapsed="false">
      <c r="A27" s="3" t="s">
        <v>22</v>
      </c>
    </row>
    <row r="28" customFormat="false" ht="15" hidden="false" customHeight="false" outlineLevel="0" collapsed="false">
      <c r="A28" s="3" t="s">
        <v>23</v>
      </c>
    </row>
    <row r="29" customFormat="false" ht="15" hidden="false" customHeight="false" outlineLevel="0" collapsed="false">
      <c r="A29" s="3" t="s">
        <v>24</v>
      </c>
    </row>
    <row r="30" customFormat="false" ht="28.35" hidden="false" customHeight="false" outlineLevel="0" collapsed="false">
      <c r="A30" s="3" t="s">
        <v>25</v>
      </c>
    </row>
    <row r="31" customFormat="false" ht="15" hidden="false" customHeight="false" outlineLevel="0" collapsed="false">
      <c r="A31" s="3" t="s">
        <v>26</v>
      </c>
    </row>
    <row r="32" customFormat="false" ht="15" hidden="false" customHeight="false" outlineLevel="0" collapsed="false">
      <c r="A32" s="3"/>
    </row>
    <row r="33" customFormat="false" ht="15" hidden="false" customHeight="false" outlineLevel="0" collapsed="false">
      <c r="A33" s="4" t="s">
        <v>27</v>
      </c>
    </row>
    <row r="34" customFormat="false" ht="15" hidden="false" customHeight="false" outlineLevel="0" collapsed="false">
      <c r="A34" s="3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5" t="s">
        <v>29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30</v>
      </c>
    </row>
    <row r="4" customFormat="false" ht="33.75" hidden="false" customHeight="true" outlineLevel="0" collapsed="false">
      <c r="A4" s="7" t="s">
        <v>31</v>
      </c>
      <c r="B4" s="7" t="s">
        <v>32</v>
      </c>
      <c r="C4" s="7" t="s">
        <v>33</v>
      </c>
    </row>
    <row r="5" customFormat="false" ht="15" hidden="false" customHeight="false" outlineLevel="0" collapsed="false">
      <c r="A5" s="0" t="s">
        <v>34</v>
      </c>
      <c r="B5" s="8" t="n">
        <v>45658</v>
      </c>
      <c r="C5" s="9" t="s">
        <v>35</v>
      </c>
    </row>
    <row r="6" customFormat="false" ht="15" hidden="false" customHeight="false" outlineLevel="0" collapsed="false">
      <c r="A6" s="0" t="s">
        <v>36</v>
      </c>
      <c r="B6" s="8" t="n">
        <v>46022</v>
      </c>
      <c r="C6" s="9" t="s">
        <v>35</v>
      </c>
    </row>
    <row r="7" customFormat="false" ht="15" hidden="false" customHeight="false" outlineLevel="0" collapsed="false">
      <c r="A7" s="0" t="s">
        <v>37</v>
      </c>
      <c r="B7" s="10" t="n">
        <v>5000</v>
      </c>
      <c r="C7" s="9" t="s">
        <v>38</v>
      </c>
    </row>
    <row r="8" customFormat="false" ht="15" hidden="false" customHeight="false" outlineLevel="0" collapsed="false">
      <c r="A8" s="0" t="s">
        <v>39</v>
      </c>
      <c r="B8" s="10" t="s">
        <v>40</v>
      </c>
      <c r="C8" s="9" t="s">
        <v>41</v>
      </c>
    </row>
    <row r="9" customFormat="false" ht="15" hidden="false" customHeight="false" outlineLevel="0" collapsed="false">
      <c r="A9" s="0" t="s">
        <v>42</v>
      </c>
      <c r="B9" s="10" t="n">
        <v>0.05</v>
      </c>
      <c r="C9" s="9" t="s">
        <v>43</v>
      </c>
    </row>
    <row r="10" customFormat="false" ht="15" hidden="false" customHeight="false" outlineLevel="0" collapsed="false">
      <c r="A10" s="0" t="s">
        <v>44</v>
      </c>
      <c r="B10" s="10" t="n">
        <v>1000</v>
      </c>
      <c r="C10" s="9" t="s">
        <v>45</v>
      </c>
    </row>
    <row r="11" customFormat="false" ht="15" hidden="false" customHeight="false" outlineLevel="0" collapsed="false">
      <c r="A11" s="0" t="s">
        <v>46</v>
      </c>
      <c r="B11" s="10" t="n">
        <v>1000</v>
      </c>
      <c r="C11" s="9" t="s">
        <v>47</v>
      </c>
    </row>
    <row r="12" customFormat="false" ht="15" hidden="false" customHeight="false" outlineLevel="0" collapsed="false">
      <c r="A12" s="0" t="s">
        <v>48</v>
      </c>
      <c r="B12" s="10" t="n">
        <v>30</v>
      </c>
      <c r="C12" s="9" t="s">
        <v>49</v>
      </c>
    </row>
    <row r="13" customFormat="false" ht="15" hidden="false" customHeight="false" outlineLevel="0" collapsed="false">
      <c r="A13" s="0" t="s">
        <v>50</v>
      </c>
      <c r="B13" s="10" t="n">
        <v>30</v>
      </c>
      <c r="C13" s="9" t="s">
        <v>51</v>
      </c>
    </row>
    <row r="14" customFormat="false" ht="15" hidden="false" customHeight="false" outlineLevel="0" collapsed="false">
      <c r="A14" s="0" t="s">
        <v>52</v>
      </c>
      <c r="B14" s="10" t="n">
        <v>0.015</v>
      </c>
      <c r="C14" s="9" t="s">
        <v>53</v>
      </c>
    </row>
    <row r="15" customFormat="false" ht="15" hidden="false" customHeight="false" outlineLevel="0" collapsed="false">
      <c r="A15" s="0" t="s">
        <v>54</v>
      </c>
      <c r="B15" s="10" t="n">
        <v>1.96</v>
      </c>
      <c r="C15" s="9" t="s">
        <v>55</v>
      </c>
    </row>
    <row r="16" customFormat="false" ht="15" hidden="false" customHeight="false" outlineLevel="0" collapsed="false">
      <c r="A16" s="0" t="s">
        <v>56</v>
      </c>
      <c r="B16" s="10" t="n">
        <v>15.507</v>
      </c>
      <c r="C16" s="9" t="s">
        <v>57</v>
      </c>
    </row>
    <row r="17" customFormat="false" ht="15" hidden="false" customHeight="false" outlineLevel="0" collapsed="false">
      <c r="A17" s="0" t="s">
        <v>58</v>
      </c>
      <c r="B17" s="10" t="n">
        <v>15</v>
      </c>
      <c r="C17" s="9" t="s">
        <v>59</v>
      </c>
    </row>
    <row r="18" customFormat="false" ht="15" hidden="false" customHeight="false" outlineLevel="0" collapsed="false">
      <c r="A18" s="0" t="s">
        <v>60</v>
      </c>
      <c r="B18" s="10" t="n">
        <v>3</v>
      </c>
      <c r="C18" s="9" t="s">
        <v>61</v>
      </c>
    </row>
    <row r="19" customFormat="false" ht="15" hidden="false" customHeight="false" outlineLevel="0" collapsed="false">
      <c r="A19" s="0" t="s">
        <v>62</v>
      </c>
      <c r="B19" s="10" t="n">
        <v>50000</v>
      </c>
      <c r="C19" s="9" t="s">
        <v>63</v>
      </c>
    </row>
    <row r="20" customFormat="false" ht="15" hidden="false" customHeight="false" outlineLevel="0" collapsed="false">
      <c r="A20" s="0" t="s">
        <v>64</v>
      </c>
      <c r="B20" s="10" t="n">
        <v>0.05</v>
      </c>
      <c r="C20" s="9" t="s">
        <v>65</v>
      </c>
    </row>
    <row r="21" customFormat="false" ht="15" hidden="false" customHeight="false" outlineLevel="0" collapsed="false">
      <c r="A21" s="0" t="s">
        <v>66</v>
      </c>
      <c r="B21" s="10" t="n">
        <v>1000</v>
      </c>
      <c r="C21" s="9" t="s">
        <v>67</v>
      </c>
    </row>
    <row r="22" customFormat="false" ht="15" hidden="false" customHeight="false" outlineLevel="0" collapsed="false">
      <c r="A22" s="0" t="s">
        <v>68</v>
      </c>
      <c r="B22" s="10" t="n">
        <v>10000</v>
      </c>
      <c r="C22" s="9" t="s">
        <v>69</v>
      </c>
    </row>
    <row r="23" customFormat="false" ht="15" hidden="false" customHeight="false" outlineLevel="0" collapsed="false">
      <c r="A23" s="0" t="s">
        <v>70</v>
      </c>
      <c r="B23" s="10" t="n">
        <v>0.005</v>
      </c>
      <c r="C23" s="9" t="s">
        <v>71</v>
      </c>
    </row>
    <row r="24" customFormat="false" ht="15" hidden="false" customHeight="false" outlineLevel="0" collapsed="false">
      <c r="A24" s="0" t="s">
        <v>72</v>
      </c>
      <c r="B24" s="10" t="n">
        <v>5</v>
      </c>
      <c r="C24" s="9" t="s">
        <v>73</v>
      </c>
    </row>
    <row r="25" customFormat="false" ht="15" hidden="false" customHeight="false" outlineLevel="0" collapsed="false">
      <c r="A25" s="0" t="s">
        <v>74</v>
      </c>
      <c r="B25" s="10" t="n">
        <v>5</v>
      </c>
      <c r="C25" s="9" t="s">
        <v>73</v>
      </c>
    </row>
    <row r="27" customFormat="false" ht="15" hidden="false" customHeight="false" outlineLevel="0" collapsed="false">
      <c r="A27" s="11" t="s">
        <v>75</v>
      </c>
    </row>
    <row r="28" customFormat="false" ht="15" hidden="false" customHeight="false" outlineLevel="0" collapsed="false">
      <c r="A28" s="0" t="s">
        <v>76</v>
      </c>
      <c r="B28" s="10" t="n">
        <v>5</v>
      </c>
    </row>
    <row r="29" customFormat="false" ht="15" hidden="false" customHeight="false" outlineLevel="0" collapsed="false">
      <c r="A29" s="0" t="s">
        <v>77</v>
      </c>
      <c r="B29" s="10" t="n">
        <v>3</v>
      </c>
    </row>
    <row r="30" customFormat="false" ht="15" hidden="false" customHeight="false" outlineLevel="0" collapsed="false">
      <c r="A30" s="0" t="s">
        <v>78</v>
      </c>
      <c r="B30" s="10" t="n">
        <v>2</v>
      </c>
    </row>
    <row r="31" customFormat="false" ht="15" hidden="false" customHeight="false" outlineLevel="0" collapsed="false">
      <c r="A31" s="0" t="s">
        <v>79</v>
      </c>
      <c r="B31" s="10" t="n">
        <v>2</v>
      </c>
    </row>
    <row r="32" customFormat="false" ht="15" hidden="false" customHeight="false" outlineLevel="0" collapsed="false">
      <c r="A32" s="0" t="s">
        <v>80</v>
      </c>
      <c r="B32" s="10" t="n">
        <v>3</v>
      </c>
    </row>
    <row r="33" customFormat="false" ht="15" hidden="false" customHeight="false" outlineLevel="0" collapsed="false">
      <c r="A33" s="0" t="s">
        <v>81</v>
      </c>
      <c r="B33" s="10" t="n">
        <v>4</v>
      </c>
    </row>
    <row r="34" customFormat="false" ht="15" hidden="false" customHeight="false" outlineLevel="0" collapsed="false">
      <c r="A34" s="0" t="s">
        <v>82</v>
      </c>
      <c r="B34" s="10" t="n">
        <v>5</v>
      </c>
    </row>
    <row r="35" customFormat="false" ht="15" hidden="false" customHeight="false" outlineLevel="0" collapsed="false">
      <c r="A35" s="0" t="s">
        <v>83</v>
      </c>
      <c r="B35" s="10" t="n">
        <v>2</v>
      </c>
    </row>
    <row r="37" customFormat="false" ht="15" hidden="false" customHeight="false" outlineLevel="0" collapsed="false">
      <c r="A37" s="11" t="s">
        <v>84</v>
      </c>
    </row>
    <row r="38" customFormat="false" ht="15" hidden="false" customHeight="false" outlineLevel="0" collapsed="false">
      <c r="A38" s="0" t="s">
        <v>85</v>
      </c>
      <c r="B38" s="10" t="n">
        <v>5</v>
      </c>
    </row>
    <row r="39" customFormat="false" ht="15" hidden="false" customHeight="false" outlineLevel="0" collapsed="false">
      <c r="A39" s="0" t="s">
        <v>86</v>
      </c>
      <c r="B39" s="10" t="n">
        <v>2</v>
      </c>
    </row>
    <row r="40" customFormat="false" ht="15" hidden="false" customHeight="false" outlineLevel="0" collapsed="false">
      <c r="A40" s="0" t="s">
        <v>87</v>
      </c>
      <c r="B40" s="10" t="n">
        <v>2</v>
      </c>
    </row>
    <row r="41" customFormat="false" ht="15" hidden="false" customHeight="false" outlineLevel="0" collapsed="false">
      <c r="A41" s="0" t="s">
        <v>88</v>
      </c>
      <c r="B41" s="10" t="n">
        <v>1</v>
      </c>
    </row>
    <row r="42" customFormat="false" ht="15" hidden="false" customHeight="false" outlineLevel="0" collapsed="false">
      <c r="A42" s="0" t="s">
        <v>89</v>
      </c>
      <c r="B42" s="10" t="n">
        <v>3</v>
      </c>
    </row>
    <row r="43" customFormat="false" ht="15" hidden="false" customHeight="false" outlineLevel="0" collapsed="false">
      <c r="A43" s="0" t="s">
        <v>90</v>
      </c>
      <c r="B43" s="10" t="n">
        <v>3</v>
      </c>
    </row>
    <row r="44" customFormat="false" ht="15" hidden="false" customHeight="false" outlineLevel="0" collapsed="false">
      <c r="A44" s="0" t="s">
        <v>91</v>
      </c>
      <c r="B44" s="10" t="n">
        <v>2</v>
      </c>
    </row>
    <row r="45" customFormat="false" ht="15" hidden="false" customHeight="false" outlineLevel="0" collapsed="false">
      <c r="A45" s="0" t="s">
        <v>92</v>
      </c>
      <c r="B45" s="10" t="n">
        <v>2</v>
      </c>
    </row>
    <row r="46" customFormat="false" ht="15" hidden="false" customHeight="false" outlineLevel="0" collapsed="false">
      <c r="A46" s="0" t="s">
        <v>93</v>
      </c>
      <c r="B46" s="10" t="n">
        <v>3</v>
      </c>
    </row>
    <row r="47" customFormat="false" ht="15" hidden="false" customHeight="false" outlineLevel="0" collapsed="false">
      <c r="A47" s="0" t="s">
        <v>94</v>
      </c>
      <c r="B47" s="10" t="n">
        <v>2</v>
      </c>
    </row>
    <row r="48" customFormat="false" ht="15" hidden="false" customHeight="false" outlineLevel="0" collapsed="false">
      <c r="A48" s="0" t="s">
        <v>95</v>
      </c>
      <c r="B48" s="10" t="n">
        <v>1</v>
      </c>
    </row>
    <row r="50" customFormat="false" ht="15" hidden="false" customHeight="false" outlineLevel="0" collapsed="false">
      <c r="A50" s="11" t="s">
        <v>96</v>
      </c>
    </row>
    <row r="51" customFormat="false" ht="15" hidden="false" customHeight="false" outlineLevel="0" collapsed="false">
      <c r="A51" s="10" t="s">
        <v>97</v>
      </c>
    </row>
    <row r="52" customFormat="false" ht="15" hidden="false" customHeight="false" outlineLevel="0" collapsed="false">
      <c r="A52" s="10" t="s">
        <v>98</v>
      </c>
    </row>
    <row r="53" customFormat="false" ht="15" hidden="false" customHeight="false" outlineLevel="0" collapsed="false">
      <c r="A53" s="10" t="s">
        <v>99</v>
      </c>
    </row>
    <row r="54" customFormat="false" ht="15" hidden="false" customHeight="false" outlineLevel="0" collapsed="false">
      <c r="A54" s="10" t="s">
        <v>100</v>
      </c>
    </row>
    <row r="55" customFormat="false" ht="15" hidden="false" customHeight="false" outlineLevel="0" collapsed="false">
      <c r="A55" s="10" t="s">
        <v>101</v>
      </c>
    </row>
    <row r="56" customFormat="false" ht="15" hidden="false" customHeight="false" outlineLevel="0" collapsed="false">
      <c r="A56" s="10" t="s">
        <v>102</v>
      </c>
    </row>
    <row r="57" customFormat="false" ht="15" hidden="false" customHeight="false" outlineLevel="0" collapsed="false">
      <c r="A57" s="10" t="s">
        <v>103</v>
      </c>
    </row>
    <row r="58" customFormat="false" ht="15" hidden="false" customHeight="false" outlineLevel="0" collapsed="false">
      <c r="A58" s="10" t="s">
        <v>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22"/>
  </cols>
  <sheetData>
    <row r="1" customFormat="false" ht="17.35" hidden="false" customHeight="false" outlineLevel="0" collapsed="false">
      <c r="A1" s="5" t="s">
        <v>105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106</v>
      </c>
    </row>
    <row r="4" customFormat="false" ht="33.75" hidden="false" customHeight="true" outlineLevel="0" collapsed="false">
      <c r="A4" s="7" t="s">
        <v>107</v>
      </c>
      <c r="B4" s="7" t="s">
        <v>108</v>
      </c>
      <c r="C4" s="7" t="s">
        <v>109</v>
      </c>
    </row>
    <row r="5" customFormat="false" ht="15" hidden="false" customHeight="false" outlineLevel="0" collapsed="false">
      <c r="A5" s="10" t="s">
        <v>110</v>
      </c>
      <c r="B5" s="10" t="s">
        <v>111</v>
      </c>
      <c r="C5" s="10" t="s">
        <v>112</v>
      </c>
    </row>
    <row r="6" customFormat="false" ht="15" hidden="false" customHeight="false" outlineLevel="0" collapsed="false">
      <c r="A6" s="10" t="s">
        <v>113</v>
      </c>
      <c r="B6" s="10" t="s">
        <v>114</v>
      </c>
      <c r="C6" s="10" t="s">
        <v>115</v>
      </c>
    </row>
    <row r="7" customFormat="false" ht="15" hidden="false" customHeight="false" outlineLevel="0" collapsed="false">
      <c r="A7" s="10" t="s">
        <v>116</v>
      </c>
      <c r="B7" s="10" t="s">
        <v>117</v>
      </c>
      <c r="C7" s="10" t="s">
        <v>118</v>
      </c>
    </row>
    <row r="8" customFormat="false" ht="15" hidden="false" customHeight="false" outlineLevel="0" collapsed="false">
      <c r="A8" s="10" t="s">
        <v>119</v>
      </c>
      <c r="B8" s="10" t="s">
        <v>120</v>
      </c>
      <c r="C8" s="10" t="s">
        <v>121</v>
      </c>
    </row>
    <row r="9" customFormat="false" ht="15" hidden="false" customHeight="false" outlineLevel="0" collapsed="false">
      <c r="A9" s="10" t="s">
        <v>122</v>
      </c>
      <c r="B9" s="10" t="s">
        <v>123</v>
      </c>
      <c r="C9" s="10" t="s">
        <v>124</v>
      </c>
    </row>
    <row r="10" customFormat="false" ht="15" hidden="false" customHeight="false" outlineLevel="0" collapsed="false">
      <c r="A10" s="10" t="s">
        <v>125</v>
      </c>
      <c r="B10" s="10" t="s">
        <v>126</v>
      </c>
      <c r="C10" s="10" t="s">
        <v>127</v>
      </c>
    </row>
    <row r="11" customFormat="false" ht="15" hidden="false" customHeight="false" outlineLevel="0" collapsed="false">
      <c r="A11" s="10" t="s">
        <v>128</v>
      </c>
      <c r="B11" s="10" t="s">
        <v>129</v>
      </c>
      <c r="C11" s="10" t="s">
        <v>130</v>
      </c>
    </row>
    <row r="12" customFormat="false" ht="15" hidden="false" customHeight="false" outlineLevel="0" collapsed="false">
      <c r="A12" s="10" t="s">
        <v>131</v>
      </c>
      <c r="B12" s="10" t="s">
        <v>132</v>
      </c>
      <c r="C12" s="10" t="s">
        <v>133</v>
      </c>
    </row>
    <row r="13" customFormat="false" ht="15" hidden="false" customHeight="false" outlineLevel="0" collapsed="false">
      <c r="A13" s="10" t="s">
        <v>134</v>
      </c>
      <c r="B13" s="10" t="s">
        <v>135</v>
      </c>
      <c r="C13" s="10" t="s">
        <v>136</v>
      </c>
    </row>
    <row r="14" customFormat="false" ht="15" hidden="false" customHeight="false" outlineLevel="0" collapsed="false">
      <c r="A14" s="10" t="s">
        <v>137</v>
      </c>
      <c r="B14" s="10" t="s">
        <v>138</v>
      </c>
      <c r="C14" s="10" t="s">
        <v>139</v>
      </c>
    </row>
    <row r="15" customFormat="false" ht="15" hidden="false" customHeight="false" outlineLevel="0" collapsed="false">
      <c r="A15" s="10" t="s">
        <v>140</v>
      </c>
      <c r="B15" s="10" t="s">
        <v>141</v>
      </c>
      <c r="C15" s="10" t="s">
        <v>142</v>
      </c>
    </row>
    <row r="16" customFormat="false" ht="15" hidden="false" customHeight="false" outlineLevel="0" collapsed="false">
      <c r="A16" s="10" t="s">
        <v>143</v>
      </c>
      <c r="B16" s="10" t="s">
        <v>144</v>
      </c>
      <c r="C16" s="10" t="s">
        <v>145</v>
      </c>
    </row>
    <row r="17" customFormat="false" ht="15" hidden="false" customHeight="false" outlineLevel="0" collapsed="false">
      <c r="A17" s="10" t="s">
        <v>146</v>
      </c>
      <c r="B17" s="10" t="s">
        <v>147</v>
      </c>
      <c r="C17" s="10" t="s">
        <v>148</v>
      </c>
    </row>
    <row r="18" customFormat="false" ht="15" hidden="false" customHeight="false" outlineLevel="0" collapsed="false">
      <c r="A18" s="10" t="s">
        <v>149</v>
      </c>
      <c r="B18" s="10" t="s">
        <v>150</v>
      </c>
      <c r="C18" s="10" t="s">
        <v>151</v>
      </c>
    </row>
    <row r="19" customFormat="false" ht="15" hidden="false" customHeight="false" outlineLevel="0" collapsed="false">
      <c r="A19" s="10" t="s">
        <v>152</v>
      </c>
      <c r="B19" s="10" t="s">
        <v>153</v>
      </c>
      <c r="C19" s="10" t="s">
        <v>154</v>
      </c>
    </row>
    <row r="20" customFormat="false" ht="15" hidden="false" customHeight="false" outlineLevel="0" collapsed="false">
      <c r="A20" s="10" t="s">
        <v>155</v>
      </c>
      <c r="B20" s="10" t="s">
        <v>156</v>
      </c>
      <c r="C20" s="10" t="s">
        <v>157</v>
      </c>
    </row>
    <row r="21" customFormat="false" ht="15" hidden="false" customHeight="false" outlineLevel="0" collapsed="false">
      <c r="A21" s="10" t="s">
        <v>158</v>
      </c>
      <c r="B21" s="10" t="s">
        <v>159</v>
      </c>
      <c r="C21" s="10" t="s">
        <v>160</v>
      </c>
    </row>
    <row r="22" customFormat="false" ht="15" hidden="false" customHeight="false" outlineLevel="0" collapsed="false">
      <c r="A22" s="10" t="s">
        <v>161</v>
      </c>
      <c r="B22" s="10" t="s">
        <v>162</v>
      </c>
      <c r="C22" s="10" t="s">
        <v>163</v>
      </c>
    </row>
    <row r="23" customFormat="false" ht="15" hidden="false" customHeight="false" outlineLevel="0" collapsed="false">
      <c r="A23" s="10" t="s">
        <v>164</v>
      </c>
      <c r="B23" s="10" t="s">
        <v>165</v>
      </c>
      <c r="C23" s="10" t="s">
        <v>166</v>
      </c>
    </row>
    <row r="24" customFormat="false" ht="15" hidden="false" customHeight="false" outlineLevel="0" collapsed="false">
      <c r="A24" s="10" t="s">
        <v>167</v>
      </c>
      <c r="B24" s="10" t="s">
        <v>168</v>
      </c>
      <c r="C24" s="10" t="s">
        <v>169</v>
      </c>
    </row>
    <row r="25" customFormat="false" ht="15" hidden="false" customHeight="false" outlineLevel="0" collapsed="false">
      <c r="A25" s="10" t="s">
        <v>170</v>
      </c>
      <c r="B25" s="10" t="s">
        <v>171</v>
      </c>
      <c r="C25" s="10" t="s">
        <v>172</v>
      </c>
    </row>
    <row r="26" customFormat="false" ht="15" hidden="false" customHeight="false" outlineLevel="0" collapsed="false">
      <c r="A26" s="10" t="s">
        <v>173</v>
      </c>
      <c r="B26" s="10" t="s">
        <v>174</v>
      </c>
      <c r="C26" s="10" t="s">
        <v>175</v>
      </c>
    </row>
    <row r="27" customFormat="false" ht="15" hidden="false" customHeight="false" outlineLevel="0" collapsed="false">
      <c r="A27" s="10" t="s">
        <v>176</v>
      </c>
      <c r="B27" s="10" t="s">
        <v>177</v>
      </c>
      <c r="C27" s="10" t="s">
        <v>178</v>
      </c>
    </row>
    <row r="28" customFormat="false" ht="15" hidden="false" customHeight="false" outlineLevel="0" collapsed="false">
      <c r="A28" s="10" t="s">
        <v>179</v>
      </c>
      <c r="B28" s="10" t="s">
        <v>180</v>
      </c>
      <c r="C28" s="10" t="s">
        <v>181</v>
      </c>
    </row>
    <row r="29" customFormat="false" ht="15" hidden="false" customHeight="false" outlineLevel="0" collapsed="false">
      <c r="A29" s="10" t="s">
        <v>182</v>
      </c>
      <c r="B29" s="10" t="s">
        <v>183</v>
      </c>
      <c r="C29" s="10" t="s">
        <v>184</v>
      </c>
    </row>
    <row r="30" customFormat="false" ht="15" hidden="false" customHeight="false" outlineLevel="0" collapsed="false">
      <c r="A30" s="10" t="s">
        <v>185</v>
      </c>
      <c r="B30" s="10" t="s">
        <v>186</v>
      </c>
      <c r="C30" s="10" t="s">
        <v>187</v>
      </c>
    </row>
    <row r="31" customFormat="false" ht="15" hidden="false" customHeight="false" outlineLevel="0" collapsed="false">
      <c r="A31" s="10" t="s">
        <v>188</v>
      </c>
      <c r="B31" s="10" t="s">
        <v>189</v>
      </c>
      <c r="C31" s="10" t="s">
        <v>190</v>
      </c>
    </row>
    <row r="32" customFormat="false" ht="15" hidden="false" customHeight="false" outlineLevel="0" collapsed="false">
      <c r="A32" s="10" t="s">
        <v>191</v>
      </c>
      <c r="B32" s="10" t="s">
        <v>192</v>
      </c>
      <c r="C32" s="10" t="s">
        <v>193</v>
      </c>
    </row>
    <row r="33" customFormat="false" ht="15" hidden="false" customHeight="false" outlineLevel="0" collapsed="false">
      <c r="A33" s="10" t="s">
        <v>194</v>
      </c>
      <c r="B33" s="10" t="s">
        <v>195</v>
      </c>
      <c r="C33" s="10" t="s">
        <v>196</v>
      </c>
    </row>
    <row r="34" customFormat="false" ht="15" hidden="false" customHeight="false" outlineLevel="0" collapsed="false">
      <c r="A34" s="10" t="s">
        <v>197</v>
      </c>
      <c r="B34" s="10" t="s">
        <v>198</v>
      </c>
      <c r="C34" s="10" t="s">
        <v>199</v>
      </c>
    </row>
    <row r="35" customFormat="false" ht="15" hidden="false" customHeight="false" outlineLevel="0" collapsed="false">
      <c r="A35" s="10" t="s">
        <v>200</v>
      </c>
      <c r="B35" s="10" t="s">
        <v>201</v>
      </c>
      <c r="C35" s="10" t="s">
        <v>202</v>
      </c>
    </row>
    <row r="36" customFormat="false" ht="15" hidden="false" customHeight="false" outlineLevel="0" collapsed="false">
      <c r="A36" s="10" t="s">
        <v>203</v>
      </c>
      <c r="B36" s="10" t="s">
        <v>204</v>
      </c>
      <c r="C36" s="10" t="s">
        <v>205</v>
      </c>
    </row>
    <row r="37" customFormat="false" ht="15" hidden="false" customHeight="false" outlineLevel="0" collapsed="false">
      <c r="A37" s="10" t="s">
        <v>206</v>
      </c>
      <c r="B37" s="10" t="s">
        <v>207</v>
      </c>
      <c r="C37" s="10" t="s">
        <v>208</v>
      </c>
    </row>
    <row r="38" customFormat="false" ht="15" hidden="false" customHeight="false" outlineLevel="0" collapsed="false">
      <c r="A38" s="10" t="s">
        <v>209</v>
      </c>
      <c r="B38" s="10" t="s">
        <v>210</v>
      </c>
      <c r="C38" s="10" t="s">
        <v>211</v>
      </c>
    </row>
    <row r="39" customFormat="false" ht="15" hidden="false" customHeight="false" outlineLevel="0" collapsed="false">
      <c r="A39" s="10" t="s">
        <v>212</v>
      </c>
      <c r="B39" s="10" t="s">
        <v>213</v>
      </c>
      <c r="C39" s="10" t="s">
        <v>214</v>
      </c>
    </row>
    <row r="40" customFormat="false" ht="15" hidden="false" customHeight="false" outlineLevel="0" collapsed="false">
      <c r="A40" s="10" t="s">
        <v>215</v>
      </c>
      <c r="B40" s="10" t="s">
        <v>216</v>
      </c>
      <c r="C40" s="10" t="s">
        <v>217</v>
      </c>
    </row>
    <row r="41" customFormat="false" ht="15" hidden="false" customHeight="false" outlineLevel="0" collapsed="false">
      <c r="A41" s="10" t="s">
        <v>218</v>
      </c>
      <c r="B41" s="10" t="s">
        <v>219</v>
      </c>
      <c r="C41" s="10" t="s">
        <v>220</v>
      </c>
    </row>
    <row r="42" customFormat="false" ht="15" hidden="false" customHeight="false" outlineLevel="0" collapsed="false">
      <c r="A42" s="10" t="s">
        <v>221</v>
      </c>
      <c r="B42" s="10" t="s">
        <v>222</v>
      </c>
      <c r="C42" s="10" t="s">
        <v>223</v>
      </c>
    </row>
    <row r="43" customFormat="false" ht="15" hidden="false" customHeight="false" outlineLevel="0" collapsed="false">
      <c r="A43" s="10" t="s">
        <v>224</v>
      </c>
      <c r="B43" s="10" t="s">
        <v>225</v>
      </c>
      <c r="C43" s="10" t="s">
        <v>226</v>
      </c>
    </row>
    <row r="44" customFormat="false" ht="15" hidden="false" customHeight="false" outlineLevel="0" collapsed="false">
      <c r="A44" s="10" t="s">
        <v>227</v>
      </c>
      <c r="B44" s="10" t="s">
        <v>228</v>
      </c>
      <c r="C44" s="10" t="s">
        <v>229</v>
      </c>
    </row>
    <row r="45" customFormat="false" ht="15" hidden="false" customHeight="false" outlineLevel="0" collapsed="false">
      <c r="A45" s="10" t="s">
        <v>230</v>
      </c>
      <c r="B45" s="10" t="s">
        <v>231</v>
      </c>
      <c r="C45" s="10" t="s">
        <v>232</v>
      </c>
    </row>
    <row r="46" customFormat="false" ht="15" hidden="false" customHeight="false" outlineLevel="0" collapsed="false">
      <c r="A46" s="10" t="s">
        <v>233</v>
      </c>
      <c r="B46" s="10" t="s">
        <v>234</v>
      </c>
      <c r="C46" s="10" t="s">
        <v>235</v>
      </c>
    </row>
    <row r="47" customFormat="false" ht="15" hidden="false" customHeight="false" outlineLevel="0" collapsed="false">
      <c r="A47" s="10" t="s">
        <v>236</v>
      </c>
      <c r="B47" s="10" t="s">
        <v>237</v>
      </c>
      <c r="C47" s="10" t="s">
        <v>238</v>
      </c>
    </row>
    <row r="48" customFormat="false" ht="15" hidden="false" customHeight="false" outlineLevel="0" collapsed="false">
      <c r="A48" s="10" t="s">
        <v>239</v>
      </c>
      <c r="B48" s="10" t="s">
        <v>240</v>
      </c>
      <c r="C48" s="10" t="s">
        <v>241</v>
      </c>
    </row>
    <row r="49" customFormat="false" ht="15" hidden="false" customHeight="false" outlineLevel="0" collapsed="false">
      <c r="A49" s="10" t="s">
        <v>242</v>
      </c>
      <c r="B49" s="10" t="s">
        <v>243</v>
      </c>
      <c r="C49" s="10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</cols>
  <sheetData>
    <row r="1" customFormat="false" ht="17.35" hidden="false" customHeight="false" outlineLevel="0" collapsed="false">
      <c r="A1" s="5" t="s">
        <v>245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246</v>
      </c>
    </row>
    <row r="4" customFormat="false" ht="33.75" hidden="false" customHeight="true" outlineLevel="0" collapsed="false">
      <c r="A4" s="7" t="s">
        <v>247</v>
      </c>
      <c r="B4" s="7" t="s">
        <v>109</v>
      </c>
    </row>
    <row r="5" customFormat="false" ht="15" hidden="false" customHeight="false" outlineLevel="0" collapsed="false">
      <c r="A5" s="10" t="s">
        <v>248</v>
      </c>
      <c r="B5" s="10" t="s">
        <v>249</v>
      </c>
    </row>
    <row r="6" customFormat="false" ht="15" hidden="false" customHeight="false" outlineLevel="0" collapsed="false">
      <c r="A6" s="10" t="s">
        <v>250</v>
      </c>
      <c r="B6" s="10" t="s">
        <v>251</v>
      </c>
    </row>
    <row r="7" customFormat="false" ht="15" hidden="false" customHeight="false" outlineLevel="0" collapsed="false">
      <c r="A7" s="10" t="s">
        <v>252</v>
      </c>
      <c r="B7" s="10" t="s">
        <v>253</v>
      </c>
    </row>
    <row r="8" customFormat="false" ht="15" hidden="false" customHeight="false" outlineLevel="0" collapsed="false">
      <c r="A8" s="10" t="s">
        <v>254</v>
      </c>
      <c r="B8" s="10" t="s">
        <v>255</v>
      </c>
    </row>
    <row r="9" customFormat="false" ht="15" hidden="false" customHeight="false" outlineLevel="0" collapsed="false">
      <c r="A9" s="10" t="s">
        <v>256</v>
      </c>
      <c r="B9" s="10" t="s">
        <v>257</v>
      </c>
    </row>
    <row r="10" customFormat="false" ht="15" hidden="false" customHeight="false" outlineLevel="0" collapsed="false">
      <c r="A10" s="10" t="s">
        <v>258</v>
      </c>
      <c r="B10" s="10" t="s">
        <v>259</v>
      </c>
    </row>
    <row r="11" customFormat="false" ht="15" hidden="false" customHeight="false" outlineLevel="0" collapsed="false">
      <c r="A11" s="10" t="s">
        <v>260</v>
      </c>
      <c r="B11" s="10" t="s">
        <v>261</v>
      </c>
    </row>
    <row r="12" customFormat="false" ht="15" hidden="false" customHeight="false" outlineLevel="0" collapsed="false">
      <c r="A12" s="10" t="s">
        <v>262</v>
      </c>
      <c r="B12" s="10" t="s">
        <v>263</v>
      </c>
    </row>
    <row r="13" customFormat="false" ht="15" hidden="false" customHeight="false" outlineLevel="0" collapsed="false">
      <c r="A13" s="10" t="s">
        <v>264</v>
      </c>
      <c r="B13" s="10" t="s">
        <v>265</v>
      </c>
    </row>
    <row r="14" customFormat="false" ht="15" hidden="false" customHeight="false" outlineLevel="0" collapsed="false">
      <c r="A14" s="10" t="s">
        <v>266</v>
      </c>
      <c r="B14" s="10" t="s">
        <v>267</v>
      </c>
    </row>
    <row r="15" customFormat="false" ht="15" hidden="false" customHeight="false" outlineLevel="0" collapsed="false">
      <c r="A15" s="10" t="s">
        <v>268</v>
      </c>
      <c r="B15" s="10" t="s">
        <v>269</v>
      </c>
    </row>
    <row r="16" customFormat="false" ht="15" hidden="false" customHeight="false" outlineLevel="0" collapsed="false">
      <c r="A16" s="10" t="s">
        <v>270</v>
      </c>
      <c r="B16" s="10" t="s">
        <v>271</v>
      </c>
    </row>
    <row r="17" customFormat="false" ht="15" hidden="false" customHeight="false" outlineLevel="0" collapsed="false">
      <c r="A17" s="10" t="s">
        <v>272</v>
      </c>
      <c r="B17" s="10" t="s">
        <v>273</v>
      </c>
    </row>
    <row r="18" customFormat="false" ht="15" hidden="false" customHeight="false" outlineLevel="0" collapsed="false">
      <c r="A18" s="10" t="s">
        <v>274</v>
      </c>
      <c r="B18" s="10" t="s">
        <v>223</v>
      </c>
    </row>
    <row r="19" customFormat="false" ht="15" hidden="false" customHeight="false" outlineLevel="0" collapsed="false">
      <c r="A19" s="10" t="s">
        <v>275</v>
      </c>
      <c r="B19" s="10" t="s">
        <v>276</v>
      </c>
    </row>
    <row r="20" customFormat="false" ht="15" hidden="false" customHeight="false" outlineLevel="0" collapsed="false">
      <c r="A20" s="10" t="s">
        <v>277</v>
      </c>
      <c r="B20" s="10" t="s">
        <v>278</v>
      </c>
    </row>
    <row r="21" customFormat="false" ht="15" hidden="false" customHeight="false" outlineLevel="0" collapsed="false">
      <c r="A21" s="10" t="s">
        <v>279</v>
      </c>
      <c r="B21" s="10" t="s">
        <v>280</v>
      </c>
    </row>
    <row r="22" customFormat="false" ht="15" hidden="false" customHeight="false" outlineLevel="0" collapsed="false">
      <c r="A22" s="10" t="s">
        <v>281</v>
      </c>
      <c r="B22" s="10" t="s">
        <v>282</v>
      </c>
    </row>
    <row r="23" customFormat="false" ht="15" hidden="false" customHeight="false" outlineLevel="0" collapsed="false">
      <c r="A23" s="10" t="s">
        <v>283</v>
      </c>
      <c r="B23" s="10" t="s">
        <v>284</v>
      </c>
    </row>
    <row r="24" customFormat="false" ht="15" hidden="false" customHeight="false" outlineLevel="0" collapsed="false">
      <c r="A24" s="10" t="s">
        <v>285</v>
      </c>
      <c r="B24" s="10" t="s">
        <v>286</v>
      </c>
    </row>
    <row r="25" customFormat="false" ht="15" hidden="false" customHeight="false" outlineLevel="0" collapsed="false">
      <c r="A25" s="10" t="s">
        <v>287</v>
      </c>
      <c r="B25" s="10" t="s">
        <v>288</v>
      </c>
    </row>
    <row r="26" customFormat="false" ht="15" hidden="false" customHeight="false" outlineLevel="0" collapsed="false">
      <c r="A26" s="10" t="s">
        <v>289</v>
      </c>
      <c r="B26" s="10" t="s">
        <v>290</v>
      </c>
    </row>
    <row r="27" customFormat="false" ht="15" hidden="false" customHeight="false" outlineLevel="0" collapsed="false">
      <c r="A27" s="10" t="s">
        <v>291</v>
      </c>
      <c r="B27" s="10" t="s">
        <v>292</v>
      </c>
    </row>
    <row r="28" customFormat="false" ht="15" hidden="false" customHeight="false" outlineLevel="0" collapsed="false">
      <c r="A28" s="10" t="s">
        <v>293</v>
      </c>
      <c r="B28" s="10" t="s">
        <v>294</v>
      </c>
    </row>
    <row r="29" customFormat="false" ht="15" hidden="false" customHeight="false" outlineLevel="0" collapsed="false">
      <c r="A29" s="10" t="s">
        <v>295</v>
      </c>
      <c r="B29" s="10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6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7" min="3" style="0" width="14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8" min="11" style="0" width="14"/>
  </cols>
  <sheetData>
    <row r="1" customFormat="false" ht="17.35" hidden="false" customHeight="false" outlineLevel="0" collapsed="false">
      <c r="A1" s="5" t="s">
        <v>297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298</v>
      </c>
    </row>
    <row r="4" customFormat="false" ht="33.75" hidden="false" customHeight="true" outlineLevel="0" collapsed="false">
      <c r="A4" s="7" t="s">
        <v>299</v>
      </c>
      <c r="B4" s="7" t="s">
        <v>300</v>
      </c>
      <c r="C4" s="7" t="s">
        <v>301</v>
      </c>
      <c r="D4" s="7" t="s">
        <v>302</v>
      </c>
      <c r="E4" s="7" t="s">
        <v>303</v>
      </c>
      <c r="F4" s="7" t="s">
        <v>304</v>
      </c>
      <c r="G4" s="7" t="s">
        <v>305</v>
      </c>
      <c r="H4" s="7" t="s">
        <v>306</v>
      </c>
      <c r="I4" s="7" t="s">
        <v>307</v>
      </c>
      <c r="J4" s="7" t="s">
        <v>308</v>
      </c>
      <c r="K4" s="7" t="s">
        <v>78</v>
      </c>
      <c r="L4" s="7" t="s">
        <v>309</v>
      </c>
      <c r="M4" s="7" t="s">
        <v>310</v>
      </c>
      <c r="N4" s="7" t="s">
        <v>311</v>
      </c>
      <c r="O4" s="7" t="s">
        <v>312</v>
      </c>
      <c r="P4" s="7" t="s">
        <v>313</v>
      </c>
      <c r="Q4" s="7" t="s">
        <v>314</v>
      </c>
      <c r="R4" s="7" t="s">
        <v>315</v>
      </c>
    </row>
    <row r="5" customFormat="false" ht="15" hidden="false" customHeight="false" outlineLevel="0" collapsed="false">
      <c r="A5" s="10" t="s">
        <v>316</v>
      </c>
      <c r="B5" s="8" t="n">
        <v>45658</v>
      </c>
      <c r="C5" s="10" t="s">
        <v>110</v>
      </c>
      <c r="D5" s="10" t="s">
        <v>317</v>
      </c>
      <c r="E5" s="12" t="n">
        <v>85000</v>
      </c>
      <c r="F5" s="10" t="s">
        <v>40</v>
      </c>
      <c r="G5" s="9" t="n">
        <f aca="false">VALUE(LEFT(TEXT(E5,"0.00"),1))</f>
        <v>8</v>
      </c>
      <c r="H5" s="0" t="str">
        <f aca="false">UPPER(SUBSTITUTE(SUBSTITUTE(SUBSTITUTE(D5," ",""),"/",""),".",""))</f>
        <v>RENT2501</v>
      </c>
      <c r="I5" s="9" t="n">
        <f aca="false">IF(COUNTIFS($C$5:C5,C5,$H$5:H5,H5,$E$5:E5,E5)&gt;1,1,0)</f>
        <v>0</v>
      </c>
      <c r="J5" s="9" t="n">
        <f aca="false">IF(AND(I5=0,COUNTIFS($C$5:$C$634,C5,$E$5:$E$634,E5,$B$5:$B$634,"&gt;="&amp;(B5-Parameters!$B$12),$B$5:$B$634,"&lt;="&amp;(B5+Parameters!$B$12),$H$5:$H$634,"&lt;&gt;"&amp;H5)&gt;0),1,0)</f>
        <v>0</v>
      </c>
      <c r="K5" s="9" t="n">
        <f aca="false">IF(AND(E5&gt;=Parameters!$B$11,ROUND(MOD(ROUND(E5,2),Parameters!$B$10),2)=0),1,0)</f>
        <v>1</v>
      </c>
      <c r="L5" s="9" t="n">
        <f aca="false">IF(AND(E5&lt;Parameters!$B$7,E5&gt;=Parameters!$B$7*(1-Parameters!$B$9)),1,0)</f>
        <v>0</v>
      </c>
      <c r="M5" s="9" t="n">
        <f aca="false">IF(AND(E5&lt;Parameters!$B$7,COUNTIFS($C$5:$C$634,C5,$B$5:$B$634,B5)&gt;1,SUMIFS($E$5:$E$634,$C$5:$C$634,C5,$B$5:$B$634,B5)&gt;=Parameters!$B$7),1,0)</f>
        <v>0</v>
      </c>
      <c r="N5" s="9" t="n">
        <f aca="false">IF(AND(E5&gt;=Parameters!$B$7,F5&lt;&gt;Parameters!$B$8),1,0)</f>
        <v>0</v>
      </c>
      <c r="O5" s="9" t="n">
        <f aca="false">INDEX(Vendor_Benford!$N$6:$N$50,MATCH(C5,Vendor_Benford!$A$6:$A$50,0))</f>
        <v>0</v>
      </c>
      <c r="P5" s="9" t="n">
        <f aca="false">INDEX(Vendor_Benford!$M$6:$M$50,MATCH(C5,Vendor_Benford!$A$6:$A$50,0))</f>
        <v>0</v>
      </c>
      <c r="Q5" s="9" t="n">
        <f aca="false">I5*Parameters!$B$28+J5*Parameters!$B$29+K5*Parameters!$B$30+L5*Parameters!$B$31+M5*Parameters!$B$32+N5*Parameters!$B$33+O5*Parameters!$B$34+P5*Parameters!$B$35</f>
        <v>2</v>
      </c>
      <c r="R5" s="0" t="str">
        <f aca="false">IF(Q5&gt;=Parameters!$B$24,"High","")</f>
        <v/>
      </c>
    </row>
    <row r="6" customFormat="false" ht="15" hidden="false" customHeight="false" outlineLevel="0" collapsed="false">
      <c r="A6" s="10" t="s">
        <v>318</v>
      </c>
      <c r="B6" s="8" t="n">
        <v>45658</v>
      </c>
      <c r="C6" s="10" t="s">
        <v>137</v>
      </c>
      <c r="D6" s="10" t="s">
        <v>319</v>
      </c>
      <c r="E6" s="12" t="n">
        <v>45000</v>
      </c>
      <c r="F6" s="10" t="s">
        <v>40</v>
      </c>
      <c r="G6" s="9" t="n">
        <f aca="false">VALUE(LEFT(TEXT(E6,"0.00"),1))</f>
        <v>4</v>
      </c>
      <c r="H6" s="0" t="str">
        <f aca="false">UPPER(SUBSTITUTE(SUBSTITUTE(SUBSTITUTE(D6," ",""),"/",""),".",""))</f>
        <v>INV10007</v>
      </c>
      <c r="I6" s="9" t="n">
        <f aca="false">IF(COUNTIFS($C$5:C6,C6,$H$5:H6,H6,$E$5:E6,E6)&gt;1,1,0)</f>
        <v>0</v>
      </c>
      <c r="J6" s="9" t="n">
        <f aca="false">IF(AND(I6=0,COUNTIFS($C$5:$C$634,C6,$E$5:$E$634,E6,$B$5:$B$634,"&gt;="&amp;(B6-Parameters!$B$12),$B$5:$B$634,"&lt;="&amp;(B6+Parameters!$B$12),$H$5:$H$634,"&lt;&gt;"&amp;H6)&gt;0),1,0)</f>
        <v>0</v>
      </c>
      <c r="K6" s="9" t="n">
        <f aca="false">IF(AND(E6&gt;=Parameters!$B$11,ROUND(MOD(ROUND(E6,2),Parameters!$B$10),2)=0),1,0)</f>
        <v>1</v>
      </c>
      <c r="L6" s="9" t="n">
        <f aca="false">IF(AND(E6&lt;Parameters!$B$7,E6&gt;=Parameters!$B$7*(1-Parameters!$B$9)),1,0)</f>
        <v>0</v>
      </c>
      <c r="M6" s="9" t="n">
        <f aca="false">IF(AND(E6&lt;Parameters!$B$7,COUNTIFS($C$5:$C$634,C6,$B$5:$B$634,B6)&gt;1,SUMIFS($E$5:$E$634,$C$5:$C$634,C6,$B$5:$B$634,B6)&gt;=Parameters!$B$7),1,0)</f>
        <v>0</v>
      </c>
      <c r="N6" s="9" t="n">
        <f aca="false">IF(AND(E6&gt;=Parameters!$B$7,F6&lt;&gt;Parameters!$B$8),1,0)</f>
        <v>0</v>
      </c>
      <c r="O6" s="9" t="n">
        <f aca="false">INDEX(Vendor_Benford!$N$6:$N$50,MATCH(C6,Vendor_Benford!$A$6:$A$50,0))</f>
        <v>0</v>
      </c>
      <c r="P6" s="9" t="n">
        <f aca="false">INDEX(Vendor_Benford!$M$6:$M$50,MATCH(C6,Vendor_Benford!$A$6:$A$50,0))</f>
        <v>0</v>
      </c>
      <c r="Q6" s="9" t="n">
        <f aca="false">I6*Parameters!$B$28+J6*Parameters!$B$29+K6*Parameters!$B$30+L6*Parameters!$B$31+M6*Parameters!$B$32+N6*Parameters!$B$33+O6*Parameters!$B$34+P6*Parameters!$B$35</f>
        <v>2</v>
      </c>
      <c r="R6" s="0" t="str">
        <f aca="false">IF(Q6&gt;=Parameters!$B$24,"High","")</f>
        <v/>
      </c>
    </row>
    <row r="7" customFormat="false" ht="15" hidden="false" customHeight="false" outlineLevel="0" collapsed="false">
      <c r="A7" s="10" t="s">
        <v>320</v>
      </c>
      <c r="B7" s="8" t="n">
        <v>45658</v>
      </c>
      <c r="C7" s="10" t="s">
        <v>197</v>
      </c>
      <c r="D7" s="10" t="s">
        <v>321</v>
      </c>
      <c r="E7" s="12" t="n">
        <v>684.73</v>
      </c>
      <c r="F7" s="10" t="s">
        <v>40</v>
      </c>
      <c r="G7" s="9" t="n">
        <f aca="false">VALUE(LEFT(TEXT(E7,"0.00"),1))</f>
        <v>6</v>
      </c>
      <c r="H7" s="0" t="str">
        <f aca="false">UPPER(SUBSTITUTE(SUBSTITUTE(SUBSTITUTE(D7," ",""),"/",""),".",""))</f>
        <v>INV30011</v>
      </c>
      <c r="I7" s="9" t="n">
        <f aca="false">IF(COUNTIFS($C$5:C7,C7,$H$5:H7,H7,$E$5:E7,E7)&gt;1,1,0)</f>
        <v>0</v>
      </c>
      <c r="J7" s="9" t="n">
        <f aca="false">IF(AND(I7=0,COUNTIFS($C$5:$C$634,C7,$E$5:$E$634,E7,$B$5:$B$634,"&gt;="&amp;(B7-Parameters!$B$12),$B$5:$B$634,"&lt;="&amp;(B7+Parameters!$B$12),$H$5:$H$634,"&lt;&gt;"&amp;H7)&gt;0),1,0)</f>
        <v>0</v>
      </c>
      <c r="K7" s="9" t="n">
        <f aca="false">IF(AND(E7&gt;=Parameters!$B$11,ROUND(MOD(ROUND(E7,2),Parameters!$B$10),2)=0),1,0)</f>
        <v>0</v>
      </c>
      <c r="L7" s="9" t="n">
        <f aca="false">IF(AND(E7&lt;Parameters!$B$7,E7&gt;=Parameters!$B$7*(1-Parameters!$B$9)),1,0)</f>
        <v>0</v>
      </c>
      <c r="M7" s="9" t="n">
        <f aca="false">IF(AND(E7&lt;Parameters!$B$7,COUNTIFS($C$5:$C$634,C7,$B$5:$B$634,B7)&gt;1,SUMIFS($E$5:$E$634,$C$5:$C$634,C7,$B$5:$B$634,B7)&gt;=Parameters!$B$7),1,0)</f>
        <v>0</v>
      </c>
      <c r="N7" s="9" t="n">
        <f aca="false">IF(AND(E7&gt;=Parameters!$B$7,F7&lt;&gt;Parameters!$B$8),1,0)</f>
        <v>0</v>
      </c>
      <c r="O7" s="9" t="n">
        <f aca="false">INDEX(Vendor_Benford!$N$6:$N$50,MATCH(C7,Vendor_Benford!$A$6:$A$50,0))</f>
        <v>0</v>
      </c>
      <c r="P7" s="9" t="n">
        <f aca="false">INDEX(Vendor_Benford!$M$6:$M$50,MATCH(C7,Vendor_Benford!$A$6:$A$50,0))</f>
        <v>0</v>
      </c>
      <c r="Q7" s="9" t="n">
        <f aca="false">I7*Parameters!$B$28+J7*Parameters!$B$29+K7*Parameters!$B$30+L7*Parameters!$B$31+M7*Parameters!$B$32+N7*Parameters!$B$33+O7*Parameters!$B$34+P7*Parameters!$B$35</f>
        <v>0</v>
      </c>
      <c r="R7" s="0" t="str">
        <f aca="false">IF(Q7&gt;=Parameters!$B$24,"High","")</f>
        <v/>
      </c>
    </row>
    <row r="8" customFormat="false" ht="15" hidden="false" customHeight="false" outlineLevel="0" collapsed="false">
      <c r="A8" s="10" t="s">
        <v>322</v>
      </c>
      <c r="B8" s="8" t="n">
        <v>45658</v>
      </c>
      <c r="C8" s="10" t="s">
        <v>224</v>
      </c>
      <c r="D8" s="10" t="s">
        <v>323</v>
      </c>
      <c r="E8" s="12" t="n">
        <v>14935.84</v>
      </c>
      <c r="F8" s="10" t="s">
        <v>40</v>
      </c>
      <c r="G8" s="9" t="n">
        <f aca="false">VALUE(LEFT(TEXT(E8,"0.00"),1))</f>
        <v>1</v>
      </c>
      <c r="H8" s="0" t="str">
        <f aca="false">UPPER(SUBSTITUTE(SUBSTITUTE(SUBSTITUTE(D8," ",""),"/",""),".",""))</f>
        <v>INV39011</v>
      </c>
      <c r="I8" s="9" t="n">
        <f aca="false">IF(COUNTIFS($C$5:C8,C8,$H$5:H8,H8,$E$5:E8,E8)&gt;1,1,0)</f>
        <v>0</v>
      </c>
      <c r="J8" s="9" t="n">
        <f aca="false">IF(AND(I8=0,COUNTIFS($C$5:$C$634,C8,$E$5:$E$634,E8,$B$5:$B$634,"&gt;="&amp;(B8-Parameters!$B$12),$B$5:$B$634,"&lt;="&amp;(B8+Parameters!$B$12),$H$5:$H$634,"&lt;&gt;"&amp;H8)&gt;0),1,0)</f>
        <v>0</v>
      </c>
      <c r="K8" s="9" t="n">
        <f aca="false">IF(AND(E8&gt;=Parameters!$B$11,ROUND(MOD(ROUND(E8,2),Parameters!$B$10),2)=0),1,0)</f>
        <v>0</v>
      </c>
      <c r="L8" s="9" t="n">
        <f aca="false">IF(AND(E8&lt;Parameters!$B$7,E8&gt;=Parameters!$B$7*(1-Parameters!$B$9)),1,0)</f>
        <v>0</v>
      </c>
      <c r="M8" s="9" t="n">
        <f aca="false">IF(AND(E8&lt;Parameters!$B$7,COUNTIFS($C$5:$C$634,C8,$B$5:$B$634,B8)&gt;1,SUMIFS($E$5:$E$634,$C$5:$C$634,C8,$B$5:$B$634,B8)&gt;=Parameters!$B$7),1,0)</f>
        <v>0</v>
      </c>
      <c r="N8" s="9" t="n">
        <f aca="false">IF(AND(E8&gt;=Parameters!$B$7,F8&lt;&gt;Parameters!$B$8),1,0)</f>
        <v>0</v>
      </c>
      <c r="O8" s="9" t="n">
        <f aca="false">INDEX(Vendor_Benford!$N$6:$N$50,MATCH(C8,Vendor_Benford!$A$6:$A$50,0))</f>
        <v>0</v>
      </c>
      <c r="P8" s="9" t="n">
        <f aca="false">INDEX(Vendor_Benford!$M$6:$M$50,MATCH(C8,Vendor_Benford!$A$6:$A$50,0))</f>
        <v>0</v>
      </c>
      <c r="Q8" s="9" t="n">
        <f aca="false">I8*Parameters!$B$28+J8*Parameters!$B$29+K8*Parameters!$B$30+L8*Parameters!$B$31+M8*Parameters!$B$32+N8*Parameters!$B$33+O8*Parameters!$B$34+P8*Parameters!$B$35</f>
        <v>0</v>
      </c>
      <c r="R8" s="0" t="str">
        <f aca="false">IF(Q8&gt;=Parameters!$B$24,"High","")</f>
        <v/>
      </c>
    </row>
    <row r="9" customFormat="false" ht="15" hidden="false" customHeight="false" outlineLevel="0" collapsed="false">
      <c r="A9" s="10" t="s">
        <v>324</v>
      </c>
      <c r="B9" s="8" t="n">
        <v>45658</v>
      </c>
      <c r="C9" s="10" t="s">
        <v>233</v>
      </c>
      <c r="D9" s="10" t="s">
        <v>325</v>
      </c>
      <c r="E9" s="12" t="n">
        <v>5020.85</v>
      </c>
      <c r="F9" s="10" t="s">
        <v>40</v>
      </c>
      <c r="G9" s="9" t="n">
        <f aca="false">VALUE(LEFT(TEXT(E9,"0.00"),1))</f>
        <v>5</v>
      </c>
      <c r="H9" s="0" t="str">
        <f aca="false">UPPER(SUBSTITUTE(SUBSTITUTE(SUBSTITUTE(D9," ",""),"/",""),".",""))</f>
        <v>INV42010</v>
      </c>
      <c r="I9" s="9" t="n">
        <f aca="false">IF(COUNTIFS($C$5:C9,C9,$H$5:H9,H9,$E$5:E9,E9)&gt;1,1,0)</f>
        <v>0</v>
      </c>
      <c r="J9" s="9" t="n">
        <f aca="false">IF(AND(I9=0,COUNTIFS($C$5:$C$634,C9,$E$5:$E$634,E9,$B$5:$B$634,"&gt;="&amp;(B9-Parameters!$B$12),$B$5:$B$634,"&lt;="&amp;(B9+Parameters!$B$12),$H$5:$H$634,"&lt;&gt;"&amp;H9)&gt;0),1,0)</f>
        <v>0</v>
      </c>
      <c r="K9" s="9" t="n">
        <f aca="false">IF(AND(E9&gt;=Parameters!$B$11,ROUND(MOD(ROUND(E9,2),Parameters!$B$10),2)=0),1,0)</f>
        <v>0</v>
      </c>
      <c r="L9" s="9" t="n">
        <f aca="false">IF(AND(E9&lt;Parameters!$B$7,E9&gt;=Parameters!$B$7*(1-Parameters!$B$9)),1,0)</f>
        <v>0</v>
      </c>
      <c r="M9" s="9" t="n">
        <f aca="false">IF(AND(E9&lt;Parameters!$B$7,COUNTIFS($C$5:$C$634,C9,$B$5:$B$634,B9)&gt;1,SUMIFS($E$5:$E$634,$C$5:$C$634,C9,$B$5:$B$634,B9)&gt;=Parameters!$B$7),1,0)</f>
        <v>0</v>
      </c>
      <c r="N9" s="9" t="n">
        <f aca="false">IF(AND(E9&gt;=Parameters!$B$7,F9&lt;&gt;Parameters!$B$8),1,0)</f>
        <v>0</v>
      </c>
      <c r="O9" s="9" t="n">
        <f aca="false">INDEX(Vendor_Benford!$N$6:$N$50,MATCH(C9,Vendor_Benford!$A$6:$A$50,0))</f>
        <v>0</v>
      </c>
      <c r="P9" s="9" t="n">
        <f aca="false">INDEX(Vendor_Benford!$M$6:$M$50,MATCH(C9,Vendor_Benford!$A$6:$A$50,0))</f>
        <v>0</v>
      </c>
      <c r="Q9" s="9" t="n">
        <f aca="false">I9*Parameters!$B$28+J9*Parameters!$B$29+K9*Parameters!$B$30+L9*Parameters!$B$31+M9*Parameters!$B$32+N9*Parameters!$B$33+O9*Parameters!$B$34+P9*Parameters!$B$35</f>
        <v>0</v>
      </c>
      <c r="R9" s="0" t="str">
        <f aca="false">IF(Q9&gt;=Parameters!$B$24,"High","")</f>
        <v/>
      </c>
    </row>
    <row r="10" customFormat="false" ht="15" hidden="false" customHeight="false" outlineLevel="0" collapsed="false">
      <c r="A10" s="10" t="s">
        <v>326</v>
      </c>
      <c r="B10" s="8" t="n">
        <v>45659</v>
      </c>
      <c r="C10" s="10" t="s">
        <v>239</v>
      </c>
      <c r="D10" s="10" t="s">
        <v>327</v>
      </c>
      <c r="E10" s="12" t="n">
        <v>20651.24</v>
      </c>
      <c r="F10" s="10" t="s">
        <v>40</v>
      </c>
      <c r="G10" s="9" t="n">
        <f aca="false">VALUE(LEFT(TEXT(E10,"0.00"),1))</f>
        <v>2</v>
      </c>
      <c r="H10" s="0" t="str">
        <f aca="false">UPPER(SUBSTITUTE(SUBSTITUTE(SUBSTITUTE(D10," ",""),"/",""),".",""))</f>
        <v>INV44006</v>
      </c>
      <c r="I10" s="9" t="n">
        <f aca="false">IF(COUNTIFS($C$5:C10,C10,$H$5:H10,H10,$E$5:E10,E10)&gt;1,1,0)</f>
        <v>0</v>
      </c>
      <c r="J10" s="9" t="n">
        <f aca="false">IF(AND(I10=0,COUNTIFS($C$5:$C$634,C10,$E$5:$E$634,E10,$B$5:$B$634,"&gt;="&amp;(B10-Parameters!$B$12),$B$5:$B$634,"&lt;="&amp;(B10+Parameters!$B$12),$H$5:$H$634,"&lt;&gt;"&amp;H10)&gt;0),1,0)</f>
        <v>0</v>
      </c>
      <c r="K10" s="9" t="n">
        <f aca="false">IF(AND(E10&gt;=Parameters!$B$11,ROUND(MOD(ROUND(E10,2),Parameters!$B$10),2)=0),1,0)</f>
        <v>0</v>
      </c>
      <c r="L10" s="9" t="n">
        <f aca="false">IF(AND(E10&lt;Parameters!$B$7,E10&gt;=Parameters!$B$7*(1-Parameters!$B$9)),1,0)</f>
        <v>0</v>
      </c>
      <c r="M10" s="9" t="n">
        <f aca="false">IF(AND(E10&lt;Parameters!$B$7,COUNTIFS($C$5:$C$634,C10,$B$5:$B$634,B10)&gt;1,SUMIFS($E$5:$E$634,$C$5:$C$634,C10,$B$5:$B$634,B10)&gt;=Parameters!$B$7),1,0)</f>
        <v>0</v>
      </c>
      <c r="N10" s="9" t="n">
        <f aca="false">IF(AND(E10&gt;=Parameters!$B$7,F10&lt;&gt;Parameters!$B$8),1,0)</f>
        <v>0</v>
      </c>
      <c r="O10" s="9" t="n">
        <f aca="false">INDEX(Vendor_Benford!$N$6:$N$50,MATCH(C10,Vendor_Benford!$A$6:$A$50,0))</f>
        <v>0</v>
      </c>
      <c r="P10" s="9" t="n">
        <f aca="false">INDEX(Vendor_Benford!$M$6:$M$50,MATCH(C10,Vendor_Benford!$A$6:$A$50,0))</f>
        <v>0</v>
      </c>
      <c r="Q10" s="9" t="n">
        <f aca="false">I10*Parameters!$B$28+J10*Parameters!$B$29+K10*Parameters!$B$30+L10*Parameters!$B$31+M10*Parameters!$B$32+N10*Parameters!$B$33+O10*Parameters!$B$34+P10*Parameters!$B$35</f>
        <v>0</v>
      </c>
      <c r="R10" s="0" t="str">
        <f aca="false">IF(Q10&gt;=Parameters!$B$24,"High","")</f>
        <v/>
      </c>
    </row>
    <row r="11" customFormat="false" ht="15" hidden="false" customHeight="false" outlineLevel="0" collapsed="false">
      <c r="A11" s="10" t="s">
        <v>328</v>
      </c>
      <c r="B11" s="8" t="n">
        <v>45659</v>
      </c>
      <c r="C11" s="10" t="s">
        <v>242</v>
      </c>
      <c r="D11" s="10" t="s">
        <v>329</v>
      </c>
      <c r="E11" s="12" t="n">
        <v>9042.65</v>
      </c>
      <c r="F11" s="10" t="s">
        <v>40</v>
      </c>
      <c r="G11" s="9" t="n">
        <f aca="false">VALUE(LEFT(TEXT(E11,"0.00"),1))</f>
        <v>9</v>
      </c>
      <c r="H11" s="0" t="str">
        <f aca="false">UPPER(SUBSTITUTE(SUBSTITUTE(SUBSTITUTE(D11," ",""),"/",""),".",""))</f>
        <v>INV45004</v>
      </c>
      <c r="I11" s="9" t="n">
        <f aca="false">IF(COUNTIFS($C$5:C11,C11,$H$5:H11,H11,$E$5:E11,E11)&gt;1,1,0)</f>
        <v>0</v>
      </c>
      <c r="J11" s="9" t="n">
        <f aca="false">IF(AND(I11=0,COUNTIFS($C$5:$C$634,C11,$E$5:$E$634,E11,$B$5:$B$634,"&gt;="&amp;(B11-Parameters!$B$12),$B$5:$B$634,"&lt;="&amp;(B11+Parameters!$B$12),$H$5:$H$634,"&lt;&gt;"&amp;H11)&gt;0),1,0)</f>
        <v>0</v>
      </c>
      <c r="K11" s="9" t="n">
        <f aca="false">IF(AND(E11&gt;=Parameters!$B$11,ROUND(MOD(ROUND(E11,2),Parameters!$B$10),2)=0),1,0)</f>
        <v>0</v>
      </c>
      <c r="L11" s="9" t="n">
        <f aca="false">IF(AND(E11&lt;Parameters!$B$7,E11&gt;=Parameters!$B$7*(1-Parameters!$B$9)),1,0)</f>
        <v>0</v>
      </c>
      <c r="M11" s="9" t="n">
        <f aca="false">IF(AND(E11&lt;Parameters!$B$7,COUNTIFS($C$5:$C$634,C11,$B$5:$B$634,B11)&gt;1,SUMIFS($E$5:$E$634,$C$5:$C$634,C11,$B$5:$B$634,B11)&gt;=Parameters!$B$7),1,0)</f>
        <v>0</v>
      </c>
      <c r="N11" s="9" t="n">
        <f aca="false">IF(AND(E11&gt;=Parameters!$B$7,F11&lt;&gt;Parameters!$B$8),1,0)</f>
        <v>0</v>
      </c>
      <c r="O11" s="9" t="n">
        <f aca="false">INDEX(Vendor_Benford!$N$6:$N$50,MATCH(C11,Vendor_Benford!$A$6:$A$50,0))</f>
        <v>0</v>
      </c>
      <c r="P11" s="9" t="n">
        <f aca="false">INDEX(Vendor_Benford!$M$6:$M$50,MATCH(C11,Vendor_Benford!$A$6:$A$50,0))</f>
        <v>0</v>
      </c>
      <c r="Q11" s="9" t="n">
        <f aca="false">I11*Parameters!$B$28+J11*Parameters!$B$29+K11*Parameters!$B$30+L11*Parameters!$B$31+M11*Parameters!$B$32+N11*Parameters!$B$33+O11*Parameters!$B$34+P11*Parameters!$B$35</f>
        <v>0</v>
      </c>
      <c r="R11" s="0" t="str">
        <f aca="false">IF(Q11&gt;=Parameters!$B$24,"High","")</f>
        <v/>
      </c>
    </row>
    <row r="12" customFormat="false" ht="15" hidden="false" customHeight="false" outlineLevel="0" collapsed="false">
      <c r="A12" s="10" t="s">
        <v>330</v>
      </c>
      <c r="B12" s="8" t="n">
        <v>45660</v>
      </c>
      <c r="C12" s="10" t="s">
        <v>143</v>
      </c>
      <c r="D12" s="10" t="s">
        <v>331</v>
      </c>
      <c r="E12" s="12" t="n">
        <v>6340.75</v>
      </c>
      <c r="F12" s="10" t="s">
        <v>40</v>
      </c>
      <c r="G12" s="9" t="n">
        <f aca="false">VALUE(LEFT(TEXT(E12,"0.00"),1))</f>
        <v>6</v>
      </c>
      <c r="H12" s="0" t="str">
        <f aca="false">UPPER(SUBSTITUTE(SUBSTITUTE(SUBSTITUTE(D12," ",""),"/",""),".",""))</f>
        <v>INV12012</v>
      </c>
      <c r="I12" s="9" t="n">
        <f aca="false">IF(COUNTIFS($C$5:C12,C12,$H$5:H12,H12,$E$5:E12,E12)&gt;1,1,0)</f>
        <v>0</v>
      </c>
      <c r="J12" s="9" t="n">
        <f aca="false">IF(AND(I12=0,COUNTIFS($C$5:$C$634,C12,$E$5:$E$634,E12,$B$5:$B$634,"&gt;="&amp;(B12-Parameters!$B$12),$B$5:$B$634,"&lt;="&amp;(B12+Parameters!$B$12),$H$5:$H$634,"&lt;&gt;"&amp;H12)&gt;0),1,0)</f>
        <v>0</v>
      </c>
      <c r="K12" s="9" t="n">
        <f aca="false">IF(AND(E12&gt;=Parameters!$B$11,ROUND(MOD(ROUND(E12,2),Parameters!$B$10),2)=0),1,0)</f>
        <v>0</v>
      </c>
      <c r="L12" s="9" t="n">
        <f aca="false">IF(AND(E12&lt;Parameters!$B$7,E12&gt;=Parameters!$B$7*(1-Parameters!$B$9)),1,0)</f>
        <v>0</v>
      </c>
      <c r="M12" s="9" t="n">
        <f aca="false">IF(AND(E12&lt;Parameters!$B$7,COUNTIFS($C$5:$C$634,C12,$B$5:$B$634,B12)&gt;1,SUMIFS($E$5:$E$634,$C$5:$C$634,C12,$B$5:$B$634,B12)&gt;=Parameters!$B$7),1,0)</f>
        <v>0</v>
      </c>
      <c r="N12" s="9" t="n">
        <f aca="false">IF(AND(E12&gt;=Parameters!$B$7,F12&lt;&gt;Parameters!$B$8),1,0)</f>
        <v>0</v>
      </c>
      <c r="O12" s="9" t="n">
        <f aca="false">INDEX(Vendor_Benford!$N$6:$N$50,MATCH(C12,Vendor_Benford!$A$6:$A$50,0))</f>
        <v>0</v>
      </c>
      <c r="P12" s="9" t="n">
        <f aca="false">INDEX(Vendor_Benford!$M$6:$M$50,MATCH(C12,Vendor_Benford!$A$6:$A$50,0))</f>
        <v>0</v>
      </c>
      <c r="Q12" s="9" t="n">
        <f aca="false">I12*Parameters!$B$28+J12*Parameters!$B$29+K12*Parameters!$B$30+L12*Parameters!$B$31+M12*Parameters!$B$32+N12*Parameters!$B$33+O12*Parameters!$B$34+P12*Parameters!$B$35</f>
        <v>0</v>
      </c>
      <c r="R12" s="0" t="str">
        <f aca="false">IF(Q12&gt;=Parameters!$B$24,"High","")</f>
        <v/>
      </c>
    </row>
    <row r="13" customFormat="false" ht="15" hidden="false" customHeight="false" outlineLevel="0" collapsed="false">
      <c r="A13" s="10" t="s">
        <v>332</v>
      </c>
      <c r="B13" s="8" t="n">
        <v>45660</v>
      </c>
      <c r="C13" s="10" t="s">
        <v>173</v>
      </c>
      <c r="D13" s="10" t="s">
        <v>333</v>
      </c>
      <c r="E13" s="12" t="n">
        <v>14791.69</v>
      </c>
      <c r="F13" s="10" t="s">
        <v>40</v>
      </c>
      <c r="G13" s="9" t="n">
        <f aca="false">VALUE(LEFT(TEXT(E13,"0.00"),1))</f>
        <v>1</v>
      </c>
      <c r="H13" s="0" t="str">
        <f aca="false">UPPER(SUBSTITUTE(SUBSTITUTE(SUBSTITUTE(D13," ",""),"/",""),".",""))</f>
        <v>INV22005</v>
      </c>
      <c r="I13" s="9" t="n">
        <f aca="false">IF(COUNTIFS($C$5:C13,C13,$H$5:H13,H13,$E$5:E13,E13)&gt;1,1,0)</f>
        <v>0</v>
      </c>
      <c r="J13" s="9" t="n">
        <f aca="false">IF(AND(I13=0,COUNTIFS($C$5:$C$634,C13,$E$5:$E$634,E13,$B$5:$B$634,"&gt;="&amp;(B13-Parameters!$B$12),$B$5:$B$634,"&lt;="&amp;(B13+Parameters!$B$12),$H$5:$H$634,"&lt;&gt;"&amp;H13)&gt;0),1,0)</f>
        <v>0</v>
      </c>
      <c r="K13" s="9" t="n">
        <f aca="false">IF(AND(E13&gt;=Parameters!$B$11,ROUND(MOD(ROUND(E13,2),Parameters!$B$10),2)=0),1,0)</f>
        <v>0</v>
      </c>
      <c r="L13" s="9" t="n">
        <f aca="false">IF(AND(E13&lt;Parameters!$B$7,E13&gt;=Parameters!$B$7*(1-Parameters!$B$9)),1,0)</f>
        <v>0</v>
      </c>
      <c r="M13" s="9" t="n">
        <f aca="false">IF(AND(E13&lt;Parameters!$B$7,COUNTIFS($C$5:$C$634,C13,$B$5:$B$634,B13)&gt;1,SUMIFS($E$5:$E$634,$C$5:$C$634,C13,$B$5:$B$634,B13)&gt;=Parameters!$B$7),1,0)</f>
        <v>0</v>
      </c>
      <c r="N13" s="9" t="n">
        <f aca="false">IF(AND(E13&gt;=Parameters!$B$7,F13&lt;&gt;Parameters!$B$8),1,0)</f>
        <v>0</v>
      </c>
      <c r="O13" s="9" t="n">
        <f aca="false">INDEX(Vendor_Benford!$N$6:$N$50,MATCH(C13,Vendor_Benford!$A$6:$A$50,0))</f>
        <v>0</v>
      </c>
      <c r="P13" s="9" t="n">
        <f aca="false">INDEX(Vendor_Benford!$M$6:$M$50,MATCH(C13,Vendor_Benford!$A$6:$A$50,0))</f>
        <v>0</v>
      </c>
      <c r="Q13" s="9" t="n">
        <f aca="false">I13*Parameters!$B$28+J13*Parameters!$B$29+K13*Parameters!$B$30+L13*Parameters!$B$31+M13*Parameters!$B$32+N13*Parameters!$B$33+O13*Parameters!$B$34+P13*Parameters!$B$35</f>
        <v>0</v>
      </c>
      <c r="R13" s="0" t="str">
        <f aca="false">IF(Q13&gt;=Parameters!$B$24,"High","")</f>
        <v/>
      </c>
    </row>
    <row r="14" customFormat="false" ht="15" hidden="false" customHeight="false" outlineLevel="0" collapsed="false">
      <c r="A14" s="10" t="s">
        <v>334</v>
      </c>
      <c r="B14" s="8" t="n">
        <v>45663</v>
      </c>
      <c r="C14" s="10" t="s">
        <v>116</v>
      </c>
      <c r="D14" s="10" t="s">
        <v>335</v>
      </c>
      <c r="E14" s="12" t="n">
        <v>65754.59</v>
      </c>
      <c r="F14" s="10" t="s">
        <v>40</v>
      </c>
      <c r="G14" s="9" t="n">
        <f aca="false">VALUE(LEFT(TEXT(E14,"0.00"),1))</f>
        <v>6</v>
      </c>
      <c r="H14" s="0" t="str">
        <f aca="false">UPPER(SUBSTITUTE(SUBSTITUTE(SUBSTITUTE(D14," ",""),"/",""),".",""))</f>
        <v>INV3013</v>
      </c>
      <c r="I14" s="9" t="n">
        <f aca="false">IF(COUNTIFS($C$5:C14,C14,$H$5:H14,H14,$E$5:E14,E14)&gt;1,1,0)</f>
        <v>0</v>
      </c>
      <c r="J14" s="9" t="n">
        <f aca="false">IF(AND(I14=0,COUNTIFS($C$5:$C$634,C14,$E$5:$E$634,E14,$B$5:$B$634,"&gt;="&amp;(B14-Parameters!$B$12),$B$5:$B$634,"&lt;="&amp;(B14+Parameters!$B$12),$H$5:$H$634,"&lt;&gt;"&amp;H14)&gt;0),1,0)</f>
        <v>0</v>
      </c>
      <c r="K14" s="9" t="n">
        <f aca="false">IF(AND(E14&gt;=Parameters!$B$11,ROUND(MOD(ROUND(E14,2),Parameters!$B$10),2)=0),1,0)</f>
        <v>0</v>
      </c>
      <c r="L14" s="9" t="n">
        <f aca="false">IF(AND(E14&lt;Parameters!$B$7,E14&gt;=Parameters!$B$7*(1-Parameters!$B$9)),1,0)</f>
        <v>0</v>
      </c>
      <c r="M14" s="9" t="n">
        <f aca="false">IF(AND(E14&lt;Parameters!$B$7,COUNTIFS($C$5:$C$634,C14,$B$5:$B$634,B14)&gt;1,SUMIFS($E$5:$E$634,$C$5:$C$634,C14,$B$5:$B$634,B14)&gt;=Parameters!$B$7),1,0)</f>
        <v>0</v>
      </c>
      <c r="N14" s="9" t="n">
        <f aca="false">IF(AND(E14&gt;=Parameters!$B$7,F14&lt;&gt;Parameters!$B$8),1,0)</f>
        <v>0</v>
      </c>
      <c r="O14" s="9" t="n">
        <f aca="false">INDEX(Vendor_Benford!$N$6:$N$50,MATCH(C14,Vendor_Benford!$A$6:$A$50,0))</f>
        <v>0</v>
      </c>
      <c r="P14" s="9" t="n">
        <f aca="false">INDEX(Vendor_Benford!$M$6:$M$50,MATCH(C14,Vendor_Benford!$A$6:$A$50,0))</f>
        <v>0</v>
      </c>
      <c r="Q14" s="9" t="n">
        <f aca="false">I14*Parameters!$B$28+J14*Parameters!$B$29+K14*Parameters!$B$30+L14*Parameters!$B$31+M14*Parameters!$B$32+N14*Parameters!$B$33+O14*Parameters!$B$34+P14*Parameters!$B$35</f>
        <v>0</v>
      </c>
      <c r="R14" s="0" t="str">
        <f aca="false">IF(Q14&gt;=Parameters!$B$24,"High","")</f>
        <v/>
      </c>
    </row>
    <row r="15" customFormat="false" ht="15" hidden="false" customHeight="false" outlineLevel="0" collapsed="false">
      <c r="A15" s="10" t="s">
        <v>336</v>
      </c>
      <c r="B15" s="8" t="n">
        <v>45663</v>
      </c>
      <c r="C15" s="10" t="s">
        <v>167</v>
      </c>
      <c r="D15" s="10" t="s">
        <v>337</v>
      </c>
      <c r="E15" s="12" t="n">
        <v>2622.95</v>
      </c>
      <c r="F15" s="10" t="s">
        <v>40</v>
      </c>
      <c r="G15" s="9" t="n">
        <f aca="false">VALUE(LEFT(TEXT(E15,"0.00"),1))</f>
        <v>2</v>
      </c>
      <c r="H15" s="0" t="str">
        <f aca="false">UPPER(SUBSTITUTE(SUBSTITUTE(SUBSTITUTE(D15," ",""),"/",""),".",""))</f>
        <v>INV20012</v>
      </c>
      <c r="I15" s="9" t="n">
        <f aca="false">IF(COUNTIFS($C$5:C15,C15,$H$5:H15,H15,$E$5:E15,E15)&gt;1,1,0)</f>
        <v>0</v>
      </c>
      <c r="J15" s="9" t="n">
        <f aca="false">IF(AND(I15=0,COUNTIFS($C$5:$C$634,C15,$E$5:$E$634,E15,$B$5:$B$634,"&gt;="&amp;(B15-Parameters!$B$12),$B$5:$B$634,"&lt;="&amp;(B15+Parameters!$B$12),$H$5:$H$634,"&lt;&gt;"&amp;H15)&gt;0),1,0)</f>
        <v>0</v>
      </c>
      <c r="K15" s="9" t="n">
        <f aca="false">IF(AND(E15&gt;=Parameters!$B$11,ROUND(MOD(ROUND(E15,2),Parameters!$B$10),2)=0),1,0)</f>
        <v>0</v>
      </c>
      <c r="L15" s="9" t="n">
        <f aca="false">IF(AND(E15&lt;Parameters!$B$7,E15&gt;=Parameters!$B$7*(1-Parameters!$B$9)),1,0)</f>
        <v>0</v>
      </c>
      <c r="M15" s="9" t="n">
        <f aca="false">IF(AND(E15&lt;Parameters!$B$7,COUNTIFS($C$5:$C$634,C15,$B$5:$B$634,B15)&gt;1,SUMIFS($E$5:$E$634,$C$5:$C$634,C15,$B$5:$B$634,B15)&gt;=Parameters!$B$7),1,0)</f>
        <v>0</v>
      </c>
      <c r="N15" s="9" t="n">
        <f aca="false">IF(AND(E15&gt;=Parameters!$B$7,F15&lt;&gt;Parameters!$B$8),1,0)</f>
        <v>0</v>
      </c>
      <c r="O15" s="9" t="n">
        <f aca="false">INDEX(Vendor_Benford!$N$6:$N$50,MATCH(C15,Vendor_Benford!$A$6:$A$50,0))</f>
        <v>0</v>
      </c>
      <c r="P15" s="9" t="n">
        <f aca="false">INDEX(Vendor_Benford!$M$6:$M$50,MATCH(C15,Vendor_Benford!$A$6:$A$50,0))</f>
        <v>0</v>
      </c>
      <c r="Q15" s="9" t="n">
        <f aca="false">I15*Parameters!$B$28+J15*Parameters!$B$29+K15*Parameters!$B$30+L15*Parameters!$B$31+M15*Parameters!$B$32+N15*Parameters!$B$33+O15*Parameters!$B$34+P15*Parameters!$B$35</f>
        <v>0</v>
      </c>
      <c r="R15" s="0" t="str">
        <f aca="false">IF(Q15&gt;=Parameters!$B$24,"High","")</f>
        <v/>
      </c>
    </row>
    <row r="16" customFormat="false" ht="15" hidden="false" customHeight="false" outlineLevel="0" collapsed="false">
      <c r="A16" s="10" t="s">
        <v>338</v>
      </c>
      <c r="B16" s="8" t="n">
        <v>45664</v>
      </c>
      <c r="C16" s="10" t="s">
        <v>143</v>
      </c>
      <c r="D16" s="10" t="s">
        <v>331</v>
      </c>
      <c r="E16" s="12" t="n">
        <v>6340.75</v>
      </c>
      <c r="F16" s="10" t="s">
        <v>40</v>
      </c>
      <c r="G16" s="9" t="n">
        <f aca="false">VALUE(LEFT(TEXT(E16,"0.00"),1))</f>
        <v>6</v>
      </c>
      <c r="H16" s="0" t="str">
        <f aca="false">UPPER(SUBSTITUTE(SUBSTITUTE(SUBSTITUTE(D16," ",""),"/",""),".",""))</f>
        <v>INV12012</v>
      </c>
      <c r="I16" s="9" t="n">
        <f aca="false">IF(COUNTIFS($C$5:C16,C16,$H$5:H16,H16,$E$5:E16,E16)&gt;1,1,0)</f>
        <v>1</v>
      </c>
      <c r="J16" s="9" t="n">
        <f aca="false">IF(AND(I16=0,COUNTIFS($C$5:$C$634,C16,$E$5:$E$634,E16,$B$5:$B$634,"&gt;="&amp;(B16-Parameters!$B$12),$B$5:$B$634,"&lt;="&amp;(B16+Parameters!$B$12),$H$5:$H$634,"&lt;&gt;"&amp;H16)&gt;0),1,0)</f>
        <v>0</v>
      </c>
      <c r="K16" s="9" t="n">
        <f aca="false">IF(AND(E16&gt;=Parameters!$B$11,ROUND(MOD(ROUND(E16,2),Parameters!$B$10),2)=0),1,0)</f>
        <v>0</v>
      </c>
      <c r="L16" s="9" t="n">
        <f aca="false">IF(AND(E16&lt;Parameters!$B$7,E16&gt;=Parameters!$B$7*(1-Parameters!$B$9)),1,0)</f>
        <v>0</v>
      </c>
      <c r="M16" s="9" t="n">
        <f aca="false">IF(AND(E16&lt;Parameters!$B$7,COUNTIFS($C$5:$C$634,C16,$B$5:$B$634,B16)&gt;1,SUMIFS($E$5:$E$634,$C$5:$C$634,C16,$B$5:$B$634,B16)&gt;=Parameters!$B$7),1,0)</f>
        <v>0</v>
      </c>
      <c r="N16" s="9" t="n">
        <f aca="false">IF(AND(E16&gt;=Parameters!$B$7,F16&lt;&gt;Parameters!$B$8),1,0)</f>
        <v>0</v>
      </c>
      <c r="O16" s="9" t="n">
        <f aca="false">INDEX(Vendor_Benford!$N$6:$N$50,MATCH(C16,Vendor_Benford!$A$6:$A$50,0))</f>
        <v>0</v>
      </c>
      <c r="P16" s="9" t="n">
        <f aca="false">INDEX(Vendor_Benford!$M$6:$M$50,MATCH(C16,Vendor_Benford!$A$6:$A$50,0))</f>
        <v>0</v>
      </c>
      <c r="Q16" s="9" t="n">
        <f aca="false">I16*Parameters!$B$28+J16*Parameters!$B$29+K16*Parameters!$B$30+L16*Parameters!$B$31+M16*Parameters!$B$32+N16*Parameters!$B$33+O16*Parameters!$B$34+P16*Parameters!$B$35</f>
        <v>5</v>
      </c>
      <c r="R16" s="0" t="str">
        <f aca="false">IF(Q16&gt;=Parameters!$B$24,"High","")</f>
        <v>High</v>
      </c>
    </row>
    <row r="17" customFormat="false" ht="15" hidden="false" customHeight="false" outlineLevel="0" collapsed="false">
      <c r="A17" s="10" t="s">
        <v>339</v>
      </c>
      <c r="B17" s="8" t="n">
        <v>45664</v>
      </c>
      <c r="C17" s="10" t="s">
        <v>167</v>
      </c>
      <c r="D17" s="10" t="s">
        <v>340</v>
      </c>
      <c r="E17" s="12" t="n">
        <v>362.46</v>
      </c>
      <c r="F17" s="10" t="s">
        <v>40</v>
      </c>
      <c r="G17" s="9" t="n">
        <f aca="false">VALUE(LEFT(TEXT(E17,"0.00"),1))</f>
        <v>3</v>
      </c>
      <c r="H17" s="0" t="str">
        <f aca="false">UPPER(SUBSTITUTE(SUBSTITUTE(SUBSTITUTE(D17," ",""),"/",""),".",""))</f>
        <v>INV20011</v>
      </c>
      <c r="I17" s="9" t="n">
        <f aca="false">IF(COUNTIFS($C$5:C17,C17,$H$5:H17,H17,$E$5:E17,E17)&gt;1,1,0)</f>
        <v>0</v>
      </c>
      <c r="J17" s="9" t="n">
        <f aca="false">IF(AND(I17=0,COUNTIFS($C$5:$C$634,C17,$E$5:$E$634,E17,$B$5:$B$634,"&gt;="&amp;(B17-Parameters!$B$12),$B$5:$B$634,"&lt;="&amp;(B17+Parameters!$B$12),$H$5:$H$634,"&lt;&gt;"&amp;H17)&gt;0),1,0)</f>
        <v>0</v>
      </c>
      <c r="K17" s="9" t="n">
        <f aca="false">IF(AND(E17&gt;=Parameters!$B$11,ROUND(MOD(ROUND(E17,2),Parameters!$B$10),2)=0),1,0)</f>
        <v>0</v>
      </c>
      <c r="L17" s="9" t="n">
        <f aca="false">IF(AND(E17&lt;Parameters!$B$7,E17&gt;=Parameters!$B$7*(1-Parameters!$B$9)),1,0)</f>
        <v>0</v>
      </c>
      <c r="M17" s="9" t="n">
        <f aca="false">IF(AND(E17&lt;Parameters!$B$7,COUNTIFS($C$5:$C$634,C17,$B$5:$B$634,B17)&gt;1,SUMIFS($E$5:$E$634,$C$5:$C$634,C17,$B$5:$B$634,B17)&gt;=Parameters!$B$7),1,0)</f>
        <v>0</v>
      </c>
      <c r="N17" s="9" t="n">
        <f aca="false">IF(AND(E17&gt;=Parameters!$B$7,F17&lt;&gt;Parameters!$B$8),1,0)</f>
        <v>0</v>
      </c>
      <c r="O17" s="9" t="n">
        <f aca="false">INDEX(Vendor_Benford!$N$6:$N$50,MATCH(C17,Vendor_Benford!$A$6:$A$50,0))</f>
        <v>0</v>
      </c>
      <c r="P17" s="9" t="n">
        <f aca="false">INDEX(Vendor_Benford!$M$6:$M$50,MATCH(C17,Vendor_Benford!$A$6:$A$50,0))</f>
        <v>0</v>
      </c>
      <c r="Q17" s="9" t="n">
        <f aca="false">I17*Parameters!$B$28+J17*Parameters!$B$29+K17*Parameters!$B$30+L17*Parameters!$B$31+M17*Parameters!$B$32+N17*Parameters!$B$33+O17*Parameters!$B$34+P17*Parameters!$B$35</f>
        <v>0</v>
      </c>
      <c r="R17" s="0" t="str">
        <f aca="false">IF(Q17&gt;=Parameters!$B$24,"High","")</f>
        <v/>
      </c>
    </row>
    <row r="18" customFormat="false" ht="15" hidden="false" customHeight="false" outlineLevel="0" collapsed="false">
      <c r="A18" s="10" t="s">
        <v>341</v>
      </c>
      <c r="B18" s="8" t="n">
        <v>45664</v>
      </c>
      <c r="C18" s="10" t="s">
        <v>173</v>
      </c>
      <c r="D18" s="10" t="s">
        <v>342</v>
      </c>
      <c r="E18" s="12" t="n">
        <v>6542.34</v>
      </c>
      <c r="F18" s="10" t="s">
        <v>40</v>
      </c>
      <c r="G18" s="9" t="n">
        <f aca="false">VALUE(LEFT(TEXT(E18,"0.00"),1))</f>
        <v>6</v>
      </c>
      <c r="H18" s="0" t="str">
        <f aca="false">UPPER(SUBSTITUTE(SUBSTITUTE(SUBSTITUTE(D18," ",""),"/",""),".",""))</f>
        <v>INV22016</v>
      </c>
      <c r="I18" s="9" t="n">
        <f aca="false">IF(COUNTIFS($C$5:C18,C18,$H$5:H18,H18,$E$5:E18,E18)&gt;1,1,0)</f>
        <v>0</v>
      </c>
      <c r="J18" s="9" t="n">
        <f aca="false">IF(AND(I18=0,COUNTIFS($C$5:$C$634,C18,$E$5:$E$634,E18,$B$5:$B$634,"&gt;="&amp;(B18-Parameters!$B$12),$B$5:$B$634,"&lt;="&amp;(B18+Parameters!$B$12),$H$5:$H$634,"&lt;&gt;"&amp;H18)&gt;0),1,0)</f>
        <v>0</v>
      </c>
      <c r="K18" s="9" t="n">
        <f aca="false">IF(AND(E18&gt;=Parameters!$B$11,ROUND(MOD(ROUND(E18,2),Parameters!$B$10),2)=0),1,0)</f>
        <v>0</v>
      </c>
      <c r="L18" s="9" t="n">
        <f aca="false">IF(AND(E18&lt;Parameters!$B$7,E18&gt;=Parameters!$B$7*(1-Parameters!$B$9)),1,0)</f>
        <v>0</v>
      </c>
      <c r="M18" s="9" t="n">
        <f aca="false">IF(AND(E18&lt;Parameters!$B$7,COUNTIFS($C$5:$C$634,C18,$B$5:$B$634,B18)&gt;1,SUMIFS($E$5:$E$634,$C$5:$C$634,C18,$B$5:$B$634,B18)&gt;=Parameters!$B$7),1,0)</f>
        <v>0</v>
      </c>
      <c r="N18" s="9" t="n">
        <f aca="false">IF(AND(E18&gt;=Parameters!$B$7,F18&lt;&gt;Parameters!$B$8),1,0)</f>
        <v>0</v>
      </c>
      <c r="O18" s="9" t="n">
        <f aca="false">INDEX(Vendor_Benford!$N$6:$N$50,MATCH(C18,Vendor_Benford!$A$6:$A$50,0))</f>
        <v>0</v>
      </c>
      <c r="P18" s="9" t="n">
        <f aca="false">INDEX(Vendor_Benford!$M$6:$M$50,MATCH(C18,Vendor_Benford!$A$6:$A$50,0))</f>
        <v>0</v>
      </c>
      <c r="Q18" s="9" t="n">
        <f aca="false">I18*Parameters!$B$28+J18*Parameters!$B$29+K18*Parameters!$B$30+L18*Parameters!$B$31+M18*Parameters!$B$32+N18*Parameters!$B$33+O18*Parameters!$B$34+P18*Parameters!$B$35</f>
        <v>0</v>
      </c>
      <c r="R18" s="0" t="str">
        <f aca="false">IF(Q18&gt;=Parameters!$B$24,"High","")</f>
        <v/>
      </c>
    </row>
    <row r="19" customFormat="false" ht="15" hidden="false" customHeight="false" outlineLevel="0" collapsed="false">
      <c r="A19" s="10" t="s">
        <v>343</v>
      </c>
      <c r="B19" s="8" t="n">
        <v>45664</v>
      </c>
      <c r="C19" s="10" t="s">
        <v>191</v>
      </c>
      <c r="D19" s="10" t="s">
        <v>344</v>
      </c>
      <c r="E19" s="12" t="n">
        <v>321.66</v>
      </c>
      <c r="F19" s="10" t="s">
        <v>40</v>
      </c>
      <c r="G19" s="9" t="n">
        <f aca="false">VALUE(LEFT(TEXT(E19,"0.00"),1))</f>
        <v>3</v>
      </c>
      <c r="H19" s="0" t="str">
        <f aca="false">UPPER(SUBSTITUTE(SUBSTITUTE(SUBSTITUTE(D19," ",""),"/",""),".",""))</f>
        <v>INV28008</v>
      </c>
      <c r="I19" s="9" t="n">
        <f aca="false">IF(COUNTIFS($C$5:C19,C19,$H$5:H19,H19,$E$5:E19,E19)&gt;1,1,0)</f>
        <v>0</v>
      </c>
      <c r="J19" s="9" t="n">
        <f aca="false">IF(AND(I19=0,COUNTIFS($C$5:$C$634,C19,$E$5:$E$634,E19,$B$5:$B$634,"&gt;="&amp;(B19-Parameters!$B$12),$B$5:$B$634,"&lt;="&amp;(B19+Parameters!$B$12),$H$5:$H$634,"&lt;&gt;"&amp;H19)&gt;0),1,0)</f>
        <v>0</v>
      </c>
      <c r="K19" s="9" t="n">
        <f aca="false">IF(AND(E19&gt;=Parameters!$B$11,ROUND(MOD(ROUND(E19,2),Parameters!$B$10),2)=0),1,0)</f>
        <v>0</v>
      </c>
      <c r="L19" s="9" t="n">
        <f aca="false">IF(AND(E19&lt;Parameters!$B$7,E19&gt;=Parameters!$B$7*(1-Parameters!$B$9)),1,0)</f>
        <v>0</v>
      </c>
      <c r="M19" s="9" t="n">
        <f aca="false">IF(AND(E19&lt;Parameters!$B$7,COUNTIFS($C$5:$C$634,C19,$B$5:$B$634,B19)&gt;1,SUMIFS($E$5:$E$634,$C$5:$C$634,C19,$B$5:$B$634,B19)&gt;=Parameters!$B$7),1,0)</f>
        <v>0</v>
      </c>
      <c r="N19" s="9" t="n">
        <f aca="false">IF(AND(E19&gt;=Parameters!$B$7,F19&lt;&gt;Parameters!$B$8),1,0)</f>
        <v>0</v>
      </c>
      <c r="O19" s="9" t="n">
        <f aca="false">INDEX(Vendor_Benford!$N$6:$N$50,MATCH(C19,Vendor_Benford!$A$6:$A$50,0))</f>
        <v>0</v>
      </c>
      <c r="P19" s="9" t="n">
        <f aca="false">INDEX(Vendor_Benford!$M$6:$M$50,MATCH(C19,Vendor_Benford!$A$6:$A$50,0))</f>
        <v>0</v>
      </c>
      <c r="Q19" s="9" t="n">
        <f aca="false">I19*Parameters!$B$28+J19*Parameters!$B$29+K19*Parameters!$B$30+L19*Parameters!$B$31+M19*Parameters!$B$32+N19*Parameters!$B$33+O19*Parameters!$B$34+P19*Parameters!$B$35</f>
        <v>0</v>
      </c>
      <c r="R19" s="0" t="str">
        <f aca="false">IF(Q19&gt;=Parameters!$B$24,"High","")</f>
        <v/>
      </c>
    </row>
    <row r="20" customFormat="false" ht="15" hidden="false" customHeight="false" outlineLevel="0" collapsed="false">
      <c r="A20" s="10" t="s">
        <v>345</v>
      </c>
      <c r="B20" s="8" t="n">
        <v>45664</v>
      </c>
      <c r="C20" s="10" t="s">
        <v>197</v>
      </c>
      <c r="D20" s="10" t="s">
        <v>346</v>
      </c>
      <c r="E20" s="12" t="n">
        <v>975.21</v>
      </c>
      <c r="F20" s="10" t="s">
        <v>347</v>
      </c>
      <c r="G20" s="9" t="n">
        <f aca="false">VALUE(LEFT(TEXT(E20,"0.00"),1))</f>
        <v>9</v>
      </c>
      <c r="H20" s="0" t="str">
        <f aca="false">UPPER(SUBSTITUTE(SUBSTITUTE(SUBSTITUTE(D20," ",""),"/",""),".",""))</f>
        <v>INV30006</v>
      </c>
      <c r="I20" s="9" t="n">
        <f aca="false">IF(COUNTIFS($C$5:C20,C20,$H$5:H20,H20,$E$5:E20,E20)&gt;1,1,0)</f>
        <v>0</v>
      </c>
      <c r="J20" s="9" t="n">
        <f aca="false">IF(AND(I20=0,COUNTIFS($C$5:$C$634,C20,$E$5:$E$634,E20,$B$5:$B$634,"&gt;="&amp;(B20-Parameters!$B$12),$B$5:$B$634,"&lt;="&amp;(B20+Parameters!$B$12),$H$5:$H$634,"&lt;&gt;"&amp;H20)&gt;0),1,0)</f>
        <v>0</v>
      </c>
      <c r="K20" s="9" t="n">
        <f aca="false">IF(AND(E20&gt;=Parameters!$B$11,ROUND(MOD(ROUND(E20,2),Parameters!$B$10),2)=0),1,0)</f>
        <v>0</v>
      </c>
      <c r="L20" s="9" t="n">
        <f aca="false">IF(AND(E20&lt;Parameters!$B$7,E20&gt;=Parameters!$B$7*(1-Parameters!$B$9)),1,0)</f>
        <v>0</v>
      </c>
      <c r="M20" s="9" t="n">
        <f aca="false">IF(AND(E20&lt;Parameters!$B$7,COUNTIFS($C$5:$C$634,C20,$B$5:$B$634,B20)&gt;1,SUMIFS($E$5:$E$634,$C$5:$C$634,C20,$B$5:$B$634,B20)&gt;=Parameters!$B$7),1,0)</f>
        <v>0</v>
      </c>
      <c r="N20" s="9" t="n">
        <f aca="false">IF(AND(E20&gt;=Parameters!$B$7,F20&lt;&gt;Parameters!$B$8),1,0)</f>
        <v>0</v>
      </c>
      <c r="O20" s="9" t="n">
        <f aca="false">INDEX(Vendor_Benford!$N$6:$N$50,MATCH(C20,Vendor_Benford!$A$6:$A$50,0))</f>
        <v>0</v>
      </c>
      <c r="P20" s="9" t="n">
        <f aca="false">INDEX(Vendor_Benford!$M$6:$M$50,MATCH(C20,Vendor_Benford!$A$6:$A$50,0))</f>
        <v>0</v>
      </c>
      <c r="Q20" s="9" t="n">
        <f aca="false">I20*Parameters!$B$28+J20*Parameters!$B$29+K20*Parameters!$B$30+L20*Parameters!$B$31+M20*Parameters!$B$32+N20*Parameters!$B$33+O20*Parameters!$B$34+P20*Parameters!$B$35</f>
        <v>0</v>
      </c>
      <c r="R20" s="0" t="str">
        <f aca="false">IF(Q20&gt;=Parameters!$B$24,"High","")</f>
        <v/>
      </c>
    </row>
    <row r="21" customFormat="false" ht="15" hidden="false" customHeight="false" outlineLevel="0" collapsed="false">
      <c r="A21" s="10" t="s">
        <v>348</v>
      </c>
      <c r="B21" s="8" t="n">
        <v>45665</v>
      </c>
      <c r="C21" s="10" t="s">
        <v>161</v>
      </c>
      <c r="D21" s="10" t="s">
        <v>349</v>
      </c>
      <c r="E21" s="12" t="n">
        <v>3914.19</v>
      </c>
      <c r="F21" s="10" t="s">
        <v>347</v>
      </c>
      <c r="G21" s="9" t="n">
        <f aca="false">VALUE(LEFT(TEXT(E21,"0.00"),1))</f>
        <v>3</v>
      </c>
      <c r="H21" s="0" t="str">
        <f aca="false">UPPER(SUBSTITUTE(SUBSTITUTE(SUBSTITUTE(D21," ",""),"/",""),".",""))</f>
        <v>INV18009</v>
      </c>
      <c r="I21" s="9" t="n">
        <f aca="false">IF(COUNTIFS($C$5:C21,C21,$H$5:H21,H21,$E$5:E21,E21)&gt;1,1,0)</f>
        <v>0</v>
      </c>
      <c r="J21" s="9" t="n">
        <f aca="false">IF(AND(I21=0,COUNTIFS($C$5:$C$634,C21,$E$5:$E$634,E21,$B$5:$B$634,"&gt;="&amp;(B21-Parameters!$B$12),$B$5:$B$634,"&lt;="&amp;(B21+Parameters!$B$12),$H$5:$H$634,"&lt;&gt;"&amp;H21)&gt;0),1,0)</f>
        <v>0</v>
      </c>
      <c r="K21" s="9" t="n">
        <f aca="false">IF(AND(E21&gt;=Parameters!$B$11,ROUND(MOD(ROUND(E21,2),Parameters!$B$10),2)=0),1,0)</f>
        <v>0</v>
      </c>
      <c r="L21" s="9" t="n">
        <f aca="false">IF(AND(E21&lt;Parameters!$B$7,E21&gt;=Parameters!$B$7*(1-Parameters!$B$9)),1,0)</f>
        <v>0</v>
      </c>
      <c r="M21" s="9" t="n">
        <f aca="false">IF(AND(E21&lt;Parameters!$B$7,COUNTIFS($C$5:$C$634,C21,$B$5:$B$634,B21)&gt;1,SUMIFS($E$5:$E$634,$C$5:$C$634,C21,$B$5:$B$634,B21)&gt;=Parameters!$B$7),1,0)</f>
        <v>0</v>
      </c>
      <c r="N21" s="9" t="n">
        <f aca="false">IF(AND(E21&gt;=Parameters!$B$7,F21&lt;&gt;Parameters!$B$8),1,0)</f>
        <v>0</v>
      </c>
      <c r="O21" s="9" t="n">
        <f aca="false">INDEX(Vendor_Benford!$N$6:$N$50,MATCH(C21,Vendor_Benford!$A$6:$A$50,0))</f>
        <v>0</v>
      </c>
      <c r="P21" s="9" t="n">
        <f aca="false">INDEX(Vendor_Benford!$M$6:$M$50,MATCH(C21,Vendor_Benford!$A$6:$A$50,0))</f>
        <v>0</v>
      </c>
      <c r="Q21" s="9" t="n">
        <f aca="false">I21*Parameters!$B$28+J21*Parameters!$B$29+K21*Parameters!$B$30+L21*Parameters!$B$31+M21*Parameters!$B$32+N21*Parameters!$B$33+O21*Parameters!$B$34+P21*Parameters!$B$35</f>
        <v>0</v>
      </c>
      <c r="R21" s="0" t="str">
        <f aca="false">IF(Q21&gt;=Parameters!$B$24,"High","")</f>
        <v/>
      </c>
    </row>
    <row r="22" customFormat="false" ht="15" hidden="false" customHeight="false" outlineLevel="0" collapsed="false">
      <c r="A22" s="10" t="s">
        <v>350</v>
      </c>
      <c r="B22" s="8" t="n">
        <v>45665</v>
      </c>
      <c r="C22" s="10" t="s">
        <v>212</v>
      </c>
      <c r="D22" s="10" t="s">
        <v>351</v>
      </c>
      <c r="E22" s="12" t="n">
        <v>878.38</v>
      </c>
      <c r="F22" s="10" t="s">
        <v>347</v>
      </c>
      <c r="G22" s="9" t="n">
        <f aca="false">VALUE(LEFT(TEXT(E22,"0.00"),1))</f>
        <v>8</v>
      </c>
      <c r="H22" s="0" t="str">
        <f aca="false">UPPER(SUBSTITUTE(SUBSTITUTE(SUBSTITUTE(D22," ",""),"/",""),".",""))</f>
        <v>INV35013</v>
      </c>
      <c r="I22" s="9" t="n">
        <f aca="false">IF(COUNTIFS($C$5:C22,C22,$H$5:H22,H22,$E$5:E22,E22)&gt;1,1,0)</f>
        <v>0</v>
      </c>
      <c r="J22" s="9" t="n">
        <f aca="false">IF(AND(I22=0,COUNTIFS($C$5:$C$634,C22,$E$5:$E$634,E22,$B$5:$B$634,"&gt;="&amp;(B22-Parameters!$B$12),$B$5:$B$634,"&lt;="&amp;(B22+Parameters!$B$12),$H$5:$H$634,"&lt;&gt;"&amp;H22)&gt;0),1,0)</f>
        <v>0</v>
      </c>
      <c r="K22" s="9" t="n">
        <f aca="false">IF(AND(E22&gt;=Parameters!$B$11,ROUND(MOD(ROUND(E22,2),Parameters!$B$10),2)=0),1,0)</f>
        <v>0</v>
      </c>
      <c r="L22" s="9" t="n">
        <f aca="false">IF(AND(E22&lt;Parameters!$B$7,E22&gt;=Parameters!$B$7*(1-Parameters!$B$9)),1,0)</f>
        <v>0</v>
      </c>
      <c r="M22" s="9" t="n">
        <f aca="false">IF(AND(E22&lt;Parameters!$B$7,COUNTIFS($C$5:$C$634,C22,$B$5:$B$634,B22)&gt;1,SUMIFS($E$5:$E$634,$C$5:$C$634,C22,$B$5:$B$634,B22)&gt;=Parameters!$B$7),1,0)</f>
        <v>0</v>
      </c>
      <c r="N22" s="9" t="n">
        <f aca="false">IF(AND(E22&gt;=Parameters!$B$7,F22&lt;&gt;Parameters!$B$8),1,0)</f>
        <v>0</v>
      </c>
      <c r="O22" s="9" t="n">
        <f aca="false">INDEX(Vendor_Benford!$N$6:$N$50,MATCH(C22,Vendor_Benford!$A$6:$A$50,0))</f>
        <v>0</v>
      </c>
      <c r="P22" s="9" t="n">
        <f aca="false">INDEX(Vendor_Benford!$M$6:$M$50,MATCH(C22,Vendor_Benford!$A$6:$A$50,0))</f>
        <v>0</v>
      </c>
      <c r="Q22" s="9" t="n">
        <f aca="false">I22*Parameters!$B$28+J22*Parameters!$B$29+K22*Parameters!$B$30+L22*Parameters!$B$31+M22*Parameters!$B$32+N22*Parameters!$B$33+O22*Parameters!$B$34+P22*Parameters!$B$35</f>
        <v>0</v>
      </c>
      <c r="R22" s="0" t="str">
        <f aca="false">IF(Q22&gt;=Parameters!$B$24,"High","")</f>
        <v/>
      </c>
    </row>
    <row r="23" customFormat="false" ht="15" hidden="false" customHeight="false" outlineLevel="0" collapsed="false">
      <c r="A23" s="10" t="s">
        <v>352</v>
      </c>
      <c r="B23" s="8" t="n">
        <v>45666</v>
      </c>
      <c r="C23" s="10" t="s">
        <v>125</v>
      </c>
      <c r="D23" s="10" t="s">
        <v>353</v>
      </c>
      <c r="E23" s="12" t="n">
        <v>11882.48</v>
      </c>
      <c r="F23" s="10" t="s">
        <v>40</v>
      </c>
      <c r="G23" s="9" t="n">
        <f aca="false">VALUE(LEFT(TEXT(E23,"0.00"),1))</f>
        <v>1</v>
      </c>
      <c r="H23" s="0" t="str">
        <f aca="false">UPPER(SUBSTITUTE(SUBSTITUTE(SUBSTITUTE(D23," ",""),"/",""),".",""))</f>
        <v>INV6002</v>
      </c>
      <c r="I23" s="9" t="n">
        <f aca="false">IF(COUNTIFS($C$5:C23,C23,$H$5:H23,H23,$E$5:E23,E23)&gt;1,1,0)</f>
        <v>0</v>
      </c>
      <c r="J23" s="9" t="n">
        <f aca="false">IF(AND(I23=0,COUNTIFS($C$5:$C$634,C23,$E$5:$E$634,E23,$B$5:$B$634,"&gt;="&amp;(B23-Parameters!$B$12),$B$5:$B$634,"&lt;="&amp;(B23+Parameters!$B$12),$H$5:$H$634,"&lt;&gt;"&amp;H23)&gt;0),1,0)</f>
        <v>0</v>
      </c>
      <c r="K23" s="9" t="n">
        <f aca="false">IF(AND(E23&gt;=Parameters!$B$11,ROUND(MOD(ROUND(E23,2),Parameters!$B$10),2)=0),1,0)</f>
        <v>0</v>
      </c>
      <c r="L23" s="9" t="n">
        <f aca="false">IF(AND(E23&lt;Parameters!$B$7,E23&gt;=Parameters!$B$7*(1-Parameters!$B$9)),1,0)</f>
        <v>0</v>
      </c>
      <c r="M23" s="9" t="n">
        <f aca="false">IF(AND(E23&lt;Parameters!$B$7,COUNTIFS($C$5:$C$634,C23,$B$5:$B$634,B23)&gt;1,SUMIFS($E$5:$E$634,$C$5:$C$634,C23,$B$5:$B$634,B23)&gt;=Parameters!$B$7),1,0)</f>
        <v>0</v>
      </c>
      <c r="N23" s="9" t="n">
        <f aca="false">IF(AND(E23&gt;=Parameters!$B$7,F23&lt;&gt;Parameters!$B$8),1,0)</f>
        <v>0</v>
      </c>
      <c r="O23" s="9" t="n">
        <f aca="false">INDEX(Vendor_Benford!$N$6:$N$50,MATCH(C23,Vendor_Benford!$A$6:$A$50,0))</f>
        <v>0</v>
      </c>
      <c r="P23" s="9" t="n">
        <f aca="false">INDEX(Vendor_Benford!$M$6:$M$50,MATCH(C23,Vendor_Benford!$A$6:$A$50,0))</f>
        <v>0</v>
      </c>
      <c r="Q23" s="9" t="n">
        <f aca="false">I23*Parameters!$B$28+J23*Parameters!$B$29+K23*Parameters!$B$30+L23*Parameters!$B$31+M23*Parameters!$B$32+N23*Parameters!$B$33+O23*Parameters!$B$34+P23*Parameters!$B$35</f>
        <v>0</v>
      </c>
      <c r="R23" s="0" t="str">
        <f aca="false">IF(Q23&gt;=Parameters!$B$24,"High","")</f>
        <v/>
      </c>
    </row>
    <row r="24" customFormat="false" ht="15" hidden="false" customHeight="false" outlineLevel="0" collapsed="false">
      <c r="A24" s="10" t="s">
        <v>354</v>
      </c>
      <c r="B24" s="8" t="n">
        <v>45666</v>
      </c>
      <c r="C24" s="10" t="s">
        <v>179</v>
      </c>
      <c r="D24" s="10" t="s">
        <v>355</v>
      </c>
      <c r="E24" s="12" t="n">
        <v>8066.97</v>
      </c>
      <c r="F24" s="10" t="s">
        <v>40</v>
      </c>
      <c r="G24" s="9" t="n">
        <f aca="false">VALUE(LEFT(TEXT(E24,"0.00"),1))</f>
        <v>8</v>
      </c>
      <c r="H24" s="0" t="str">
        <f aca="false">UPPER(SUBSTITUTE(SUBSTITUTE(SUBSTITUTE(D24," ",""),"/",""),".",""))</f>
        <v>INV24003</v>
      </c>
      <c r="I24" s="9" t="n">
        <f aca="false">IF(COUNTIFS($C$5:C24,C24,$H$5:H24,H24,$E$5:E24,E24)&gt;1,1,0)</f>
        <v>0</v>
      </c>
      <c r="J24" s="9" t="n">
        <f aca="false">IF(AND(I24=0,COUNTIFS($C$5:$C$634,C24,$E$5:$E$634,E24,$B$5:$B$634,"&gt;="&amp;(B24-Parameters!$B$12),$B$5:$B$634,"&lt;="&amp;(B24+Parameters!$B$12),$H$5:$H$634,"&lt;&gt;"&amp;H24)&gt;0),1,0)</f>
        <v>0</v>
      </c>
      <c r="K24" s="9" t="n">
        <f aca="false">IF(AND(E24&gt;=Parameters!$B$11,ROUND(MOD(ROUND(E24,2),Parameters!$B$10),2)=0),1,0)</f>
        <v>0</v>
      </c>
      <c r="L24" s="9" t="n">
        <f aca="false">IF(AND(E24&lt;Parameters!$B$7,E24&gt;=Parameters!$B$7*(1-Parameters!$B$9)),1,0)</f>
        <v>0</v>
      </c>
      <c r="M24" s="9" t="n">
        <f aca="false">IF(AND(E24&lt;Parameters!$B$7,COUNTIFS($C$5:$C$634,C24,$B$5:$B$634,B24)&gt;1,SUMIFS($E$5:$E$634,$C$5:$C$634,C24,$B$5:$B$634,B24)&gt;=Parameters!$B$7),1,0)</f>
        <v>0</v>
      </c>
      <c r="N24" s="9" t="n">
        <f aca="false">IF(AND(E24&gt;=Parameters!$B$7,F24&lt;&gt;Parameters!$B$8),1,0)</f>
        <v>0</v>
      </c>
      <c r="O24" s="9" t="n">
        <f aca="false">INDEX(Vendor_Benford!$N$6:$N$50,MATCH(C24,Vendor_Benford!$A$6:$A$50,0))</f>
        <v>0</v>
      </c>
      <c r="P24" s="9" t="n">
        <f aca="false">INDEX(Vendor_Benford!$M$6:$M$50,MATCH(C24,Vendor_Benford!$A$6:$A$50,0))</f>
        <v>0</v>
      </c>
      <c r="Q24" s="9" t="n">
        <f aca="false">I24*Parameters!$B$28+J24*Parameters!$B$29+K24*Parameters!$B$30+L24*Parameters!$B$31+M24*Parameters!$B$32+N24*Parameters!$B$33+O24*Parameters!$B$34+P24*Parameters!$B$35</f>
        <v>0</v>
      </c>
      <c r="R24" s="0" t="str">
        <f aca="false">IF(Q24&gt;=Parameters!$B$24,"High","")</f>
        <v/>
      </c>
    </row>
    <row r="25" customFormat="false" ht="15" hidden="false" customHeight="false" outlineLevel="0" collapsed="false">
      <c r="A25" s="10" t="s">
        <v>356</v>
      </c>
      <c r="B25" s="8" t="n">
        <v>45666</v>
      </c>
      <c r="C25" s="10" t="s">
        <v>209</v>
      </c>
      <c r="D25" s="10" t="s">
        <v>357</v>
      </c>
      <c r="E25" s="12" t="n">
        <v>7253.79</v>
      </c>
      <c r="F25" s="10" t="s">
        <v>40</v>
      </c>
      <c r="G25" s="9" t="n">
        <f aca="false">VALUE(LEFT(TEXT(E25,"0.00"),1))</f>
        <v>7</v>
      </c>
      <c r="H25" s="0" t="str">
        <f aca="false">UPPER(SUBSTITUTE(SUBSTITUTE(SUBSTITUTE(D25," ",""),"/",""),".",""))</f>
        <v>INV34003</v>
      </c>
      <c r="I25" s="9" t="n">
        <f aca="false">IF(COUNTIFS($C$5:C25,C25,$H$5:H25,H25,$E$5:E25,E25)&gt;1,1,0)</f>
        <v>0</v>
      </c>
      <c r="J25" s="9" t="n">
        <f aca="false">IF(AND(I25=0,COUNTIFS($C$5:$C$634,C25,$E$5:$E$634,E25,$B$5:$B$634,"&gt;="&amp;(B25-Parameters!$B$12),$B$5:$B$634,"&lt;="&amp;(B25+Parameters!$B$12),$H$5:$H$634,"&lt;&gt;"&amp;H25)&gt;0),1,0)</f>
        <v>0</v>
      </c>
      <c r="K25" s="9" t="n">
        <f aca="false">IF(AND(E25&gt;=Parameters!$B$11,ROUND(MOD(ROUND(E25,2),Parameters!$B$10),2)=0),1,0)</f>
        <v>0</v>
      </c>
      <c r="L25" s="9" t="n">
        <f aca="false">IF(AND(E25&lt;Parameters!$B$7,E25&gt;=Parameters!$B$7*(1-Parameters!$B$9)),1,0)</f>
        <v>0</v>
      </c>
      <c r="M25" s="9" t="n">
        <f aca="false">IF(AND(E25&lt;Parameters!$B$7,COUNTIFS($C$5:$C$634,C25,$B$5:$B$634,B25)&gt;1,SUMIFS($E$5:$E$634,$C$5:$C$634,C25,$B$5:$B$634,B25)&gt;=Parameters!$B$7),1,0)</f>
        <v>0</v>
      </c>
      <c r="N25" s="9" t="n">
        <f aca="false">IF(AND(E25&gt;=Parameters!$B$7,F25&lt;&gt;Parameters!$B$8),1,0)</f>
        <v>0</v>
      </c>
      <c r="O25" s="9" t="n">
        <f aca="false">INDEX(Vendor_Benford!$N$6:$N$50,MATCH(C25,Vendor_Benford!$A$6:$A$50,0))</f>
        <v>0</v>
      </c>
      <c r="P25" s="9" t="n">
        <f aca="false">INDEX(Vendor_Benford!$M$6:$M$50,MATCH(C25,Vendor_Benford!$A$6:$A$50,0))</f>
        <v>0</v>
      </c>
      <c r="Q25" s="9" t="n">
        <f aca="false">I25*Parameters!$B$28+J25*Parameters!$B$29+K25*Parameters!$B$30+L25*Parameters!$B$31+M25*Parameters!$B$32+N25*Parameters!$B$33+O25*Parameters!$B$34+P25*Parameters!$B$35</f>
        <v>0</v>
      </c>
      <c r="R25" s="0" t="str">
        <f aca="false">IF(Q25&gt;=Parameters!$B$24,"High","")</f>
        <v/>
      </c>
    </row>
    <row r="26" customFormat="false" ht="15" hidden="false" customHeight="false" outlineLevel="0" collapsed="false">
      <c r="A26" s="10" t="s">
        <v>358</v>
      </c>
      <c r="B26" s="8" t="n">
        <v>45670</v>
      </c>
      <c r="C26" s="10" t="s">
        <v>128</v>
      </c>
      <c r="D26" s="10" t="s">
        <v>359</v>
      </c>
      <c r="E26" s="12" t="n">
        <v>2895.7</v>
      </c>
      <c r="F26" s="10" t="s">
        <v>40</v>
      </c>
      <c r="G26" s="9" t="n">
        <f aca="false">VALUE(LEFT(TEXT(E26,"0.00"),1))</f>
        <v>2</v>
      </c>
      <c r="H26" s="0" t="str">
        <f aca="false">UPPER(SUBSTITUTE(SUBSTITUTE(SUBSTITUTE(D26," ",""),"/",""),".",""))</f>
        <v>INV7005</v>
      </c>
      <c r="I26" s="9" t="n">
        <f aca="false">IF(COUNTIFS($C$5:C26,C26,$H$5:H26,H26,$E$5:E26,E26)&gt;1,1,0)</f>
        <v>0</v>
      </c>
      <c r="J26" s="9" t="n">
        <f aca="false">IF(AND(I26=0,COUNTIFS($C$5:$C$634,C26,$E$5:$E$634,E26,$B$5:$B$634,"&gt;="&amp;(B26-Parameters!$B$12),$B$5:$B$634,"&lt;="&amp;(B26+Parameters!$B$12),$H$5:$H$634,"&lt;&gt;"&amp;H26)&gt;0),1,0)</f>
        <v>0</v>
      </c>
      <c r="K26" s="9" t="n">
        <f aca="false">IF(AND(E26&gt;=Parameters!$B$11,ROUND(MOD(ROUND(E26,2),Parameters!$B$10),2)=0),1,0)</f>
        <v>0</v>
      </c>
      <c r="L26" s="9" t="n">
        <f aca="false">IF(AND(E26&lt;Parameters!$B$7,E26&gt;=Parameters!$B$7*(1-Parameters!$B$9)),1,0)</f>
        <v>0</v>
      </c>
      <c r="M26" s="9" t="n">
        <f aca="false">IF(AND(E26&lt;Parameters!$B$7,COUNTIFS($C$5:$C$634,C26,$B$5:$B$634,B26)&gt;1,SUMIFS($E$5:$E$634,$C$5:$C$634,C26,$B$5:$B$634,B26)&gt;=Parameters!$B$7),1,0)</f>
        <v>0</v>
      </c>
      <c r="N26" s="9" t="n">
        <f aca="false">IF(AND(E26&gt;=Parameters!$B$7,F26&lt;&gt;Parameters!$B$8),1,0)</f>
        <v>0</v>
      </c>
      <c r="O26" s="9" t="n">
        <f aca="false">INDEX(Vendor_Benford!$N$6:$N$50,MATCH(C26,Vendor_Benford!$A$6:$A$50,0))</f>
        <v>0</v>
      </c>
      <c r="P26" s="9" t="n">
        <f aca="false">INDEX(Vendor_Benford!$M$6:$M$50,MATCH(C26,Vendor_Benford!$A$6:$A$50,0))</f>
        <v>0</v>
      </c>
      <c r="Q26" s="9" t="n">
        <f aca="false">I26*Parameters!$B$28+J26*Parameters!$B$29+K26*Parameters!$B$30+L26*Parameters!$B$31+M26*Parameters!$B$32+N26*Parameters!$B$33+O26*Parameters!$B$34+P26*Parameters!$B$35</f>
        <v>0</v>
      </c>
      <c r="R26" s="0" t="str">
        <f aca="false">IF(Q26&gt;=Parameters!$B$24,"High","")</f>
        <v/>
      </c>
    </row>
    <row r="27" customFormat="false" ht="15" hidden="false" customHeight="false" outlineLevel="0" collapsed="false">
      <c r="A27" s="10" t="s">
        <v>360</v>
      </c>
      <c r="B27" s="8" t="n">
        <v>45670</v>
      </c>
      <c r="C27" s="10" t="s">
        <v>170</v>
      </c>
      <c r="D27" s="10" t="s">
        <v>361</v>
      </c>
      <c r="E27" s="12" t="n">
        <v>666.35</v>
      </c>
      <c r="F27" s="10" t="s">
        <v>40</v>
      </c>
      <c r="G27" s="9" t="n">
        <f aca="false">VALUE(LEFT(TEXT(E27,"0.00"),1))</f>
        <v>6</v>
      </c>
      <c r="H27" s="0" t="str">
        <f aca="false">UPPER(SUBSTITUTE(SUBSTITUTE(SUBSTITUTE(D27," ",""),"/",""),".",""))</f>
        <v>INV21004</v>
      </c>
      <c r="I27" s="9" t="n">
        <f aca="false">IF(COUNTIFS($C$5:C27,C27,$H$5:H27,H27,$E$5:E27,E27)&gt;1,1,0)</f>
        <v>0</v>
      </c>
      <c r="J27" s="9" t="n">
        <f aca="false">IF(AND(I27=0,COUNTIFS($C$5:$C$634,C27,$E$5:$E$634,E27,$B$5:$B$634,"&gt;="&amp;(B27-Parameters!$B$12),$B$5:$B$634,"&lt;="&amp;(B27+Parameters!$B$12),$H$5:$H$634,"&lt;&gt;"&amp;H27)&gt;0),1,0)</f>
        <v>0</v>
      </c>
      <c r="K27" s="9" t="n">
        <f aca="false">IF(AND(E27&gt;=Parameters!$B$11,ROUND(MOD(ROUND(E27,2),Parameters!$B$10),2)=0),1,0)</f>
        <v>0</v>
      </c>
      <c r="L27" s="9" t="n">
        <f aca="false">IF(AND(E27&lt;Parameters!$B$7,E27&gt;=Parameters!$B$7*(1-Parameters!$B$9)),1,0)</f>
        <v>0</v>
      </c>
      <c r="M27" s="9" t="n">
        <f aca="false">IF(AND(E27&lt;Parameters!$B$7,COUNTIFS($C$5:$C$634,C27,$B$5:$B$634,B27)&gt;1,SUMIFS($E$5:$E$634,$C$5:$C$634,C27,$B$5:$B$634,B27)&gt;=Parameters!$B$7),1,0)</f>
        <v>0</v>
      </c>
      <c r="N27" s="9" t="n">
        <f aca="false">IF(AND(E27&gt;=Parameters!$B$7,F27&lt;&gt;Parameters!$B$8),1,0)</f>
        <v>0</v>
      </c>
      <c r="O27" s="9" t="n">
        <f aca="false">INDEX(Vendor_Benford!$N$6:$N$50,MATCH(C27,Vendor_Benford!$A$6:$A$50,0))</f>
        <v>0</v>
      </c>
      <c r="P27" s="9" t="n">
        <f aca="false">INDEX(Vendor_Benford!$M$6:$M$50,MATCH(C27,Vendor_Benford!$A$6:$A$50,0))</f>
        <v>0</v>
      </c>
      <c r="Q27" s="9" t="n">
        <f aca="false">I27*Parameters!$B$28+J27*Parameters!$B$29+K27*Parameters!$B$30+L27*Parameters!$B$31+M27*Parameters!$B$32+N27*Parameters!$B$33+O27*Parameters!$B$34+P27*Parameters!$B$35</f>
        <v>0</v>
      </c>
      <c r="R27" s="0" t="str">
        <f aca="false">IF(Q27&gt;=Parameters!$B$24,"High","")</f>
        <v/>
      </c>
    </row>
    <row r="28" customFormat="false" ht="15" hidden="false" customHeight="false" outlineLevel="0" collapsed="false">
      <c r="A28" s="10" t="s">
        <v>362</v>
      </c>
      <c r="B28" s="8" t="n">
        <v>45670</v>
      </c>
      <c r="C28" s="10" t="s">
        <v>200</v>
      </c>
      <c r="D28" s="10" t="s">
        <v>363</v>
      </c>
      <c r="E28" s="12" t="n">
        <v>4864.68</v>
      </c>
      <c r="F28" s="10" t="s">
        <v>347</v>
      </c>
      <c r="G28" s="9" t="n">
        <f aca="false">VALUE(LEFT(TEXT(E28,"0.00"),1))</f>
        <v>4</v>
      </c>
      <c r="H28" s="0" t="str">
        <f aca="false">UPPER(SUBSTITUTE(SUBSTITUTE(SUBSTITUTE(D28," ",""),"/",""),".",""))</f>
        <v>INV31014</v>
      </c>
      <c r="I28" s="9" t="n">
        <f aca="false">IF(COUNTIFS($C$5:C28,C28,$H$5:H28,H28,$E$5:E28,E28)&gt;1,1,0)</f>
        <v>0</v>
      </c>
      <c r="J28" s="9" t="n">
        <f aca="false">IF(AND(I28=0,COUNTIFS($C$5:$C$634,C28,$E$5:$E$634,E28,$B$5:$B$634,"&gt;="&amp;(B28-Parameters!$B$12),$B$5:$B$634,"&lt;="&amp;(B28+Parameters!$B$12),$H$5:$H$634,"&lt;&gt;"&amp;H28)&gt;0),1,0)</f>
        <v>0</v>
      </c>
      <c r="K28" s="9" t="n">
        <f aca="false">IF(AND(E28&gt;=Parameters!$B$11,ROUND(MOD(ROUND(E28,2),Parameters!$B$10),2)=0),1,0)</f>
        <v>0</v>
      </c>
      <c r="L28" s="9" t="n">
        <f aca="false">IF(AND(E28&lt;Parameters!$B$7,E28&gt;=Parameters!$B$7*(1-Parameters!$B$9)),1,0)</f>
        <v>1</v>
      </c>
      <c r="M28" s="9" t="n">
        <f aca="false">IF(AND(E28&lt;Parameters!$B$7,COUNTIFS($C$5:$C$634,C28,$B$5:$B$634,B28)&gt;1,SUMIFS($E$5:$E$634,$C$5:$C$634,C28,$B$5:$B$634,B28)&gt;=Parameters!$B$7),1,0)</f>
        <v>0</v>
      </c>
      <c r="N28" s="9" t="n">
        <f aca="false">IF(AND(E28&gt;=Parameters!$B$7,F28&lt;&gt;Parameters!$B$8),1,0)</f>
        <v>0</v>
      </c>
      <c r="O28" s="9" t="n">
        <f aca="false">INDEX(Vendor_Benford!$N$6:$N$50,MATCH(C28,Vendor_Benford!$A$6:$A$50,0))</f>
        <v>0</v>
      </c>
      <c r="P28" s="9" t="n">
        <f aca="false">INDEX(Vendor_Benford!$M$6:$M$50,MATCH(C28,Vendor_Benford!$A$6:$A$50,0))</f>
        <v>1</v>
      </c>
      <c r="Q28" s="9" t="n">
        <f aca="false">I28*Parameters!$B$28+J28*Parameters!$B$29+K28*Parameters!$B$30+L28*Parameters!$B$31+M28*Parameters!$B$32+N28*Parameters!$B$33+O28*Parameters!$B$34+P28*Parameters!$B$35</f>
        <v>4</v>
      </c>
      <c r="R28" s="0" t="str">
        <f aca="false">IF(Q28&gt;=Parameters!$B$24,"High","")</f>
        <v/>
      </c>
    </row>
    <row r="29" customFormat="false" ht="15" hidden="false" customHeight="false" outlineLevel="0" collapsed="false">
      <c r="A29" s="10" t="s">
        <v>364</v>
      </c>
      <c r="B29" s="8" t="n">
        <v>45670</v>
      </c>
      <c r="C29" s="10" t="s">
        <v>215</v>
      </c>
      <c r="D29" s="10" t="s">
        <v>365</v>
      </c>
      <c r="E29" s="12" t="n">
        <v>6462.88</v>
      </c>
      <c r="F29" s="10" t="s">
        <v>40</v>
      </c>
      <c r="G29" s="9" t="n">
        <f aca="false">VALUE(LEFT(TEXT(E29,"0.00"),1))</f>
        <v>6</v>
      </c>
      <c r="H29" s="0" t="str">
        <f aca="false">UPPER(SUBSTITUTE(SUBSTITUTE(SUBSTITUTE(D29," ",""),"/",""),".",""))</f>
        <v>INV36006</v>
      </c>
      <c r="I29" s="9" t="n">
        <f aca="false">IF(COUNTIFS($C$5:C29,C29,$H$5:H29,H29,$E$5:E29,E29)&gt;1,1,0)</f>
        <v>0</v>
      </c>
      <c r="J29" s="9" t="n">
        <f aca="false">IF(AND(I29=0,COUNTIFS($C$5:$C$634,C29,$E$5:$E$634,E29,$B$5:$B$634,"&gt;="&amp;(B29-Parameters!$B$12),$B$5:$B$634,"&lt;="&amp;(B29+Parameters!$B$12),$H$5:$H$634,"&lt;&gt;"&amp;H29)&gt;0),1,0)</f>
        <v>0</v>
      </c>
      <c r="K29" s="9" t="n">
        <f aca="false">IF(AND(E29&gt;=Parameters!$B$11,ROUND(MOD(ROUND(E29,2),Parameters!$B$10),2)=0),1,0)</f>
        <v>0</v>
      </c>
      <c r="L29" s="9" t="n">
        <f aca="false">IF(AND(E29&lt;Parameters!$B$7,E29&gt;=Parameters!$B$7*(1-Parameters!$B$9)),1,0)</f>
        <v>0</v>
      </c>
      <c r="M29" s="9" t="n">
        <f aca="false">IF(AND(E29&lt;Parameters!$B$7,COUNTIFS($C$5:$C$634,C29,$B$5:$B$634,B29)&gt;1,SUMIFS($E$5:$E$634,$C$5:$C$634,C29,$B$5:$B$634,B29)&gt;=Parameters!$B$7),1,0)</f>
        <v>0</v>
      </c>
      <c r="N29" s="9" t="n">
        <f aca="false">IF(AND(E29&gt;=Parameters!$B$7,F29&lt;&gt;Parameters!$B$8),1,0)</f>
        <v>0</v>
      </c>
      <c r="O29" s="9" t="n">
        <f aca="false">INDEX(Vendor_Benford!$N$6:$N$50,MATCH(C29,Vendor_Benford!$A$6:$A$50,0))</f>
        <v>0</v>
      </c>
      <c r="P29" s="9" t="n">
        <f aca="false">INDEX(Vendor_Benford!$M$6:$M$50,MATCH(C29,Vendor_Benford!$A$6:$A$50,0))</f>
        <v>0</v>
      </c>
      <c r="Q29" s="9" t="n">
        <f aca="false">I29*Parameters!$B$28+J29*Parameters!$B$29+K29*Parameters!$B$30+L29*Parameters!$B$31+M29*Parameters!$B$32+N29*Parameters!$B$33+O29*Parameters!$B$34+P29*Parameters!$B$35</f>
        <v>0</v>
      </c>
      <c r="R29" s="0" t="str">
        <f aca="false">IF(Q29&gt;=Parameters!$B$24,"High","")</f>
        <v/>
      </c>
    </row>
    <row r="30" customFormat="false" ht="15" hidden="false" customHeight="false" outlineLevel="0" collapsed="false">
      <c r="A30" s="10" t="s">
        <v>366</v>
      </c>
      <c r="B30" s="8" t="n">
        <v>45670</v>
      </c>
      <c r="C30" s="10" t="s">
        <v>233</v>
      </c>
      <c r="D30" s="10" t="s">
        <v>367</v>
      </c>
      <c r="E30" s="12" t="n">
        <v>9260.24</v>
      </c>
      <c r="F30" s="10" t="s">
        <v>40</v>
      </c>
      <c r="G30" s="9" t="n">
        <f aca="false">VALUE(LEFT(TEXT(E30,"0.00"),1))</f>
        <v>9</v>
      </c>
      <c r="H30" s="0" t="str">
        <f aca="false">UPPER(SUBSTITUTE(SUBSTITUTE(SUBSTITUTE(D30," ",""),"/",""),".",""))</f>
        <v>INV42003</v>
      </c>
      <c r="I30" s="9" t="n">
        <f aca="false">IF(COUNTIFS($C$5:C30,C30,$H$5:H30,H30,$E$5:E30,E30)&gt;1,1,0)</f>
        <v>0</v>
      </c>
      <c r="J30" s="9" t="n">
        <f aca="false">IF(AND(I30=0,COUNTIFS($C$5:$C$634,C30,$E$5:$E$634,E30,$B$5:$B$634,"&gt;="&amp;(B30-Parameters!$B$12),$B$5:$B$634,"&lt;="&amp;(B30+Parameters!$B$12),$H$5:$H$634,"&lt;&gt;"&amp;H30)&gt;0),1,0)</f>
        <v>0</v>
      </c>
      <c r="K30" s="9" t="n">
        <f aca="false">IF(AND(E30&gt;=Parameters!$B$11,ROUND(MOD(ROUND(E30,2),Parameters!$B$10),2)=0),1,0)</f>
        <v>0</v>
      </c>
      <c r="L30" s="9" t="n">
        <f aca="false">IF(AND(E30&lt;Parameters!$B$7,E30&gt;=Parameters!$B$7*(1-Parameters!$B$9)),1,0)</f>
        <v>0</v>
      </c>
      <c r="M30" s="9" t="n">
        <f aca="false">IF(AND(E30&lt;Parameters!$B$7,COUNTIFS($C$5:$C$634,C30,$B$5:$B$634,B30)&gt;1,SUMIFS($E$5:$E$634,$C$5:$C$634,C30,$B$5:$B$634,B30)&gt;=Parameters!$B$7),1,0)</f>
        <v>0</v>
      </c>
      <c r="N30" s="9" t="n">
        <f aca="false">IF(AND(E30&gt;=Parameters!$B$7,F30&lt;&gt;Parameters!$B$8),1,0)</f>
        <v>0</v>
      </c>
      <c r="O30" s="9" t="n">
        <f aca="false">INDEX(Vendor_Benford!$N$6:$N$50,MATCH(C30,Vendor_Benford!$A$6:$A$50,0))</f>
        <v>0</v>
      </c>
      <c r="P30" s="9" t="n">
        <f aca="false">INDEX(Vendor_Benford!$M$6:$M$50,MATCH(C30,Vendor_Benford!$A$6:$A$50,0))</f>
        <v>0</v>
      </c>
      <c r="Q30" s="9" t="n">
        <f aca="false">I30*Parameters!$B$28+J30*Parameters!$B$29+K30*Parameters!$B$30+L30*Parameters!$B$31+M30*Parameters!$B$32+N30*Parameters!$B$33+O30*Parameters!$B$34+P30*Parameters!$B$35</f>
        <v>0</v>
      </c>
      <c r="R30" s="0" t="str">
        <f aca="false">IF(Q30&gt;=Parameters!$B$24,"High","")</f>
        <v/>
      </c>
    </row>
    <row r="31" customFormat="false" ht="15" hidden="false" customHeight="false" outlineLevel="0" collapsed="false">
      <c r="A31" s="10" t="s">
        <v>368</v>
      </c>
      <c r="B31" s="8" t="n">
        <v>45671</v>
      </c>
      <c r="C31" s="10" t="s">
        <v>152</v>
      </c>
      <c r="D31" s="10" t="s">
        <v>369</v>
      </c>
      <c r="E31" s="12" t="n">
        <v>6485.46</v>
      </c>
      <c r="F31" s="10" t="s">
        <v>40</v>
      </c>
      <c r="G31" s="9" t="n">
        <f aca="false">VALUE(LEFT(TEXT(E31,"0.00"),1))</f>
        <v>6</v>
      </c>
      <c r="H31" s="0" t="str">
        <f aca="false">UPPER(SUBSTITUTE(SUBSTITUTE(SUBSTITUTE(D31," ",""),"/",""),".",""))</f>
        <v>INV15008</v>
      </c>
      <c r="I31" s="9" t="n">
        <f aca="false">IF(COUNTIFS($C$5:C31,C31,$H$5:H31,H31,$E$5:E31,E31)&gt;1,1,0)</f>
        <v>0</v>
      </c>
      <c r="J31" s="9" t="n">
        <f aca="false">IF(AND(I31=0,COUNTIFS($C$5:$C$634,C31,$E$5:$E$634,E31,$B$5:$B$634,"&gt;="&amp;(B31-Parameters!$B$12),$B$5:$B$634,"&lt;="&amp;(B31+Parameters!$B$12),$H$5:$H$634,"&lt;&gt;"&amp;H31)&gt;0),1,0)</f>
        <v>0</v>
      </c>
      <c r="K31" s="9" t="n">
        <f aca="false">IF(AND(E31&gt;=Parameters!$B$11,ROUND(MOD(ROUND(E31,2),Parameters!$B$10),2)=0),1,0)</f>
        <v>0</v>
      </c>
      <c r="L31" s="9" t="n">
        <f aca="false">IF(AND(E31&lt;Parameters!$B$7,E31&gt;=Parameters!$B$7*(1-Parameters!$B$9)),1,0)</f>
        <v>0</v>
      </c>
      <c r="M31" s="9" t="n">
        <f aca="false">IF(AND(E31&lt;Parameters!$B$7,COUNTIFS($C$5:$C$634,C31,$B$5:$B$634,B31)&gt;1,SUMIFS($E$5:$E$634,$C$5:$C$634,C31,$B$5:$B$634,B31)&gt;=Parameters!$B$7),1,0)</f>
        <v>0</v>
      </c>
      <c r="N31" s="9" t="n">
        <f aca="false">IF(AND(E31&gt;=Parameters!$B$7,F31&lt;&gt;Parameters!$B$8),1,0)</f>
        <v>0</v>
      </c>
      <c r="O31" s="9" t="n">
        <f aca="false">INDEX(Vendor_Benford!$N$6:$N$50,MATCH(C31,Vendor_Benford!$A$6:$A$50,0))</f>
        <v>0</v>
      </c>
      <c r="P31" s="9" t="n">
        <f aca="false">INDEX(Vendor_Benford!$M$6:$M$50,MATCH(C31,Vendor_Benford!$A$6:$A$50,0))</f>
        <v>0</v>
      </c>
      <c r="Q31" s="9" t="n">
        <f aca="false">I31*Parameters!$B$28+J31*Parameters!$B$29+K31*Parameters!$B$30+L31*Parameters!$B$31+M31*Parameters!$B$32+N31*Parameters!$B$33+O31*Parameters!$B$34+P31*Parameters!$B$35</f>
        <v>0</v>
      </c>
      <c r="R31" s="0" t="str">
        <f aca="false">IF(Q31&gt;=Parameters!$B$24,"High","")</f>
        <v/>
      </c>
    </row>
    <row r="32" customFormat="false" ht="15" hidden="false" customHeight="false" outlineLevel="0" collapsed="false">
      <c r="A32" s="10" t="s">
        <v>370</v>
      </c>
      <c r="B32" s="8" t="n">
        <v>45671</v>
      </c>
      <c r="C32" s="10" t="s">
        <v>200</v>
      </c>
      <c r="D32" s="10" t="s">
        <v>371</v>
      </c>
      <c r="E32" s="12" t="n">
        <v>4733.76</v>
      </c>
      <c r="F32" s="10" t="s">
        <v>347</v>
      </c>
      <c r="G32" s="9" t="n">
        <f aca="false">VALUE(LEFT(TEXT(E32,"0.00"),1))</f>
        <v>4</v>
      </c>
      <c r="H32" s="0" t="str">
        <f aca="false">UPPER(SUBSTITUTE(SUBSTITUTE(SUBSTITUTE(D32," ",""),"/",""),".",""))</f>
        <v>INV31006</v>
      </c>
      <c r="I32" s="9" t="n">
        <f aca="false">IF(COUNTIFS($C$5:C32,C32,$H$5:H32,H32,$E$5:E32,E32)&gt;1,1,0)</f>
        <v>0</v>
      </c>
      <c r="J32" s="9" t="n">
        <f aca="false">IF(AND(I32=0,COUNTIFS($C$5:$C$634,C32,$E$5:$E$634,E32,$B$5:$B$634,"&gt;="&amp;(B32-Parameters!$B$12),$B$5:$B$634,"&lt;="&amp;(B32+Parameters!$B$12),$H$5:$H$634,"&lt;&gt;"&amp;H32)&gt;0),1,0)</f>
        <v>0</v>
      </c>
      <c r="K32" s="9" t="n">
        <f aca="false">IF(AND(E32&gt;=Parameters!$B$11,ROUND(MOD(ROUND(E32,2),Parameters!$B$10),2)=0),1,0)</f>
        <v>0</v>
      </c>
      <c r="L32" s="9" t="n">
        <f aca="false">IF(AND(E32&lt;Parameters!$B$7,E32&gt;=Parameters!$B$7*(1-Parameters!$B$9)),1,0)</f>
        <v>0</v>
      </c>
      <c r="M32" s="9" t="n">
        <f aca="false">IF(AND(E32&lt;Parameters!$B$7,COUNTIFS($C$5:$C$634,C32,$B$5:$B$634,B32)&gt;1,SUMIFS($E$5:$E$634,$C$5:$C$634,C32,$B$5:$B$634,B32)&gt;=Parameters!$B$7),1,0)</f>
        <v>0</v>
      </c>
      <c r="N32" s="9" t="n">
        <f aca="false">IF(AND(E32&gt;=Parameters!$B$7,F32&lt;&gt;Parameters!$B$8),1,0)</f>
        <v>0</v>
      </c>
      <c r="O32" s="9" t="n">
        <f aca="false">INDEX(Vendor_Benford!$N$6:$N$50,MATCH(C32,Vendor_Benford!$A$6:$A$50,0))</f>
        <v>0</v>
      </c>
      <c r="P32" s="9" t="n">
        <f aca="false">INDEX(Vendor_Benford!$M$6:$M$50,MATCH(C32,Vendor_Benford!$A$6:$A$50,0))</f>
        <v>1</v>
      </c>
      <c r="Q32" s="9" t="n">
        <f aca="false">I32*Parameters!$B$28+J32*Parameters!$B$29+K32*Parameters!$B$30+L32*Parameters!$B$31+M32*Parameters!$B$32+N32*Parameters!$B$33+O32*Parameters!$B$34+P32*Parameters!$B$35</f>
        <v>2</v>
      </c>
      <c r="R32" s="0" t="str">
        <f aca="false">IF(Q32&gt;=Parameters!$B$24,"High","")</f>
        <v/>
      </c>
    </row>
    <row r="33" customFormat="false" ht="15" hidden="false" customHeight="false" outlineLevel="0" collapsed="false">
      <c r="A33" s="10" t="s">
        <v>372</v>
      </c>
      <c r="B33" s="8" t="n">
        <v>45671</v>
      </c>
      <c r="C33" s="10" t="s">
        <v>224</v>
      </c>
      <c r="D33" s="10" t="s">
        <v>373</v>
      </c>
      <c r="E33" s="12" t="n">
        <v>246.92</v>
      </c>
      <c r="F33" s="10" t="s">
        <v>40</v>
      </c>
      <c r="G33" s="9" t="n">
        <f aca="false">VALUE(LEFT(TEXT(E33,"0.00"),1))</f>
        <v>2</v>
      </c>
      <c r="H33" s="0" t="str">
        <f aca="false">UPPER(SUBSTITUTE(SUBSTITUTE(SUBSTITUTE(D33," ",""),"/",""),".",""))</f>
        <v>INV39010</v>
      </c>
      <c r="I33" s="9" t="n">
        <f aca="false">IF(COUNTIFS($C$5:C33,C33,$H$5:H33,H33,$E$5:E33,E33)&gt;1,1,0)</f>
        <v>0</v>
      </c>
      <c r="J33" s="9" t="n">
        <f aca="false">IF(AND(I33=0,COUNTIFS($C$5:$C$634,C33,$E$5:$E$634,E33,$B$5:$B$634,"&gt;="&amp;(B33-Parameters!$B$12),$B$5:$B$634,"&lt;="&amp;(B33+Parameters!$B$12),$H$5:$H$634,"&lt;&gt;"&amp;H33)&gt;0),1,0)</f>
        <v>0</v>
      </c>
      <c r="K33" s="9" t="n">
        <f aca="false">IF(AND(E33&gt;=Parameters!$B$11,ROUND(MOD(ROUND(E33,2),Parameters!$B$10),2)=0),1,0)</f>
        <v>0</v>
      </c>
      <c r="L33" s="9" t="n">
        <f aca="false">IF(AND(E33&lt;Parameters!$B$7,E33&gt;=Parameters!$B$7*(1-Parameters!$B$9)),1,0)</f>
        <v>0</v>
      </c>
      <c r="M33" s="9" t="n">
        <f aca="false">IF(AND(E33&lt;Parameters!$B$7,COUNTIFS($C$5:$C$634,C33,$B$5:$B$634,B33)&gt;1,SUMIFS($E$5:$E$634,$C$5:$C$634,C33,$B$5:$B$634,B33)&gt;=Parameters!$B$7),1,0)</f>
        <v>0</v>
      </c>
      <c r="N33" s="9" t="n">
        <f aca="false">IF(AND(E33&gt;=Parameters!$B$7,F33&lt;&gt;Parameters!$B$8),1,0)</f>
        <v>0</v>
      </c>
      <c r="O33" s="9" t="n">
        <f aca="false">INDEX(Vendor_Benford!$N$6:$N$50,MATCH(C33,Vendor_Benford!$A$6:$A$50,0))</f>
        <v>0</v>
      </c>
      <c r="P33" s="9" t="n">
        <f aca="false">INDEX(Vendor_Benford!$M$6:$M$50,MATCH(C33,Vendor_Benford!$A$6:$A$50,0))</f>
        <v>0</v>
      </c>
      <c r="Q33" s="9" t="n">
        <f aca="false">I33*Parameters!$B$28+J33*Parameters!$B$29+K33*Parameters!$B$30+L33*Parameters!$B$31+M33*Parameters!$B$32+N33*Parameters!$B$33+O33*Parameters!$B$34+P33*Parameters!$B$35</f>
        <v>0</v>
      </c>
      <c r="R33" s="0" t="str">
        <f aca="false">IF(Q33&gt;=Parameters!$B$24,"High","")</f>
        <v/>
      </c>
    </row>
    <row r="34" customFormat="false" ht="15" hidden="false" customHeight="false" outlineLevel="0" collapsed="false">
      <c r="A34" s="10" t="s">
        <v>374</v>
      </c>
      <c r="B34" s="8" t="n">
        <v>45671</v>
      </c>
      <c r="C34" s="10" t="s">
        <v>233</v>
      </c>
      <c r="D34" s="10" t="s">
        <v>375</v>
      </c>
      <c r="E34" s="12" t="n">
        <v>582.82</v>
      </c>
      <c r="F34" s="10" t="s">
        <v>347</v>
      </c>
      <c r="G34" s="9" t="n">
        <f aca="false">VALUE(LEFT(TEXT(E34,"0.00"),1))</f>
        <v>5</v>
      </c>
      <c r="H34" s="0" t="str">
        <f aca="false">UPPER(SUBSTITUTE(SUBSTITUTE(SUBSTITUTE(D34," ",""),"/",""),".",""))</f>
        <v>INV42004</v>
      </c>
      <c r="I34" s="9" t="n">
        <f aca="false">IF(COUNTIFS($C$5:C34,C34,$H$5:H34,H34,$E$5:E34,E34)&gt;1,1,0)</f>
        <v>0</v>
      </c>
      <c r="J34" s="9" t="n">
        <f aca="false">IF(AND(I34=0,COUNTIFS($C$5:$C$634,C34,$E$5:$E$634,E34,$B$5:$B$634,"&gt;="&amp;(B34-Parameters!$B$12),$B$5:$B$634,"&lt;="&amp;(B34+Parameters!$B$12),$H$5:$H$634,"&lt;&gt;"&amp;H34)&gt;0),1,0)</f>
        <v>0</v>
      </c>
      <c r="K34" s="9" t="n">
        <f aca="false">IF(AND(E34&gt;=Parameters!$B$11,ROUND(MOD(ROUND(E34,2),Parameters!$B$10),2)=0),1,0)</f>
        <v>0</v>
      </c>
      <c r="L34" s="9" t="n">
        <f aca="false">IF(AND(E34&lt;Parameters!$B$7,E34&gt;=Parameters!$B$7*(1-Parameters!$B$9)),1,0)</f>
        <v>0</v>
      </c>
      <c r="M34" s="9" t="n">
        <f aca="false">IF(AND(E34&lt;Parameters!$B$7,COUNTIFS($C$5:$C$634,C34,$B$5:$B$634,B34)&gt;1,SUMIFS($E$5:$E$634,$C$5:$C$634,C34,$B$5:$B$634,B34)&gt;=Parameters!$B$7),1,0)</f>
        <v>0</v>
      </c>
      <c r="N34" s="9" t="n">
        <f aca="false">IF(AND(E34&gt;=Parameters!$B$7,F34&lt;&gt;Parameters!$B$8),1,0)</f>
        <v>0</v>
      </c>
      <c r="O34" s="9" t="n">
        <f aca="false">INDEX(Vendor_Benford!$N$6:$N$50,MATCH(C34,Vendor_Benford!$A$6:$A$50,0))</f>
        <v>0</v>
      </c>
      <c r="P34" s="9" t="n">
        <f aca="false">INDEX(Vendor_Benford!$M$6:$M$50,MATCH(C34,Vendor_Benford!$A$6:$A$50,0))</f>
        <v>0</v>
      </c>
      <c r="Q34" s="9" t="n">
        <f aca="false">I34*Parameters!$B$28+J34*Parameters!$B$29+K34*Parameters!$B$30+L34*Parameters!$B$31+M34*Parameters!$B$32+N34*Parameters!$B$33+O34*Parameters!$B$34+P34*Parameters!$B$35</f>
        <v>0</v>
      </c>
      <c r="R34" s="0" t="str">
        <f aca="false">IF(Q34&gt;=Parameters!$B$24,"High","")</f>
        <v/>
      </c>
    </row>
    <row r="35" customFormat="false" ht="15" hidden="false" customHeight="false" outlineLevel="0" collapsed="false">
      <c r="A35" s="10" t="s">
        <v>376</v>
      </c>
      <c r="B35" s="8" t="n">
        <v>45672</v>
      </c>
      <c r="C35" s="10" t="s">
        <v>173</v>
      </c>
      <c r="D35" s="10" t="s">
        <v>377</v>
      </c>
      <c r="E35" s="12" t="n">
        <v>4383.9</v>
      </c>
      <c r="F35" s="10" t="s">
        <v>347</v>
      </c>
      <c r="G35" s="9" t="n">
        <f aca="false">VALUE(LEFT(TEXT(E35,"0.00"),1))</f>
        <v>4</v>
      </c>
      <c r="H35" s="0" t="str">
        <f aca="false">UPPER(SUBSTITUTE(SUBSTITUTE(SUBSTITUTE(D35," ",""),"/",""),".",""))</f>
        <v>INV22015</v>
      </c>
      <c r="I35" s="9" t="n">
        <f aca="false">IF(COUNTIFS($C$5:C35,C35,$H$5:H35,H35,$E$5:E35,E35)&gt;1,1,0)</f>
        <v>0</v>
      </c>
      <c r="J35" s="9" t="n">
        <f aca="false">IF(AND(I35=0,COUNTIFS($C$5:$C$634,C35,$E$5:$E$634,E35,$B$5:$B$634,"&gt;="&amp;(B35-Parameters!$B$12),$B$5:$B$634,"&lt;="&amp;(B35+Parameters!$B$12),$H$5:$H$634,"&lt;&gt;"&amp;H35)&gt;0),1,0)</f>
        <v>0</v>
      </c>
      <c r="K35" s="9" t="n">
        <f aca="false">IF(AND(E35&gt;=Parameters!$B$11,ROUND(MOD(ROUND(E35,2),Parameters!$B$10),2)=0),1,0)</f>
        <v>0</v>
      </c>
      <c r="L35" s="9" t="n">
        <f aca="false">IF(AND(E35&lt;Parameters!$B$7,E35&gt;=Parameters!$B$7*(1-Parameters!$B$9)),1,0)</f>
        <v>0</v>
      </c>
      <c r="M35" s="9" t="n">
        <f aca="false">IF(AND(E35&lt;Parameters!$B$7,COUNTIFS($C$5:$C$634,C35,$B$5:$B$634,B35)&gt;1,SUMIFS($E$5:$E$634,$C$5:$C$634,C35,$B$5:$B$634,B35)&gt;=Parameters!$B$7),1,0)</f>
        <v>0</v>
      </c>
      <c r="N35" s="9" t="n">
        <f aca="false">IF(AND(E35&gt;=Parameters!$B$7,F35&lt;&gt;Parameters!$B$8),1,0)</f>
        <v>0</v>
      </c>
      <c r="O35" s="9" t="n">
        <f aca="false">INDEX(Vendor_Benford!$N$6:$N$50,MATCH(C35,Vendor_Benford!$A$6:$A$50,0))</f>
        <v>0</v>
      </c>
      <c r="P35" s="9" t="n">
        <f aca="false">INDEX(Vendor_Benford!$M$6:$M$50,MATCH(C35,Vendor_Benford!$A$6:$A$50,0))</f>
        <v>0</v>
      </c>
      <c r="Q35" s="9" t="n">
        <f aca="false">I35*Parameters!$B$28+J35*Parameters!$B$29+K35*Parameters!$B$30+L35*Parameters!$B$31+M35*Parameters!$B$32+N35*Parameters!$B$33+O35*Parameters!$B$34+P35*Parameters!$B$35</f>
        <v>0</v>
      </c>
      <c r="R35" s="0" t="str">
        <f aca="false">IF(Q35&gt;=Parameters!$B$24,"High","")</f>
        <v/>
      </c>
    </row>
    <row r="36" customFormat="false" ht="15" hidden="false" customHeight="false" outlineLevel="0" collapsed="false">
      <c r="A36" s="10" t="s">
        <v>378</v>
      </c>
      <c r="B36" s="8" t="n">
        <v>45672</v>
      </c>
      <c r="C36" s="10" t="s">
        <v>230</v>
      </c>
      <c r="D36" s="10" t="s">
        <v>379</v>
      </c>
      <c r="E36" s="12" t="n">
        <v>19224.83</v>
      </c>
      <c r="F36" s="10" t="s">
        <v>40</v>
      </c>
      <c r="G36" s="9" t="n">
        <f aca="false">VALUE(LEFT(TEXT(E36,"0.00"),1))</f>
        <v>1</v>
      </c>
      <c r="H36" s="0" t="str">
        <f aca="false">UPPER(SUBSTITUTE(SUBSTITUTE(SUBSTITUTE(D36," ",""),"/",""),".",""))</f>
        <v>INV41001</v>
      </c>
      <c r="I36" s="9" t="n">
        <f aca="false">IF(COUNTIFS($C$5:C36,C36,$H$5:H36,H36,$E$5:E36,E36)&gt;1,1,0)</f>
        <v>0</v>
      </c>
      <c r="J36" s="9" t="n">
        <f aca="false">IF(AND(I36=0,COUNTIFS($C$5:$C$634,C36,$E$5:$E$634,E36,$B$5:$B$634,"&gt;="&amp;(B36-Parameters!$B$12),$B$5:$B$634,"&lt;="&amp;(B36+Parameters!$B$12),$H$5:$H$634,"&lt;&gt;"&amp;H36)&gt;0),1,0)</f>
        <v>0</v>
      </c>
      <c r="K36" s="9" t="n">
        <f aca="false">IF(AND(E36&gt;=Parameters!$B$11,ROUND(MOD(ROUND(E36,2),Parameters!$B$10),2)=0),1,0)</f>
        <v>0</v>
      </c>
      <c r="L36" s="9" t="n">
        <f aca="false">IF(AND(E36&lt;Parameters!$B$7,E36&gt;=Parameters!$B$7*(1-Parameters!$B$9)),1,0)</f>
        <v>0</v>
      </c>
      <c r="M36" s="9" t="n">
        <f aca="false">IF(AND(E36&lt;Parameters!$B$7,COUNTIFS($C$5:$C$634,C36,$B$5:$B$634,B36)&gt;1,SUMIFS($E$5:$E$634,$C$5:$C$634,C36,$B$5:$B$634,B36)&gt;=Parameters!$B$7),1,0)</f>
        <v>0</v>
      </c>
      <c r="N36" s="9" t="n">
        <f aca="false">IF(AND(E36&gt;=Parameters!$B$7,F36&lt;&gt;Parameters!$B$8),1,0)</f>
        <v>0</v>
      </c>
      <c r="O36" s="9" t="n">
        <f aca="false">INDEX(Vendor_Benford!$N$6:$N$50,MATCH(C36,Vendor_Benford!$A$6:$A$50,0))</f>
        <v>0</v>
      </c>
      <c r="P36" s="9" t="n">
        <f aca="false">INDEX(Vendor_Benford!$M$6:$M$50,MATCH(C36,Vendor_Benford!$A$6:$A$50,0))</f>
        <v>0</v>
      </c>
      <c r="Q36" s="9" t="n">
        <f aca="false">I36*Parameters!$B$28+J36*Parameters!$B$29+K36*Parameters!$B$30+L36*Parameters!$B$31+M36*Parameters!$B$32+N36*Parameters!$B$33+O36*Parameters!$B$34+P36*Parameters!$B$35</f>
        <v>0</v>
      </c>
      <c r="R36" s="0" t="str">
        <f aca="false">IF(Q36&gt;=Parameters!$B$24,"High","")</f>
        <v/>
      </c>
    </row>
    <row r="37" customFormat="false" ht="15" hidden="false" customHeight="false" outlineLevel="0" collapsed="false">
      <c r="A37" s="10" t="s">
        <v>380</v>
      </c>
      <c r="B37" s="8" t="n">
        <v>45673</v>
      </c>
      <c r="C37" s="10" t="s">
        <v>113</v>
      </c>
      <c r="D37" s="10" t="s">
        <v>381</v>
      </c>
      <c r="E37" s="12" t="n">
        <v>4900</v>
      </c>
      <c r="F37" s="10" t="s">
        <v>347</v>
      </c>
      <c r="G37" s="9" t="n">
        <f aca="false">VALUE(LEFT(TEXT(E37,"0.00"),1))</f>
        <v>4</v>
      </c>
      <c r="H37" s="0" t="str">
        <f aca="false">UPPER(SUBSTITUTE(SUBSTITUTE(SUBSTITUTE(D37," ",""),"/",""),".",""))</f>
        <v>LIC2501</v>
      </c>
      <c r="I37" s="9" t="n">
        <f aca="false">IF(COUNTIFS($C$5:C37,C37,$H$5:H37,H37,$E$5:E37,E37)&gt;1,1,0)</f>
        <v>0</v>
      </c>
      <c r="J37" s="9" t="n">
        <f aca="false">IF(AND(I37=0,COUNTIFS($C$5:$C$634,C37,$E$5:$E$634,E37,$B$5:$B$634,"&gt;="&amp;(B37-Parameters!$B$12),$B$5:$B$634,"&lt;="&amp;(B37+Parameters!$B$12),$H$5:$H$634,"&lt;&gt;"&amp;H37)&gt;0),1,0)</f>
        <v>0</v>
      </c>
      <c r="K37" s="9" t="n">
        <f aca="false">IF(AND(E37&gt;=Parameters!$B$11,ROUND(MOD(ROUND(E37,2),Parameters!$B$10),2)=0),1,0)</f>
        <v>0</v>
      </c>
      <c r="L37" s="9" t="n">
        <f aca="false">IF(AND(E37&lt;Parameters!$B$7,E37&gt;=Parameters!$B$7*(1-Parameters!$B$9)),1,0)</f>
        <v>1</v>
      </c>
      <c r="M37" s="9" t="n">
        <f aca="false">IF(AND(E37&lt;Parameters!$B$7,COUNTIFS($C$5:$C$634,C37,$B$5:$B$634,B37)&gt;1,SUMIFS($E$5:$E$634,$C$5:$C$634,C37,$B$5:$B$634,B37)&gt;=Parameters!$B$7),1,0)</f>
        <v>0</v>
      </c>
      <c r="N37" s="9" t="n">
        <f aca="false">IF(AND(E37&gt;=Parameters!$B$7,F37&lt;&gt;Parameters!$B$8),1,0)</f>
        <v>0</v>
      </c>
      <c r="O37" s="9" t="n">
        <f aca="false">INDEX(Vendor_Benford!$N$6:$N$50,MATCH(C37,Vendor_Benford!$A$6:$A$50,0))</f>
        <v>0</v>
      </c>
      <c r="P37" s="9" t="n">
        <f aca="false">INDEX(Vendor_Benford!$M$6:$M$50,MATCH(C37,Vendor_Benford!$A$6:$A$50,0))</f>
        <v>0</v>
      </c>
      <c r="Q37" s="9" t="n">
        <f aca="false">I37*Parameters!$B$28+J37*Parameters!$B$29+K37*Parameters!$B$30+L37*Parameters!$B$31+M37*Parameters!$B$32+N37*Parameters!$B$33+O37*Parameters!$B$34+P37*Parameters!$B$35</f>
        <v>2</v>
      </c>
      <c r="R37" s="0" t="str">
        <f aca="false">IF(Q37&gt;=Parameters!$B$24,"High","")</f>
        <v/>
      </c>
    </row>
    <row r="38" customFormat="false" ht="15" hidden="false" customHeight="false" outlineLevel="0" collapsed="false">
      <c r="A38" s="10" t="s">
        <v>382</v>
      </c>
      <c r="B38" s="8" t="n">
        <v>45673</v>
      </c>
      <c r="C38" s="10" t="s">
        <v>143</v>
      </c>
      <c r="D38" s="10" t="s">
        <v>383</v>
      </c>
      <c r="E38" s="12" t="n">
        <v>16498.44</v>
      </c>
      <c r="F38" s="10" t="s">
        <v>40</v>
      </c>
      <c r="G38" s="9" t="n">
        <f aca="false">VALUE(LEFT(TEXT(E38,"0.00"),1))</f>
        <v>1</v>
      </c>
      <c r="H38" s="0" t="str">
        <f aca="false">UPPER(SUBSTITUTE(SUBSTITUTE(SUBSTITUTE(D38," ",""),"/",""),".",""))</f>
        <v>INV12007</v>
      </c>
      <c r="I38" s="9" t="n">
        <f aca="false">IF(COUNTIFS($C$5:C38,C38,$H$5:H38,H38,$E$5:E38,E38)&gt;1,1,0)</f>
        <v>0</v>
      </c>
      <c r="J38" s="9" t="n">
        <f aca="false">IF(AND(I38=0,COUNTIFS($C$5:$C$634,C38,$E$5:$E$634,E38,$B$5:$B$634,"&gt;="&amp;(B38-Parameters!$B$12),$B$5:$B$634,"&lt;="&amp;(B38+Parameters!$B$12),$H$5:$H$634,"&lt;&gt;"&amp;H38)&gt;0),1,0)</f>
        <v>0</v>
      </c>
      <c r="K38" s="9" t="n">
        <f aca="false">IF(AND(E38&gt;=Parameters!$B$11,ROUND(MOD(ROUND(E38,2),Parameters!$B$10),2)=0),1,0)</f>
        <v>0</v>
      </c>
      <c r="L38" s="9" t="n">
        <f aca="false">IF(AND(E38&lt;Parameters!$B$7,E38&gt;=Parameters!$B$7*(1-Parameters!$B$9)),1,0)</f>
        <v>0</v>
      </c>
      <c r="M38" s="9" t="n">
        <f aca="false">IF(AND(E38&lt;Parameters!$B$7,COUNTIFS($C$5:$C$634,C38,$B$5:$B$634,B38)&gt;1,SUMIFS($E$5:$E$634,$C$5:$C$634,C38,$B$5:$B$634,B38)&gt;=Parameters!$B$7),1,0)</f>
        <v>0</v>
      </c>
      <c r="N38" s="9" t="n">
        <f aca="false">IF(AND(E38&gt;=Parameters!$B$7,F38&lt;&gt;Parameters!$B$8),1,0)</f>
        <v>0</v>
      </c>
      <c r="O38" s="9" t="n">
        <f aca="false">INDEX(Vendor_Benford!$N$6:$N$50,MATCH(C38,Vendor_Benford!$A$6:$A$50,0))</f>
        <v>0</v>
      </c>
      <c r="P38" s="9" t="n">
        <f aca="false">INDEX(Vendor_Benford!$M$6:$M$50,MATCH(C38,Vendor_Benford!$A$6:$A$50,0))</f>
        <v>0</v>
      </c>
      <c r="Q38" s="9" t="n">
        <f aca="false">I38*Parameters!$B$28+J38*Parameters!$B$29+K38*Parameters!$B$30+L38*Parameters!$B$31+M38*Parameters!$B$32+N38*Parameters!$B$33+O38*Parameters!$B$34+P38*Parameters!$B$35</f>
        <v>0</v>
      </c>
      <c r="R38" s="0" t="str">
        <f aca="false">IF(Q38&gt;=Parameters!$B$24,"High","")</f>
        <v/>
      </c>
    </row>
    <row r="39" customFormat="false" ht="15" hidden="false" customHeight="false" outlineLevel="0" collapsed="false">
      <c r="A39" s="10" t="s">
        <v>384</v>
      </c>
      <c r="B39" s="8" t="n">
        <v>45673</v>
      </c>
      <c r="C39" s="10" t="s">
        <v>209</v>
      </c>
      <c r="D39" s="10" t="s">
        <v>385</v>
      </c>
      <c r="E39" s="12" t="n">
        <v>28041.47</v>
      </c>
      <c r="F39" s="10" t="s">
        <v>40</v>
      </c>
      <c r="G39" s="9" t="n">
        <f aca="false">VALUE(LEFT(TEXT(E39,"0.00"),1))</f>
        <v>2</v>
      </c>
      <c r="H39" s="0" t="str">
        <f aca="false">UPPER(SUBSTITUTE(SUBSTITUTE(SUBSTITUTE(D39," ",""),"/",""),".",""))</f>
        <v>INV34013</v>
      </c>
      <c r="I39" s="9" t="n">
        <f aca="false">IF(COUNTIFS($C$5:C39,C39,$H$5:H39,H39,$E$5:E39,E39)&gt;1,1,0)</f>
        <v>0</v>
      </c>
      <c r="J39" s="9" t="n">
        <f aca="false">IF(AND(I39=0,COUNTIFS($C$5:$C$634,C39,$E$5:$E$634,E39,$B$5:$B$634,"&gt;="&amp;(B39-Parameters!$B$12),$B$5:$B$634,"&lt;="&amp;(B39+Parameters!$B$12),$H$5:$H$634,"&lt;&gt;"&amp;H39)&gt;0),1,0)</f>
        <v>0</v>
      </c>
      <c r="K39" s="9" t="n">
        <f aca="false">IF(AND(E39&gt;=Parameters!$B$11,ROUND(MOD(ROUND(E39,2),Parameters!$B$10),2)=0),1,0)</f>
        <v>0</v>
      </c>
      <c r="L39" s="9" t="n">
        <f aca="false">IF(AND(E39&lt;Parameters!$B$7,E39&gt;=Parameters!$B$7*(1-Parameters!$B$9)),1,0)</f>
        <v>0</v>
      </c>
      <c r="M39" s="9" t="n">
        <f aca="false">IF(AND(E39&lt;Parameters!$B$7,COUNTIFS($C$5:$C$634,C39,$B$5:$B$634,B39)&gt;1,SUMIFS($E$5:$E$634,$C$5:$C$634,C39,$B$5:$B$634,B39)&gt;=Parameters!$B$7),1,0)</f>
        <v>0</v>
      </c>
      <c r="N39" s="9" t="n">
        <f aca="false">IF(AND(E39&gt;=Parameters!$B$7,F39&lt;&gt;Parameters!$B$8),1,0)</f>
        <v>0</v>
      </c>
      <c r="O39" s="9" t="n">
        <f aca="false">INDEX(Vendor_Benford!$N$6:$N$50,MATCH(C39,Vendor_Benford!$A$6:$A$50,0))</f>
        <v>0</v>
      </c>
      <c r="P39" s="9" t="n">
        <f aca="false">INDEX(Vendor_Benford!$M$6:$M$50,MATCH(C39,Vendor_Benford!$A$6:$A$50,0))</f>
        <v>0</v>
      </c>
      <c r="Q39" s="9" t="n">
        <f aca="false">I39*Parameters!$B$28+J39*Parameters!$B$29+K39*Parameters!$B$30+L39*Parameters!$B$31+M39*Parameters!$B$32+N39*Parameters!$B$33+O39*Parameters!$B$34+P39*Parameters!$B$35</f>
        <v>0</v>
      </c>
      <c r="R39" s="0" t="str">
        <f aca="false">IF(Q39&gt;=Parameters!$B$24,"High","")</f>
        <v/>
      </c>
    </row>
    <row r="40" customFormat="false" ht="15" hidden="false" customHeight="false" outlineLevel="0" collapsed="false">
      <c r="A40" s="10" t="s">
        <v>386</v>
      </c>
      <c r="B40" s="8" t="n">
        <v>45674</v>
      </c>
      <c r="C40" s="10" t="s">
        <v>116</v>
      </c>
      <c r="D40" s="10" t="s">
        <v>387</v>
      </c>
      <c r="E40" s="12" t="n">
        <v>20170.87</v>
      </c>
      <c r="F40" s="10" t="s">
        <v>40</v>
      </c>
      <c r="G40" s="9" t="n">
        <f aca="false">VALUE(LEFT(TEXT(E40,"0.00"),1))</f>
        <v>2</v>
      </c>
      <c r="H40" s="0" t="str">
        <f aca="false">UPPER(SUBSTITUTE(SUBSTITUTE(SUBSTITUTE(D40," ",""),"/",""),".",""))</f>
        <v>INV3008</v>
      </c>
      <c r="I40" s="9" t="n">
        <f aca="false">IF(COUNTIFS($C$5:C40,C40,$H$5:H40,H40,$E$5:E40,E40)&gt;1,1,0)</f>
        <v>0</v>
      </c>
      <c r="J40" s="9" t="n">
        <f aca="false">IF(AND(I40=0,COUNTIFS($C$5:$C$634,C40,$E$5:$E$634,E40,$B$5:$B$634,"&gt;="&amp;(B40-Parameters!$B$12),$B$5:$B$634,"&lt;="&amp;(B40+Parameters!$B$12),$H$5:$H$634,"&lt;&gt;"&amp;H40)&gt;0),1,0)</f>
        <v>0</v>
      </c>
      <c r="K40" s="9" t="n">
        <f aca="false">IF(AND(E40&gt;=Parameters!$B$11,ROUND(MOD(ROUND(E40,2),Parameters!$B$10),2)=0),1,0)</f>
        <v>0</v>
      </c>
      <c r="L40" s="9" t="n">
        <f aca="false">IF(AND(E40&lt;Parameters!$B$7,E40&gt;=Parameters!$B$7*(1-Parameters!$B$9)),1,0)</f>
        <v>0</v>
      </c>
      <c r="M40" s="9" t="n">
        <f aca="false">IF(AND(E40&lt;Parameters!$B$7,COUNTIFS($C$5:$C$634,C40,$B$5:$B$634,B40)&gt;1,SUMIFS($E$5:$E$634,$C$5:$C$634,C40,$B$5:$B$634,B40)&gt;=Parameters!$B$7),1,0)</f>
        <v>0</v>
      </c>
      <c r="N40" s="9" t="n">
        <f aca="false">IF(AND(E40&gt;=Parameters!$B$7,F40&lt;&gt;Parameters!$B$8),1,0)</f>
        <v>0</v>
      </c>
      <c r="O40" s="9" t="n">
        <f aca="false">INDEX(Vendor_Benford!$N$6:$N$50,MATCH(C40,Vendor_Benford!$A$6:$A$50,0))</f>
        <v>0</v>
      </c>
      <c r="P40" s="9" t="n">
        <f aca="false">INDEX(Vendor_Benford!$M$6:$M$50,MATCH(C40,Vendor_Benford!$A$6:$A$50,0))</f>
        <v>0</v>
      </c>
      <c r="Q40" s="9" t="n">
        <f aca="false">I40*Parameters!$B$28+J40*Parameters!$B$29+K40*Parameters!$B$30+L40*Parameters!$B$31+M40*Parameters!$B$32+N40*Parameters!$B$33+O40*Parameters!$B$34+P40*Parameters!$B$35</f>
        <v>0</v>
      </c>
      <c r="R40" s="0" t="str">
        <f aca="false">IF(Q40&gt;=Parameters!$B$24,"High","")</f>
        <v/>
      </c>
    </row>
    <row r="41" customFormat="false" ht="15" hidden="false" customHeight="false" outlineLevel="0" collapsed="false">
      <c r="A41" s="10" t="s">
        <v>388</v>
      </c>
      <c r="B41" s="8" t="n">
        <v>45674</v>
      </c>
      <c r="C41" s="10" t="s">
        <v>140</v>
      </c>
      <c r="D41" s="10" t="s">
        <v>389</v>
      </c>
      <c r="E41" s="12" t="n">
        <v>4383.44</v>
      </c>
      <c r="F41" s="10" t="s">
        <v>347</v>
      </c>
      <c r="G41" s="9" t="n">
        <f aca="false">VALUE(LEFT(TEXT(E41,"0.00"),1))</f>
        <v>4</v>
      </c>
      <c r="H41" s="0" t="str">
        <f aca="false">UPPER(SUBSTITUTE(SUBSTITUTE(SUBSTITUTE(D41," ",""),"/",""),".",""))</f>
        <v>INV11011</v>
      </c>
      <c r="I41" s="9" t="n">
        <f aca="false">IF(COUNTIFS($C$5:C41,C41,$H$5:H41,H41,$E$5:E41,E41)&gt;1,1,0)</f>
        <v>0</v>
      </c>
      <c r="J41" s="9" t="n">
        <f aca="false">IF(AND(I41=0,COUNTIFS($C$5:$C$634,C41,$E$5:$E$634,E41,$B$5:$B$634,"&gt;="&amp;(B41-Parameters!$B$12),$B$5:$B$634,"&lt;="&amp;(B41+Parameters!$B$12),$H$5:$H$634,"&lt;&gt;"&amp;H41)&gt;0),1,0)</f>
        <v>0</v>
      </c>
      <c r="K41" s="9" t="n">
        <f aca="false">IF(AND(E41&gt;=Parameters!$B$11,ROUND(MOD(ROUND(E41,2),Parameters!$B$10),2)=0),1,0)</f>
        <v>0</v>
      </c>
      <c r="L41" s="9" t="n">
        <f aca="false">IF(AND(E41&lt;Parameters!$B$7,E41&gt;=Parameters!$B$7*(1-Parameters!$B$9)),1,0)</f>
        <v>0</v>
      </c>
      <c r="M41" s="9" t="n">
        <f aca="false">IF(AND(E41&lt;Parameters!$B$7,COUNTIFS($C$5:$C$634,C41,$B$5:$B$634,B41)&gt;1,SUMIFS($E$5:$E$634,$C$5:$C$634,C41,$B$5:$B$634,B41)&gt;=Parameters!$B$7),1,0)</f>
        <v>0</v>
      </c>
      <c r="N41" s="9" t="n">
        <f aca="false">IF(AND(E41&gt;=Parameters!$B$7,F41&lt;&gt;Parameters!$B$8),1,0)</f>
        <v>0</v>
      </c>
      <c r="O41" s="9" t="n">
        <f aca="false">INDEX(Vendor_Benford!$N$6:$N$50,MATCH(C41,Vendor_Benford!$A$6:$A$50,0))</f>
        <v>0</v>
      </c>
      <c r="P41" s="9" t="n">
        <f aca="false">INDEX(Vendor_Benford!$M$6:$M$50,MATCH(C41,Vendor_Benford!$A$6:$A$50,0))</f>
        <v>0</v>
      </c>
      <c r="Q41" s="9" t="n">
        <f aca="false">I41*Parameters!$B$28+J41*Parameters!$B$29+K41*Parameters!$B$30+L41*Parameters!$B$31+M41*Parameters!$B$32+N41*Parameters!$B$33+O41*Parameters!$B$34+P41*Parameters!$B$35</f>
        <v>0</v>
      </c>
      <c r="R41" s="0" t="str">
        <f aca="false">IF(Q41&gt;=Parameters!$B$24,"High","")</f>
        <v/>
      </c>
    </row>
    <row r="42" customFormat="false" ht="15" hidden="false" customHeight="false" outlineLevel="0" collapsed="false">
      <c r="A42" s="10" t="s">
        <v>390</v>
      </c>
      <c r="B42" s="8" t="n">
        <v>45674</v>
      </c>
      <c r="C42" s="10" t="s">
        <v>200</v>
      </c>
      <c r="D42" s="10" t="s">
        <v>391</v>
      </c>
      <c r="E42" s="12" t="n">
        <v>4930.07</v>
      </c>
      <c r="F42" s="10" t="s">
        <v>347</v>
      </c>
      <c r="G42" s="9" t="n">
        <f aca="false">VALUE(LEFT(TEXT(E42,"0.00"),1))</f>
        <v>4</v>
      </c>
      <c r="H42" s="0" t="str">
        <f aca="false">UPPER(SUBSTITUTE(SUBSTITUTE(SUBSTITUTE(D42," ",""),"/",""),".",""))</f>
        <v>INV31017</v>
      </c>
      <c r="I42" s="9" t="n">
        <f aca="false">IF(COUNTIFS($C$5:C42,C42,$H$5:H42,H42,$E$5:E42,E42)&gt;1,1,0)</f>
        <v>0</v>
      </c>
      <c r="J42" s="9" t="n">
        <f aca="false">IF(AND(I42=0,COUNTIFS($C$5:$C$634,C42,$E$5:$E$634,E42,$B$5:$B$634,"&gt;="&amp;(B42-Parameters!$B$12),$B$5:$B$634,"&lt;="&amp;(B42+Parameters!$B$12),$H$5:$H$634,"&lt;&gt;"&amp;H42)&gt;0),1,0)</f>
        <v>0</v>
      </c>
      <c r="K42" s="9" t="n">
        <f aca="false">IF(AND(E42&gt;=Parameters!$B$11,ROUND(MOD(ROUND(E42,2),Parameters!$B$10),2)=0),1,0)</f>
        <v>0</v>
      </c>
      <c r="L42" s="9" t="n">
        <f aca="false">IF(AND(E42&lt;Parameters!$B$7,E42&gt;=Parameters!$B$7*(1-Parameters!$B$9)),1,0)</f>
        <v>1</v>
      </c>
      <c r="M42" s="9" t="n">
        <f aca="false">IF(AND(E42&lt;Parameters!$B$7,COUNTIFS($C$5:$C$634,C42,$B$5:$B$634,B42)&gt;1,SUMIFS($E$5:$E$634,$C$5:$C$634,C42,$B$5:$B$634,B42)&gt;=Parameters!$B$7),1,0)</f>
        <v>0</v>
      </c>
      <c r="N42" s="9" t="n">
        <f aca="false">IF(AND(E42&gt;=Parameters!$B$7,F42&lt;&gt;Parameters!$B$8),1,0)</f>
        <v>0</v>
      </c>
      <c r="O42" s="9" t="n">
        <f aca="false">INDEX(Vendor_Benford!$N$6:$N$50,MATCH(C42,Vendor_Benford!$A$6:$A$50,0))</f>
        <v>0</v>
      </c>
      <c r="P42" s="9" t="n">
        <f aca="false">INDEX(Vendor_Benford!$M$6:$M$50,MATCH(C42,Vendor_Benford!$A$6:$A$50,0))</f>
        <v>1</v>
      </c>
      <c r="Q42" s="9" t="n">
        <f aca="false">I42*Parameters!$B$28+J42*Parameters!$B$29+K42*Parameters!$B$30+L42*Parameters!$B$31+M42*Parameters!$B$32+N42*Parameters!$B$33+O42*Parameters!$B$34+P42*Parameters!$B$35</f>
        <v>4</v>
      </c>
      <c r="R42" s="0" t="str">
        <f aca="false">IF(Q42&gt;=Parameters!$B$24,"High","")</f>
        <v/>
      </c>
    </row>
    <row r="43" customFormat="false" ht="15" hidden="false" customHeight="false" outlineLevel="0" collapsed="false">
      <c r="A43" s="10" t="s">
        <v>392</v>
      </c>
      <c r="B43" s="8" t="n">
        <v>45674</v>
      </c>
      <c r="C43" s="10" t="s">
        <v>233</v>
      </c>
      <c r="D43" s="10" t="s">
        <v>393</v>
      </c>
      <c r="E43" s="12" t="n">
        <v>1078.75</v>
      </c>
      <c r="F43" s="10" t="s">
        <v>40</v>
      </c>
      <c r="G43" s="9" t="n">
        <f aca="false">VALUE(LEFT(TEXT(E43,"0.00"),1))</f>
        <v>1</v>
      </c>
      <c r="H43" s="0" t="str">
        <f aca="false">UPPER(SUBSTITUTE(SUBSTITUTE(SUBSTITUTE(D43," ",""),"/",""),".",""))</f>
        <v>INV42001</v>
      </c>
      <c r="I43" s="9" t="n">
        <f aca="false">IF(COUNTIFS($C$5:C43,C43,$H$5:H43,H43,$E$5:E43,E43)&gt;1,1,0)</f>
        <v>0</v>
      </c>
      <c r="J43" s="9" t="n">
        <f aca="false">IF(AND(I43=0,COUNTIFS($C$5:$C$634,C43,$E$5:$E$634,E43,$B$5:$B$634,"&gt;="&amp;(B43-Parameters!$B$12),$B$5:$B$634,"&lt;="&amp;(B43+Parameters!$B$12),$H$5:$H$634,"&lt;&gt;"&amp;H43)&gt;0),1,0)</f>
        <v>0</v>
      </c>
      <c r="K43" s="9" t="n">
        <f aca="false">IF(AND(E43&gt;=Parameters!$B$11,ROUND(MOD(ROUND(E43,2),Parameters!$B$10),2)=0),1,0)</f>
        <v>0</v>
      </c>
      <c r="L43" s="9" t="n">
        <f aca="false">IF(AND(E43&lt;Parameters!$B$7,E43&gt;=Parameters!$B$7*(1-Parameters!$B$9)),1,0)</f>
        <v>0</v>
      </c>
      <c r="M43" s="9" t="n">
        <f aca="false">IF(AND(E43&lt;Parameters!$B$7,COUNTIFS($C$5:$C$634,C43,$B$5:$B$634,B43)&gt;1,SUMIFS($E$5:$E$634,$C$5:$C$634,C43,$B$5:$B$634,B43)&gt;=Parameters!$B$7),1,0)</f>
        <v>0</v>
      </c>
      <c r="N43" s="9" t="n">
        <f aca="false">IF(AND(E43&gt;=Parameters!$B$7,F43&lt;&gt;Parameters!$B$8),1,0)</f>
        <v>0</v>
      </c>
      <c r="O43" s="9" t="n">
        <f aca="false">INDEX(Vendor_Benford!$N$6:$N$50,MATCH(C43,Vendor_Benford!$A$6:$A$50,0))</f>
        <v>0</v>
      </c>
      <c r="P43" s="9" t="n">
        <f aca="false">INDEX(Vendor_Benford!$M$6:$M$50,MATCH(C43,Vendor_Benford!$A$6:$A$50,0))</f>
        <v>0</v>
      </c>
      <c r="Q43" s="9" t="n">
        <f aca="false">I43*Parameters!$B$28+J43*Parameters!$B$29+K43*Parameters!$B$30+L43*Parameters!$B$31+M43*Parameters!$B$32+N43*Parameters!$B$33+O43*Parameters!$B$34+P43*Parameters!$B$35</f>
        <v>0</v>
      </c>
      <c r="R43" s="0" t="str">
        <f aca="false">IF(Q43&gt;=Parameters!$B$24,"High","")</f>
        <v/>
      </c>
    </row>
    <row r="44" customFormat="false" ht="15" hidden="false" customHeight="false" outlineLevel="0" collapsed="false">
      <c r="A44" s="10" t="s">
        <v>394</v>
      </c>
      <c r="B44" s="8" t="n">
        <v>45678</v>
      </c>
      <c r="C44" s="10" t="s">
        <v>212</v>
      </c>
      <c r="D44" s="10" t="s">
        <v>395</v>
      </c>
      <c r="E44" s="12" t="n">
        <v>13065.46</v>
      </c>
      <c r="F44" s="10" t="s">
        <v>40</v>
      </c>
      <c r="G44" s="9" t="n">
        <f aca="false">VALUE(LEFT(TEXT(E44,"0.00"),1))</f>
        <v>1</v>
      </c>
      <c r="H44" s="0" t="str">
        <f aca="false">UPPER(SUBSTITUTE(SUBSTITUTE(SUBSTITUTE(D44," ",""),"/",""),".",""))</f>
        <v>INV35015</v>
      </c>
      <c r="I44" s="9" t="n">
        <f aca="false">IF(COUNTIFS($C$5:C44,C44,$H$5:H44,H44,$E$5:E44,E44)&gt;1,1,0)</f>
        <v>0</v>
      </c>
      <c r="J44" s="9" t="n">
        <f aca="false">IF(AND(I44=0,COUNTIFS($C$5:$C$634,C44,$E$5:$E$634,E44,$B$5:$B$634,"&gt;="&amp;(B44-Parameters!$B$12),$B$5:$B$634,"&lt;="&amp;(B44+Parameters!$B$12),$H$5:$H$634,"&lt;&gt;"&amp;H44)&gt;0),1,0)</f>
        <v>0</v>
      </c>
      <c r="K44" s="9" t="n">
        <f aca="false">IF(AND(E44&gt;=Parameters!$B$11,ROUND(MOD(ROUND(E44,2),Parameters!$B$10),2)=0),1,0)</f>
        <v>0</v>
      </c>
      <c r="L44" s="9" t="n">
        <f aca="false">IF(AND(E44&lt;Parameters!$B$7,E44&gt;=Parameters!$B$7*(1-Parameters!$B$9)),1,0)</f>
        <v>0</v>
      </c>
      <c r="M44" s="9" t="n">
        <f aca="false">IF(AND(E44&lt;Parameters!$B$7,COUNTIFS($C$5:$C$634,C44,$B$5:$B$634,B44)&gt;1,SUMIFS($E$5:$E$634,$C$5:$C$634,C44,$B$5:$B$634,B44)&gt;=Parameters!$B$7),1,0)</f>
        <v>0</v>
      </c>
      <c r="N44" s="9" t="n">
        <f aca="false">IF(AND(E44&gt;=Parameters!$B$7,F44&lt;&gt;Parameters!$B$8),1,0)</f>
        <v>0</v>
      </c>
      <c r="O44" s="9" t="n">
        <f aca="false">INDEX(Vendor_Benford!$N$6:$N$50,MATCH(C44,Vendor_Benford!$A$6:$A$50,0))</f>
        <v>0</v>
      </c>
      <c r="P44" s="9" t="n">
        <f aca="false">INDEX(Vendor_Benford!$M$6:$M$50,MATCH(C44,Vendor_Benford!$A$6:$A$50,0))</f>
        <v>0</v>
      </c>
      <c r="Q44" s="9" t="n">
        <f aca="false">I44*Parameters!$B$28+J44*Parameters!$B$29+K44*Parameters!$B$30+L44*Parameters!$B$31+M44*Parameters!$B$32+N44*Parameters!$B$33+O44*Parameters!$B$34+P44*Parameters!$B$35</f>
        <v>0</v>
      </c>
      <c r="R44" s="0" t="str">
        <f aca="false">IF(Q44&gt;=Parameters!$B$24,"High","")</f>
        <v/>
      </c>
    </row>
    <row r="45" customFormat="false" ht="15" hidden="false" customHeight="false" outlineLevel="0" collapsed="false">
      <c r="A45" s="10" t="s">
        <v>396</v>
      </c>
      <c r="B45" s="8" t="n">
        <v>45679</v>
      </c>
      <c r="C45" s="10" t="s">
        <v>128</v>
      </c>
      <c r="D45" s="10" t="s">
        <v>397</v>
      </c>
      <c r="E45" s="12" t="n">
        <v>2113.83</v>
      </c>
      <c r="F45" s="10" t="s">
        <v>347</v>
      </c>
      <c r="G45" s="9" t="n">
        <f aca="false">VALUE(LEFT(TEXT(E45,"0.00"),1))</f>
        <v>2</v>
      </c>
      <c r="H45" s="0" t="str">
        <f aca="false">UPPER(SUBSTITUTE(SUBSTITUTE(SUBSTITUTE(D45," ",""),"/",""),".",""))</f>
        <v>INV7009</v>
      </c>
      <c r="I45" s="9" t="n">
        <f aca="false">IF(COUNTIFS($C$5:C45,C45,$H$5:H45,H45,$E$5:E45,E45)&gt;1,1,0)</f>
        <v>0</v>
      </c>
      <c r="J45" s="9" t="n">
        <f aca="false">IF(AND(I45=0,COUNTIFS($C$5:$C$634,C45,$E$5:$E$634,E45,$B$5:$B$634,"&gt;="&amp;(B45-Parameters!$B$12),$B$5:$B$634,"&lt;="&amp;(B45+Parameters!$B$12),$H$5:$H$634,"&lt;&gt;"&amp;H45)&gt;0),1,0)</f>
        <v>0</v>
      </c>
      <c r="K45" s="9" t="n">
        <f aca="false">IF(AND(E45&gt;=Parameters!$B$11,ROUND(MOD(ROUND(E45,2),Parameters!$B$10),2)=0),1,0)</f>
        <v>0</v>
      </c>
      <c r="L45" s="9" t="n">
        <f aca="false">IF(AND(E45&lt;Parameters!$B$7,E45&gt;=Parameters!$B$7*(1-Parameters!$B$9)),1,0)</f>
        <v>0</v>
      </c>
      <c r="M45" s="9" t="n">
        <f aca="false">IF(AND(E45&lt;Parameters!$B$7,COUNTIFS($C$5:$C$634,C45,$B$5:$B$634,B45)&gt;1,SUMIFS($E$5:$E$634,$C$5:$C$634,C45,$B$5:$B$634,B45)&gt;=Parameters!$B$7),1,0)</f>
        <v>0</v>
      </c>
      <c r="N45" s="9" t="n">
        <f aca="false">IF(AND(E45&gt;=Parameters!$B$7,F45&lt;&gt;Parameters!$B$8),1,0)</f>
        <v>0</v>
      </c>
      <c r="O45" s="9" t="n">
        <f aca="false">INDEX(Vendor_Benford!$N$6:$N$50,MATCH(C45,Vendor_Benford!$A$6:$A$50,0))</f>
        <v>0</v>
      </c>
      <c r="P45" s="9" t="n">
        <f aca="false">INDEX(Vendor_Benford!$M$6:$M$50,MATCH(C45,Vendor_Benford!$A$6:$A$50,0))</f>
        <v>0</v>
      </c>
      <c r="Q45" s="9" t="n">
        <f aca="false">I45*Parameters!$B$28+J45*Parameters!$B$29+K45*Parameters!$B$30+L45*Parameters!$B$31+M45*Parameters!$B$32+N45*Parameters!$B$33+O45*Parameters!$B$34+P45*Parameters!$B$35</f>
        <v>0</v>
      </c>
      <c r="R45" s="0" t="str">
        <f aca="false">IF(Q45&gt;=Parameters!$B$24,"High","")</f>
        <v/>
      </c>
    </row>
    <row r="46" customFormat="false" ht="15" hidden="false" customHeight="false" outlineLevel="0" collapsed="false">
      <c r="A46" s="10" t="s">
        <v>398</v>
      </c>
      <c r="B46" s="8" t="n">
        <v>45679</v>
      </c>
      <c r="C46" s="10" t="s">
        <v>203</v>
      </c>
      <c r="D46" s="10" t="s">
        <v>399</v>
      </c>
      <c r="E46" s="12" t="n">
        <v>40945.74</v>
      </c>
      <c r="F46" s="10" t="s">
        <v>40</v>
      </c>
      <c r="G46" s="9" t="n">
        <f aca="false">VALUE(LEFT(TEXT(E46,"0.00"),1))</f>
        <v>4</v>
      </c>
      <c r="H46" s="0" t="str">
        <f aca="false">UPPER(SUBSTITUTE(SUBSTITUTE(SUBSTITUTE(D46," ",""),"/",""),".",""))</f>
        <v>INV32017</v>
      </c>
      <c r="I46" s="9" t="n">
        <f aca="false">IF(COUNTIFS($C$5:C46,C46,$H$5:H46,H46,$E$5:E46,E46)&gt;1,1,0)</f>
        <v>0</v>
      </c>
      <c r="J46" s="9" t="n">
        <f aca="false">IF(AND(I46=0,COUNTIFS($C$5:$C$634,C46,$E$5:$E$634,E46,$B$5:$B$634,"&gt;="&amp;(B46-Parameters!$B$12),$B$5:$B$634,"&lt;="&amp;(B46+Parameters!$B$12),$H$5:$H$634,"&lt;&gt;"&amp;H46)&gt;0),1,0)</f>
        <v>0</v>
      </c>
      <c r="K46" s="9" t="n">
        <f aca="false">IF(AND(E46&gt;=Parameters!$B$11,ROUND(MOD(ROUND(E46,2),Parameters!$B$10),2)=0),1,0)</f>
        <v>0</v>
      </c>
      <c r="L46" s="9" t="n">
        <f aca="false">IF(AND(E46&lt;Parameters!$B$7,E46&gt;=Parameters!$B$7*(1-Parameters!$B$9)),1,0)</f>
        <v>0</v>
      </c>
      <c r="M46" s="9" t="n">
        <f aca="false">IF(AND(E46&lt;Parameters!$B$7,COUNTIFS($C$5:$C$634,C46,$B$5:$B$634,B46)&gt;1,SUMIFS($E$5:$E$634,$C$5:$C$634,C46,$B$5:$B$634,B46)&gt;=Parameters!$B$7),1,0)</f>
        <v>0</v>
      </c>
      <c r="N46" s="9" t="n">
        <f aca="false">IF(AND(E46&gt;=Parameters!$B$7,F46&lt;&gt;Parameters!$B$8),1,0)</f>
        <v>0</v>
      </c>
      <c r="O46" s="9" t="n">
        <f aca="false">INDEX(Vendor_Benford!$N$6:$N$50,MATCH(C46,Vendor_Benford!$A$6:$A$50,0))</f>
        <v>0</v>
      </c>
      <c r="P46" s="9" t="n">
        <f aca="false">INDEX(Vendor_Benford!$M$6:$M$50,MATCH(C46,Vendor_Benford!$A$6:$A$50,0))</f>
        <v>0</v>
      </c>
      <c r="Q46" s="9" t="n">
        <f aca="false">I46*Parameters!$B$28+J46*Parameters!$B$29+K46*Parameters!$B$30+L46*Parameters!$B$31+M46*Parameters!$B$32+N46*Parameters!$B$33+O46*Parameters!$B$34+P46*Parameters!$B$35</f>
        <v>0</v>
      </c>
      <c r="R46" s="0" t="str">
        <f aca="false">IF(Q46&gt;=Parameters!$B$24,"High","")</f>
        <v/>
      </c>
    </row>
    <row r="47" customFormat="false" ht="15" hidden="false" customHeight="false" outlineLevel="0" collapsed="false">
      <c r="A47" s="10" t="s">
        <v>400</v>
      </c>
      <c r="B47" s="8" t="n">
        <v>45680</v>
      </c>
      <c r="C47" s="10" t="s">
        <v>149</v>
      </c>
      <c r="D47" s="10" t="s">
        <v>401</v>
      </c>
      <c r="E47" s="12" t="n">
        <v>13009.52</v>
      </c>
      <c r="F47" s="10" t="s">
        <v>40</v>
      </c>
      <c r="G47" s="9" t="n">
        <f aca="false">VALUE(LEFT(TEXT(E47,"0.00"),1))</f>
        <v>1</v>
      </c>
      <c r="H47" s="0" t="str">
        <f aca="false">UPPER(SUBSTITUTE(SUBSTITUTE(SUBSTITUTE(D47," ",""),"/",""),".",""))</f>
        <v>INV14001</v>
      </c>
      <c r="I47" s="9" t="n">
        <f aca="false">IF(COUNTIFS($C$5:C47,C47,$H$5:H47,H47,$E$5:E47,E47)&gt;1,1,0)</f>
        <v>0</v>
      </c>
      <c r="J47" s="9" t="n">
        <f aca="false">IF(AND(I47=0,COUNTIFS($C$5:$C$634,C47,$E$5:$E$634,E47,$B$5:$B$634,"&gt;="&amp;(B47-Parameters!$B$12),$B$5:$B$634,"&lt;="&amp;(B47+Parameters!$B$12),$H$5:$H$634,"&lt;&gt;"&amp;H47)&gt;0),1,0)</f>
        <v>0</v>
      </c>
      <c r="K47" s="9" t="n">
        <f aca="false">IF(AND(E47&gt;=Parameters!$B$11,ROUND(MOD(ROUND(E47,2),Parameters!$B$10),2)=0),1,0)</f>
        <v>0</v>
      </c>
      <c r="L47" s="9" t="n">
        <f aca="false">IF(AND(E47&lt;Parameters!$B$7,E47&gt;=Parameters!$B$7*(1-Parameters!$B$9)),1,0)</f>
        <v>0</v>
      </c>
      <c r="M47" s="9" t="n">
        <f aca="false">IF(AND(E47&lt;Parameters!$B$7,COUNTIFS($C$5:$C$634,C47,$B$5:$B$634,B47)&gt;1,SUMIFS($E$5:$E$634,$C$5:$C$634,C47,$B$5:$B$634,B47)&gt;=Parameters!$B$7),1,0)</f>
        <v>0</v>
      </c>
      <c r="N47" s="9" t="n">
        <f aca="false">IF(AND(E47&gt;=Parameters!$B$7,F47&lt;&gt;Parameters!$B$8),1,0)</f>
        <v>0</v>
      </c>
      <c r="O47" s="9" t="n">
        <f aca="false">INDEX(Vendor_Benford!$N$6:$N$50,MATCH(C47,Vendor_Benford!$A$6:$A$50,0))</f>
        <v>0</v>
      </c>
      <c r="P47" s="9" t="n">
        <f aca="false">INDEX(Vendor_Benford!$M$6:$M$50,MATCH(C47,Vendor_Benford!$A$6:$A$50,0))</f>
        <v>0</v>
      </c>
      <c r="Q47" s="9" t="n">
        <f aca="false">I47*Parameters!$B$28+J47*Parameters!$B$29+K47*Parameters!$B$30+L47*Parameters!$B$31+M47*Parameters!$B$32+N47*Parameters!$B$33+O47*Parameters!$B$34+P47*Parameters!$B$35</f>
        <v>0</v>
      </c>
      <c r="R47" s="0" t="str">
        <f aca="false">IF(Q47&gt;=Parameters!$B$24,"High","")</f>
        <v/>
      </c>
    </row>
    <row r="48" customFormat="false" ht="15" hidden="false" customHeight="false" outlineLevel="0" collapsed="false">
      <c r="A48" s="10" t="s">
        <v>402</v>
      </c>
      <c r="B48" s="8" t="n">
        <v>45680</v>
      </c>
      <c r="C48" s="10" t="s">
        <v>167</v>
      </c>
      <c r="D48" s="10" t="s">
        <v>403</v>
      </c>
      <c r="E48" s="12" t="n">
        <v>6817.74</v>
      </c>
      <c r="F48" s="10" t="s">
        <v>40</v>
      </c>
      <c r="G48" s="9" t="n">
        <f aca="false">VALUE(LEFT(TEXT(E48,"0.00"),1))</f>
        <v>6</v>
      </c>
      <c r="H48" s="0" t="str">
        <f aca="false">UPPER(SUBSTITUTE(SUBSTITUTE(SUBSTITUTE(D48," ",""),"/",""),".",""))</f>
        <v>INV20009</v>
      </c>
      <c r="I48" s="9" t="n">
        <f aca="false">IF(COUNTIFS($C$5:C48,C48,$H$5:H48,H48,$E$5:E48,E48)&gt;1,1,0)</f>
        <v>0</v>
      </c>
      <c r="J48" s="9" t="n">
        <f aca="false">IF(AND(I48=0,COUNTIFS($C$5:$C$634,C48,$E$5:$E$634,E48,$B$5:$B$634,"&gt;="&amp;(B48-Parameters!$B$12),$B$5:$B$634,"&lt;="&amp;(B48+Parameters!$B$12),$H$5:$H$634,"&lt;&gt;"&amp;H48)&gt;0),1,0)</f>
        <v>0</v>
      </c>
      <c r="K48" s="9" t="n">
        <f aca="false">IF(AND(E48&gt;=Parameters!$B$11,ROUND(MOD(ROUND(E48,2),Parameters!$B$10),2)=0),1,0)</f>
        <v>0</v>
      </c>
      <c r="L48" s="9" t="n">
        <f aca="false">IF(AND(E48&lt;Parameters!$B$7,E48&gt;=Parameters!$B$7*(1-Parameters!$B$9)),1,0)</f>
        <v>0</v>
      </c>
      <c r="M48" s="9" t="n">
        <f aca="false">IF(AND(E48&lt;Parameters!$B$7,COUNTIFS($C$5:$C$634,C48,$B$5:$B$634,B48)&gt;1,SUMIFS($E$5:$E$634,$C$5:$C$634,C48,$B$5:$B$634,B48)&gt;=Parameters!$B$7),1,0)</f>
        <v>0</v>
      </c>
      <c r="N48" s="9" t="n">
        <f aca="false">IF(AND(E48&gt;=Parameters!$B$7,F48&lt;&gt;Parameters!$B$8),1,0)</f>
        <v>0</v>
      </c>
      <c r="O48" s="9" t="n">
        <f aca="false">INDEX(Vendor_Benford!$N$6:$N$50,MATCH(C48,Vendor_Benford!$A$6:$A$50,0))</f>
        <v>0</v>
      </c>
      <c r="P48" s="9" t="n">
        <f aca="false">INDEX(Vendor_Benford!$M$6:$M$50,MATCH(C48,Vendor_Benford!$A$6:$A$50,0))</f>
        <v>0</v>
      </c>
      <c r="Q48" s="9" t="n">
        <f aca="false">I48*Parameters!$B$28+J48*Parameters!$B$29+K48*Parameters!$B$30+L48*Parameters!$B$31+M48*Parameters!$B$32+N48*Parameters!$B$33+O48*Parameters!$B$34+P48*Parameters!$B$35</f>
        <v>0</v>
      </c>
      <c r="R48" s="0" t="str">
        <f aca="false">IF(Q48&gt;=Parameters!$B$24,"High","")</f>
        <v/>
      </c>
    </row>
    <row r="49" customFormat="false" ht="15" hidden="false" customHeight="false" outlineLevel="0" collapsed="false">
      <c r="A49" s="10" t="s">
        <v>404</v>
      </c>
      <c r="B49" s="8" t="n">
        <v>45680</v>
      </c>
      <c r="C49" s="10" t="s">
        <v>203</v>
      </c>
      <c r="D49" s="10" t="s">
        <v>405</v>
      </c>
      <c r="E49" s="12" t="n">
        <v>125.13</v>
      </c>
      <c r="F49" s="10" t="s">
        <v>347</v>
      </c>
      <c r="G49" s="9" t="n">
        <f aca="false">VALUE(LEFT(TEXT(E49,"0.00"),1))</f>
        <v>1</v>
      </c>
      <c r="H49" s="0" t="str">
        <f aca="false">UPPER(SUBSTITUTE(SUBSTITUTE(SUBSTITUTE(D49," ",""),"/",""),".",""))</f>
        <v>INV32005</v>
      </c>
      <c r="I49" s="9" t="n">
        <f aca="false">IF(COUNTIFS($C$5:C49,C49,$H$5:H49,H49,$E$5:E49,E49)&gt;1,1,0)</f>
        <v>0</v>
      </c>
      <c r="J49" s="9" t="n">
        <f aca="false">IF(AND(I49=0,COUNTIFS($C$5:$C$634,C49,$E$5:$E$634,E49,$B$5:$B$634,"&gt;="&amp;(B49-Parameters!$B$12),$B$5:$B$634,"&lt;="&amp;(B49+Parameters!$B$12),$H$5:$H$634,"&lt;&gt;"&amp;H49)&gt;0),1,0)</f>
        <v>0</v>
      </c>
      <c r="K49" s="9" t="n">
        <f aca="false">IF(AND(E49&gt;=Parameters!$B$11,ROUND(MOD(ROUND(E49,2),Parameters!$B$10),2)=0),1,0)</f>
        <v>0</v>
      </c>
      <c r="L49" s="9" t="n">
        <f aca="false">IF(AND(E49&lt;Parameters!$B$7,E49&gt;=Parameters!$B$7*(1-Parameters!$B$9)),1,0)</f>
        <v>0</v>
      </c>
      <c r="M49" s="9" t="n">
        <f aca="false">IF(AND(E49&lt;Parameters!$B$7,COUNTIFS($C$5:$C$634,C49,$B$5:$B$634,B49)&gt;1,SUMIFS($E$5:$E$634,$C$5:$C$634,C49,$B$5:$B$634,B49)&gt;=Parameters!$B$7),1,0)</f>
        <v>0</v>
      </c>
      <c r="N49" s="9" t="n">
        <f aca="false">IF(AND(E49&gt;=Parameters!$B$7,F49&lt;&gt;Parameters!$B$8),1,0)</f>
        <v>0</v>
      </c>
      <c r="O49" s="9" t="n">
        <f aca="false">INDEX(Vendor_Benford!$N$6:$N$50,MATCH(C49,Vendor_Benford!$A$6:$A$50,0))</f>
        <v>0</v>
      </c>
      <c r="P49" s="9" t="n">
        <f aca="false">INDEX(Vendor_Benford!$M$6:$M$50,MATCH(C49,Vendor_Benford!$A$6:$A$50,0))</f>
        <v>0</v>
      </c>
      <c r="Q49" s="9" t="n">
        <f aca="false">I49*Parameters!$B$28+J49*Parameters!$B$29+K49*Parameters!$B$30+L49*Parameters!$B$31+M49*Parameters!$B$32+N49*Parameters!$B$33+O49*Parameters!$B$34+P49*Parameters!$B$35</f>
        <v>0</v>
      </c>
      <c r="R49" s="0" t="str">
        <f aca="false">IF(Q49&gt;=Parameters!$B$24,"High","")</f>
        <v/>
      </c>
    </row>
    <row r="50" customFormat="false" ht="15" hidden="false" customHeight="false" outlineLevel="0" collapsed="false">
      <c r="A50" s="10" t="s">
        <v>406</v>
      </c>
      <c r="B50" s="8" t="n">
        <v>45681</v>
      </c>
      <c r="C50" s="10" t="s">
        <v>191</v>
      </c>
      <c r="D50" s="10" t="s">
        <v>407</v>
      </c>
      <c r="E50" s="12" t="n">
        <v>210.23</v>
      </c>
      <c r="F50" s="10" t="s">
        <v>347</v>
      </c>
      <c r="G50" s="9" t="n">
        <f aca="false">VALUE(LEFT(TEXT(E50,"0.00"),1))</f>
        <v>2</v>
      </c>
      <c r="H50" s="0" t="str">
        <f aca="false">UPPER(SUBSTITUTE(SUBSTITUTE(SUBSTITUTE(D50," ",""),"/",""),".",""))</f>
        <v>INV28003</v>
      </c>
      <c r="I50" s="9" t="n">
        <f aca="false">IF(COUNTIFS($C$5:C50,C50,$H$5:H50,H50,$E$5:E50,E50)&gt;1,1,0)</f>
        <v>0</v>
      </c>
      <c r="J50" s="9" t="n">
        <f aca="false">IF(AND(I50=0,COUNTIFS($C$5:$C$634,C50,$E$5:$E$634,E50,$B$5:$B$634,"&gt;="&amp;(B50-Parameters!$B$12),$B$5:$B$634,"&lt;="&amp;(B50+Parameters!$B$12),$H$5:$H$634,"&lt;&gt;"&amp;H50)&gt;0),1,0)</f>
        <v>0</v>
      </c>
      <c r="K50" s="9" t="n">
        <f aca="false">IF(AND(E50&gt;=Parameters!$B$11,ROUND(MOD(ROUND(E50,2),Parameters!$B$10),2)=0),1,0)</f>
        <v>0</v>
      </c>
      <c r="L50" s="9" t="n">
        <f aca="false">IF(AND(E50&lt;Parameters!$B$7,E50&gt;=Parameters!$B$7*(1-Parameters!$B$9)),1,0)</f>
        <v>0</v>
      </c>
      <c r="M50" s="9" t="n">
        <f aca="false">IF(AND(E50&lt;Parameters!$B$7,COUNTIFS($C$5:$C$634,C50,$B$5:$B$634,B50)&gt;1,SUMIFS($E$5:$E$634,$C$5:$C$634,C50,$B$5:$B$634,B50)&gt;=Parameters!$B$7),1,0)</f>
        <v>0</v>
      </c>
      <c r="N50" s="9" t="n">
        <f aca="false">IF(AND(E50&gt;=Parameters!$B$7,F50&lt;&gt;Parameters!$B$8),1,0)</f>
        <v>0</v>
      </c>
      <c r="O50" s="9" t="n">
        <f aca="false">INDEX(Vendor_Benford!$N$6:$N$50,MATCH(C50,Vendor_Benford!$A$6:$A$50,0))</f>
        <v>0</v>
      </c>
      <c r="P50" s="9" t="n">
        <f aca="false">INDEX(Vendor_Benford!$M$6:$M$50,MATCH(C50,Vendor_Benford!$A$6:$A$50,0))</f>
        <v>0</v>
      </c>
      <c r="Q50" s="9" t="n">
        <f aca="false">I50*Parameters!$B$28+J50*Parameters!$B$29+K50*Parameters!$B$30+L50*Parameters!$B$31+M50*Parameters!$B$32+N50*Parameters!$B$33+O50*Parameters!$B$34+P50*Parameters!$B$35</f>
        <v>0</v>
      </c>
      <c r="R50" s="0" t="str">
        <f aca="false">IF(Q50&gt;=Parameters!$B$24,"High","")</f>
        <v/>
      </c>
    </row>
    <row r="51" customFormat="false" ht="15" hidden="false" customHeight="false" outlineLevel="0" collapsed="false">
      <c r="A51" s="10" t="s">
        <v>408</v>
      </c>
      <c r="B51" s="8" t="n">
        <v>45681</v>
      </c>
      <c r="C51" s="10" t="s">
        <v>209</v>
      </c>
      <c r="D51" s="10" t="s">
        <v>409</v>
      </c>
      <c r="E51" s="12" t="n">
        <v>9573.17</v>
      </c>
      <c r="F51" s="10" t="s">
        <v>40</v>
      </c>
      <c r="G51" s="9" t="n">
        <f aca="false">VALUE(LEFT(TEXT(E51,"0.00"),1))</f>
        <v>9</v>
      </c>
      <c r="H51" s="0" t="str">
        <f aca="false">UPPER(SUBSTITUTE(SUBSTITUTE(SUBSTITUTE(D51," ",""),"/",""),".",""))</f>
        <v>INV34002</v>
      </c>
      <c r="I51" s="9" t="n">
        <f aca="false">IF(COUNTIFS($C$5:C51,C51,$H$5:H51,H51,$E$5:E51,E51)&gt;1,1,0)</f>
        <v>0</v>
      </c>
      <c r="J51" s="9" t="n">
        <f aca="false">IF(AND(I51=0,COUNTIFS($C$5:$C$634,C51,$E$5:$E$634,E51,$B$5:$B$634,"&gt;="&amp;(B51-Parameters!$B$12),$B$5:$B$634,"&lt;="&amp;(B51+Parameters!$B$12),$H$5:$H$634,"&lt;&gt;"&amp;H51)&gt;0),1,0)</f>
        <v>0</v>
      </c>
      <c r="K51" s="9" t="n">
        <f aca="false">IF(AND(E51&gt;=Parameters!$B$11,ROUND(MOD(ROUND(E51,2),Parameters!$B$10),2)=0),1,0)</f>
        <v>0</v>
      </c>
      <c r="L51" s="9" t="n">
        <f aca="false">IF(AND(E51&lt;Parameters!$B$7,E51&gt;=Parameters!$B$7*(1-Parameters!$B$9)),1,0)</f>
        <v>0</v>
      </c>
      <c r="M51" s="9" t="n">
        <f aca="false">IF(AND(E51&lt;Parameters!$B$7,COUNTIFS($C$5:$C$634,C51,$B$5:$B$634,B51)&gt;1,SUMIFS($E$5:$E$634,$C$5:$C$634,C51,$B$5:$B$634,B51)&gt;=Parameters!$B$7),1,0)</f>
        <v>0</v>
      </c>
      <c r="N51" s="9" t="n">
        <f aca="false">IF(AND(E51&gt;=Parameters!$B$7,F51&lt;&gt;Parameters!$B$8),1,0)</f>
        <v>0</v>
      </c>
      <c r="O51" s="9" t="n">
        <f aca="false">INDEX(Vendor_Benford!$N$6:$N$50,MATCH(C51,Vendor_Benford!$A$6:$A$50,0))</f>
        <v>0</v>
      </c>
      <c r="P51" s="9" t="n">
        <f aca="false">INDEX(Vendor_Benford!$M$6:$M$50,MATCH(C51,Vendor_Benford!$A$6:$A$50,0))</f>
        <v>0</v>
      </c>
      <c r="Q51" s="9" t="n">
        <f aca="false">I51*Parameters!$B$28+J51*Parameters!$B$29+K51*Parameters!$B$30+L51*Parameters!$B$31+M51*Parameters!$B$32+N51*Parameters!$B$33+O51*Parameters!$B$34+P51*Parameters!$B$35</f>
        <v>0</v>
      </c>
      <c r="R51" s="0" t="str">
        <f aca="false">IF(Q51&gt;=Parameters!$B$24,"High","")</f>
        <v/>
      </c>
    </row>
    <row r="52" customFormat="false" ht="15" hidden="false" customHeight="false" outlineLevel="0" collapsed="false">
      <c r="A52" s="10" t="s">
        <v>410</v>
      </c>
      <c r="B52" s="8" t="n">
        <v>45681</v>
      </c>
      <c r="C52" s="10" t="s">
        <v>239</v>
      </c>
      <c r="D52" s="10" t="s">
        <v>411</v>
      </c>
      <c r="E52" s="12" t="n">
        <v>2437.74</v>
      </c>
      <c r="F52" s="10" t="s">
        <v>347</v>
      </c>
      <c r="G52" s="9" t="n">
        <f aca="false">VALUE(LEFT(TEXT(E52,"0.00"),1))</f>
        <v>2</v>
      </c>
      <c r="H52" s="0" t="str">
        <f aca="false">UPPER(SUBSTITUTE(SUBSTITUTE(SUBSTITUTE(D52," ",""),"/",""),".",""))</f>
        <v>INV44009</v>
      </c>
      <c r="I52" s="9" t="n">
        <f aca="false">IF(COUNTIFS($C$5:C52,C52,$H$5:H52,H52,$E$5:E52,E52)&gt;1,1,0)</f>
        <v>0</v>
      </c>
      <c r="J52" s="9" t="n">
        <f aca="false">IF(AND(I52=0,COUNTIFS($C$5:$C$634,C52,$E$5:$E$634,E52,$B$5:$B$634,"&gt;="&amp;(B52-Parameters!$B$12),$B$5:$B$634,"&lt;="&amp;(B52+Parameters!$B$12),$H$5:$H$634,"&lt;&gt;"&amp;H52)&gt;0),1,0)</f>
        <v>0</v>
      </c>
      <c r="K52" s="9" t="n">
        <f aca="false">IF(AND(E52&gt;=Parameters!$B$11,ROUND(MOD(ROUND(E52,2),Parameters!$B$10),2)=0),1,0)</f>
        <v>0</v>
      </c>
      <c r="L52" s="9" t="n">
        <f aca="false">IF(AND(E52&lt;Parameters!$B$7,E52&gt;=Parameters!$B$7*(1-Parameters!$B$9)),1,0)</f>
        <v>0</v>
      </c>
      <c r="M52" s="9" t="n">
        <f aca="false">IF(AND(E52&lt;Parameters!$B$7,COUNTIFS($C$5:$C$634,C52,$B$5:$B$634,B52)&gt;1,SUMIFS($E$5:$E$634,$C$5:$C$634,C52,$B$5:$B$634,B52)&gt;=Parameters!$B$7),1,0)</f>
        <v>0</v>
      </c>
      <c r="N52" s="9" t="n">
        <f aca="false">IF(AND(E52&gt;=Parameters!$B$7,F52&lt;&gt;Parameters!$B$8),1,0)</f>
        <v>0</v>
      </c>
      <c r="O52" s="9" t="n">
        <f aca="false">INDEX(Vendor_Benford!$N$6:$N$50,MATCH(C52,Vendor_Benford!$A$6:$A$50,0))</f>
        <v>0</v>
      </c>
      <c r="P52" s="9" t="n">
        <f aca="false">INDEX(Vendor_Benford!$M$6:$M$50,MATCH(C52,Vendor_Benford!$A$6:$A$50,0))</f>
        <v>0</v>
      </c>
      <c r="Q52" s="9" t="n">
        <f aca="false">I52*Parameters!$B$28+J52*Parameters!$B$29+K52*Parameters!$B$30+L52*Parameters!$B$31+M52*Parameters!$B$32+N52*Parameters!$B$33+O52*Parameters!$B$34+P52*Parameters!$B$35</f>
        <v>0</v>
      </c>
      <c r="R52" s="0" t="str">
        <f aca="false">IF(Q52&gt;=Parameters!$B$24,"High","")</f>
        <v/>
      </c>
    </row>
    <row r="53" customFormat="false" ht="15" hidden="false" customHeight="false" outlineLevel="0" collapsed="false">
      <c r="A53" s="10" t="s">
        <v>412</v>
      </c>
      <c r="B53" s="8" t="n">
        <v>45684</v>
      </c>
      <c r="C53" s="10" t="s">
        <v>191</v>
      </c>
      <c r="D53" s="10" t="s">
        <v>413</v>
      </c>
      <c r="E53" s="12" t="n">
        <v>410.04</v>
      </c>
      <c r="F53" s="10" t="s">
        <v>347</v>
      </c>
      <c r="G53" s="9" t="n">
        <f aca="false">VALUE(LEFT(TEXT(E53,"0.00"),1))</f>
        <v>4</v>
      </c>
      <c r="H53" s="0" t="str">
        <f aca="false">UPPER(SUBSTITUTE(SUBSTITUTE(SUBSTITUTE(D53," ",""),"/",""),".",""))</f>
        <v>INV28002</v>
      </c>
      <c r="I53" s="9" t="n">
        <f aca="false">IF(COUNTIFS($C$5:C53,C53,$H$5:H53,H53,$E$5:E53,E53)&gt;1,1,0)</f>
        <v>0</v>
      </c>
      <c r="J53" s="9" t="n">
        <f aca="false">IF(AND(I53=0,COUNTIFS($C$5:$C$634,C53,$E$5:$E$634,E53,$B$5:$B$634,"&gt;="&amp;(B53-Parameters!$B$12),$B$5:$B$634,"&lt;="&amp;(B53+Parameters!$B$12),$H$5:$H$634,"&lt;&gt;"&amp;H53)&gt;0),1,0)</f>
        <v>0</v>
      </c>
      <c r="K53" s="9" t="n">
        <f aca="false">IF(AND(E53&gt;=Parameters!$B$11,ROUND(MOD(ROUND(E53,2),Parameters!$B$10),2)=0),1,0)</f>
        <v>0</v>
      </c>
      <c r="L53" s="9" t="n">
        <f aca="false">IF(AND(E53&lt;Parameters!$B$7,E53&gt;=Parameters!$B$7*(1-Parameters!$B$9)),1,0)</f>
        <v>0</v>
      </c>
      <c r="M53" s="9" t="n">
        <f aca="false">IF(AND(E53&lt;Parameters!$B$7,COUNTIFS($C$5:$C$634,C53,$B$5:$B$634,B53)&gt;1,SUMIFS($E$5:$E$634,$C$5:$C$634,C53,$B$5:$B$634,B53)&gt;=Parameters!$B$7),1,0)</f>
        <v>0</v>
      </c>
      <c r="N53" s="9" t="n">
        <f aca="false">IF(AND(E53&gt;=Parameters!$B$7,F53&lt;&gt;Parameters!$B$8),1,0)</f>
        <v>0</v>
      </c>
      <c r="O53" s="9" t="n">
        <f aca="false">INDEX(Vendor_Benford!$N$6:$N$50,MATCH(C53,Vendor_Benford!$A$6:$A$50,0))</f>
        <v>0</v>
      </c>
      <c r="P53" s="9" t="n">
        <f aca="false">INDEX(Vendor_Benford!$M$6:$M$50,MATCH(C53,Vendor_Benford!$A$6:$A$50,0))</f>
        <v>0</v>
      </c>
      <c r="Q53" s="9" t="n">
        <f aca="false">I53*Parameters!$B$28+J53*Parameters!$B$29+K53*Parameters!$B$30+L53*Parameters!$B$31+M53*Parameters!$B$32+N53*Parameters!$B$33+O53*Parameters!$B$34+P53*Parameters!$B$35</f>
        <v>0</v>
      </c>
      <c r="R53" s="0" t="str">
        <f aca="false">IF(Q53&gt;=Parameters!$B$24,"High","")</f>
        <v/>
      </c>
    </row>
    <row r="54" customFormat="false" ht="15" hidden="false" customHeight="false" outlineLevel="0" collapsed="false">
      <c r="A54" s="10" t="s">
        <v>414</v>
      </c>
      <c r="B54" s="8" t="n">
        <v>45684</v>
      </c>
      <c r="C54" s="10" t="s">
        <v>218</v>
      </c>
      <c r="D54" s="10" t="s">
        <v>415</v>
      </c>
      <c r="E54" s="12" t="n">
        <v>165.89</v>
      </c>
      <c r="F54" s="10" t="s">
        <v>347</v>
      </c>
      <c r="G54" s="9" t="n">
        <f aca="false">VALUE(LEFT(TEXT(E54,"0.00"),1))</f>
        <v>1</v>
      </c>
      <c r="H54" s="0" t="str">
        <f aca="false">UPPER(SUBSTITUTE(SUBSTITUTE(SUBSTITUTE(D54," ",""),"/",""),".",""))</f>
        <v>INV37008</v>
      </c>
      <c r="I54" s="9" t="n">
        <f aca="false">IF(COUNTIFS($C$5:C54,C54,$H$5:H54,H54,$E$5:E54,E54)&gt;1,1,0)</f>
        <v>0</v>
      </c>
      <c r="J54" s="9" t="n">
        <f aca="false">IF(AND(I54=0,COUNTIFS($C$5:$C$634,C54,$E$5:$E$634,E54,$B$5:$B$634,"&gt;="&amp;(B54-Parameters!$B$12),$B$5:$B$634,"&lt;="&amp;(B54+Parameters!$B$12),$H$5:$H$634,"&lt;&gt;"&amp;H54)&gt;0),1,0)</f>
        <v>0</v>
      </c>
      <c r="K54" s="9" t="n">
        <f aca="false">IF(AND(E54&gt;=Parameters!$B$11,ROUND(MOD(ROUND(E54,2),Parameters!$B$10),2)=0),1,0)</f>
        <v>0</v>
      </c>
      <c r="L54" s="9" t="n">
        <f aca="false">IF(AND(E54&lt;Parameters!$B$7,E54&gt;=Parameters!$B$7*(1-Parameters!$B$9)),1,0)</f>
        <v>0</v>
      </c>
      <c r="M54" s="9" t="n">
        <f aca="false">IF(AND(E54&lt;Parameters!$B$7,COUNTIFS($C$5:$C$634,C54,$B$5:$B$634,B54)&gt;1,SUMIFS($E$5:$E$634,$C$5:$C$634,C54,$B$5:$B$634,B54)&gt;=Parameters!$B$7),1,0)</f>
        <v>0</v>
      </c>
      <c r="N54" s="9" t="n">
        <f aca="false">IF(AND(E54&gt;=Parameters!$B$7,F54&lt;&gt;Parameters!$B$8),1,0)</f>
        <v>0</v>
      </c>
      <c r="O54" s="9" t="n">
        <f aca="false">INDEX(Vendor_Benford!$N$6:$N$50,MATCH(C54,Vendor_Benford!$A$6:$A$50,0))</f>
        <v>0</v>
      </c>
      <c r="P54" s="9" t="n">
        <f aca="false">INDEX(Vendor_Benford!$M$6:$M$50,MATCH(C54,Vendor_Benford!$A$6:$A$50,0))</f>
        <v>0</v>
      </c>
      <c r="Q54" s="9" t="n">
        <f aca="false">I54*Parameters!$B$28+J54*Parameters!$B$29+K54*Parameters!$B$30+L54*Parameters!$B$31+M54*Parameters!$B$32+N54*Parameters!$B$33+O54*Parameters!$B$34+P54*Parameters!$B$35</f>
        <v>0</v>
      </c>
      <c r="R54" s="0" t="str">
        <f aca="false">IF(Q54&gt;=Parameters!$B$24,"High","")</f>
        <v/>
      </c>
    </row>
    <row r="55" customFormat="false" ht="15" hidden="false" customHeight="false" outlineLevel="0" collapsed="false">
      <c r="A55" s="10" t="s">
        <v>416</v>
      </c>
      <c r="B55" s="8" t="n">
        <v>45684</v>
      </c>
      <c r="C55" s="10" t="s">
        <v>236</v>
      </c>
      <c r="D55" s="10" t="s">
        <v>417</v>
      </c>
      <c r="E55" s="12" t="n">
        <v>277.48</v>
      </c>
      <c r="F55" s="10" t="s">
        <v>347</v>
      </c>
      <c r="G55" s="9" t="n">
        <f aca="false">VALUE(LEFT(TEXT(E55,"0.00"),1))</f>
        <v>2</v>
      </c>
      <c r="H55" s="0" t="str">
        <f aca="false">UPPER(SUBSTITUTE(SUBSTITUTE(SUBSTITUTE(D55," ",""),"/",""),".",""))</f>
        <v>INV43007</v>
      </c>
      <c r="I55" s="9" t="n">
        <f aca="false">IF(COUNTIFS($C$5:C55,C55,$H$5:H55,H55,$E$5:E55,E55)&gt;1,1,0)</f>
        <v>0</v>
      </c>
      <c r="J55" s="9" t="n">
        <f aca="false">IF(AND(I55=0,COUNTIFS($C$5:$C$634,C55,$E$5:$E$634,E55,$B$5:$B$634,"&gt;="&amp;(B55-Parameters!$B$12),$B$5:$B$634,"&lt;="&amp;(B55+Parameters!$B$12),$H$5:$H$634,"&lt;&gt;"&amp;H55)&gt;0),1,0)</f>
        <v>0</v>
      </c>
      <c r="K55" s="9" t="n">
        <f aca="false">IF(AND(E55&gt;=Parameters!$B$11,ROUND(MOD(ROUND(E55,2),Parameters!$B$10),2)=0),1,0)</f>
        <v>0</v>
      </c>
      <c r="L55" s="9" t="n">
        <f aca="false">IF(AND(E55&lt;Parameters!$B$7,E55&gt;=Parameters!$B$7*(1-Parameters!$B$9)),1,0)</f>
        <v>0</v>
      </c>
      <c r="M55" s="9" t="n">
        <f aca="false">IF(AND(E55&lt;Parameters!$B$7,COUNTIFS($C$5:$C$634,C55,$B$5:$B$634,B55)&gt;1,SUMIFS($E$5:$E$634,$C$5:$C$634,C55,$B$5:$B$634,B55)&gt;=Parameters!$B$7),1,0)</f>
        <v>0</v>
      </c>
      <c r="N55" s="9" t="n">
        <f aca="false">IF(AND(E55&gt;=Parameters!$B$7,F55&lt;&gt;Parameters!$B$8),1,0)</f>
        <v>0</v>
      </c>
      <c r="O55" s="9" t="n">
        <f aca="false">INDEX(Vendor_Benford!$N$6:$N$50,MATCH(C55,Vendor_Benford!$A$6:$A$50,0))</f>
        <v>0</v>
      </c>
      <c r="P55" s="9" t="n">
        <f aca="false">INDEX(Vendor_Benford!$M$6:$M$50,MATCH(C55,Vendor_Benford!$A$6:$A$50,0))</f>
        <v>0</v>
      </c>
      <c r="Q55" s="9" t="n">
        <f aca="false">I55*Parameters!$B$28+J55*Parameters!$B$29+K55*Parameters!$B$30+L55*Parameters!$B$31+M55*Parameters!$B$32+N55*Parameters!$B$33+O55*Parameters!$B$34+P55*Parameters!$B$35</f>
        <v>0</v>
      </c>
      <c r="R55" s="0" t="str">
        <f aca="false">IF(Q55&gt;=Parameters!$B$24,"High","")</f>
        <v/>
      </c>
    </row>
    <row r="56" customFormat="false" ht="15" hidden="false" customHeight="false" outlineLevel="0" collapsed="false">
      <c r="A56" s="10" t="s">
        <v>418</v>
      </c>
      <c r="B56" s="8" t="n">
        <v>45685</v>
      </c>
      <c r="C56" s="10" t="s">
        <v>128</v>
      </c>
      <c r="D56" s="10" t="s">
        <v>419</v>
      </c>
      <c r="E56" s="12" t="n">
        <v>19563.07</v>
      </c>
      <c r="F56" s="10" t="s">
        <v>40</v>
      </c>
      <c r="G56" s="9" t="n">
        <f aca="false">VALUE(LEFT(TEXT(E56,"0.00"),1))</f>
        <v>1</v>
      </c>
      <c r="H56" s="0" t="str">
        <f aca="false">UPPER(SUBSTITUTE(SUBSTITUTE(SUBSTITUTE(D56," ",""),"/",""),".",""))</f>
        <v>INV7006</v>
      </c>
      <c r="I56" s="9" t="n">
        <f aca="false">IF(COUNTIFS($C$5:C56,C56,$H$5:H56,H56,$E$5:E56,E56)&gt;1,1,0)</f>
        <v>0</v>
      </c>
      <c r="J56" s="9" t="n">
        <f aca="false">IF(AND(I56=0,COUNTIFS($C$5:$C$634,C56,$E$5:$E$634,E56,$B$5:$B$634,"&gt;="&amp;(B56-Parameters!$B$12),$B$5:$B$634,"&lt;="&amp;(B56+Parameters!$B$12),$H$5:$H$634,"&lt;&gt;"&amp;H56)&gt;0),1,0)</f>
        <v>0</v>
      </c>
      <c r="K56" s="9" t="n">
        <f aca="false">IF(AND(E56&gt;=Parameters!$B$11,ROUND(MOD(ROUND(E56,2),Parameters!$B$10),2)=0),1,0)</f>
        <v>0</v>
      </c>
      <c r="L56" s="9" t="n">
        <f aca="false">IF(AND(E56&lt;Parameters!$B$7,E56&gt;=Parameters!$B$7*(1-Parameters!$B$9)),1,0)</f>
        <v>0</v>
      </c>
      <c r="M56" s="9" t="n">
        <f aca="false">IF(AND(E56&lt;Parameters!$B$7,COUNTIFS($C$5:$C$634,C56,$B$5:$B$634,B56)&gt;1,SUMIFS($E$5:$E$634,$C$5:$C$634,C56,$B$5:$B$634,B56)&gt;=Parameters!$B$7),1,0)</f>
        <v>0</v>
      </c>
      <c r="N56" s="9" t="n">
        <f aca="false">IF(AND(E56&gt;=Parameters!$B$7,F56&lt;&gt;Parameters!$B$8),1,0)</f>
        <v>0</v>
      </c>
      <c r="O56" s="9" t="n">
        <f aca="false">INDEX(Vendor_Benford!$N$6:$N$50,MATCH(C56,Vendor_Benford!$A$6:$A$50,0))</f>
        <v>0</v>
      </c>
      <c r="P56" s="9" t="n">
        <f aca="false">INDEX(Vendor_Benford!$M$6:$M$50,MATCH(C56,Vendor_Benford!$A$6:$A$50,0))</f>
        <v>0</v>
      </c>
      <c r="Q56" s="9" t="n">
        <f aca="false">I56*Parameters!$B$28+J56*Parameters!$B$29+K56*Parameters!$B$30+L56*Parameters!$B$31+M56*Parameters!$B$32+N56*Parameters!$B$33+O56*Parameters!$B$34+P56*Parameters!$B$35</f>
        <v>0</v>
      </c>
      <c r="R56" s="0" t="str">
        <f aca="false">IF(Q56&gt;=Parameters!$B$24,"High","")</f>
        <v/>
      </c>
    </row>
    <row r="57" customFormat="false" ht="15" hidden="false" customHeight="false" outlineLevel="0" collapsed="false">
      <c r="A57" s="10" t="s">
        <v>420</v>
      </c>
      <c r="B57" s="8" t="n">
        <v>45685</v>
      </c>
      <c r="C57" s="10" t="s">
        <v>134</v>
      </c>
      <c r="D57" s="10" t="s">
        <v>421</v>
      </c>
      <c r="E57" s="12" t="n">
        <v>4802.51</v>
      </c>
      <c r="F57" s="10" t="s">
        <v>347</v>
      </c>
      <c r="G57" s="9" t="n">
        <f aca="false">VALUE(LEFT(TEXT(E57,"0.00"),1))</f>
        <v>4</v>
      </c>
      <c r="H57" s="0" t="str">
        <f aca="false">UPPER(SUBSTITUTE(SUBSTITUTE(SUBSTITUTE(D57," ",""),"/",""),".",""))</f>
        <v>INV9010</v>
      </c>
      <c r="I57" s="9" t="n">
        <f aca="false">IF(COUNTIFS($C$5:C57,C57,$H$5:H57,H57,$E$5:E57,E57)&gt;1,1,0)</f>
        <v>0</v>
      </c>
      <c r="J57" s="9" t="n">
        <f aca="false">IF(AND(I57=0,COUNTIFS($C$5:$C$634,C57,$E$5:$E$634,E57,$B$5:$B$634,"&gt;="&amp;(B57-Parameters!$B$12),$B$5:$B$634,"&lt;="&amp;(B57+Parameters!$B$12),$H$5:$H$634,"&lt;&gt;"&amp;H57)&gt;0),1,0)</f>
        <v>0</v>
      </c>
      <c r="K57" s="9" t="n">
        <f aca="false">IF(AND(E57&gt;=Parameters!$B$11,ROUND(MOD(ROUND(E57,2),Parameters!$B$10),2)=0),1,0)</f>
        <v>0</v>
      </c>
      <c r="L57" s="9" t="n">
        <f aca="false">IF(AND(E57&lt;Parameters!$B$7,E57&gt;=Parameters!$B$7*(1-Parameters!$B$9)),1,0)</f>
        <v>1</v>
      </c>
      <c r="M57" s="9" t="n">
        <f aca="false">IF(AND(E57&lt;Parameters!$B$7,COUNTIFS($C$5:$C$634,C57,$B$5:$B$634,B57)&gt;1,SUMIFS($E$5:$E$634,$C$5:$C$634,C57,$B$5:$B$634,B57)&gt;=Parameters!$B$7),1,0)</f>
        <v>0</v>
      </c>
      <c r="N57" s="9" t="n">
        <f aca="false">IF(AND(E57&gt;=Parameters!$B$7,F57&lt;&gt;Parameters!$B$8),1,0)</f>
        <v>0</v>
      </c>
      <c r="O57" s="9" t="n">
        <f aca="false">INDEX(Vendor_Benford!$N$6:$N$50,MATCH(C57,Vendor_Benford!$A$6:$A$50,0))</f>
        <v>0</v>
      </c>
      <c r="P57" s="9" t="n">
        <f aca="false">INDEX(Vendor_Benford!$M$6:$M$50,MATCH(C57,Vendor_Benford!$A$6:$A$50,0))</f>
        <v>0</v>
      </c>
      <c r="Q57" s="9" t="n">
        <f aca="false">I57*Parameters!$B$28+J57*Parameters!$B$29+K57*Parameters!$B$30+L57*Parameters!$B$31+M57*Parameters!$B$32+N57*Parameters!$B$33+O57*Parameters!$B$34+P57*Parameters!$B$35</f>
        <v>2</v>
      </c>
      <c r="R57" s="0" t="str">
        <f aca="false">IF(Q57&gt;=Parameters!$B$24,"High","")</f>
        <v/>
      </c>
    </row>
    <row r="58" customFormat="false" ht="15" hidden="false" customHeight="false" outlineLevel="0" collapsed="false">
      <c r="A58" s="10" t="s">
        <v>422</v>
      </c>
      <c r="B58" s="8" t="n">
        <v>45686</v>
      </c>
      <c r="C58" s="10" t="s">
        <v>155</v>
      </c>
      <c r="D58" s="10" t="s">
        <v>423</v>
      </c>
      <c r="E58" s="12" t="n">
        <v>5262.57</v>
      </c>
      <c r="F58" s="10" t="s">
        <v>40</v>
      </c>
      <c r="G58" s="9" t="n">
        <f aca="false">VALUE(LEFT(TEXT(E58,"0.00"),1))</f>
        <v>5</v>
      </c>
      <c r="H58" s="0" t="str">
        <f aca="false">UPPER(SUBSTITUTE(SUBSTITUTE(SUBSTITUTE(D58," ",""),"/",""),".",""))</f>
        <v>INV16016</v>
      </c>
      <c r="I58" s="9" t="n">
        <f aca="false">IF(COUNTIFS($C$5:C58,C58,$H$5:H58,H58,$E$5:E58,E58)&gt;1,1,0)</f>
        <v>0</v>
      </c>
      <c r="J58" s="9" t="n">
        <f aca="false">IF(AND(I58=0,COUNTIFS($C$5:$C$634,C58,$E$5:$E$634,E58,$B$5:$B$634,"&gt;="&amp;(B58-Parameters!$B$12),$B$5:$B$634,"&lt;="&amp;(B58+Parameters!$B$12),$H$5:$H$634,"&lt;&gt;"&amp;H58)&gt;0),1,0)</f>
        <v>0</v>
      </c>
      <c r="K58" s="9" t="n">
        <f aca="false">IF(AND(E58&gt;=Parameters!$B$11,ROUND(MOD(ROUND(E58,2),Parameters!$B$10),2)=0),1,0)</f>
        <v>0</v>
      </c>
      <c r="L58" s="9" t="n">
        <f aca="false">IF(AND(E58&lt;Parameters!$B$7,E58&gt;=Parameters!$B$7*(1-Parameters!$B$9)),1,0)</f>
        <v>0</v>
      </c>
      <c r="M58" s="9" t="n">
        <f aca="false">IF(AND(E58&lt;Parameters!$B$7,COUNTIFS($C$5:$C$634,C58,$B$5:$B$634,B58)&gt;1,SUMIFS($E$5:$E$634,$C$5:$C$634,C58,$B$5:$B$634,B58)&gt;=Parameters!$B$7),1,0)</f>
        <v>0</v>
      </c>
      <c r="N58" s="9" t="n">
        <f aca="false">IF(AND(E58&gt;=Parameters!$B$7,F58&lt;&gt;Parameters!$B$8),1,0)</f>
        <v>0</v>
      </c>
      <c r="O58" s="9" t="n">
        <f aca="false">INDEX(Vendor_Benford!$N$6:$N$50,MATCH(C58,Vendor_Benford!$A$6:$A$50,0))</f>
        <v>0</v>
      </c>
      <c r="P58" s="9" t="n">
        <f aca="false">INDEX(Vendor_Benford!$M$6:$M$50,MATCH(C58,Vendor_Benford!$A$6:$A$50,0))</f>
        <v>0</v>
      </c>
      <c r="Q58" s="9" t="n">
        <f aca="false">I58*Parameters!$B$28+J58*Parameters!$B$29+K58*Parameters!$B$30+L58*Parameters!$B$31+M58*Parameters!$B$32+N58*Parameters!$B$33+O58*Parameters!$B$34+P58*Parameters!$B$35</f>
        <v>0</v>
      </c>
      <c r="R58" s="0" t="str">
        <f aca="false">IF(Q58&gt;=Parameters!$B$24,"High","")</f>
        <v/>
      </c>
    </row>
    <row r="59" customFormat="false" ht="15" hidden="false" customHeight="false" outlineLevel="0" collapsed="false">
      <c r="A59" s="10" t="s">
        <v>424</v>
      </c>
      <c r="B59" s="8" t="n">
        <v>45686</v>
      </c>
      <c r="C59" s="10" t="s">
        <v>206</v>
      </c>
      <c r="D59" s="10" t="s">
        <v>425</v>
      </c>
      <c r="E59" s="12" t="n">
        <v>496.31</v>
      </c>
      <c r="F59" s="10" t="s">
        <v>347</v>
      </c>
      <c r="G59" s="9" t="n">
        <f aca="false">VALUE(LEFT(TEXT(E59,"0.00"),1))</f>
        <v>4</v>
      </c>
      <c r="H59" s="0" t="str">
        <f aca="false">UPPER(SUBSTITUTE(SUBSTITUTE(SUBSTITUTE(D59," ",""),"/",""),".",""))</f>
        <v>INV33006</v>
      </c>
      <c r="I59" s="9" t="n">
        <f aca="false">IF(COUNTIFS($C$5:C59,C59,$H$5:H59,H59,$E$5:E59,E59)&gt;1,1,0)</f>
        <v>0</v>
      </c>
      <c r="J59" s="9" t="n">
        <f aca="false">IF(AND(I59=0,COUNTIFS($C$5:$C$634,C59,$E$5:$E$634,E59,$B$5:$B$634,"&gt;="&amp;(B59-Parameters!$B$12),$B$5:$B$634,"&lt;="&amp;(B59+Parameters!$B$12),$H$5:$H$634,"&lt;&gt;"&amp;H59)&gt;0),1,0)</f>
        <v>0</v>
      </c>
      <c r="K59" s="9" t="n">
        <f aca="false">IF(AND(E59&gt;=Parameters!$B$11,ROUND(MOD(ROUND(E59,2),Parameters!$B$10),2)=0),1,0)</f>
        <v>0</v>
      </c>
      <c r="L59" s="9" t="n">
        <f aca="false">IF(AND(E59&lt;Parameters!$B$7,E59&gt;=Parameters!$B$7*(1-Parameters!$B$9)),1,0)</f>
        <v>0</v>
      </c>
      <c r="M59" s="9" t="n">
        <f aca="false">IF(AND(E59&lt;Parameters!$B$7,COUNTIFS($C$5:$C$634,C59,$B$5:$B$634,B59)&gt;1,SUMIFS($E$5:$E$634,$C$5:$C$634,C59,$B$5:$B$634,B59)&gt;=Parameters!$B$7),1,0)</f>
        <v>0</v>
      </c>
      <c r="N59" s="9" t="n">
        <f aca="false">IF(AND(E59&gt;=Parameters!$B$7,F59&lt;&gt;Parameters!$B$8),1,0)</f>
        <v>0</v>
      </c>
      <c r="O59" s="9" t="n">
        <f aca="false">INDEX(Vendor_Benford!$N$6:$N$50,MATCH(C59,Vendor_Benford!$A$6:$A$50,0))</f>
        <v>0</v>
      </c>
      <c r="P59" s="9" t="n">
        <f aca="false">INDEX(Vendor_Benford!$M$6:$M$50,MATCH(C59,Vendor_Benford!$A$6:$A$50,0))</f>
        <v>0</v>
      </c>
      <c r="Q59" s="9" t="n">
        <f aca="false">I59*Parameters!$B$28+J59*Parameters!$B$29+K59*Parameters!$B$30+L59*Parameters!$B$31+M59*Parameters!$B$32+N59*Parameters!$B$33+O59*Parameters!$B$34+P59*Parameters!$B$35</f>
        <v>0</v>
      </c>
      <c r="R59" s="0" t="str">
        <f aca="false">IF(Q59&gt;=Parameters!$B$24,"High","")</f>
        <v/>
      </c>
    </row>
    <row r="60" customFormat="false" ht="15" hidden="false" customHeight="false" outlineLevel="0" collapsed="false">
      <c r="A60" s="10" t="s">
        <v>426</v>
      </c>
      <c r="B60" s="8" t="n">
        <v>45688</v>
      </c>
      <c r="C60" s="10" t="s">
        <v>146</v>
      </c>
      <c r="D60" s="10" t="s">
        <v>427</v>
      </c>
      <c r="E60" s="12" t="n">
        <v>1349.31</v>
      </c>
      <c r="F60" s="10" t="s">
        <v>347</v>
      </c>
      <c r="G60" s="9" t="n">
        <f aca="false">VALUE(LEFT(TEXT(E60,"0.00"),1))</f>
        <v>1</v>
      </c>
      <c r="H60" s="0" t="str">
        <f aca="false">UPPER(SUBSTITUTE(SUBSTITUTE(SUBSTITUTE(D60," ",""),"/",""),".",""))</f>
        <v>INV13011</v>
      </c>
      <c r="I60" s="9" t="n">
        <f aca="false">IF(COUNTIFS($C$5:C60,C60,$H$5:H60,H60,$E$5:E60,E60)&gt;1,1,0)</f>
        <v>0</v>
      </c>
      <c r="J60" s="9" t="n">
        <f aca="false">IF(AND(I60=0,COUNTIFS($C$5:$C$634,C60,$E$5:$E$634,E60,$B$5:$B$634,"&gt;="&amp;(B60-Parameters!$B$12),$B$5:$B$634,"&lt;="&amp;(B60+Parameters!$B$12),$H$5:$H$634,"&lt;&gt;"&amp;H60)&gt;0),1,0)</f>
        <v>0</v>
      </c>
      <c r="K60" s="9" t="n">
        <f aca="false">IF(AND(E60&gt;=Parameters!$B$11,ROUND(MOD(ROUND(E60,2),Parameters!$B$10),2)=0),1,0)</f>
        <v>0</v>
      </c>
      <c r="L60" s="9" t="n">
        <f aca="false">IF(AND(E60&lt;Parameters!$B$7,E60&gt;=Parameters!$B$7*(1-Parameters!$B$9)),1,0)</f>
        <v>0</v>
      </c>
      <c r="M60" s="9" t="n">
        <f aca="false">IF(AND(E60&lt;Parameters!$B$7,COUNTIFS($C$5:$C$634,C60,$B$5:$B$634,B60)&gt;1,SUMIFS($E$5:$E$634,$C$5:$C$634,C60,$B$5:$B$634,B60)&gt;=Parameters!$B$7),1,0)</f>
        <v>0</v>
      </c>
      <c r="N60" s="9" t="n">
        <f aca="false">IF(AND(E60&gt;=Parameters!$B$7,F60&lt;&gt;Parameters!$B$8),1,0)</f>
        <v>0</v>
      </c>
      <c r="O60" s="9" t="n">
        <f aca="false">INDEX(Vendor_Benford!$N$6:$N$50,MATCH(C60,Vendor_Benford!$A$6:$A$50,0))</f>
        <v>0</v>
      </c>
      <c r="P60" s="9" t="n">
        <f aca="false">INDEX(Vendor_Benford!$M$6:$M$50,MATCH(C60,Vendor_Benford!$A$6:$A$50,0))</f>
        <v>0</v>
      </c>
      <c r="Q60" s="9" t="n">
        <f aca="false">I60*Parameters!$B$28+J60*Parameters!$B$29+K60*Parameters!$B$30+L60*Parameters!$B$31+M60*Parameters!$B$32+N60*Parameters!$B$33+O60*Parameters!$B$34+P60*Parameters!$B$35</f>
        <v>0</v>
      </c>
      <c r="R60" s="0" t="str">
        <f aca="false">IF(Q60&gt;=Parameters!$B$24,"High","")</f>
        <v/>
      </c>
    </row>
    <row r="61" customFormat="false" ht="15" hidden="false" customHeight="false" outlineLevel="0" collapsed="false">
      <c r="A61" s="10" t="s">
        <v>428</v>
      </c>
      <c r="B61" s="8" t="n">
        <v>45691</v>
      </c>
      <c r="C61" s="10" t="s">
        <v>125</v>
      </c>
      <c r="D61" s="10" t="s">
        <v>429</v>
      </c>
      <c r="E61" s="12" t="n">
        <v>81404.07</v>
      </c>
      <c r="F61" s="10" t="s">
        <v>40</v>
      </c>
      <c r="G61" s="9" t="n">
        <f aca="false">VALUE(LEFT(TEXT(E61,"0.00"),1))</f>
        <v>8</v>
      </c>
      <c r="H61" s="0" t="str">
        <f aca="false">UPPER(SUBSTITUTE(SUBSTITUTE(SUBSTITUTE(D61," ",""),"/",""),".",""))</f>
        <v>INV6003</v>
      </c>
      <c r="I61" s="9" t="n">
        <f aca="false">IF(COUNTIFS($C$5:C61,C61,$H$5:H61,H61,$E$5:E61,E61)&gt;1,1,0)</f>
        <v>0</v>
      </c>
      <c r="J61" s="9" t="n">
        <f aca="false">IF(AND(I61=0,COUNTIFS($C$5:$C$634,C61,$E$5:$E$634,E61,$B$5:$B$634,"&gt;="&amp;(B61-Parameters!$B$12),$B$5:$B$634,"&lt;="&amp;(B61+Parameters!$B$12),$H$5:$H$634,"&lt;&gt;"&amp;H61)&gt;0),1,0)</f>
        <v>0</v>
      </c>
      <c r="K61" s="9" t="n">
        <f aca="false">IF(AND(E61&gt;=Parameters!$B$11,ROUND(MOD(ROUND(E61,2),Parameters!$B$10),2)=0),1,0)</f>
        <v>0</v>
      </c>
      <c r="L61" s="9" t="n">
        <f aca="false">IF(AND(E61&lt;Parameters!$B$7,E61&gt;=Parameters!$B$7*(1-Parameters!$B$9)),1,0)</f>
        <v>0</v>
      </c>
      <c r="M61" s="9" t="n">
        <f aca="false">IF(AND(E61&lt;Parameters!$B$7,COUNTIFS($C$5:$C$634,C61,$B$5:$B$634,B61)&gt;1,SUMIFS($E$5:$E$634,$C$5:$C$634,C61,$B$5:$B$634,B61)&gt;=Parameters!$B$7),1,0)</f>
        <v>0</v>
      </c>
      <c r="N61" s="9" t="n">
        <f aca="false">IF(AND(E61&gt;=Parameters!$B$7,F61&lt;&gt;Parameters!$B$8),1,0)</f>
        <v>0</v>
      </c>
      <c r="O61" s="9" t="n">
        <f aca="false">INDEX(Vendor_Benford!$N$6:$N$50,MATCH(C61,Vendor_Benford!$A$6:$A$50,0))</f>
        <v>0</v>
      </c>
      <c r="P61" s="9" t="n">
        <f aca="false">INDEX(Vendor_Benford!$M$6:$M$50,MATCH(C61,Vendor_Benford!$A$6:$A$50,0))</f>
        <v>0</v>
      </c>
      <c r="Q61" s="9" t="n">
        <f aca="false">I61*Parameters!$B$28+J61*Parameters!$B$29+K61*Parameters!$B$30+L61*Parameters!$B$31+M61*Parameters!$B$32+N61*Parameters!$B$33+O61*Parameters!$B$34+P61*Parameters!$B$35</f>
        <v>0</v>
      </c>
      <c r="R61" s="0" t="str">
        <f aca="false">IF(Q61&gt;=Parameters!$B$24,"High","")</f>
        <v/>
      </c>
    </row>
    <row r="62" customFormat="false" ht="15" hidden="false" customHeight="false" outlineLevel="0" collapsed="false">
      <c r="A62" s="10" t="s">
        <v>430</v>
      </c>
      <c r="B62" s="8" t="n">
        <v>45691</v>
      </c>
      <c r="C62" s="10" t="s">
        <v>134</v>
      </c>
      <c r="D62" s="10" t="s">
        <v>431</v>
      </c>
      <c r="E62" s="12" t="n">
        <v>32747.42</v>
      </c>
      <c r="F62" s="10" t="s">
        <v>40</v>
      </c>
      <c r="G62" s="9" t="n">
        <f aca="false">VALUE(LEFT(TEXT(E62,"0.00"),1))</f>
        <v>3</v>
      </c>
      <c r="H62" s="0" t="str">
        <f aca="false">UPPER(SUBSTITUTE(SUBSTITUTE(SUBSTITUTE(D62," ",""),"/",""),".",""))</f>
        <v>INV9012</v>
      </c>
      <c r="I62" s="9" t="n">
        <f aca="false">IF(COUNTIFS($C$5:C62,C62,$H$5:H62,H62,$E$5:E62,E62)&gt;1,1,0)</f>
        <v>0</v>
      </c>
      <c r="J62" s="9" t="n">
        <f aca="false">IF(AND(I62=0,COUNTIFS($C$5:$C$634,C62,$E$5:$E$634,E62,$B$5:$B$634,"&gt;="&amp;(B62-Parameters!$B$12),$B$5:$B$634,"&lt;="&amp;(B62+Parameters!$B$12),$H$5:$H$634,"&lt;&gt;"&amp;H62)&gt;0),1,0)</f>
        <v>0</v>
      </c>
      <c r="K62" s="9" t="n">
        <f aca="false">IF(AND(E62&gt;=Parameters!$B$11,ROUND(MOD(ROUND(E62,2),Parameters!$B$10),2)=0),1,0)</f>
        <v>0</v>
      </c>
      <c r="L62" s="9" t="n">
        <f aca="false">IF(AND(E62&lt;Parameters!$B$7,E62&gt;=Parameters!$B$7*(1-Parameters!$B$9)),1,0)</f>
        <v>0</v>
      </c>
      <c r="M62" s="9" t="n">
        <f aca="false">IF(AND(E62&lt;Parameters!$B$7,COUNTIFS($C$5:$C$634,C62,$B$5:$B$634,B62)&gt;1,SUMIFS($E$5:$E$634,$C$5:$C$634,C62,$B$5:$B$634,B62)&gt;=Parameters!$B$7),1,0)</f>
        <v>0</v>
      </c>
      <c r="N62" s="9" t="n">
        <f aca="false">IF(AND(E62&gt;=Parameters!$B$7,F62&lt;&gt;Parameters!$B$8),1,0)</f>
        <v>0</v>
      </c>
      <c r="O62" s="9" t="n">
        <f aca="false">INDEX(Vendor_Benford!$N$6:$N$50,MATCH(C62,Vendor_Benford!$A$6:$A$50,0))</f>
        <v>0</v>
      </c>
      <c r="P62" s="9" t="n">
        <f aca="false">INDEX(Vendor_Benford!$M$6:$M$50,MATCH(C62,Vendor_Benford!$A$6:$A$50,0))</f>
        <v>0</v>
      </c>
      <c r="Q62" s="9" t="n">
        <f aca="false">I62*Parameters!$B$28+J62*Parameters!$B$29+K62*Parameters!$B$30+L62*Parameters!$B$31+M62*Parameters!$B$32+N62*Parameters!$B$33+O62*Parameters!$B$34+P62*Parameters!$B$35</f>
        <v>0</v>
      </c>
      <c r="R62" s="0" t="str">
        <f aca="false">IF(Q62&gt;=Parameters!$B$24,"High","")</f>
        <v/>
      </c>
    </row>
    <row r="63" customFormat="false" ht="15" hidden="false" customHeight="false" outlineLevel="0" collapsed="false">
      <c r="A63" s="10" t="s">
        <v>432</v>
      </c>
      <c r="B63" s="8" t="n">
        <v>45691</v>
      </c>
      <c r="C63" s="10" t="s">
        <v>206</v>
      </c>
      <c r="D63" s="10" t="s">
        <v>433</v>
      </c>
      <c r="E63" s="12" t="n">
        <v>6141.39</v>
      </c>
      <c r="F63" s="10" t="s">
        <v>40</v>
      </c>
      <c r="G63" s="9" t="n">
        <f aca="false">VALUE(LEFT(TEXT(E63,"0.00"),1))</f>
        <v>6</v>
      </c>
      <c r="H63" s="0" t="str">
        <f aca="false">UPPER(SUBSTITUTE(SUBSTITUTE(SUBSTITUTE(D63," ",""),"/",""),".",""))</f>
        <v>INV33017</v>
      </c>
      <c r="I63" s="9" t="n">
        <f aca="false">IF(COUNTIFS($C$5:C63,C63,$H$5:H63,H63,$E$5:E63,E63)&gt;1,1,0)</f>
        <v>0</v>
      </c>
      <c r="J63" s="9" t="n">
        <f aca="false">IF(AND(I63=0,COUNTIFS($C$5:$C$634,C63,$E$5:$E$634,E63,$B$5:$B$634,"&gt;="&amp;(B63-Parameters!$B$12),$B$5:$B$634,"&lt;="&amp;(B63+Parameters!$B$12),$H$5:$H$634,"&lt;&gt;"&amp;H63)&gt;0),1,0)</f>
        <v>0</v>
      </c>
      <c r="K63" s="9" t="n">
        <f aca="false">IF(AND(E63&gt;=Parameters!$B$11,ROUND(MOD(ROUND(E63,2),Parameters!$B$10),2)=0),1,0)</f>
        <v>0</v>
      </c>
      <c r="L63" s="9" t="n">
        <f aca="false">IF(AND(E63&lt;Parameters!$B$7,E63&gt;=Parameters!$B$7*(1-Parameters!$B$9)),1,0)</f>
        <v>0</v>
      </c>
      <c r="M63" s="9" t="n">
        <f aca="false">IF(AND(E63&lt;Parameters!$B$7,COUNTIFS($C$5:$C$634,C63,$B$5:$B$634,B63)&gt;1,SUMIFS($E$5:$E$634,$C$5:$C$634,C63,$B$5:$B$634,B63)&gt;=Parameters!$B$7),1,0)</f>
        <v>0</v>
      </c>
      <c r="N63" s="9" t="n">
        <f aca="false">IF(AND(E63&gt;=Parameters!$B$7,F63&lt;&gt;Parameters!$B$8),1,0)</f>
        <v>0</v>
      </c>
      <c r="O63" s="9" t="n">
        <f aca="false">INDEX(Vendor_Benford!$N$6:$N$50,MATCH(C63,Vendor_Benford!$A$6:$A$50,0))</f>
        <v>0</v>
      </c>
      <c r="P63" s="9" t="n">
        <f aca="false">INDEX(Vendor_Benford!$M$6:$M$50,MATCH(C63,Vendor_Benford!$A$6:$A$50,0))</f>
        <v>0</v>
      </c>
      <c r="Q63" s="9" t="n">
        <f aca="false">I63*Parameters!$B$28+J63*Parameters!$B$29+K63*Parameters!$B$30+L63*Parameters!$B$31+M63*Parameters!$B$32+N63*Parameters!$B$33+O63*Parameters!$B$34+P63*Parameters!$B$35</f>
        <v>0</v>
      </c>
      <c r="R63" s="0" t="str">
        <f aca="false">IF(Q63&gt;=Parameters!$B$24,"High","")</f>
        <v/>
      </c>
    </row>
    <row r="64" customFormat="false" ht="15" hidden="false" customHeight="false" outlineLevel="0" collapsed="false">
      <c r="A64" s="10" t="s">
        <v>434</v>
      </c>
      <c r="B64" s="8" t="n">
        <v>45692</v>
      </c>
      <c r="C64" s="10" t="s">
        <v>134</v>
      </c>
      <c r="D64" s="10" t="s">
        <v>435</v>
      </c>
      <c r="E64" s="12" t="n">
        <v>2021.82</v>
      </c>
      <c r="F64" s="10" t="s">
        <v>347</v>
      </c>
      <c r="G64" s="9" t="n">
        <f aca="false">VALUE(LEFT(TEXT(E64,"0.00"),1))</f>
        <v>2</v>
      </c>
      <c r="H64" s="0" t="str">
        <f aca="false">UPPER(SUBSTITUTE(SUBSTITUTE(SUBSTITUTE(D64," ",""),"/",""),".",""))</f>
        <v>INV9017</v>
      </c>
      <c r="I64" s="9" t="n">
        <f aca="false">IF(COUNTIFS($C$5:C64,C64,$H$5:H64,H64,$E$5:E64,E64)&gt;1,1,0)</f>
        <v>0</v>
      </c>
      <c r="J64" s="9" t="n">
        <f aca="false">IF(AND(I64=0,COUNTIFS($C$5:$C$634,C64,$E$5:$E$634,E64,$B$5:$B$634,"&gt;="&amp;(B64-Parameters!$B$12),$B$5:$B$634,"&lt;="&amp;(B64+Parameters!$B$12),$H$5:$H$634,"&lt;&gt;"&amp;H64)&gt;0),1,0)</f>
        <v>0</v>
      </c>
      <c r="K64" s="9" t="n">
        <f aca="false">IF(AND(E64&gt;=Parameters!$B$11,ROUND(MOD(ROUND(E64,2),Parameters!$B$10),2)=0),1,0)</f>
        <v>0</v>
      </c>
      <c r="L64" s="9" t="n">
        <f aca="false">IF(AND(E64&lt;Parameters!$B$7,E64&gt;=Parameters!$B$7*(1-Parameters!$B$9)),1,0)</f>
        <v>0</v>
      </c>
      <c r="M64" s="9" t="n">
        <f aca="false">IF(AND(E64&lt;Parameters!$B$7,COUNTIFS($C$5:$C$634,C64,$B$5:$B$634,B64)&gt;1,SUMIFS($E$5:$E$634,$C$5:$C$634,C64,$B$5:$B$634,B64)&gt;=Parameters!$B$7),1,0)</f>
        <v>0</v>
      </c>
      <c r="N64" s="9" t="n">
        <f aca="false">IF(AND(E64&gt;=Parameters!$B$7,F64&lt;&gt;Parameters!$B$8),1,0)</f>
        <v>0</v>
      </c>
      <c r="O64" s="9" t="n">
        <f aca="false">INDEX(Vendor_Benford!$N$6:$N$50,MATCH(C64,Vendor_Benford!$A$6:$A$50,0))</f>
        <v>0</v>
      </c>
      <c r="P64" s="9" t="n">
        <f aca="false">INDEX(Vendor_Benford!$M$6:$M$50,MATCH(C64,Vendor_Benford!$A$6:$A$50,0))</f>
        <v>0</v>
      </c>
      <c r="Q64" s="9" t="n">
        <f aca="false">I64*Parameters!$B$28+J64*Parameters!$B$29+K64*Parameters!$B$30+L64*Parameters!$B$31+M64*Parameters!$B$32+N64*Parameters!$B$33+O64*Parameters!$B$34+P64*Parameters!$B$35</f>
        <v>0</v>
      </c>
      <c r="R64" s="0" t="str">
        <f aca="false">IF(Q64&gt;=Parameters!$B$24,"High","")</f>
        <v/>
      </c>
    </row>
    <row r="65" customFormat="false" ht="15" hidden="false" customHeight="false" outlineLevel="0" collapsed="false">
      <c r="A65" s="10" t="s">
        <v>436</v>
      </c>
      <c r="B65" s="8" t="n">
        <v>45692</v>
      </c>
      <c r="C65" s="10" t="s">
        <v>224</v>
      </c>
      <c r="D65" s="10" t="s">
        <v>437</v>
      </c>
      <c r="E65" s="12" t="n">
        <v>16672.59</v>
      </c>
      <c r="F65" s="10" t="s">
        <v>40</v>
      </c>
      <c r="G65" s="9" t="n">
        <f aca="false">VALUE(LEFT(TEXT(E65,"0.00"),1))</f>
        <v>1</v>
      </c>
      <c r="H65" s="0" t="str">
        <f aca="false">UPPER(SUBSTITUTE(SUBSTITUTE(SUBSTITUTE(D65," ",""),"/",""),".",""))</f>
        <v>INV39012</v>
      </c>
      <c r="I65" s="9" t="n">
        <f aca="false">IF(COUNTIFS($C$5:C65,C65,$H$5:H65,H65,$E$5:E65,E65)&gt;1,1,0)</f>
        <v>0</v>
      </c>
      <c r="J65" s="9" t="n">
        <f aca="false">IF(AND(I65=0,COUNTIFS($C$5:$C$634,C65,$E$5:$E$634,E65,$B$5:$B$634,"&gt;="&amp;(B65-Parameters!$B$12),$B$5:$B$634,"&lt;="&amp;(B65+Parameters!$B$12),$H$5:$H$634,"&lt;&gt;"&amp;H65)&gt;0),1,0)</f>
        <v>0</v>
      </c>
      <c r="K65" s="9" t="n">
        <f aca="false">IF(AND(E65&gt;=Parameters!$B$11,ROUND(MOD(ROUND(E65,2),Parameters!$B$10),2)=0),1,0)</f>
        <v>0</v>
      </c>
      <c r="L65" s="9" t="n">
        <f aca="false">IF(AND(E65&lt;Parameters!$B$7,E65&gt;=Parameters!$B$7*(1-Parameters!$B$9)),1,0)</f>
        <v>0</v>
      </c>
      <c r="M65" s="9" t="n">
        <f aca="false">IF(AND(E65&lt;Parameters!$B$7,COUNTIFS($C$5:$C$634,C65,$B$5:$B$634,B65)&gt;1,SUMIFS($E$5:$E$634,$C$5:$C$634,C65,$B$5:$B$634,B65)&gt;=Parameters!$B$7),1,0)</f>
        <v>0</v>
      </c>
      <c r="N65" s="9" t="n">
        <f aca="false">IF(AND(E65&gt;=Parameters!$B$7,F65&lt;&gt;Parameters!$B$8),1,0)</f>
        <v>0</v>
      </c>
      <c r="O65" s="9" t="n">
        <f aca="false">INDEX(Vendor_Benford!$N$6:$N$50,MATCH(C65,Vendor_Benford!$A$6:$A$50,0))</f>
        <v>0</v>
      </c>
      <c r="P65" s="9" t="n">
        <f aca="false">INDEX(Vendor_Benford!$M$6:$M$50,MATCH(C65,Vendor_Benford!$A$6:$A$50,0))</f>
        <v>0</v>
      </c>
      <c r="Q65" s="9" t="n">
        <f aca="false">I65*Parameters!$B$28+J65*Parameters!$B$29+K65*Parameters!$B$30+L65*Parameters!$B$31+M65*Parameters!$B$32+N65*Parameters!$B$33+O65*Parameters!$B$34+P65*Parameters!$B$35</f>
        <v>0</v>
      </c>
      <c r="R65" s="0" t="str">
        <f aca="false">IF(Q65&gt;=Parameters!$B$24,"High","")</f>
        <v/>
      </c>
    </row>
    <row r="66" customFormat="false" ht="15" hidden="false" customHeight="false" outlineLevel="0" collapsed="false">
      <c r="A66" s="10" t="s">
        <v>438</v>
      </c>
      <c r="B66" s="8" t="n">
        <v>45693</v>
      </c>
      <c r="C66" s="10" t="s">
        <v>143</v>
      </c>
      <c r="D66" s="10" t="s">
        <v>439</v>
      </c>
      <c r="E66" s="12" t="n">
        <v>311.23</v>
      </c>
      <c r="F66" s="10" t="s">
        <v>40</v>
      </c>
      <c r="G66" s="9" t="n">
        <f aca="false">VALUE(LEFT(TEXT(E66,"0.00"),1))</f>
        <v>3</v>
      </c>
      <c r="H66" s="0" t="str">
        <f aca="false">UPPER(SUBSTITUTE(SUBSTITUTE(SUBSTITUTE(D66," ",""),"/",""),".",""))</f>
        <v>INV12015</v>
      </c>
      <c r="I66" s="9" t="n">
        <f aca="false">IF(COUNTIFS($C$5:C66,C66,$H$5:H66,H66,$E$5:E66,E66)&gt;1,1,0)</f>
        <v>0</v>
      </c>
      <c r="J66" s="9" t="n">
        <f aca="false">IF(AND(I66=0,COUNTIFS($C$5:$C$634,C66,$E$5:$E$634,E66,$B$5:$B$634,"&gt;="&amp;(B66-Parameters!$B$12),$B$5:$B$634,"&lt;="&amp;(B66+Parameters!$B$12),$H$5:$H$634,"&lt;&gt;"&amp;H66)&gt;0),1,0)</f>
        <v>0</v>
      </c>
      <c r="K66" s="9" t="n">
        <f aca="false">IF(AND(E66&gt;=Parameters!$B$11,ROUND(MOD(ROUND(E66,2),Parameters!$B$10),2)=0),1,0)</f>
        <v>0</v>
      </c>
      <c r="L66" s="9" t="n">
        <f aca="false">IF(AND(E66&lt;Parameters!$B$7,E66&gt;=Parameters!$B$7*(1-Parameters!$B$9)),1,0)</f>
        <v>0</v>
      </c>
      <c r="M66" s="9" t="n">
        <f aca="false">IF(AND(E66&lt;Parameters!$B$7,COUNTIFS($C$5:$C$634,C66,$B$5:$B$634,B66)&gt;1,SUMIFS($E$5:$E$634,$C$5:$C$634,C66,$B$5:$B$634,B66)&gt;=Parameters!$B$7),1,0)</f>
        <v>0</v>
      </c>
      <c r="N66" s="9" t="n">
        <f aca="false">IF(AND(E66&gt;=Parameters!$B$7,F66&lt;&gt;Parameters!$B$8),1,0)</f>
        <v>0</v>
      </c>
      <c r="O66" s="9" t="n">
        <f aca="false">INDEX(Vendor_Benford!$N$6:$N$50,MATCH(C66,Vendor_Benford!$A$6:$A$50,0))</f>
        <v>0</v>
      </c>
      <c r="P66" s="9" t="n">
        <f aca="false">INDEX(Vendor_Benford!$M$6:$M$50,MATCH(C66,Vendor_Benford!$A$6:$A$50,0))</f>
        <v>0</v>
      </c>
      <c r="Q66" s="9" t="n">
        <f aca="false">I66*Parameters!$B$28+J66*Parameters!$B$29+K66*Parameters!$B$30+L66*Parameters!$B$31+M66*Parameters!$B$32+N66*Parameters!$B$33+O66*Parameters!$B$34+P66*Parameters!$B$35</f>
        <v>0</v>
      </c>
      <c r="R66" s="0" t="str">
        <f aca="false">IF(Q66&gt;=Parameters!$B$24,"High","")</f>
        <v/>
      </c>
    </row>
    <row r="67" customFormat="false" ht="15" hidden="false" customHeight="false" outlineLevel="0" collapsed="false">
      <c r="A67" s="10" t="s">
        <v>440</v>
      </c>
      <c r="B67" s="8" t="n">
        <v>45693</v>
      </c>
      <c r="C67" s="10" t="s">
        <v>164</v>
      </c>
      <c r="D67" s="10" t="s">
        <v>441</v>
      </c>
      <c r="E67" s="12" t="n">
        <v>11949.94</v>
      </c>
      <c r="F67" s="10" t="s">
        <v>40</v>
      </c>
      <c r="G67" s="9" t="n">
        <f aca="false">VALUE(LEFT(TEXT(E67,"0.00"),1))</f>
        <v>1</v>
      </c>
      <c r="H67" s="0" t="str">
        <f aca="false">UPPER(SUBSTITUTE(SUBSTITUTE(SUBSTITUTE(D67," ",""),"/",""),".",""))</f>
        <v>INV19003</v>
      </c>
      <c r="I67" s="9" t="n">
        <f aca="false">IF(COUNTIFS($C$5:C67,C67,$H$5:H67,H67,$E$5:E67,E67)&gt;1,1,0)</f>
        <v>0</v>
      </c>
      <c r="J67" s="9" t="n">
        <f aca="false">IF(AND(I67=0,COUNTIFS($C$5:$C$634,C67,$E$5:$E$634,E67,$B$5:$B$634,"&gt;="&amp;(B67-Parameters!$B$12),$B$5:$B$634,"&lt;="&amp;(B67+Parameters!$B$12),$H$5:$H$634,"&lt;&gt;"&amp;H67)&gt;0),1,0)</f>
        <v>0</v>
      </c>
      <c r="K67" s="9" t="n">
        <f aca="false">IF(AND(E67&gt;=Parameters!$B$11,ROUND(MOD(ROUND(E67,2),Parameters!$B$10),2)=0),1,0)</f>
        <v>0</v>
      </c>
      <c r="L67" s="9" t="n">
        <f aca="false">IF(AND(E67&lt;Parameters!$B$7,E67&gt;=Parameters!$B$7*(1-Parameters!$B$9)),1,0)</f>
        <v>0</v>
      </c>
      <c r="M67" s="9" t="n">
        <f aca="false">IF(AND(E67&lt;Parameters!$B$7,COUNTIFS($C$5:$C$634,C67,$B$5:$B$634,B67)&gt;1,SUMIFS($E$5:$E$634,$C$5:$C$634,C67,$B$5:$B$634,B67)&gt;=Parameters!$B$7),1,0)</f>
        <v>0</v>
      </c>
      <c r="N67" s="9" t="n">
        <f aca="false">IF(AND(E67&gt;=Parameters!$B$7,F67&lt;&gt;Parameters!$B$8),1,0)</f>
        <v>0</v>
      </c>
      <c r="O67" s="9" t="n">
        <f aca="false">INDEX(Vendor_Benford!$N$6:$N$50,MATCH(C67,Vendor_Benford!$A$6:$A$50,0))</f>
        <v>0</v>
      </c>
      <c r="P67" s="9" t="n">
        <f aca="false">INDEX(Vendor_Benford!$M$6:$M$50,MATCH(C67,Vendor_Benford!$A$6:$A$50,0))</f>
        <v>0</v>
      </c>
      <c r="Q67" s="9" t="n">
        <f aca="false">I67*Parameters!$B$28+J67*Parameters!$B$29+K67*Parameters!$B$30+L67*Parameters!$B$31+M67*Parameters!$B$32+N67*Parameters!$B$33+O67*Parameters!$B$34+P67*Parameters!$B$35</f>
        <v>0</v>
      </c>
      <c r="R67" s="0" t="str">
        <f aca="false">IF(Q67&gt;=Parameters!$B$24,"High","")</f>
        <v/>
      </c>
    </row>
    <row r="68" customFormat="false" ht="15" hidden="false" customHeight="false" outlineLevel="0" collapsed="false">
      <c r="A68" s="10" t="s">
        <v>442</v>
      </c>
      <c r="B68" s="8" t="n">
        <v>45693</v>
      </c>
      <c r="C68" s="10" t="s">
        <v>173</v>
      </c>
      <c r="D68" s="10" t="s">
        <v>443</v>
      </c>
      <c r="E68" s="12" t="n">
        <v>865.32</v>
      </c>
      <c r="F68" s="10" t="s">
        <v>40</v>
      </c>
      <c r="G68" s="9" t="n">
        <f aca="false">VALUE(LEFT(TEXT(E68,"0.00"),1))</f>
        <v>8</v>
      </c>
      <c r="H68" s="0" t="str">
        <f aca="false">UPPER(SUBSTITUTE(SUBSTITUTE(SUBSTITUTE(D68," ",""),"/",""),".",""))</f>
        <v>INV22010</v>
      </c>
      <c r="I68" s="9" t="n">
        <f aca="false">IF(COUNTIFS($C$5:C68,C68,$H$5:H68,H68,$E$5:E68,E68)&gt;1,1,0)</f>
        <v>0</v>
      </c>
      <c r="J68" s="9" t="n">
        <f aca="false">IF(AND(I68=0,COUNTIFS($C$5:$C$634,C68,$E$5:$E$634,E68,$B$5:$B$634,"&gt;="&amp;(B68-Parameters!$B$12),$B$5:$B$634,"&lt;="&amp;(B68+Parameters!$B$12),$H$5:$H$634,"&lt;&gt;"&amp;H68)&gt;0),1,0)</f>
        <v>0</v>
      </c>
      <c r="K68" s="9" t="n">
        <f aca="false">IF(AND(E68&gt;=Parameters!$B$11,ROUND(MOD(ROUND(E68,2),Parameters!$B$10),2)=0),1,0)</f>
        <v>0</v>
      </c>
      <c r="L68" s="9" t="n">
        <f aca="false">IF(AND(E68&lt;Parameters!$B$7,E68&gt;=Parameters!$B$7*(1-Parameters!$B$9)),1,0)</f>
        <v>0</v>
      </c>
      <c r="M68" s="9" t="n">
        <f aca="false">IF(AND(E68&lt;Parameters!$B$7,COUNTIFS($C$5:$C$634,C68,$B$5:$B$634,B68)&gt;1,SUMIFS($E$5:$E$634,$C$5:$C$634,C68,$B$5:$B$634,B68)&gt;=Parameters!$B$7),1,0)</f>
        <v>0</v>
      </c>
      <c r="N68" s="9" t="n">
        <f aca="false">IF(AND(E68&gt;=Parameters!$B$7,F68&lt;&gt;Parameters!$B$8),1,0)</f>
        <v>0</v>
      </c>
      <c r="O68" s="9" t="n">
        <f aca="false">INDEX(Vendor_Benford!$N$6:$N$50,MATCH(C68,Vendor_Benford!$A$6:$A$50,0))</f>
        <v>0</v>
      </c>
      <c r="P68" s="9" t="n">
        <f aca="false">INDEX(Vendor_Benford!$M$6:$M$50,MATCH(C68,Vendor_Benford!$A$6:$A$50,0))</f>
        <v>0</v>
      </c>
      <c r="Q68" s="9" t="n">
        <f aca="false">I68*Parameters!$B$28+J68*Parameters!$B$29+K68*Parameters!$B$30+L68*Parameters!$B$31+M68*Parameters!$B$32+N68*Parameters!$B$33+O68*Parameters!$B$34+P68*Parameters!$B$35</f>
        <v>0</v>
      </c>
      <c r="R68" s="0" t="str">
        <f aca="false">IF(Q68&gt;=Parameters!$B$24,"High","")</f>
        <v/>
      </c>
    </row>
    <row r="69" customFormat="false" ht="15" hidden="false" customHeight="false" outlineLevel="0" collapsed="false">
      <c r="A69" s="10" t="s">
        <v>444</v>
      </c>
      <c r="B69" s="8" t="n">
        <v>45693</v>
      </c>
      <c r="C69" s="10" t="s">
        <v>200</v>
      </c>
      <c r="D69" s="10" t="s">
        <v>445</v>
      </c>
      <c r="E69" s="12" t="n">
        <v>4783.27</v>
      </c>
      <c r="F69" s="10" t="s">
        <v>347</v>
      </c>
      <c r="G69" s="9" t="n">
        <f aca="false">VALUE(LEFT(TEXT(E69,"0.00"),1))</f>
        <v>4</v>
      </c>
      <c r="H69" s="0" t="str">
        <f aca="false">UPPER(SUBSTITUTE(SUBSTITUTE(SUBSTITUTE(D69," ",""),"/",""),".",""))</f>
        <v>INV31013</v>
      </c>
      <c r="I69" s="9" t="n">
        <f aca="false">IF(COUNTIFS($C$5:C69,C69,$H$5:H69,H69,$E$5:E69,E69)&gt;1,1,0)</f>
        <v>0</v>
      </c>
      <c r="J69" s="9" t="n">
        <f aca="false">IF(AND(I69=0,COUNTIFS($C$5:$C$634,C69,$E$5:$E$634,E69,$B$5:$B$634,"&gt;="&amp;(B69-Parameters!$B$12),$B$5:$B$634,"&lt;="&amp;(B69+Parameters!$B$12),$H$5:$H$634,"&lt;&gt;"&amp;H69)&gt;0),1,0)</f>
        <v>0</v>
      </c>
      <c r="K69" s="9" t="n">
        <f aca="false">IF(AND(E69&gt;=Parameters!$B$11,ROUND(MOD(ROUND(E69,2),Parameters!$B$10),2)=0),1,0)</f>
        <v>0</v>
      </c>
      <c r="L69" s="9" t="n">
        <f aca="false">IF(AND(E69&lt;Parameters!$B$7,E69&gt;=Parameters!$B$7*(1-Parameters!$B$9)),1,0)</f>
        <v>1</v>
      </c>
      <c r="M69" s="9" t="n">
        <f aca="false">IF(AND(E69&lt;Parameters!$B$7,COUNTIFS($C$5:$C$634,C69,$B$5:$B$634,B69)&gt;1,SUMIFS($E$5:$E$634,$C$5:$C$634,C69,$B$5:$B$634,B69)&gt;=Parameters!$B$7),1,0)</f>
        <v>0</v>
      </c>
      <c r="N69" s="9" t="n">
        <f aca="false">IF(AND(E69&gt;=Parameters!$B$7,F69&lt;&gt;Parameters!$B$8),1,0)</f>
        <v>0</v>
      </c>
      <c r="O69" s="9" t="n">
        <f aca="false">INDEX(Vendor_Benford!$N$6:$N$50,MATCH(C69,Vendor_Benford!$A$6:$A$50,0))</f>
        <v>0</v>
      </c>
      <c r="P69" s="9" t="n">
        <f aca="false">INDEX(Vendor_Benford!$M$6:$M$50,MATCH(C69,Vendor_Benford!$A$6:$A$50,0))</f>
        <v>1</v>
      </c>
      <c r="Q69" s="9" t="n">
        <f aca="false">I69*Parameters!$B$28+J69*Parameters!$B$29+K69*Parameters!$B$30+L69*Parameters!$B$31+M69*Parameters!$B$32+N69*Parameters!$B$33+O69*Parameters!$B$34+P69*Parameters!$B$35</f>
        <v>4</v>
      </c>
      <c r="R69" s="0" t="str">
        <f aca="false">IF(Q69&gt;=Parameters!$B$24,"High","")</f>
        <v/>
      </c>
    </row>
    <row r="70" customFormat="false" ht="15" hidden="false" customHeight="false" outlineLevel="0" collapsed="false">
      <c r="A70" s="10" t="s">
        <v>446</v>
      </c>
      <c r="B70" s="8" t="n">
        <v>45694</v>
      </c>
      <c r="C70" s="10" t="s">
        <v>110</v>
      </c>
      <c r="D70" s="10" t="s">
        <v>447</v>
      </c>
      <c r="E70" s="12" t="n">
        <v>85000</v>
      </c>
      <c r="F70" s="10" t="s">
        <v>40</v>
      </c>
      <c r="G70" s="9" t="n">
        <f aca="false">VALUE(LEFT(TEXT(E70,"0.00"),1))</f>
        <v>8</v>
      </c>
      <c r="H70" s="0" t="str">
        <f aca="false">UPPER(SUBSTITUTE(SUBSTITUTE(SUBSTITUTE(D70," ",""),"/",""),".",""))</f>
        <v>RENT2502</v>
      </c>
      <c r="I70" s="9" t="n">
        <f aca="false">IF(COUNTIFS($C$5:C70,C70,$H$5:H70,H70,$E$5:E70,E70)&gt;1,1,0)</f>
        <v>0</v>
      </c>
      <c r="J70" s="9" t="n">
        <f aca="false">IF(AND(I70=0,COUNTIFS($C$5:$C$634,C70,$E$5:$E$634,E70,$B$5:$B$634,"&gt;="&amp;(B70-Parameters!$B$12),$B$5:$B$634,"&lt;="&amp;(B70+Parameters!$B$12),$H$5:$H$634,"&lt;&gt;"&amp;H70)&gt;0),1,0)</f>
        <v>1</v>
      </c>
      <c r="K70" s="9" t="n">
        <f aca="false">IF(AND(E70&gt;=Parameters!$B$11,ROUND(MOD(ROUND(E70,2),Parameters!$B$10),2)=0),1,0)</f>
        <v>1</v>
      </c>
      <c r="L70" s="9" t="n">
        <f aca="false">IF(AND(E70&lt;Parameters!$B$7,E70&gt;=Parameters!$B$7*(1-Parameters!$B$9)),1,0)</f>
        <v>0</v>
      </c>
      <c r="M70" s="9" t="n">
        <f aca="false">IF(AND(E70&lt;Parameters!$B$7,COUNTIFS($C$5:$C$634,C70,$B$5:$B$634,B70)&gt;1,SUMIFS($E$5:$E$634,$C$5:$C$634,C70,$B$5:$B$634,B70)&gt;=Parameters!$B$7),1,0)</f>
        <v>0</v>
      </c>
      <c r="N70" s="9" t="n">
        <f aca="false">IF(AND(E70&gt;=Parameters!$B$7,F70&lt;&gt;Parameters!$B$8),1,0)</f>
        <v>0</v>
      </c>
      <c r="O70" s="9" t="n">
        <f aca="false">INDEX(Vendor_Benford!$N$6:$N$50,MATCH(C70,Vendor_Benford!$A$6:$A$50,0))</f>
        <v>0</v>
      </c>
      <c r="P70" s="9" t="n">
        <f aca="false">INDEX(Vendor_Benford!$M$6:$M$50,MATCH(C70,Vendor_Benford!$A$6:$A$50,0))</f>
        <v>0</v>
      </c>
      <c r="Q70" s="9" t="n">
        <f aca="false">I70*Parameters!$B$28+J70*Parameters!$B$29+K70*Parameters!$B$30+L70*Parameters!$B$31+M70*Parameters!$B$32+N70*Parameters!$B$33+O70*Parameters!$B$34+P70*Parameters!$B$35</f>
        <v>5</v>
      </c>
      <c r="R70" s="0" t="str">
        <f aca="false">IF(Q70&gt;=Parameters!$B$24,"High","")</f>
        <v>High</v>
      </c>
    </row>
    <row r="71" customFormat="false" ht="15" hidden="false" customHeight="false" outlineLevel="0" collapsed="false">
      <c r="A71" s="10" t="s">
        <v>448</v>
      </c>
      <c r="B71" s="8" t="n">
        <v>45694</v>
      </c>
      <c r="C71" s="10" t="s">
        <v>134</v>
      </c>
      <c r="D71" s="10" t="s">
        <v>449</v>
      </c>
      <c r="E71" s="12" t="n">
        <v>23235.24</v>
      </c>
      <c r="F71" s="10" t="s">
        <v>40</v>
      </c>
      <c r="G71" s="9" t="n">
        <f aca="false">VALUE(LEFT(TEXT(E71,"0.00"),1))</f>
        <v>2</v>
      </c>
      <c r="H71" s="0" t="str">
        <f aca="false">UPPER(SUBSTITUTE(SUBSTITUTE(SUBSTITUTE(D71," ",""),"/",""),".",""))</f>
        <v>INV9016</v>
      </c>
      <c r="I71" s="9" t="n">
        <f aca="false">IF(COUNTIFS($C$5:C71,C71,$H$5:H71,H71,$E$5:E71,E71)&gt;1,1,0)</f>
        <v>0</v>
      </c>
      <c r="J71" s="9" t="n">
        <f aca="false">IF(AND(I71=0,COUNTIFS($C$5:$C$634,C71,$E$5:$E$634,E71,$B$5:$B$634,"&gt;="&amp;(B71-Parameters!$B$12),$B$5:$B$634,"&lt;="&amp;(B71+Parameters!$B$12),$H$5:$H$634,"&lt;&gt;"&amp;H71)&gt;0),1,0)</f>
        <v>0</v>
      </c>
      <c r="K71" s="9" t="n">
        <f aca="false">IF(AND(E71&gt;=Parameters!$B$11,ROUND(MOD(ROUND(E71,2),Parameters!$B$10),2)=0),1,0)</f>
        <v>0</v>
      </c>
      <c r="L71" s="9" t="n">
        <f aca="false">IF(AND(E71&lt;Parameters!$B$7,E71&gt;=Parameters!$B$7*(1-Parameters!$B$9)),1,0)</f>
        <v>0</v>
      </c>
      <c r="M71" s="9" t="n">
        <f aca="false">IF(AND(E71&lt;Parameters!$B$7,COUNTIFS($C$5:$C$634,C71,$B$5:$B$634,B71)&gt;1,SUMIFS($E$5:$E$634,$C$5:$C$634,C71,$B$5:$B$634,B71)&gt;=Parameters!$B$7),1,0)</f>
        <v>0</v>
      </c>
      <c r="N71" s="9" t="n">
        <f aca="false">IF(AND(E71&gt;=Parameters!$B$7,F71&lt;&gt;Parameters!$B$8),1,0)</f>
        <v>0</v>
      </c>
      <c r="O71" s="9" t="n">
        <f aca="false">INDEX(Vendor_Benford!$N$6:$N$50,MATCH(C71,Vendor_Benford!$A$6:$A$50,0))</f>
        <v>0</v>
      </c>
      <c r="P71" s="9" t="n">
        <f aca="false">INDEX(Vendor_Benford!$M$6:$M$50,MATCH(C71,Vendor_Benford!$A$6:$A$50,0))</f>
        <v>0</v>
      </c>
      <c r="Q71" s="9" t="n">
        <f aca="false">I71*Parameters!$B$28+J71*Parameters!$B$29+K71*Parameters!$B$30+L71*Parameters!$B$31+M71*Parameters!$B$32+N71*Parameters!$B$33+O71*Parameters!$B$34+P71*Parameters!$B$35</f>
        <v>0</v>
      </c>
      <c r="R71" s="0" t="str">
        <f aca="false">IF(Q71&gt;=Parameters!$B$24,"High","")</f>
        <v/>
      </c>
    </row>
    <row r="72" customFormat="false" ht="15" hidden="false" customHeight="false" outlineLevel="0" collapsed="false">
      <c r="A72" s="10" t="s">
        <v>450</v>
      </c>
      <c r="B72" s="8" t="n">
        <v>45694</v>
      </c>
      <c r="C72" s="10" t="s">
        <v>140</v>
      </c>
      <c r="D72" s="10" t="s">
        <v>451</v>
      </c>
      <c r="E72" s="12" t="n">
        <v>764.96</v>
      </c>
      <c r="F72" s="10" t="s">
        <v>40</v>
      </c>
      <c r="G72" s="9" t="n">
        <f aca="false">VALUE(LEFT(TEXT(E72,"0.00"),1))</f>
        <v>7</v>
      </c>
      <c r="H72" s="0" t="str">
        <f aca="false">UPPER(SUBSTITUTE(SUBSTITUTE(SUBSTITUTE(D72," ",""),"/",""),".",""))</f>
        <v>INV11013</v>
      </c>
      <c r="I72" s="9" t="n">
        <f aca="false">IF(COUNTIFS($C$5:C72,C72,$H$5:H72,H72,$E$5:E72,E72)&gt;1,1,0)</f>
        <v>0</v>
      </c>
      <c r="J72" s="9" t="n">
        <f aca="false">IF(AND(I72=0,COUNTIFS($C$5:$C$634,C72,$E$5:$E$634,E72,$B$5:$B$634,"&gt;="&amp;(B72-Parameters!$B$12),$B$5:$B$634,"&lt;="&amp;(B72+Parameters!$B$12),$H$5:$H$634,"&lt;&gt;"&amp;H72)&gt;0),1,0)</f>
        <v>0</v>
      </c>
      <c r="K72" s="9" t="n">
        <f aca="false">IF(AND(E72&gt;=Parameters!$B$11,ROUND(MOD(ROUND(E72,2),Parameters!$B$10),2)=0),1,0)</f>
        <v>0</v>
      </c>
      <c r="L72" s="9" t="n">
        <f aca="false">IF(AND(E72&lt;Parameters!$B$7,E72&gt;=Parameters!$B$7*(1-Parameters!$B$9)),1,0)</f>
        <v>0</v>
      </c>
      <c r="M72" s="9" t="n">
        <f aca="false">IF(AND(E72&lt;Parameters!$B$7,COUNTIFS($C$5:$C$634,C72,$B$5:$B$634,B72)&gt;1,SUMIFS($E$5:$E$634,$C$5:$C$634,C72,$B$5:$B$634,B72)&gt;=Parameters!$B$7),1,0)</f>
        <v>1</v>
      </c>
      <c r="N72" s="9" t="n">
        <f aca="false">IF(AND(E72&gt;=Parameters!$B$7,F72&lt;&gt;Parameters!$B$8),1,0)</f>
        <v>0</v>
      </c>
      <c r="O72" s="9" t="n">
        <f aca="false">INDEX(Vendor_Benford!$N$6:$N$50,MATCH(C72,Vendor_Benford!$A$6:$A$50,0))</f>
        <v>0</v>
      </c>
      <c r="P72" s="9" t="n">
        <f aca="false">INDEX(Vendor_Benford!$M$6:$M$50,MATCH(C72,Vendor_Benford!$A$6:$A$50,0))</f>
        <v>0</v>
      </c>
      <c r="Q72" s="9" t="n">
        <f aca="false">I72*Parameters!$B$28+J72*Parameters!$B$29+K72*Parameters!$B$30+L72*Parameters!$B$31+M72*Parameters!$B$32+N72*Parameters!$B$33+O72*Parameters!$B$34+P72*Parameters!$B$35</f>
        <v>3</v>
      </c>
      <c r="R72" s="0" t="str">
        <f aca="false">IF(Q72&gt;=Parameters!$B$24,"High","")</f>
        <v/>
      </c>
    </row>
    <row r="73" customFormat="false" ht="15" hidden="false" customHeight="false" outlineLevel="0" collapsed="false">
      <c r="A73" s="10" t="s">
        <v>452</v>
      </c>
      <c r="B73" s="8" t="n">
        <v>45694</v>
      </c>
      <c r="C73" s="10" t="s">
        <v>140</v>
      </c>
      <c r="D73" s="10" t="s">
        <v>453</v>
      </c>
      <c r="E73" s="12" t="n">
        <v>12259.15</v>
      </c>
      <c r="F73" s="10" t="s">
        <v>40</v>
      </c>
      <c r="G73" s="9" t="n">
        <f aca="false">VALUE(LEFT(TEXT(E73,"0.00"),1))</f>
        <v>1</v>
      </c>
      <c r="H73" s="0" t="str">
        <f aca="false">UPPER(SUBSTITUTE(SUBSTITUTE(SUBSTITUTE(D73," ",""),"/",""),".",""))</f>
        <v>INV11019</v>
      </c>
      <c r="I73" s="9" t="n">
        <f aca="false">IF(COUNTIFS($C$5:C73,C73,$H$5:H73,H73,$E$5:E73,E73)&gt;1,1,0)</f>
        <v>0</v>
      </c>
      <c r="J73" s="9" t="n">
        <f aca="false">IF(AND(I73=0,COUNTIFS($C$5:$C$634,C73,$E$5:$E$634,E73,$B$5:$B$634,"&gt;="&amp;(B73-Parameters!$B$12),$B$5:$B$634,"&lt;="&amp;(B73+Parameters!$B$12),$H$5:$H$634,"&lt;&gt;"&amp;H73)&gt;0),1,0)</f>
        <v>0</v>
      </c>
      <c r="K73" s="9" t="n">
        <f aca="false">IF(AND(E73&gt;=Parameters!$B$11,ROUND(MOD(ROUND(E73,2),Parameters!$B$10),2)=0),1,0)</f>
        <v>0</v>
      </c>
      <c r="L73" s="9" t="n">
        <f aca="false">IF(AND(E73&lt;Parameters!$B$7,E73&gt;=Parameters!$B$7*(1-Parameters!$B$9)),1,0)</f>
        <v>0</v>
      </c>
      <c r="M73" s="9" t="n">
        <f aca="false">IF(AND(E73&lt;Parameters!$B$7,COUNTIFS($C$5:$C$634,C73,$B$5:$B$634,B73)&gt;1,SUMIFS($E$5:$E$634,$C$5:$C$634,C73,$B$5:$B$634,B73)&gt;=Parameters!$B$7),1,0)</f>
        <v>0</v>
      </c>
      <c r="N73" s="9" t="n">
        <f aca="false">IF(AND(E73&gt;=Parameters!$B$7,F73&lt;&gt;Parameters!$B$8),1,0)</f>
        <v>0</v>
      </c>
      <c r="O73" s="9" t="n">
        <f aca="false">INDEX(Vendor_Benford!$N$6:$N$50,MATCH(C73,Vendor_Benford!$A$6:$A$50,0))</f>
        <v>0</v>
      </c>
      <c r="P73" s="9" t="n">
        <f aca="false">INDEX(Vendor_Benford!$M$6:$M$50,MATCH(C73,Vendor_Benford!$A$6:$A$50,0))</f>
        <v>0</v>
      </c>
      <c r="Q73" s="9" t="n">
        <f aca="false">I73*Parameters!$B$28+J73*Parameters!$B$29+K73*Parameters!$B$30+L73*Parameters!$B$31+M73*Parameters!$B$32+N73*Parameters!$B$33+O73*Parameters!$B$34+P73*Parameters!$B$35</f>
        <v>0</v>
      </c>
      <c r="R73" s="0" t="str">
        <f aca="false">IF(Q73&gt;=Parameters!$B$24,"High","")</f>
        <v/>
      </c>
    </row>
    <row r="74" customFormat="false" ht="15" hidden="false" customHeight="false" outlineLevel="0" collapsed="false">
      <c r="A74" s="10" t="s">
        <v>454</v>
      </c>
      <c r="B74" s="8" t="n">
        <v>45694</v>
      </c>
      <c r="C74" s="10" t="s">
        <v>152</v>
      </c>
      <c r="D74" s="10" t="s">
        <v>455</v>
      </c>
      <c r="E74" s="12" t="n">
        <v>34703.01</v>
      </c>
      <c r="F74" s="10" t="s">
        <v>40</v>
      </c>
      <c r="G74" s="9" t="n">
        <f aca="false">VALUE(LEFT(TEXT(E74,"0.00"),1))</f>
        <v>3</v>
      </c>
      <c r="H74" s="0" t="str">
        <f aca="false">UPPER(SUBSTITUTE(SUBSTITUTE(SUBSTITUTE(D74," ",""),"/",""),".",""))</f>
        <v>INV15015</v>
      </c>
      <c r="I74" s="9" t="n">
        <f aca="false">IF(COUNTIFS($C$5:C74,C74,$H$5:H74,H74,$E$5:E74,E74)&gt;1,1,0)</f>
        <v>0</v>
      </c>
      <c r="J74" s="9" t="n">
        <f aca="false">IF(AND(I74=0,COUNTIFS($C$5:$C$634,C74,$E$5:$E$634,E74,$B$5:$B$634,"&gt;="&amp;(B74-Parameters!$B$12),$B$5:$B$634,"&lt;="&amp;(B74+Parameters!$B$12),$H$5:$H$634,"&lt;&gt;"&amp;H74)&gt;0),1,0)</f>
        <v>0</v>
      </c>
      <c r="K74" s="9" t="n">
        <f aca="false">IF(AND(E74&gt;=Parameters!$B$11,ROUND(MOD(ROUND(E74,2),Parameters!$B$10),2)=0),1,0)</f>
        <v>0</v>
      </c>
      <c r="L74" s="9" t="n">
        <f aca="false">IF(AND(E74&lt;Parameters!$B$7,E74&gt;=Parameters!$B$7*(1-Parameters!$B$9)),1,0)</f>
        <v>0</v>
      </c>
      <c r="M74" s="9" t="n">
        <f aca="false">IF(AND(E74&lt;Parameters!$B$7,COUNTIFS($C$5:$C$634,C74,$B$5:$B$634,B74)&gt;1,SUMIFS($E$5:$E$634,$C$5:$C$634,C74,$B$5:$B$634,B74)&gt;=Parameters!$B$7),1,0)</f>
        <v>0</v>
      </c>
      <c r="N74" s="9" t="n">
        <f aca="false">IF(AND(E74&gt;=Parameters!$B$7,F74&lt;&gt;Parameters!$B$8),1,0)</f>
        <v>0</v>
      </c>
      <c r="O74" s="9" t="n">
        <f aca="false">INDEX(Vendor_Benford!$N$6:$N$50,MATCH(C74,Vendor_Benford!$A$6:$A$50,0))</f>
        <v>0</v>
      </c>
      <c r="P74" s="9" t="n">
        <f aca="false">INDEX(Vendor_Benford!$M$6:$M$50,MATCH(C74,Vendor_Benford!$A$6:$A$50,0))</f>
        <v>0</v>
      </c>
      <c r="Q74" s="9" t="n">
        <f aca="false">I74*Parameters!$B$28+J74*Parameters!$B$29+K74*Parameters!$B$30+L74*Parameters!$B$31+M74*Parameters!$B$32+N74*Parameters!$B$33+O74*Parameters!$B$34+P74*Parameters!$B$35</f>
        <v>0</v>
      </c>
      <c r="R74" s="0" t="str">
        <f aca="false">IF(Q74&gt;=Parameters!$B$24,"High","")</f>
        <v/>
      </c>
    </row>
    <row r="75" customFormat="false" ht="15" hidden="false" customHeight="false" outlineLevel="0" collapsed="false">
      <c r="A75" s="10" t="s">
        <v>456</v>
      </c>
      <c r="B75" s="8" t="n">
        <v>45694</v>
      </c>
      <c r="C75" s="10" t="s">
        <v>242</v>
      </c>
      <c r="D75" s="10" t="s">
        <v>457</v>
      </c>
      <c r="E75" s="12" t="n">
        <v>8812.13</v>
      </c>
      <c r="F75" s="10" t="s">
        <v>40</v>
      </c>
      <c r="G75" s="9" t="n">
        <f aca="false">VALUE(LEFT(TEXT(E75,"0.00"),1))</f>
        <v>8</v>
      </c>
      <c r="H75" s="0" t="str">
        <f aca="false">UPPER(SUBSTITUTE(SUBSTITUTE(SUBSTITUTE(D75," ",""),"/",""),".",""))</f>
        <v>INV45010</v>
      </c>
      <c r="I75" s="9" t="n">
        <f aca="false">IF(COUNTIFS($C$5:C75,C75,$H$5:H75,H75,$E$5:E75,E75)&gt;1,1,0)</f>
        <v>0</v>
      </c>
      <c r="J75" s="9" t="n">
        <f aca="false">IF(AND(I75=0,COUNTIFS($C$5:$C$634,C75,$E$5:$E$634,E75,$B$5:$B$634,"&gt;="&amp;(B75-Parameters!$B$12),$B$5:$B$634,"&lt;="&amp;(B75+Parameters!$B$12),$H$5:$H$634,"&lt;&gt;"&amp;H75)&gt;0),1,0)</f>
        <v>0</v>
      </c>
      <c r="K75" s="9" t="n">
        <f aca="false">IF(AND(E75&gt;=Parameters!$B$11,ROUND(MOD(ROUND(E75,2),Parameters!$B$10),2)=0),1,0)</f>
        <v>0</v>
      </c>
      <c r="L75" s="9" t="n">
        <f aca="false">IF(AND(E75&lt;Parameters!$B$7,E75&gt;=Parameters!$B$7*(1-Parameters!$B$9)),1,0)</f>
        <v>0</v>
      </c>
      <c r="M75" s="9" t="n">
        <f aca="false">IF(AND(E75&lt;Parameters!$B$7,COUNTIFS($C$5:$C$634,C75,$B$5:$B$634,B75)&gt;1,SUMIFS($E$5:$E$634,$C$5:$C$634,C75,$B$5:$B$634,B75)&gt;=Parameters!$B$7),1,0)</f>
        <v>0</v>
      </c>
      <c r="N75" s="9" t="n">
        <f aca="false">IF(AND(E75&gt;=Parameters!$B$7,F75&lt;&gt;Parameters!$B$8),1,0)</f>
        <v>0</v>
      </c>
      <c r="O75" s="9" t="n">
        <f aca="false">INDEX(Vendor_Benford!$N$6:$N$50,MATCH(C75,Vendor_Benford!$A$6:$A$50,0))</f>
        <v>0</v>
      </c>
      <c r="P75" s="9" t="n">
        <f aca="false">INDEX(Vendor_Benford!$M$6:$M$50,MATCH(C75,Vendor_Benford!$A$6:$A$50,0))</f>
        <v>0</v>
      </c>
      <c r="Q75" s="9" t="n">
        <f aca="false">I75*Parameters!$B$28+J75*Parameters!$B$29+K75*Parameters!$B$30+L75*Parameters!$B$31+M75*Parameters!$B$32+N75*Parameters!$B$33+O75*Parameters!$B$34+P75*Parameters!$B$35</f>
        <v>0</v>
      </c>
      <c r="R75" s="0" t="str">
        <f aca="false">IF(Q75&gt;=Parameters!$B$24,"High","")</f>
        <v/>
      </c>
    </row>
    <row r="76" customFormat="false" ht="15" hidden="false" customHeight="false" outlineLevel="0" collapsed="false">
      <c r="A76" s="10" t="s">
        <v>458</v>
      </c>
      <c r="B76" s="8" t="n">
        <v>45695</v>
      </c>
      <c r="C76" s="10" t="s">
        <v>125</v>
      </c>
      <c r="D76" s="10" t="s">
        <v>459</v>
      </c>
      <c r="E76" s="12" t="n">
        <v>22295.47</v>
      </c>
      <c r="F76" s="10" t="s">
        <v>40</v>
      </c>
      <c r="G76" s="9" t="n">
        <f aca="false">VALUE(LEFT(TEXT(E76,"0.00"),1))</f>
        <v>2</v>
      </c>
      <c r="H76" s="0" t="str">
        <f aca="false">UPPER(SUBSTITUTE(SUBSTITUTE(SUBSTITUTE(D76," ",""),"/",""),".",""))</f>
        <v>INV6005</v>
      </c>
      <c r="I76" s="9" t="n">
        <f aca="false">IF(COUNTIFS($C$5:C76,C76,$H$5:H76,H76,$E$5:E76,E76)&gt;1,1,0)</f>
        <v>0</v>
      </c>
      <c r="J76" s="9" t="n">
        <f aca="false">IF(AND(I76=0,COUNTIFS($C$5:$C$634,C76,$E$5:$E$634,E76,$B$5:$B$634,"&gt;="&amp;(B76-Parameters!$B$12),$B$5:$B$634,"&lt;="&amp;(B76+Parameters!$B$12),$H$5:$H$634,"&lt;&gt;"&amp;H76)&gt;0),1,0)</f>
        <v>0</v>
      </c>
      <c r="K76" s="9" t="n">
        <f aca="false">IF(AND(E76&gt;=Parameters!$B$11,ROUND(MOD(ROUND(E76,2),Parameters!$B$10),2)=0),1,0)</f>
        <v>0</v>
      </c>
      <c r="L76" s="9" t="n">
        <f aca="false">IF(AND(E76&lt;Parameters!$B$7,E76&gt;=Parameters!$B$7*(1-Parameters!$B$9)),1,0)</f>
        <v>0</v>
      </c>
      <c r="M76" s="9" t="n">
        <f aca="false">IF(AND(E76&lt;Parameters!$B$7,COUNTIFS($C$5:$C$634,C76,$B$5:$B$634,B76)&gt;1,SUMIFS($E$5:$E$634,$C$5:$C$634,C76,$B$5:$B$634,B76)&gt;=Parameters!$B$7),1,0)</f>
        <v>0</v>
      </c>
      <c r="N76" s="9" t="n">
        <f aca="false">IF(AND(E76&gt;=Parameters!$B$7,F76&lt;&gt;Parameters!$B$8),1,0)</f>
        <v>0</v>
      </c>
      <c r="O76" s="9" t="n">
        <f aca="false">INDEX(Vendor_Benford!$N$6:$N$50,MATCH(C76,Vendor_Benford!$A$6:$A$50,0))</f>
        <v>0</v>
      </c>
      <c r="P76" s="9" t="n">
        <f aca="false">INDEX(Vendor_Benford!$M$6:$M$50,MATCH(C76,Vendor_Benford!$A$6:$A$50,0))</f>
        <v>0</v>
      </c>
      <c r="Q76" s="9" t="n">
        <f aca="false">I76*Parameters!$B$28+J76*Parameters!$B$29+K76*Parameters!$B$30+L76*Parameters!$B$31+M76*Parameters!$B$32+N76*Parameters!$B$33+O76*Parameters!$B$34+P76*Parameters!$B$35</f>
        <v>0</v>
      </c>
      <c r="R76" s="0" t="str">
        <f aca="false">IF(Q76&gt;=Parameters!$B$24,"High","")</f>
        <v/>
      </c>
    </row>
    <row r="77" customFormat="false" ht="15" hidden="false" customHeight="false" outlineLevel="0" collapsed="false">
      <c r="A77" s="10" t="s">
        <v>460</v>
      </c>
      <c r="B77" s="8" t="n">
        <v>45700</v>
      </c>
      <c r="C77" s="10" t="s">
        <v>140</v>
      </c>
      <c r="D77" s="10" t="s">
        <v>461</v>
      </c>
      <c r="E77" s="12" t="n">
        <v>867.62</v>
      </c>
      <c r="F77" s="10" t="s">
        <v>347</v>
      </c>
      <c r="G77" s="9" t="n">
        <f aca="false">VALUE(LEFT(TEXT(E77,"0.00"),1))</f>
        <v>8</v>
      </c>
      <c r="H77" s="0" t="str">
        <f aca="false">UPPER(SUBSTITUTE(SUBSTITUTE(SUBSTITUTE(D77," ",""),"/",""),".",""))</f>
        <v>INV11017</v>
      </c>
      <c r="I77" s="9" t="n">
        <f aca="false">IF(COUNTIFS($C$5:C77,C77,$H$5:H77,H77,$E$5:E77,E77)&gt;1,1,0)</f>
        <v>0</v>
      </c>
      <c r="J77" s="9" t="n">
        <f aca="false">IF(AND(I77=0,COUNTIFS($C$5:$C$634,C77,$E$5:$E$634,E77,$B$5:$B$634,"&gt;="&amp;(B77-Parameters!$B$12),$B$5:$B$634,"&lt;="&amp;(B77+Parameters!$B$12),$H$5:$H$634,"&lt;&gt;"&amp;H77)&gt;0),1,0)</f>
        <v>0</v>
      </c>
      <c r="K77" s="9" t="n">
        <f aca="false">IF(AND(E77&gt;=Parameters!$B$11,ROUND(MOD(ROUND(E77,2),Parameters!$B$10),2)=0),1,0)</f>
        <v>0</v>
      </c>
      <c r="L77" s="9" t="n">
        <f aca="false">IF(AND(E77&lt;Parameters!$B$7,E77&gt;=Parameters!$B$7*(1-Parameters!$B$9)),1,0)</f>
        <v>0</v>
      </c>
      <c r="M77" s="9" t="n">
        <f aca="false">IF(AND(E77&lt;Parameters!$B$7,COUNTIFS($C$5:$C$634,C77,$B$5:$B$634,B77)&gt;1,SUMIFS($E$5:$E$634,$C$5:$C$634,C77,$B$5:$B$634,B77)&gt;=Parameters!$B$7),1,0)</f>
        <v>0</v>
      </c>
      <c r="N77" s="9" t="n">
        <f aca="false">IF(AND(E77&gt;=Parameters!$B$7,F77&lt;&gt;Parameters!$B$8),1,0)</f>
        <v>0</v>
      </c>
      <c r="O77" s="9" t="n">
        <f aca="false">INDEX(Vendor_Benford!$N$6:$N$50,MATCH(C77,Vendor_Benford!$A$6:$A$50,0))</f>
        <v>0</v>
      </c>
      <c r="P77" s="9" t="n">
        <f aca="false">INDEX(Vendor_Benford!$M$6:$M$50,MATCH(C77,Vendor_Benford!$A$6:$A$50,0))</f>
        <v>0</v>
      </c>
      <c r="Q77" s="9" t="n">
        <f aca="false">I77*Parameters!$B$28+J77*Parameters!$B$29+K77*Parameters!$B$30+L77*Parameters!$B$31+M77*Parameters!$B$32+N77*Parameters!$B$33+O77*Parameters!$B$34+P77*Parameters!$B$35</f>
        <v>0</v>
      </c>
      <c r="R77" s="0" t="str">
        <f aca="false">IF(Q77&gt;=Parameters!$B$24,"High","")</f>
        <v/>
      </c>
    </row>
    <row r="78" customFormat="false" ht="15" hidden="false" customHeight="false" outlineLevel="0" collapsed="false">
      <c r="A78" s="10" t="s">
        <v>462</v>
      </c>
      <c r="B78" s="8" t="n">
        <v>45701</v>
      </c>
      <c r="C78" s="10" t="s">
        <v>206</v>
      </c>
      <c r="D78" s="10" t="s">
        <v>463</v>
      </c>
      <c r="E78" s="12" t="n">
        <v>1209.81</v>
      </c>
      <c r="F78" s="10" t="s">
        <v>347</v>
      </c>
      <c r="G78" s="9" t="n">
        <f aca="false">VALUE(LEFT(TEXT(E78,"0.00"),1))</f>
        <v>1</v>
      </c>
      <c r="H78" s="0" t="str">
        <f aca="false">UPPER(SUBSTITUTE(SUBSTITUTE(SUBSTITUTE(D78," ",""),"/",""),".",""))</f>
        <v>INV33011</v>
      </c>
      <c r="I78" s="9" t="n">
        <f aca="false">IF(COUNTIFS($C$5:C78,C78,$H$5:H78,H78,$E$5:E78,E78)&gt;1,1,0)</f>
        <v>0</v>
      </c>
      <c r="J78" s="9" t="n">
        <f aca="false">IF(AND(I78=0,COUNTIFS($C$5:$C$634,C78,$E$5:$E$634,E78,$B$5:$B$634,"&gt;="&amp;(B78-Parameters!$B$12),$B$5:$B$634,"&lt;="&amp;(B78+Parameters!$B$12),$H$5:$H$634,"&lt;&gt;"&amp;H78)&gt;0),1,0)</f>
        <v>0</v>
      </c>
      <c r="K78" s="9" t="n">
        <f aca="false">IF(AND(E78&gt;=Parameters!$B$11,ROUND(MOD(ROUND(E78,2),Parameters!$B$10),2)=0),1,0)</f>
        <v>0</v>
      </c>
      <c r="L78" s="9" t="n">
        <f aca="false">IF(AND(E78&lt;Parameters!$B$7,E78&gt;=Parameters!$B$7*(1-Parameters!$B$9)),1,0)</f>
        <v>0</v>
      </c>
      <c r="M78" s="9" t="n">
        <f aca="false">IF(AND(E78&lt;Parameters!$B$7,COUNTIFS($C$5:$C$634,C78,$B$5:$B$634,B78)&gt;1,SUMIFS($E$5:$E$634,$C$5:$C$634,C78,$B$5:$B$634,B78)&gt;=Parameters!$B$7),1,0)</f>
        <v>0</v>
      </c>
      <c r="N78" s="9" t="n">
        <f aca="false">IF(AND(E78&gt;=Parameters!$B$7,F78&lt;&gt;Parameters!$B$8),1,0)</f>
        <v>0</v>
      </c>
      <c r="O78" s="9" t="n">
        <f aca="false">INDEX(Vendor_Benford!$N$6:$N$50,MATCH(C78,Vendor_Benford!$A$6:$A$50,0))</f>
        <v>0</v>
      </c>
      <c r="P78" s="9" t="n">
        <f aca="false">INDEX(Vendor_Benford!$M$6:$M$50,MATCH(C78,Vendor_Benford!$A$6:$A$50,0))</f>
        <v>0</v>
      </c>
      <c r="Q78" s="9" t="n">
        <f aca="false">I78*Parameters!$B$28+J78*Parameters!$B$29+K78*Parameters!$B$30+L78*Parameters!$B$31+M78*Parameters!$B$32+N78*Parameters!$B$33+O78*Parameters!$B$34+P78*Parameters!$B$35</f>
        <v>0</v>
      </c>
      <c r="R78" s="0" t="str">
        <f aca="false">IF(Q78&gt;=Parameters!$B$24,"High","")</f>
        <v/>
      </c>
    </row>
    <row r="79" customFormat="false" ht="15" hidden="false" customHeight="false" outlineLevel="0" collapsed="false">
      <c r="A79" s="10" t="s">
        <v>464</v>
      </c>
      <c r="B79" s="8" t="n">
        <v>45705</v>
      </c>
      <c r="C79" s="10" t="s">
        <v>113</v>
      </c>
      <c r="D79" s="10" t="s">
        <v>465</v>
      </c>
      <c r="E79" s="12" t="n">
        <v>4900</v>
      </c>
      <c r="F79" s="10" t="s">
        <v>347</v>
      </c>
      <c r="G79" s="9" t="n">
        <f aca="false">VALUE(LEFT(TEXT(E79,"0.00"),1))</f>
        <v>4</v>
      </c>
      <c r="H79" s="0" t="str">
        <f aca="false">UPPER(SUBSTITUTE(SUBSTITUTE(SUBSTITUTE(D79," ",""),"/",""),".",""))</f>
        <v>LIC2502</v>
      </c>
      <c r="I79" s="9" t="n">
        <f aca="false">IF(COUNTIFS($C$5:C79,C79,$H$5:H79,H79,$E$5:E79,E79)&gt;1,1,0)</f>
        <v>0</v>
      </c>
      <c r="J79" s="9" t="n">
        <f aca="false">IF(AND(I79=0,COUNTIFS($C$5:$C$634,C79,$E$5:$E$634,E79,$B$5:$B$634,"&gt;="&amp;(B79-Parameters!$B$12),$B$5:$B$634,"&lt;="&amp;(B79+Parameters!$B$12),$H$5:$H$634,"&lt;&gt;"&amp;H79)&gt;0),1,0)</f>
        <v>1</v>
      </c>
      <c r="K79" s="9" t="n">
        <f aca="false">IF(AND(E79&gt;=Parameters!$B$11,ROUND(MOD(ROUND(E79,2),Parameters!$B$10),2)=0),1,0)</f>
        <v>0</v>
      </c>
      <c r="L79" s="9" t="n">
        <f aca="false">IF(AND(E79&lt;Parameters!$B$7,E79&gt;=Parameters!$B$7*(1-Parameters!$B$9)),1,0)</f>
        <v>1</v>
      </c>
      <c r="M79" s="9" t="n">
        <f aca="false">IF(AND(E79&lt;Parameters!$B$7,COUNTIFS($C$5:$C$634,C79,$B$5:$B$634,B79)&gt;1,SUMIFS($E$5:$E$634,$C$5:$C$634,C79,$B$5:$B$634,B79)&gt;=Parameters!$B$7),1,0)</f>
        <v>0</v>
      </c>
      <c r="N79" s="9" t="n">
        <f aca="false">IF(AND(E79&gt;=Parameters!$B$7,F79&lt;&gt;Parameters!$B$8),1,0)</f>
        <v>0</v>
      </c>
      <c r="O79" s="9" t="n">
        <f aca="false">INDEX(Vendor_Benford!$N$6:$N$50,MATCH(C79,Vendor_Benford!$A$6:$A$50,0))</f>
        <v>0</v>
      </c>
      <c r="P79" s="9" t="n">
        <f aca="false">INDEX(Vendor_Benford!$M$6:$M$50,MATCH(C79,Vendor_Benford!$A$6:$A$50,0))</f>
        <v>0</v>
      </c>
      <c r="Q79" s="9" t="n">
        <f aca="false">I79*Parameters!$B$28+J79*Parameters!$B$29+K79*Parameters!$B$30+L79*Parameters!$B$31+M79*Parameters!$B$32+N79*Parameters!$B$33+O79*Parameters!$B$34+P79*Parameters!$B$35</f>
        <v>5</v>
      </c>
      <c r="R79" s="0" t="str">
        <f aca="false">IF(Q79&gt;=Parameters!$B$24,"High","")</f>
        <v>High</v>
      </c>
    </row>
    <row r="80" customFormat="false" ht="15" hidden="false" customHeight="false" outlineLevel="0" collapsed="false">
      <c r="A80" s="10" t="s">
        <v>466</v>
      </c>
      <c r="B80" s="8" t="n">
        <v>45705</v>
      </c>
      <c r="C80" s="10" t="s">
        <v>116</v>
      </c>
      <c r="D80" s="10" t="s">
        <v>467</v>
      </c>
      <c r="E80" s="12" t="n">
        <v>24503.91</v>
      </c>
      <c r="F80" s="10" t="s">
        <v>40</v>
      </c>
      <c r="G80" s="9" t="n">
        <f aca="false">VALUE(LEFT(TEXT(E80,"0.00"),1))</f>
        <v>2</v>
      </c>
      <c r="H80" s="0" t="str">
        <f aca="false">UPPER(SUBSTITUTE(SUBSTITUTE(SUBSTITUTE(D80," ",""),"/",""),".",""))</f>
        <v>INV3010</v>
      </c>
      <c r="I80" s="9" t="n">
        <f aca="false">IF(COUNTIFS($C$5:C80,C80,$H$5:H80,H80,$E$5:E80,E80)&gt;1,1,0)</f>
        <v>0</v>
      </c>
      <c r="J80" s="9" t="n">
        <f aca="false">IF(AND(I80=0,COUNTIFS($C$5:$C$634,C80,$E$5:$E$634,E80,$B$5:$B$634,"&gt;="&amp;(B80-Parameters!$B$12),$B$5:$B$634,"&lt;="&amp;(B80+Parameters!$B$12),$H$5:$H$634,"&lt;&gt;"&amp;H80)&gt;0),1,0)</f>
        <v>0</v>
      </c>
      <c r="K80" s="9" t="n">
        <f aca="false">IF(AND(E80&gt;=Parameters!$B$11,ROUND(MOD(ROUND(E80,2),Parameters!$B$10),2)=0),1,0)</f>
        <v>0</v>
      </c>
      <c r="L80" s="9" t="n">
        <f aca="false">IF(AND(E80&lt;Parameters!$B$7,E80&gt;=Parameters!$B$7*(1-Parameters!$B$9)),1,0)</f>
        <v>0</v>
      </c>
      <c r="M80" s="9" t="n">
        <f aca="false">IF(AND(E80&lt;Parameters!$B$7,COUNTIFS($C$5:$C$634,C80,$B$5:$B$634,B80)&gt;1,SUMIFS($E$5:$E$634,$C$5:$C$634,C80,$B$5:$B$634,B80)&gt;=Parameters!$B$7),1,0)</f>
        <v>0</v>
      </c>
      <c r="N80" s="9" t="n">
        <f aca="false">IF(AND(E80&gt;=Parameters!$B$7,F80&lt;&gt;Parameters!$B$8),1,0)</f>
        <v>0</v>
      </c>
      <c r="O80" s="9" t="n">
        <f aca="false">INDEX(Vendor_Benford!$N$6:$N$50,MATCH(C80,Vendor_Benford!$A$6:$A$50,0))</f>
        <v>0</v>
      </c>
      <c r="P80" s="9" t="n">
        <f aca="false">INDEX(Vendor_Benford!$M$6:$M$50,MATCH(C80,Vendor_Benford!$A$6:$A$50,0))</f>
        <v>0</v>
      </c>
      <c r="Q80" s="9" t="n">
        <f aca="false">I80*Parameters!$B$28+J80*Parameters!$B$29+K80*Parameters!$B$30+L80*Parameters!$B$31+M80*Parameters!$B$32+N80*Parameters!$B$33+O80*Parameters!$B$34+P80*Parameters!$B$35</f>
        <v>0</v>
      </c>
      <c r="R80" s="0" t="str">
        <f aca="false">IF(Q80&gt;=Parameters!$B$24,"High","")</f>
        <v/>
      </c>
    </row>
    <row r="81" customFormat="false" ht="15" hidden="false" customHeight="false" outlineLevel="0" collapsed="false">
      <c r="A81" s="10" t="s">
        <v>468</v>
      </c>
      <c r="B81" s="8" t="n">
        <v>45705</v>
      </c>
      <c r="C81" s="10" t="s">
        <v>119</v>
      </c>
      <c r="D81" s="10" t="s">
        <v>469</v>
      </c>
      <c r="E81" s="12" t="n">
        <v>68993.29</v>
      </c>
      <c r="F81" s="10" t="s">
        <v>40</v>
      </c>
      <c r="G81" s="9" t="n">
        <f aca="false">VALUE(LEFT(TEXT(E81,"0.00"),1))</f>
        <v>6</v>
      </c>
      <c r="H81" s="0" t="str">
        <f aca="false">UPPER(SUBSTITUTE(SUBSTITUTE(SUBSTITUTE(D81," ",""),"/",""),".",""))</f>
        <v>INV4001</v>
      </c>
      <c r="I81" s="9" t="n">
        <f aca="false">IF(COUNTIFS($C$5:C81,C81,$H$5:H81,H81,$E$5:E81,E81)&gt;1,1,0)</f>
        <v>0</v>
      </c>
      <c r="J81" s="9" t="n">
        <f aca="false">IF(AND(I81=0,COUNTIFS($C$5:$C$634,C81,$E$5:$E$634,E81,$B$5:$B$634,"&gt;="&amp;(B81-Parameters!$B$12),$B$5:$B$634,"&lt;="&amp;(B81+Parameters!$B$12),$H$5:$H$634,"&lt;&gt;"&amp;H81)&gt;0),1,0)</f>
        <v>0</v>
      </c>
      <c r="K81" s="9" t="n">
        <f aca="false">IF(AND(E81&gt;=Parameters!$B$11,ROUND(MOD(ROUND(E81,2),Parameters!$B$10),2)=0),1,0)</f>
        <v>0</v>
      </c>
      <c r="L81" s="9" t="n">
        <f aca="false">IF(AND(E81&lt;Parameters!$B$7,E81&gt;=Parameters!$B$7*(1-Parameters!$B$9)),1,0)</f>
        <v>0</v>
      </c>
      <c r="M81" s="9" t="n">
        <f aca="false">IF(AND(E81&lt;Parameters!$B$7,COUNTIFS($C$5:$C$634,C81,$B$5:$B$634,B81)&gt;1,SUMIFS($E$5:$E$634,$C$5:$C$634,C81,$B$5:$B$634,B81)&gt;=Parameters!$B$7),1,0)</f>
        <v>0</v>
      </c>
      <c r="N81" s="9" t="n">
        <f aca="false">IF(AND(E81&gt;=Parameters!$B$7,F81&lt;&gt;Parameters!$B$8),1,0)</f>
        <v>0</v>
      </c>
      <c r="O81" s="9" t="n">
        <f aca="false">INDEX(Vendor_Benford!$N$6:$N$50,MATCH(C81,Vendor_Benford!$A$6:$A$50,0))</f>
        <v>0</v>
      </c>
      <c r="P81" s="9" t="n">
        <f aca="false">INDEX(Vendor_Benford!$M$6:$M$50,MATCH(C81,Vendor_Benford!$A$6:$A$50,0))</f>
        <v>0</v>
      </c>
      <c r="Q81" s="9" t="n">
        <f aca="false">I81*Parameters!$B$28+J81*Parameters!$B$29+K81*Parameters!$B$30+L81*Parameters!$B$31+M81*Parameters!$B$32+N81*Parameters!$B$33+O81*Parameters!$B$34+P81*Parameters!$B$35</f>
        <v>0</v>
      </c>
      <c r="R81" s="0" t="str">
        <f aca="false">IF(Q81&gt;=Parameters!$B$24,"High","")</f>
        <v/>
      </c>
    </row>
    <row r="82" customFormat="false" ht="15" hidden="false" customHeight="false" outlineLevel="0" collapsed="false">
      <c r="A82" s="10" t="s">
        <v>470</v>
      </c>
      <c r="B82" s="8" t="n">
        <v>45705</v>
      </c>
      <c r="C82" s="10" t="s">
        <v>143</v>
      </c>
      <c r="D82" s="10" t="s">
        <v>471</v>
      </c>
      <c r="E82" s="12" t="n">
        <v>166.25</v>
      </c>
      <c r="F82" s="10" t="s">
        <v>347</v>
      </c>
      <c r="G82" s="9" t="n">
        <f aca="false">VALUE(LEFT(TEXT(E82,"0.00"),1))</f>
        <v>1</v>
      </c>
      <c r="H82" s="0" t="str">
        <f aca="false">UPPER(SUBSTITUTE(SUBSTITUTE(SUBSTITUTE(D82," ",""),"/",""),".",""))</f>
        <v>INV12019</v>
      </c>
      <c r="I82" s="9" t="n">
        <f aca="false">IF(COUNTIFS($C$5:C82,C82,$H$5:H82,H82,$E$5:E82,E82)&gt;1,1,0)</f>
        <v>0</v>
      </c>
      <c r="J82" s="9" t="n">
        <f aca="false">IF(AND(I82=0,COUNTIFS($C$5:$C$634,C82,$E$5:$E$634,E82,$B$5:$B$634,"&gt;="&amp;(B82-Parameters!$B$12),$B$5:$B$634,"&lt;="&amp;(B82+Parameters!$B$12),$H$5:$H$634,"&lt;&gt;"&amp;H82)&gt;0),1,0)</f>
        <v>0</v>
      </c>
      <c r="K82" s="9" t="n">
        <f aca="false">IF(AND(E82&gt;=Parameters!$B$11,ROUND(MOD(ROUND(E82,2),Parameters!$B$10),2)=0),1,0)</f>
        <v>0</v>
      </c>
      <c r="L82" s="9" t="n">
        <f aca="false">IF(AND(E82&lt;Parameters!$B$7,E82&gt;=Parameters!$B$7*(1-Parameters!$B$9)),1,0)</f>
        <v>0</v>
      </c>
      <c r="M82" s="9" t="n">
        <f aca="false">IF(AND(E82&lt;Parameters!$B$7,COUNTIFS($C$5:$C$634,C82,$B$5:$B$634,B82)&gt;1,SUMIFS($E$5:$E$634,$C$5:$C$634,C82,$B$5:$B$634,B82)&gt;=Parameters!$B$7),1,0)</f>
        <v>0</v>
      </c>
      <c r="N82" s="9" t="n">
        <f aca="false">IF(AND(E82&gt;=Parameters!$B$7,F82&lt;&gt;Parameters!$B$8),1,0)</f>
        <v>0</v>
      </c>
      <c r="O82" s="9" t="n">
        <f aca="false">INDEX(Vendor_Benford!$N$6:$N$50,MATCH(C82,Vendor_Benford!$A$6:$A$50,0))</f>
        <v>0</v>
      </c>
      <c r="P82" s="9" t="n">
        <f aca="false">INDEX(Vendor_Benford!$M$6:$M$50,MATCH(C82,Vendor_Benford!$A$6:$A$50,0))</f>
        <v>0</v>
      </c>
      <c r="Q82" s="9" t="n">
        <f aca="false">I82*Parameters!$B$28+J82*Parameters!$B$29+K82*Parameters!$B$30+L82*Parameters!$B$31+M82*Parameters!$B$32+N82*Parameters!$B$33+O82*Parameters!$B$34+P82*Parameters!$B$35</f>
        <v>0</v>
      </c>
      <c r="R82" s="0" t="str">
        <f aca="false">IF(Q82&gt;=Parameters!$B$24,"High","")</f>
        <v/>
      </c>
    </row>
    <row r="83" customFormat="false" ht="15" hidden="false" customHeight="false" outlineLevel="0" collapsed="false">
      <c r="A83" s="10" t="s">
        <v>472</v>
      </c>
      <c r="B83" s="8" t="n">
        <v>45705</v>
      </c>
      <c r="C83" s="10" t="s">
        <v>152</v>
      </c>
      <c r="D83" s="10" t="s">
        <v>473</v>
      </c>
      <c r="E83" s="12" t="n">
        <v>821.32</v>
      </c>
      <c r="F83" s="10" t="s">
        <v>40</v>
      </c>
      <c r="G83" s="9" t="n">
        <f aca="false">VALUE(LEFT(TEXT(E83,"0.00"),1))</f>
        <v>8</v>
      </c>
      <c r="H83" s="0" t="str">
        <f aca="false">UPPER(SUBSTITUTE(SUBSTITUTE(SUBSTITUTE(D83," ",""),"/",""),".",""))</f>
        <v>INV15004</v>
      </c>
      <c r="I83" s="9" t="n">
        <f aca="false">IF(COUNTIFS($C$5:C83,C83,$H$5:H83,H83,$E$5:E83,E83)&gt;1,1,0)</f>
        <v>0</v>
      </c>
      <c r="J83" s="9" t="n">
        <f aca="false">IF(AND(I83=0,COUNTIFS($C$5:$C$634,C83,$E$5:$E$634,E83,$B$5:$B$634,"&gt;="&amp;(B83-Parameters!$B$12),$B$5:$B$634,"&lt;="&amp;(B83+Parameters!$B$12),$H$5:$H$634,"&lt;&gt;"&amp;H83)&gt;0),1,0)</f>
        <v>0</v>
      </c>
      <c r="K83" s="9" t="n">
        <f aca="false">IF(AND(E83&gt;=Parameters!$B$11,ROUND(MOD(ROUND(E83,2),Parameters!$B$10),2)=0),1,0)</f>
        <v>0</v>
      </c>
      <c r="L83" s="9" t="n">
        <f aca="false">IF(AND(E83&lt;Parameters!$B$7,E83&gt;=Parameters!$B$7*(1-Parameters!$B$9)),1,0)</f>
        <v>0</v>
      </c>
      <c r="M83" s="9" t="n">
        <f aca="false">IF(AND(E83&lt;Parameters!$B$7,COUNTIFS($C$5:$C$634,C83,$B$5:$B$634,B83)&gt;1,SUMIFS($E$5:$E$634,$C$5:$C$634,C83,$B$5:$B$634,B83)&gt;=Parameters!$B$7),1,0)</f>
        <v>0</v>
      </c>
      <c r="N83" s="9" t="n">
        <f aca="false">IF(AND(E83&gt;=Parameters!$B$7,F83&lt;&gt;Parameters!$B$8),1,0)</f>
        <v>0</v>
      </c>
      <c r="O83" s="9" t="n">
        <f aca="false">INDEX(Vendor_Benford!$N$6:$N$50,MATCH(C83,Vendor_Benford!$A$6:$A$50,0))</f>
        <v>0</v>
      </c>
      <c r="P83" s="9" t="n">
        <f aca="false">INDEX(Vendor_Benford!$M$6:$M$50,MATCH(C83,Vendor_Benford!$A$6:$A$50,0))</f>
        <v>0</v>
      </c>
      <c r="Q83" s="9" t="n">
        <f aca="false">I83*Parameters!$B$28+J83*Parameters!$B$29+K83*Parameters!$B$30+L83*Parameters!$B$31+M83*Parameters!$B$32+N83*Parameters!$B$33+O83*Parameters!$B$34+P83*Parameters!$B$35</f>
        <v>0</v>
      </c>
      <c r="R83" s="0" t="str">
        <f aca="false">IF(Q83&gt;=Parameters!$B$24,"High","")</f>
        <v/>
      </c>
    </row>
    <row r="84" customFormat="false" ht="15" hidden="false" customHeight="false" outlineLevel="0" collapsed="false">
      <c r="A84" s="10" t="s">
        <v>474</v>
      </c>
      <c r="B84" s="8" t="n">
        <v>45705</v>
      </c>
      <c r="C84" s="10" t="s">
        <v>182</v>
      </c>
      <c r="D84" s="10" t="s">
        <v>475</v>
      </c>
      <c r="E84" s="12" t="n">
        <v>56380.96</v>
      </c>
      <c r="F84" s="10" t="s">
        <v>40</v>
      </c>
      <c r="G84" s="9" t="n">
        <f aca="false">VALUE(LEFT(TEXT(E84,"0.00"),1))</f>
        <v>5</v>
      </c>
      <c r="H84" s="0" t="str">
        <f aca="false">UPPER(SUBSTITUTE(SUBSTITUTE(SUBSTITUTE(D84," ",""),"/",""),".",""))</f>
        <v>INV25007</v>
      </c>
      <c r="I84" s="9" t="n">
        <f aca="false">IF(COUNTIFS($C$5:C84,C84,$H$5:H84,H84,$E$5:E84,E84)&gt;1,1,0)</f>
        <v>0</v>
      </c>
      <c r="J84" s="9" t="n">
        <f aca="false">IF(AND(I84=0,COUNTIFS($C$5:$C$634,C84,$E$5:$E$634,E84,$B$5:$B$634,"&gt;="&amp;(B84-Parameters!$B$12),$B$5:$B$634,"&lt;="&amp;(B84+Parameters!$B$12),$H$5:$H$634,"&lt;&gt;"&amp;H84)&gt;0),1,0)</f>
        <v>0</v>
      </c>
      <c r="K84" s="9" t="n">
        <f aca="false">IF(AND(E84&gt;=Parameters!$B$11,ROUND(MOD(ROUND(E84,2),Parameters!$B$10),2)=0),1,0)</f>
        <v>0</v>
      </c>
      <c r="L84" s="9" t="n">
        <f aca="false">IF(AND(E84&lt;Parameters!$B$7,E84&gt;=Parameters!$B$7*(1-Parameters!$B$9)),1,0)</f>
        <v>0</v>
      </c>
      <c r="M84" s="9" t="n">
        <f aca="false">IF(AND(E84&lt;Parameters!$B$7,COUNTIFS($C$5:$C$634,C84,$B$5:$B$634,B84)&gt;1,SUMIFS($E$5:$E$634,$C$5:$C$634,C84,$B$5:$B$634,B84)&gt;=Parameters!$B$7),1,0)</f>
        <v>0</v>
      </c>
      <c r="N84" s="9" t="n">
        <f aca="false">IF(AND(E84&gt;=Parameters!$B$7,F84&lt;&gt;Parameters!$B$8),1,0)</f>
        <v>0</v>
      </c>
      <c r="O84" s="9" t="n">
        <f aca="false">INDEX(Vendor_Benford!$N$6:$N$50,MATCH(C84,Vendor_Benford!$A$6:$A$50,0))</f>
        <v>0</v>
      </c>
      <c r="P84" s="9" t="n">
        <f aca="false">INDEX(Vendor_Benford!$M$6:$M$50,MATCH(C84,Vendor_Benford!$A$6:$A$50,0))</f>
        <v>0</v>
      </c>
      <c r="Q84" s="9" t="n">
        <f aca="false">I84*Parameters!$B$28+J84*Parameters!$B$29+K84*Parameters!$B$30+L84*Parameters!$B$31+M84*Parameters!$B$32+N84*Parameters!$B$33+O84*Parameters!$B$34+P84*Parameters!$B$35</f>
        <v>0</v>
      </c>
      <c r="R84" s="0" t="str">
        <f aca="false">IF(Q84&gt;=Parameters!$B$24,"High","")</f>
        <v/>
      </c>
    </row>
    <row r="85" customFormat="false" ht="15" hidden="false" customHeight="false" outlineLevel="0" collapsed="false">
      <c r="A85" s="10" t="s">
        <v>476</v>
      </c>
      <c r="B85" s="8" t="n">
        <v>45705</v>
      </c>
      <c r="C85" s="10" t="s">
        <v>200</v>
      </c>
      <c r="D85" s="10" t="s">
        <v>477</v>
      </c>
      <c r="E85" s="12" t="n">
        <v>4774.94</v>
      </c>
      <c r="F85" s="10" t="s">
        <v>347</v>
      </c>
      <c r="G85" s="9" t="n">
        <f aca="false">VALUE(LEFT(TEXT(E85,"0.00"),1))</f>
        <v>4</v>
      </c>
      <c r="H85" s="0" t="str">
        <f aca="false">UPPER(SUBSTITUTE(SUBSTITUTE(SUBSTITUTE(D85," ",""),"/",""),".",""))</f>
        <v>INV31022</v>
      </c>
      <c r="I85" s="9" t="n">
        <f aca="false">IF(COUNTIFS($C$5:C85,C85,$H$5:H85,H85,$E$5:E85,E85)&gt;1,1,0)</f>
        <v>0</v>
      </c>
      <c r="J85" s="9" t="n">
        <f aca="false">IF(AND(I85=0,COUNTIFS($C$5:$C$634,C85,$E$5:$E$634,E85,$B$5:$B$634,"&gt;="&amp;(B85-Parameters!$B$12),$B$5:$B$634,"&lt;="&amp;(B85+Parameters!$B$12),$H$5:$H$634,"&lt;&gt;"&amp;H85)&gt;0),1,0)</f>
        <v>0</v>
      </c>
      <c r="K85" s="9" t="n">
        <f aca="false">IF(AND(E85&gt;=Parameters!$B$11,ROUND(MOD(ROUND(E85,2),Parameters!$B$10),2)=0),1,0)</f>
        <v>0</v>
      </c>
      <c r="L85" s="9" t="n">
        <f aca="false">IF(AND(E85&lt;Parameters!$B$7,E85&gt;=Parameters!$B$7*(1-Parameters!$B$9)),1,0)</f>
        <v>1</v>
      </c>
      <c r="M85" s="9" t="n">
        <f aca="false">IF(AND(E85&lt;Parameters!$B$7,COUNTIFS($C$5:$C$634,C85,$B$5:$B$634,B85)&gt;1,SUMIFS($E$5:$E$634,$C$5:$C$634,C85,$B$5:$B$634,B85)&gt;=Parameters!$B$7),1,0)</f>
        <v>0</v>
      </c>
      <c r="N85" s="9" t="n">
        <f aca="false">IF(AND(E85&gt;=Parameters!$B$7,F85&lt;&gt;Parameters!$B$8),1,0)</f>
        <v>0</v>
      </c>
      <c r="O85" s="9" t="n">
        <f aca="false">INDEX(Vendor_Benford!$N$6:$N$50,MATCH(C85,Vendor_Benford!$A$6:$A$50,0))</f>
        <v>0</v>
      </c>
      <c r="P85" s="9" t="n">
        <f aca="false">INDEX(Vendor_Benford!$M$6:$M$50,MATCH(C85,Vendor_Benford!$A$6:$A$50,0))</f>
        <v>1</v>
      </c>
      <c r="Q85" s="9" t="n">
        <f aca="false">I85*Parameters!$B$28+J85*Parameters!$B$29+K85*Parameters!$B$30+L85*Parameters!$B$31+M85*Parameters!$B$32+N85*Parameters!$B$33+O85*Parameters!$B$34+P85*Parameters!$B$35</f>
        <v>4</v>
      </c>
      <c r="R85" s="0" t="str">
        <f aca="false">IF(Q85&gt;=Parameters!$B$24,"High","")</f>
        <v/>
      </c>
    </row>
    <row r="86" customFormat="false" ht="15" hidden="false" customHeight="false" outlineLevel="0" collapsed="false">
      <c r="A86" s="10" t="s">
        <v>478</v>
      </c>
      <c r="B86" s="8" t="n">
        <v>45706</v>
      </c>
      <c r="C86" s="10" t="s">
        <v>119</v>
      </c>
      <c r="D86" s="10" t="s">
        <v>479</v>
      </c>
      <c r="E86" s="12" t="n">
        <v>8970.01</v>
      </c>
      <c r="F86" s="10" t="s">
        <v>40</v>
      </c>
      <c r="G86" s="9" t="n">
        <f aca="false">VALUE(LEFT(TEXT(E86,"0.00"),1))</f>
        <v>8</v>
      </c>
      <c r="H86" s="0" t="str">
        <f aca="false">UPPER(SUBSTITUTE(SUBSTITUTE(SUBSTITUTE(D86," ",""),"/",""),".",""))</f>
        <v>INV4002</v>
      </c>
      <c r="I86" s="9" t="n">
        <f aca="false">IF(COUNTIFS($C$5:C86,C86,$H$5:H86,H86,$E$5:E86,E86)&gt;1,1,0)</f>
        <v>0</v>
      </c>
      <c r="J86" s="9" t="n">
        <f aca="false">IF(AND(I86=0,COUNTIFS($C$5:$C$634,C86,$E$5:$E$634,E86,$B$5:$B$634,"&gt;="&amp;(B86-Parameters!$B$12),$B$5:$B$634,"&lt;="&amp;(B86+Parameters!$B$12),$H$5:$H$634,"&lt;&gt;"&amp;H86)&gt;0),1,0)</f>
        <v>0</v>
      </c>
      <c r="K86" s="9" t="n">
        <f aca="false">IF(AND(E86&gt;=Parameters!$B$11,ROUND(MOD(ROUND(E86,2),Parameters!$B$10),2)=0),1,0)</f>
        <v>0</v>
      </c>
      <c r="L86" s="9" t="n">
        <f aca="false">IF(AND(E86&lt;Parameters!$B$7,E86&gt;=Parameters!$B$7*(1-Parameters!$B$9)),1,0)</f>
        <v>0</v>
      </c>
      <c r="M86" s="9" t="n">
        <f aca="false">IF(AND(E86&lt;Parameters!$B$7,COUNTIFS($C$5:$C$634,C86,$B$5:$B$634,B86)&gt;1,SUMIFS($E$5:$E$634,$C$5:$C$634,C86,$B$5:$B$634,B86)&gt;=Parameters!$B$7),1,0)</f>
        <v>0</v>
      </c>
      <c r="N86" s="9" t="n">
        <f aca="false">IF(AND(E86&gt;=Parameters!$B$7,F86&lt;&gt;Parameters!$B$8),1,0)</f>
        <v>0</v>
      </c>
      <c r="O86" s="9" t="n">
        <f aca="false">INDEX(Vendor_Benford!$N$6:$N$50,MATCH(C86,Vendor_Benford!$A$6:$A$50,0))</f>
        <v>0</v>
      </c>
      <c r="P86" s="9" t="n">
        <f aca="false">INDEX(Vendor_Benford!$M$6:$M$50,MATCH(C86,Vendor_Benford!$A$6:$A$50,0))</f>
        <v>0</v>
      </c>
      <c r="Q86" s="9" t="n">
        <f aca="false">I86*Parameters!$B$28+J86*Parameters!$B$29+K86*Parameters!$B$30+L86*Parameters!$B$31+M86*Parameters!$B$32+N86*Parameters!$B$33+O86*Parameters!$B$34+P86*Parameters!$B$35</f>
        <v>0</v>
      </c>
      <c r="R86" s="0" t="str">
        <f aca="false">IF(Q86&gt;=Parameters!$B$24,"High","")</f>
        <v/>
      </c>
    </row>
    <row r="87" customFormat="false" ht="15" hidden="false" customHeight="false" outlineLevel="0" collapsed="false">
      <c r="A87" s="10" t="s">
        <v>480</v>
      </c>
      <c r="B87" s="8" t="n">
        <v>45706</v>
      </c>
      <c r="C87" s="10" t="s">
        <v>140</v>
      </c>
      <c r="D87" s="10" t="s">
        <v>481</v>
      </c>
      <c r="E87" s="12" t="n">
        <v>932.71</v>
      </c>
      <c r="F87" s="10" t="s">
        <v>347</v>
      </c>
      <c r="G87" s="9" t="n">
        <f aca="false">VALUE(LEFT(TEXT(E87,"0.00"),1))</f>
        <v>9</v>
      </c>
      <c r="H87" s="0" t="str">
        <f aca="false">UPPER(SUBSTITUTE(SUBSTITUTE(SUBSTITUTE(D87," ",""),"/",""),".",""))</f>
        <v>INV11001</v>
      </c>
      <c r="I87" s="9" t="n">
        <f aca="false">IF(COUNTIFS($C$5:C87,C87,$H$5:H87,H87,$E$5:E87,E87)&gt;1,1,0)</f>
        <v>0</v>
      </c>
      <c r="J87" s="9" t="n">
        <f aca="false">IF(AND(I87=0,COUNTIFS($C$5:$C$634,C87,$E$5:$E$634,E87,$B$5:$B$634,"&gt;="&amp;(B87-Parameters!$B$12),$B$5:$B$634,"&lt;="&amp;(B87+Parameters!$B$12),$H$5:$H$634,"&lt;&gt;"&amp;H87)&gt;0),1,0)</f>
        <v>0</v>
      </c>
      <c r="K87" s="9" t="n">
        <f aca="false">IF(AND(E87&gt;=Parameters!$B$11,ROUND(MOD(ROUND(E87,2),Parameters!$B$10),2)=0),1,0)</f>
        <v>0</v>
      </c>
      <c r="L87" s="9" t="n">
        <f aca="false">IF(AND(E87&lt;Parameters!$B$7,E87&gt;=Parameters!$B$7*(1-Parameters!$B$9)),1,0)</f>
        <v>0</v>
      </c>
      <c r="M87" s="9" t="n">
        <f aca="false">IF(AND(E87&lt;Parameters!$B$7,COUNTIFS($C$5:$C$634,C87,$B$5:$B$634,B87)&gt;1,SUMIFS($E$5:$E$634,$C$5:$C$634,C87,$B$5:$B$634,B87)&gt;=Parameters!$B$7),1,0)</f>
        <v>0</v>
      </c>
      <c r="N87" s="9" t="n">
        <f aca="false">IF(AND(E87&gt;=Parameters!$B$7,F87&lt;&gt;Parameters!$B$8),1,0)</f>
        <v>0</v>
      </c>
      <c r="O87" s="9" t="n">
        <f aca="false">INDEX(Vendor_Benford!$N$6:$N$50,MATCH(C87,Vendor_Benford!$A$6:$A$50,0))</f>
        <v>0</v>
      </c>
      <c r="P87" s="9" t="n">
        <f aca="false">INDEX(Vendor_Benford!$M$6:$M$50,MATCH(C87,Vendor_Benford!$A$6:$A$50,0))</f>
        <v>0</v>
      </c>
      <c r="Q87" s="9" t="n">
        <f aca="false">I87*Parameters!$B$28+J87*Parameters!$B$29+K87*Parameters!$B$30+L87*Parameters!$B$31+M87*Parameters!$B$32+N87*Parameters!$B$33+O87*Parameters!$B$34+P87*Parameters!$B$35</f>
        <v>0</v>
      </c>
      <c r="R87" s="0" t="str">
        <f aca="false">IF(Q87&gt;=Parameters!$B$24,"High","")</f>
        <v/>
      </c>
    </row>
    <row r="88" customFormat="false" ht="15" hidden="false" customHeight="false" outlineLevel="0" collapsed="false">
      <c r="A88" s="10" t="s">
        <v>482</v>
      </c>
      <c r="B88" s="8" t="n">
        <v>45706</v>
      </c>
      <c r="C88" s="10" t="s">
        <v>200</v>
      </c>
      <c r="D88" s="10" t="s">
        <v>483</v>
      </c>
      <c r="E88" s="12" t="n">
        <v>4877.4</v>
      </c>
      <c r="F88" s="10" t="s">
        <v>347</v>
      </c>
      <c r="G88" s="9" t="n">
        <f aca="false">VALUE(LEFT(TEXT(E88,"0.00"),1))</f>
        <v>4</v>
      </c>
      <c r="H88" s="0" t="str">
        <f aca="false">UPPER(SUBSTITUTE(SUBSTITUTE(SUBSTITUTE(D88," ",""),"/",""),".",""))</f>
        <v>INV31029</v>
      </c>
      <c r="I88" s="9" t="n">
        <f aca="false">IF(COUNTIFS($C$5:C88,C88,$H$5:H88,H88,$E$5:E88,E88)&gt;1,1,0)</f>
        <v>0</v>
      </c>
      <c r="J88" s="9" t="n">
        <f aca="false">IF(AND(I88=0,COUNTIFS($C$5:$C$634,C88,$E$5:$E$634,E88,$B$5:$B$634,"&gt;="&amp;(B88-Parameters!$B$12),$B$5:$B$634,"&lt;="&amp;(B88+Parameters!$B$12),$H$5:$H$634,"&lt;&gt;"&amp;H88)&gt;0),1,0)</f>
        <v>0</v>
      </c>
      <c r="K88" s="9" t="n">
        <f aca="false">IF(AND(E88&gt;=Parameters!$B$11,ROUND(MOD(ROUND(E88,2),Parameters!$B$10),2)=0),1,0)</f>
        <v>0</v>
      </c>
      <c r="L88" s="9" t="n">
        <f aca="false">IF(AND(E88&lt;Parameters!$B$7,E88&gt;=Parameters!$B$7*(1-Parameters!$B$9)),1,0)</f>
        <v>1</v>
      </c>
      <c r="M88" s="9" t="n">
        <f aca="false">IF(AND(E88&lt;Parameters!$B$7,COUNTIFS($C$5:$C$634,C88,$B$5:$B$634,B88)&gt;1,SUMIFS($E$5:$E$634,$C$5:$C$634,C88,$B$5:$B$634,B88)&gt;=Parameters!$B$7),1,0)</f>
        <v>0</v>
      </c>
      <c r="N88" s="9" t="n">
        <f aca="false">IF(AND(E88&gt;=Parameters!$B$7,F88&lt;&gt;Parameters!$B$8),1,0)</f>
        <v>0</v>
      </c>
      <c r="O88" s="9" t="n">
        <f aca="false">INDEX(Vendor_Benford!$N$6:$N$50,MATCH(C88,Vendor_Benford!$A$6:$A$50,0))</f>
        <v>0</v>
      </c>
      <c r="P88" s="9" t="n">
        <f aca="false">INDEX(Vendor_Benford!$M$6:$M$50,MATCH(C88,Vendor_Benford!$A$6:$A$50,0))</f>
        <v>1</v>
      </c>
      <c r="Q88" s="9" t="n">
        <f aca="false">I88*Parameters!$B$28+J88*Parameters!$B$29+K88*Parameters!$B$30+L88*Parameters!$B$31+M88*Parameters!$B$32+N88*Parameters!$B$33+O88*Parameters!$B$34+P88*Parameters!$B$35</f>
        <v>4</v>
      </c>
      <c r="R88" s="0" t="str">
        <f aca="false">IF(Q88&gt;=Parameters!$B$24,"High","")</f>
        <v/>
      </c>
    </row>
    <row r="89" customFormat="false" ht="15" hidden="false" customHeight="false" outlineLevel="0" collapsed="false">
      <c r="A89" s="10" t="s">
        <v>484</v>
      </c>
      <c r="B89" s="8" t="n">
        <v>45707</v>
      </c>
      <c r="C89" s="10" t="s">
        <v>233</v>
      </c>
      <c r="D89" s="10" t="s">
        <v>485</v>
      </c>
      <c r="E89" s="12" t="n">
        <v>1034.76</v>
      </c>
      <c r="F89" s="10" t="s">
        <v>40</v>
      </c>
      <c r="G89" s="9" t="n">
        <f aca="false">VALUE(LEFT(TEXT(E89,"0.00"),1))</f>
        <v>1</v>
      </c>
      <c r="H89" s="0" t="str">
        <f aca="false">UPPER(SUBSTITUTE(SUBSTITUTE(SUBSTITUTE(D89," ",""),"/",""),".",""))</f>
        <v>INV42009</v>
      </c>
      <c r="I89" s="9" t="n">
        <f aca="false">IF(COUNTIFS($C$5:C89,C89,$H$5:H89,H89,$E$5:E89,E89)&gt;1,1,0)</f>
        <v>0</v>
      </c>
      <c r="J89" s="9" t="n">
        <f aca="false">IF(AND(I89=0,COUNTIFS($C$5:$C$634,C89,$E$5:$E$634,E89,$B$5:$B$634,"&gt;="&amp;(B89-Parameters!$B$12),$B$5:$B$634,"&lt;="&amp;(B89+Parameters!$B$12),$H$5:$H$634,"&lt;&gt;"&amp;H89)&gt;0),1,0)</f>
        <v>0</v>
      </c>
      <c r="K89" s="9" t="n">
        <f aca="false">IF(AND(E89&gt;=Parameters!$B$11,ROUND(MOD(ROUND(E89,2),Parameters!$B$10),2)=0),1,0)</f>
        <v>0</v>
      </c>
      <c r="L89" s="9" t="n">
        <f aca="false">IF(AND(E89&lt;Parameters!$B$7,E89&gt;=Parameters!$B$7*(1-Parameters!$B$9)),1,0)</f>
        <v>0</v>
      </c>
      <c r="M89" s="9" t="n">
        <f aca="false">IF(AND(E89&lt;Parameters!$B$7,COUNTIFS($C$5:$C$634,C89,$B$5:$B$634,B89)&gt;1,SUMIFS($E$5:$E$634,$C$5:$C$634,C89,$B$5:$B$634,B89)&gt;=Parameters!$B$7),1,0)</f>
        <v>0</v>
      </c>
      <c r="N89" s="9" t="n">
        <f aca="false">IF(AND(E89&gt;=Parameters!$B$7,F89&lt;&gt;Parameters!$B$8),1,0)</f>
        <v>0</v>
      </c>
      <c r="O89" s="9" t="n">
        <f aca="false">INDEX(Vendor_Benford!$N$6:$N$50,MATCH(C89,Vendor_Benford!$A$6:$A$50,0))</f>
        <v>0</v>
      </c>
      <c r="P89" s="9" t="n">
        <f aca="false">INDEX(Vendor_Benford!$M$6:$M$50,MATCH(C89,Vendor_Benford!$A$6:$A$50,0))</f>
        <v>0</v>
      </c>
      <c r="Q89" s="9" t="n">
        <f aca="false">I89*Parameters!$B$28+J89*Parameters!$B$29+K89*Parameters!$B$30+L89*Parameters!$B$31+M89*Parameters!$B$32+N89*Parameters!$B$33+O89*Parameters!$B$34+P89*Parameters!$B$35</f>
        <v>0</v>
      </c>
      <c r="R89" s="0" t="str">
        <f aca="false">IF(Q89&gt;=Parameters!$B$24,"High","")</f>
        <v/>
      </c>
    </row>
    <row r="90" customFormat="false" ht="15" hidden="false" customHeight="false" outlineLevel="0" collapsed="false">
      <c r="A90" s="10" t="s">
        <v>486</v>
      </c>
      <c r="B90" s="8" t="n">
        <v>45708</v>
      </c>
      <c r="C90" s="10" t="s">
        <v>143</v>
      </c>
      <c r="D90" s="10" t="s">
        <v>487</v>
      </c>
      <c r="E90" s="12" t="n">
        <v>20926.77</v>
      </c>
      <c r="F90" s="10" t="s">
        <v>40</v>
      </c>
      <c r="G90" s="9" t="n">
        <f aca="false">VALUE(LEFT(TEXT(E90,"0.00"),1))</f>
        <v>2</v>
      </c>
      <c r="H90" s="0" t="str">
        <f aca="false">UPPER(SUBSTITUTE(SUBSTITUTE(SUBSTITUTE(D90," ",""),"/",""),".",""))</f>
        <v>INV12013</v>
      </c>
      <c r="I90" s="9" t="n">
        <f aca="false">IF(COUNTIFS($C$5:C90,C90,$H$5:H90,H90,$E$5:E90,E90)&gt;1,1,0)</f>
        <v>0</v>
      </c>
      <c r="J90" s="9" t="n">
        <f aca="false">IF(AND(I90=0,COUNTIFS($C$5:$C$634,C90,$E$5:$E$634,E90,$B$5:$B$634,"&gt;="&amp;(B90-Parameters!$B$12),$B$5:$B$634,"&lt;="&amp;(B90+Parameters!$B$12),$H$5:$H$634,"&lt;&gt;"&amp;H90)&gt;0),1,0)</f>
        <v>0</v>
      </c>
      <c r="K90" s="9" t="n">
        <f aca="false">IF(AND(E90&gt;=Parameters!$B$11,ROUND(MOD(ROUND(E90,2),Parameters!$B$10),2)=0),1,0)</f>
        <v>0</v>
      </c>
      <c r="L90" s="9" t="n">
        <f aca="false">IF(AND(E90&lt;Parameters!$B$7,E90&gt;=Parameters!$B$7*(1-Parameters!$B$9)),1,0)</f>
        <v>0</v>
      </c>
      <c r="M90" s="9" t="n">
        <f aca="false">IF(AND(E90&lt;Parameters!$B$7,COUNTIFS($C$5:$C$634,C90,$B$5:$B$634,B90)&gt;1,SUMIFS($E$5:$E$634,$C$5:$C$634,C90,$B$5:$B$634,B90)&gt;=Parameters!$B$7),1,0)</f>
        <v>0</v>
      </c>
      <c r="N90" s="9" t="n">
        <f aca="false">IF(AND(E90&gt;=Parameters!$B$7,F90&lt;&gt;Parameters!$B$8),1,0)</f>
        <v>0</v>
      </c>
      <c r="O90" s="9" t="n">
        <f aca="false">INDEX(Vendor_Benford!$N$6:$N$50,MATCH(C90,Vendor_Benford!$A$6:$A$50,0))</f>
        <v>0</v>
      </c>
      <c r="P90" s="9" t="n">
        <f aca="false">INDEX(Vendor_Benford!$M$6:$M$50,MATCH(C90,Vendor_Benford!$A$6:$A$50,0))</f>
        <v>0</v>
      </c>
      <c r="Q90" s="9" t="n">
        <f aca="false">I90*Parameters!$B$28+J90*Parameters!$B$29+K90*Parameters!$B$30+L90*Parameters!$B$31+M90*Parameters!$B$32+N90*Parameters!$B$33+O90*Parameters!$B$34+P90*Parameters!$B$35</f>
        <v>0</v>
      </c>
      <c r="R90" s="0" t="str">
        <f aca="false">IF(Q90&gt;=Parameters!$B$24,"High","")</f>
        <v/>
      </c>
    </row>
    <row r="91" customFormat="false" ht="15" hidden="false" customHeight="false" outlineLevel="0" collapsed="false">
      <c r="A91" s="10" t="s">
        <v>488</v>
      </c>
      <c r="B91" s="8" t="n">
        <v>45709</v>
      </c>
      <c r="C91" s="10" t="s">
        <v>134</v>
      </c>
      <c r="D91" s="10" t="s">
        <v>489</v>
      </c>
      <c r="E91" s="12" t="n">
        <v>3039.59</v>
      </c>
      <c r="F91" s="10" t="s">
        <v>347</v>
      </c>
      <c r="G91" s="9" t="n">
        <f aca="false">VALUE(LEFT(TEXT(E91,"0.00"),1))</f>
        <v>3</v>
      </c>
      <c r="H91" s="0" t="str">
        <f aca="false">UPPER(SUBSTITUTE(SUBSTITUTE(SUBSTITUTE(D91," ",""),"/",""),".",""))</f>
        <v>INV9013</v>
      </c>
      <c r="I91" s="9" t="n">
        <f aca="false">IF(COUNTIFS($C$5:C91,C91,$H$5:H91,H91,$E$5:E91,E91)&gt;1,1,0)</f>
        <v>0</v>
      </c>
      <c r="J91" s="9" t="n">
        <f aca="false">IF(AND(I91=0,COUNTIFS($C$5:$C$634,C91,$E$5:$E$634,E91,$B$5:$B$634,"&gt;="&amp;(B91-Parameters!$B$12),$B$5:$B$634,"&lt;="&amp;(B91+Parameters!$B$12),$H$5:$H$634,"&lt;&gt;"&amp;H91)&gt;0),1,0)</f>
        <v>0</v>
      </c>
      <c r="K91" s="9" t="n">
        <f aca="false">IF(AND(E91&gt;=Parameters!$B$11,ROUND(MOD(ROUND(E91,2),Parameters!$B$10),2)=0),1,0)</f>
        <v>0</v>
      </c>
      <c r="L91" s="9" t="n">
        <f aca="false">IF(AND(E91&lt;Parameters!$B$7,E91&gt;=Parameters!$B$7*(1-Parameters!$B$9)),1,0)</f>
        <v>0</v>
      </c>
      <c r="M91" s="9" t="n">
        <f aca="false">IF(AND(E91&lt;Parameters!$B$7,COUNTIFS($C$5:$C$634,C91,$B$5:$B$634,B91)&gt;1,SUMIFS($E$5:$E$634,$C$5:$C$634,C91,$B$5:$B$634,B91)&gt;=Parameters!$B$7),1,0)</f>
        <v>0</v>
      </c>
      <c r="N91" s="9" t="n">
        <f aca="false">IF(AND(E91&gt;=Parameters!$B$7,F91&lt;&gt;Parameters!$B$8),1,0)</f>
        <v>0</v>
      </c>
      <c r="O91" s="9" t="n">
        <f aca="false">INDEX(Vendor_Benford!$N$6:$N$50,MATCH(C91,Vendor_Benford!$A$6:$A$50,0))</f>
        <v>0</v>
      </c>
      <c r="P91" s="9" t="n">
        <f aca="false">INDEX(Vendor_Benford!$M$6:$M$50,MATCH(C91,Vendor_Benford!$A$6:$A$50,0))</f>
        <v>0</v>
      </c>
      <c r="Q91" s="9" t="n">
        <f aca="false">I91*Parameters!$B$28+J91*Parameters!$B$29+K91*Parameters!$B$30+L91*Parameters!$B$31+M91*Parameters!$B$32+N91*Parameters!$B$33+O91*Parameters!$B$34+P91*Parameters!$B$35</f>
        <v>0</v>
      </c>
      <c r="R91" s="0" t="str">
        <f aca="false">IF(Q91&gt;=Parameters!$B$24,"High","")</f>
        <v/>
      </c>
    </row>
    <row r="92" customFormat="false" ht="15" hidden="false" customHeight="false" outlineLevel="0" collapsed="false">
      <c r="A92" s="10" t="s">
        <v>490</v>
      </c>
      <c r="B92" s="8" t="n">
        <v>45713</v>
      </c>
      <c r="C92" s="10" t="s">
        <v>128</v>
      </c>
      <c r="D92" s="10" t="s">
        <v>491</v>
      </c>
      <c r="E92" s="12" t="n">
        <v>210.59</v>
      </c>
      <c r="F92" s="10" t="s">
        <v>40</v>
      </c>
      <c r="G92" s="9" t="n">
        <f aca="false">VALUE(LEFT(TEXT(E92,"0.00"),1))</f>
        <v>2</v>
      </c>
      <c r="H92" s="0" t="str">
        <f aca="false">UPPER(SUBSTITUTE(SUBSTITUTE(SUBSTITUTE(D92," ",""),"/",""),".",""))</f>
        <v>INV7012</v>
      </c>
      <c r="I92" s="9" t="n">
        <f aca="false">IF(COUNTIFS($C$5:C92,C92,$H$5:H92,H92,$E$5:E92,E92)&gt;1,1,0)</f>
        <v>0</v>
      </c>
      <c r="J92" s="9" t="n">
        <f aca="false">IF(AND(I92=0,COUNTIFS($C$5:$C$634,C92,$E$5:$E$634,E92,$B$5:$B$634,"&gt;="&amp;(B92-Parameters!$B$12),$B$5:$B$634,"&lt;="&amp;(B92+Parameters!$B$12),$H$5:$H$634,"&lt;&gt;"&amp;H92)&gt;0),1,0)</f>
        <v>0</v>
      </c>
      <c r="K92" s="9" t="n">
        <f aca="false">IF(AND(E92&gt;=Parameters!$B$11,ROUND(MOD(ROUND(E92,2),Parameters!$B$10),2)=0),1,0)</f>
        <v>0</v>
      </c>
      <c r="L92" s="9" t="n">
        <f aca="false">IF(AND(E92&lt;Parameters!$B$7,E92&gt;=Parameters!$B$7*(1-Parameters!$B$9)),1,0)</f>
        <v>0</v>
      </c>
      <c r="M92" s="9" t="n">
        <f aca="false">IF(AND(E92&lt;Parameters!$B$7,COUNTIFS($C$5:$C$634,C92,$B$5:$B$634,B92)&gt;1,SUMIFS($E$5:$E$634,$C$5:$C$634,C92,$B$5:$B$634,B92)&gt;=Parameters!$B$7),1,0)</f>
        <v>0</v>
      </c>
      <c r="N92" s="9" t="n">
        <f aca="false">IF(AND(E92&gt;=Parameters!$B$7,F92&lt;&gt;Parameters!$B$8),1,0)</f>
        <v>0</v>
      </c>
      <c r="O92" s="9" t="n">
        <f aca="false">INDEX(Vendor_Benford!$N$6:$N$50,MATCH(C92,Vendor_Benford!$A$6:$A$50,0))</f>
        <v>0</v>
      </c>
      <c r="P92" s="9" t="n">
        <f aca="false">INDEX(Vendor_Benford!$M$6:$M$50,MATCH(C92,Vendor_Benford!$A$6:$A$50,0))</f>
        <v>0</v>
      </c>
      <c r="Q92" s="9" t="n">
        <f aca="false">I92*Parameters!$B$28+J92*Parameters!$B$29+K92*Parameters!$B$30+L92*Parameters!$B$31+M92*Parameters!$B$32+N92*Parameters!$B$33+O92*Parameters!$B$34+P92*Parameters!$B$35</f>
        <v>0</v>
      </c>
      <c r="R92" s="0" t="str">
        <f aca="false">IF(Q92&gt;=Parameters!$B$24,"High","")</f>
        <v/>
      </c>
    </row>
    <row r="93" customFormat="false" ht="15" hidden="false" customHeight="false" outlineLevel="0" collapsed="false">
      <c r="A93" s="10" t="s">
        <v>492</v>
      </c>
      <c r="B93" s="8" t="n">
        <v>45713</v>
      </c>
      <c r="C93" s="10" t="s">
        <v>215</v>
      </c>
      <c r="D93" s="10" t="s">
        <v>493</v>
      </c>
      <c r="E93" s="12" t="n">
        <v>281.87</v>
      </c>
      <c r="F93" s="10" t="s">
        <v>347</v>
      </c>
      <c r="G93" s="9" t="n">
        <f aca="false">VALUE(LEFT(TEXT(E93,"0.00"),1))</f>
        <v>2</v>
      </c>
      <c r="H93" s="0" t="str">
        <f aca="false">UPPER(SUBSTITUTE(SUBSTITUTE(SUBSTITUTE(D93," ",""),"/",""),".",""))</f>
        <v>INV36007</v>
      </c>
      <c r="I93" s="9" t="n">
        <f aca="false">IF(COUNTIFS($C$5:C93,C93,$H$5:H93,H93,$E$5:E93,E93)&gt;1,1,0)</f>
        <v>0</v>
      </c>
      <c r="J93" s="9" t="n">
        <f aca="false">IF(AND(I93=0,COUNTIFS($C$5:$C$634,C93,$E$5:$E$634,E93,$B$5:$B$634,"&gt;="&amp;(B93-Parameters!$B$12),$B$5:$B$634,"&lt;="&amp;(B93+Parameters!$B$12),$H$5:$H$634,"&lt;&gt;"&amp;H93)&gt;0),1,0)</f>
        <v>0</v>
      </c>
      <c r="K93" s="9" t="n">
        <f aca="false">IF(AND(E93&gt;=Parameters!$B$11,ROUND(MOD(ROUND(E93,2),Parameters!$B$10),2)=0),1,0)</f>
        <v>0</v>
      </c>
      <c r="L93" s="9" t="n">
        <f aca="false">IF(AND(E93&lt;Parameters!$B$7,E93&gt;=Parameters!$B$7*(1-Parameters!$B$9)),1,0)</f>
        <v>0</v>
      </c>
      <c r="M93" s="9" t="n">
        <f aca="false">IF(AND(E93&lt;Parameters!$B$7,COUNTIFS($C$5:$C$634,C93,$B$5:$B$634,B93)&gt;1,SUMIFS($E$5:$E$634,$C$5:$C$634,C93,$B$5:$B$634,B93)&gt;=Parameters!$B$7),1,0)</f>
        <v>0</v>
      </c>
      <c r="N93" s="9" t="n">
        <f aca="false">IF(AND(E93&gt;=Parameters!$B$7,F93&lt;&gt;Parameters!$B$8),1,0)</f>
        <v>0</v>
      </c>
      <c r="O93" s="9" t="n">
        <f aca="false">INDEX(Vendor_Benford!$N$6:$N$50,MATCH(C93,Vendor_Benford!$A$6:$A$50,0))</f>
        <v>0</v>
      </c>
      <c r="P93" s="9" t="n">
        <f aca="false">INDEX(Vendor_Benford!$M$6:$M$50,MATCH(C93,Vendor_Benford!$A$6:$A$50,0))</f>
        <v>0</v>
      </c>
      <c r="Q93" s="9" t="n">
        <f aca="false">I93*Parameters!$B$28+J93*Parameters!$B$29+K93*Parameters!$B$30+L93*Parameters!$B$31+M93*Parameters!$B$32+N93*Parameters!$B$33+O93*Parameters!$B$34+P93*Parameters!$B$35</f>
        <v>0</v>
      </c>
      <c r="R93" s="0" t="str">
        <f aca="false">IF(Q93&gt;=Parameters!$B$24,"High","")</f>
        <v/>
      </c>
    </row>
    <row r="94" customFormat="false" ht="15" hidden="false" customHeight="false" outlineLevel="0" collapsed="false">
      <c r="A94" s="10" t="s">
        <v>494</v>
      </c>
      <c r="B94" s="8" t="n">
        <v>45713</v>
      </c>
      <c r="C94" s="10" t="s">
        <v>236</v>
      </c>
      <c r="D94" s="10" t="s">
        <v>495</v>
      </c>
      <c r="E94" s="12" t="n">
        <v>5138.05</v>
      </c>
      <c r="F94" s="10" t="s">
        <v>40</v>
      </c>
      <c r="G94" s="9" t="n">
        <f aca="false">VALUE(LEFT(TEXT(E94,"0.00"),1))</f>
        <v>5</v>
      </c>
      <c r="H94" s="0" t="str">
        <f aca="false">UPPER(SUBSTITUTE(SUBSTITUTE(SUBSTITUTE(D94," ",""),"/",""),".",""))</f>
        <v>INV43006</v>
      </c>
      <c r="I94" s="9" t="n">
        <f aca="false">IF(COUNTIFS($C$5:C94,C94,$H$5:H94,H94,$E$5:E94,E94)&gt;1,1,0)</f>
        <v>0</v>
      </c>
      <c r="J94" s="9" t="n">
        <f aca="false">IF(AND(I94=0,COUNTIFS($C$5:$C$634,C94,$E$5:$E$634,E94,$B$5:$B$634,"&gt;="&amp;(B94-Parameters!$B$12),$B$5:$B$634,"&lt;="&amp;(B94+Parameters!$B$12),$H$5:$H$634,"&lt;&gt;"&amp;H94)&gt;0),1,0)</f>
        <v>0</v>
      </c>
      <c r="K94" s="9" t="n">
        <f aca="false">IF(AND(E94&gt;=Parameters!$B$11,ROUND(MOD(ROUND(E94,2),Parameters!$B$10),2)=0),1,0)</f>
        <v>0</v>
      </c>
      <c r="L94" s="9" t="n">
        <f aca="false">IF(AND(E94&lt;Parameters!$B$7,E94&gt;=Parameters!$B$7*(1-Parameters!$B$9)),1,0)</f>
        <v>0</v>
      </c>
      <c r="M94" s="9" t="n">
        <f aca="false">IF(AND(E94&lt;Parameters!$B$7,COUNTIFS($C$5:$C$634,C94,$B$5:$B$634,B94)&gt;1,SUMIFS($E$5:$E$634,$C$5:$C$634,C94,$B$5:$B$634,B94)&gt;=Parameters!$B$7),1,0)</f>
        <v>0</v>
      </c>
      <c r="N94" s="9" t="n">
        <f aca="false">IF(AND(E94&gt;=Parameters!$B$7,F94&lt;&gt;Parameters!$B$8),1,0)</f>
        <v>0</v>
      </c>
      <c r="O94" s="9" t="n">
        <f aca="false">INDEX(Vendor_Benford!$N$6:$N$50,MATCH(C94,Vendor_Benford!$A$6:$A$50,0))</f>
        <v>0</v>
      </c>
      <c r="P94" s="9" t="n">
        <f aca="false">INDEX(Vendor_Benford!$M$6:$M$50,MATCH(C94,Vendor_Benford!$A$6:$A$50,0))</f>
        <v>0</v>
      </c>
      <c r="Q94" s="9" t="n">
        <f aca="false">I94*Parameters!$B$28+J94*Parameters!$B$29+K94*Parameters!$B$30+L94*Parameters!$B$31+M94*Parameters!$B$32+N94*Parameters!$B$33+O94*Parameters!$B$34+P94*Parameters!$B$35</f>
        <v>0</v>
      </c>
      <c r="R94" s="0" t="str">
        <f aca="false">IF(Q94&gt;=Parameters!$B$24,"High","")</f>
        <v/>
      </c>
    </row>
    <row r="95" customFormat="false" ht="15" hidden="false" customHeight="false" outlineLevel="0" collapsed="false">
      <c r="A95" s="10" t="s">
        <v>496</v>
      </c>
      <c r="B95" s="8" t="n">
        <v>45713</v>
      </c>
      <c r="C95" s="10" t="s">
        <v>236</v>
      </c>
      <c r="D95" s="10" t="s">
        <v>497</v>
      </c>
      <c r="E95" s="12" t="n">
        <v>20425.57</v>
      </c>
      <c r="F95" s="10" t="s">
        <v>40</v>
      </c>
      <c r="G95" s="9" t="n">
        <f aca="false">VALUE(LEFT(TEXT(E95,"0.00"),1))</f>
        <v>2</v>
      </c>
      <c r="H95" s="0" t="str">
        <f aca="false">UPPER(SUBSTITUTE(SUBSTITUTE(SUBSTITUTE(D95," ",""),"/",""),".",""))</f>
        <v>INV43009</v>
      </c>
      <c r="I95" s="9" t="n">
        <f aca="false">IF(COUNTIFS($C$5:C95,C95,$H$5:H95,H95,$E$5:E95,E95)&gt;1,1,0)</f>
        <v>0</v>
      </c>
      <c r="J95" s="9" t="n">
        <f aca="false">IF(AND(I95=0,COUNTIFS($C$5:$C$634,C95,$E$5:$E$634,E95,$B$5:$B$634,"&gt;="&amp;(B95-Parameters!$B$12),$B$5:$B$634,"&lt;="&amp;(B95+Parameters!$B$12),$H$5:$H$634,"&lt;&gt;"&amp;H95)&gt;0),1,0)</f>
        <v>0</v>
      </c>
      <c r="K95" s="9" t="n">
        <f aca="false">IF(AND(E95&gt;=Parameters!$B$11,ROUND(MOD(ROUND(E95,2),Parameters!$B$10),2)=0),1,0)</f>
        <v>0</v>
      </c>
      <c r="L95" s="9" t="n">
        <f aca="false">IF(AND(E95&lt;Parameters!$B$7,E95&gt;=Parameters!$B$7*(1-Parameters!$B$9)),1,0)</f>
        <v>0</v>
      </c>
      <c r="M95" s="9" t="n">
        <f aca="false">IF(AND(E95&lt;Parameters!$B$7,COUNTIFS($C$5:$C$634,C95,$B$5:$B$634,B95)&gt;1,SUMIFS($E$5:$E$634,$C$5:$C$634,C95,$B$5:$B$634,B95)&gt;=Parameters!$B$7),1,0)</f>
        <v>0</v>
      </c>
      <c r="N95" s="9" t="n">
        <f aca="false">IF(AND(E95&gt;=Parameters!$B$7,F95&lt;&gt;Parameters!$B$8),1,0)</f>
        <v>0</v>
      </c>
      <c r="O95" s="9" t="n">
        <f aca="false">INDEX(Vendor_Benford!$N$6:$N$50,MATCH(C95,Vendor_Benford!$A$6:$A$50,0))</f>
        <v>0</v>
      </c>
      <c r="P95" s="9" t="n">
        <f aca="false">INDEX(Vendor_Benford!$M$6:$M$50,MATCH(C95,Vendor_Benford!$A$6:$A$50,0))</f>
        <v>0</v>
      </c>
      <c r="Q95" s="9" t="n">
        <f aca="false">I95*Parameters!$B$28+J95*Parameters!$B$29+K95*Parameters!$B$30+L95*Parameters!$B$31+M95*Parameters!$B$32+N95*Parameters!$B$33+O95*Parameters!$B$34+P95*Parameters!$B$35</f>
        <v>0</v>
      </c>
      <c r="R95" s="0" t="str">
        <f aca="false">IF(Q95&gt;=Parameters!$B$24,"High","")</f>
        <v/>
      </c>
    </row>
    <row r="96" customFormat="false" ht="15" hidden="false" customHeight="false" outlineLevel="0" collapsed="false">
      <c r="A96" s="10" t="s">
        <v>498</v>
      </c>
      <c r="B96" s="8" t="n">
        <v>45714</v>
      </c>
      <c r="C96" s="10" t="s">
        <v>116</v>
      </c>
      <c r="D96" s="10" t="s">
        <v>499</v>
      </c>
      <c r="E96" s="12" t="n">
        <v>2671.4</v>
      </c>
      <c r="F96" s="10" t="s">
        <v>347</v>
      </c>
      <c r="G96" s="9" t="n">
        <f aca="false">VALUE(LEFT(TEXT(E96,"0.00"),1))</f>
        <v>2</v>
      </c>
      <c r="H96" s="0" t="str">
        <f aca="false">UPPER(SUBSTITUTE(SUBSTITUTE(SUBSTITUTE(D96," ",""),"/",""),".",""))</f>
        <v>INV3002</v>
      </c>
      <c r="I96" s="9" t="n">
        <f aca="false">IF(COUNTIFS($C$5:C96,C96,$H$5:H96,H96,$E$5:E96,E96)&gt;1,1,0)</f>
        <v>0</v>
      </c>
      <c r="J96" s="9" t="n">
        <f aca="false">IF(AND(I96=0,COUNTIFS($C$5:$C$634,C96,$E$5:$E$634,E96,$B$5:$B$634,"&gt;="&amp;(B96-Parameters!$B$12),$B$5:$B$634,"&lt;="&amp;(B96+Parameters!$B$12),$H$5:$H$634,"&lt;&gt;"&amp;H96)&gt;0),1,0)</f>
        <v>0</v>
      </c>
      <c r="K96" s="9" t="n">
        <f aca="false">IF(AND(E96&gt;=Parameters!$B$11,ROUND(MOD(ROUND(E96,2),Parameters!$B$10),2)=0),1,0)</f>
        <v>0</v>
      </c>
      <c r="L96" s="9" t="n">
        <f aca="false">IF(AND(E96&lt;Parameters!$B$7,E96&gt;=Parameters!$B$7*(1-Parameters!$B$9)),1,0)</f>
        <v>0</v>
      </c>
      <c r="M96" s="9" t="n">
        <f aca="false">IF(AND(E96&lt;Parameters!$B$7,COUNTIFS($C$5:$C$634,C96,$B$5:$B$634,B96)&gt;1,SUMIFS($E$5:$E$634,$C$5:$C$634,C96,$B$5:$B$634,B96)&gt;=Parameters!$B$7),1,0)</f>
        <v>0</v>
      </c>
      <c r="N96" s="9" t="n">
        <f aca="false">IF(AND(E96&gt;=Parameters!$B$7,F96&lt;&gt;Parameters!$B$8),1,0)</f>
        <v>0</v>
      </c>
      <c r="O96" s="9" t="n">
        <f aca="false">INDEX(Vendor_Benford!$N$6:$N$50,MATCH(C96,Vendor_Benford!$A$6:$A$50,0))</f>
        <v>0</v>
      </c>
      <c r="P96" s="9" t="n">
        <f aca="false">INDEX(Vendor_Benford!$M$6:$M$50,MATCH(C96,Vendor_Benford!$A$6:$A$50,0))</f>
        <v>0</v>
      </c>
      <c r="Q96" s="9" t="n">
        <f aca="false">I96*Parameters!$B$28+J96*Parameters!$B$29+K96*Parameters!$B$30+L96*Parameters!$B$31+M96*Parameters!$B$32+N96*Parameters!$B$33+O96*Parameters!$B$34+P96*Parameters!$B$35</f>
        <v>0</v>
      </c>
      <c r="R96" s="0" t="str">
        <f aca="false">IF(Q96&gt;=Parameters!$B$24,"High","")</f>
        <v/>
      </c>
    </row>
    <row r="97" customFormat="false" ht="15" hidden="false" customHeight="false" outlineLevel="0" collapsed="false">
      <c r="A97" s="10" t="s">
        <v>500</v>
      </c>
      <c r="B97" s="8" t="n">
        <v>45715</v>
      </c>
      <c r="C97" s="10" t="s">
        <v>116</v>
      </c>
      <c r="D97" s="10" t="s">
        <v>501</v>
      </c>
      <c r="E97" s="12" t="n">
        <v>4790.22</v>
      </c>
      <c r="F97" s="10" t="s">
        <v>347</v>
      </c>
      <c r="G97" s="9" t="n">
        <f aca="false">VALUE(LEFT(TEXT(E97,"0.00"),1))</f>
        <v>4</v>
      </c>
      <c r="H97" s="0" t="str">
        <f aca="false">UPPER(SUBSTITUTE(SUBSTITUTE(SUBSTITUTE(D97," ",""),"/",""),".",""))</f>
        <v>INV3011</v>
      </c>
      <c r="I97" s="9" t="n">
        <f aca="false">IF(COUNTIFS($C$5:C97,C97,$H$5:H97,H97,$E$5:E97,E97)&gt;1,1,0)</f>
        <v>0</v>
      </c>
      <c r="J97" s="9" t="n">
        <f aca="false">IF(AND(I97=0,COUNTIFS($C$5:$C$634,C97,$E$5:$E$634,E97,$B$5:$B$634,"&gt;="&amp;(B97-Parameters!$B$12),$B$5:$B$634,"&lt;="&amp;(B97+Parameters!$B$12),$H$5:$H$634,"&lt;&gt;"&amp;H97)&gt;0),1,0)</f>
        <v>0</v>
      </c>
      <c r="K97" s="9" t="n">
        <f aca="false">IF(AND(E97&gt;=Parameters!$B$11,ROUND(MOD(ROUND(E97,2),Parameters!$B$10),2)=0),1,0)</f>
        <v>0</v>
      </c>
      <c r="L97" s="9" t="n">
        <f aca="false">IF(AND(E97&lt;Parameters!$B$7,E97&gt;=Parameters!$B$7*(1-Parameters!$B$9)),1,0)</f>
        <v>1</v>
      </c>
      <c r="M97" s="9" t="n">
        <f aca="false">IF(AND(E97&lt;Parameters!$B$7,COUNTIFS($C$5:$C$634,C97,$B$5:$B$634,B97)&gt;1,SUMIFS($E$5:$E$634,$C$5:$C$634,C97,$B$5:$B$634,B97)&gt;=Parameters!$B$7),1,0)</f>
        <v>0</v>
      </c>
      <c r="N97" s="9" t="n">
        <f aca="false">IF(AND(E97&gt;=Parameters!$B$7,F97&lt;&gt;Parameters!$B$8),1,0)</f>
        <v>0</v>
      </c>
      <c r="O97" s="9" t="n">
        <f aca="false">INDEX(Vendor_Benford!$N$6:$N$50,MATCH(C97,Vendor_Benford!$A$6:$A$50,0))</f>
        <v>0</v>
      </c>
      <c r="P97" s="9" t="n">
        <f aca="false">INDEX(Vendor_Benford!$M$6:$M$50,MATCH(C97,Vendor_Benford!$A$6:$A$50,0))</f>
        <v>0</v>
      </c>
      <c r="Q97" s="9" t="n">
        <f aca="false">I97*Parameters!$B$28+J97*Parameters!$B$29+K97*Parameters!$B$30+L97*Parameters!$B$31+M97*Parameters!$B$32+N97*Parameters!$B$33+O97*Parameters!$B$34+P97*Parameters!$B$35</f>
        <v>2</v>
      </c>
      <c r="R97" s="0" t="str">
        <f aca="false">IF(Q97&gt;=Parameters!$B$24,"High","")</f>
        <v/>
      </c>
    </row>
    <row r="98" customFormat="false" ht="15" hidden="false" customHeight="false" outlineLevel="0" collapsed="false">
      <c r="A98" s="10" t="s">
        <v>502</v>
      </c>
      <c r="B98" s="8" t="n">
        <v>45715</v>
      </c>
      <c r="C98" s="10" t="s">
        <v>134</v>
      </c>
      <c r="D98" s="10" t="s">
        <v>503</v>
      </c>
      <c r="E98" s="12" t="n">
        <v>32864.1</v>
      </c>
      <c r="F98" s="10" t="s">
        <v>40</v>
      </c>
      <c r="G98" s="9" t="n">
        <f aca="false">VALUE(LEFT(TEXT(E98,"0.00"),1))</f>
        <v>3</v>
      </c>
      <c r="H98" s="0" t="str">
        <f aca="false">UPPER(SUBSTITUTE(SUBSTITUTE(SUBSTITUTE(D98," ",""),"/",""),".",""))</f>
        <v>INV9002</v>
      </c>
      <c r="I98" s="9" t="n">
        <f aca="false">IF(COUNTIFS($C$5:C98,C98,$H$5:H98,H98,$E$5:E98,E98)&gt;1,1,0)</f>
        <v>0</v>
      </c>
      <c r="J98" s="9" t="n">
        <f aca="false">IF(AND(I98=0,COUNTIFS($C$5:$C$634,C98,$E$5:$E$634,E98,$B$5:$B$634,"&gt;="&amp;(B98-Parameters!$B$12),$B$5:$B$634,"&lt;="&amp;(B98+Parameters!$B$12),$H$5:$H$634,"&lt;&gt;"&amp;H98)&gt;0),1,0)</f>
        <v>0</v>
      </c>
      <c r="K98" s="9" t="n">
        <f aca="false">IF(AND(E98&gt;=Parameters!$B$11,ROUND(MOD(ROUND(E98,2),Parameters!$B$10),2)=0),1,0)</f>
        <v>0</v>
      </c>
      <c r="L98" s="9" t="n">
        <f aca="false">IF(AND(E98&lt;Parameters!$B$7,E98&gt;=Parameters!$B$7*(1-Parameters!$B$9)),1,0)</f>
        <v>0</v>
      </c>
      <c r="M98" s="9" t="n">
        <f aca="false">IF(AND(E98&lt;Parameters!$B$7,COUNTIFS($C$5:$C$634,C98,$B$5:$B$634,B98)&gt;1,SUMIFS($E$5:$E$634,$C$5:$C$634,C98,$B$5:$B$634,B98)&gt;=Parameters!$B$7),1,0)</f>
        <v>0</v>
      </c>
      <c r="N98" s="9" t="n">
        <f aca="false">IF(AND(E98&gt;=Parameters!$B$7,F98&lt;&gt;Parameters!$B$8),1,0)</f>
        <v>0</v>
      </c>
      <c r="O98" s="9" t="n">
        <f aca="false">INDEX(Vendor_Benford!$N$6:$N$50,MATCH(C98,Vendor_Benford!$A$6:$A$50,0))</f>
        <v>0</v>
      </c>
      <c r="P98" s="9" t="n">
        <f aca="false">INDEX(Vendor_Benford!$M$6:$M$50,MATCH(C98,Vendor_Benford!$A$6:$A$50,0))</f>
        <v>0</v>
      </c>
      <c r="Q98" s="9" t="n">
        <f aca="false">I98*Parameters!$B$28+J98*Parameters!$B$29+K98*Parameters!$B$30+L98*Parameters!$B$31+M98*Parameters!$B$32+N98*Parameters!$B$33+O98*Parameters!$B$34+P98*Parameters!$B$35</f>
        <v>0</v>
      </c>
      <c r="R98" s="0" t="str">
        <f aca="false">IF(Q98&gt;=Parameters!$B$24,"High","")</f>
        <v/>
      </c>
    </row>
    <row r="99" customFormat="false" ht="15" hidden="false" customHeight="false" outlineLevel="0" collapsed="false">
      <c r="A99" s="10" t="s">
        <v>504</v>
      </c>
      <c r="B99" s="8" t="n">
        <v>45715</v>
      </c>
      <c r="C99" s="10" t="s">
        <v>167</v>
      </c>
      <c r="D99" s="10" t="s">
        <v>505</v>
      </c>
      <c r="E99" s="12" t="n">
        <v>2897.48</v>
      </c>
      <c r="F99" s="10" t="s">
        <v>40</v>
      </c>
      <c r="G99" s="9" t="n">
        <f aca="false">VALUE(LEFT(TEXT(E99,"0.00"),1))</f>
        <v>2</v>
      </c>
      <c r="H99" s="0" t="str">
        <f aca="false">UPPER(SUBSTITUTE(SUBSTITUTE(SUBSTITUTE(D99," ",""),"/",""),".",""))</f>
        <v>INV20010</v>
      </c>
      <c r="I99" s="9" t="n">
        <f aca="false">IF(COUNTIFS($C$5:C99,C99,$H$5:H99,H99,$E$5:E99,E99)&gt;1,1,0)</f>
        <v>0</v>
      </c>
      <c r="J99" s="9" t="n">
        <f aca="false">IF(AND(I99=0,COUNTIFS($C$5:$C$634,C99,$E$5:$E$634,E99,$B$5:$B$634,"&gt;="&amp;(B99-Parameters!$B$12),$B$5:$B$634,"&lt;="&amp;(B99+Parameters!$B$12),$H$5:$H$634,"&lt;&gt;"&amp;H99)&gt;0),1,0)</f>
        <v>0</v>
      </c>
      <c r="K99" s="9" t="n">
        <f aca="false">IF(AND(E99&gt;=Parameters!$B$11,ROUND(MOD(ROUND(E99,2),Parameters!$B$10),2)=0),1,0)</f>
        <v>0</v>
      </c>
      <c r="L99" s="9" t="n">
        <f aca="false">IF(AND(E99&lt;Parameters!$B$7,E99&gt;=Parameters!$B$7*(1-Parameters!$B$9)),1,0)</f>
        <v>0</v>
      </c>
      <c r="M99" s="9" t="n">
        <f aca="false">IF(AND(E99&lt;Parameters!$B$7,COUNTIFS($C$5:$C$634,C99,$B$5:$B$634,B99)&gt;1,SUMIFS($E$5:$E$634,$C$5:$C$634,C99,$B$5:$B$634,B99)&gt;=Parameters!$B$7),1,0)</f>
        <v>0</v>
      </c>
      <c r="N99" s="9" t="n">
        <f aca="false">IF(AND(E99&gt;=Parameters!$B$7,F99&lt;&gt;Parameters!$B$8),1,0)</f>
        <v>0</v>
      </c>
      <c r="O99" s="9" t="n">
        <f aca="false">INDEX(Vendor_Benford!$N$6:$N$50,MATCH(C99,Vendor_Benford!$A$6:$A$50,0))</f>
        <v>0</v>
      </c>
      <c r="P99" s="9" t="n">
        <f aca="false">INDEX(Vendor_Benford!$M$6:$M$50,MATCH(C99,Vendor_Benford!$A$6:$A$50,0))</f>
        <v>0</v>
      </c>
      <c r="Q99" s="9" t="n">
        <f aca="false">I99*Parameters!$B$28+J99*Parameters!$B$29+K99*Parameters!$B$30+L99*Parameters!$B$31+M99*Parameters!$B$32+N99*Parameters!$B$33+O99*Parameters!$B$34+P99*Parameters!$B$35</f>
        <v>0</v>
      </c>
      <c r="R99" s="0" t="str">
        <f aca="false">IF(Q99&gt;=Parameters!$B$24,"High","")</f>
        <v/>
      </c>
    </row>
    <row r="100" customFormat="false" ht="15" hidden="false" customHeight="false" outlineLevel="0" collapsed="false">
      <c r="A100" s="10" t="s">
        <v>506</v>
      </c>
      <c r="B100" s="8" t="n">
        <v>45715</v>
      </c>
      <c r="C100" s="10" t="s">
        <v>194</v>
      </c>
      <c r="D100" s="10" t="s">
        <v>507</v>
      </c>
      <c r="E100" s="12" t="n">
        <v>197.89</v>
      </c>
      <c r="F100" s="10" t="s">
        <v>40</v>
      </c>
      <c r="G100" s="9" t="n">
        <f aca="false">VALUE(LEFT(TEXT(E100,"0.00"),1))</f>
        <v>1</v>
      </c>
      <c r="H100" s="0" t="str">
        <f aca="false">UPPER(SUBSTITUTE(SUBSTITUTE(SUBSTITUTE(D100," ",""),"/",""),".",""))</f>
        <v>INV29006</v>
      </c>
      <c r="I100" s="9" t="n">
        <f aca="false">IF(COUNTIFS($C$5:C100,C100,$H$5:H100,H100,$E$5:E100,E100)&gt;1,1,0)</f>
        <v>0</v>
      </c>
      <c r="J100" s="9" t="n">
        <f aca="false">IF(AND(I100=0,COUNTIFS($C$5:$C$634,C100,$E$5:$E$634,E100,$B$5:$B$634,"&gt;="&amp;(B100-Parameters!$B$12),$B$5:$B$634,"&lt;="&amp;(B100+Parameters!$B$12),$H$5:$H$634,"&lt;&gt;"&amp;H100)&gt;0),1,0)</f>
        <v>0</v>
      </c>
      <c r="K100" s="9" t="n">
        <f aca="false">IF(AND(E100&gt;=Parameters!$B$11,ROUND(MOD(ROUND(E100,2),Parameters!$B$10),2)=0),1,0)</f>
        <v>0</v>
      </c>
      <c r="L100" s="9" t="n">
        <f aca="false">IF(AND(E100&lt;Parameters!$B$7,E100&gt;=Parameters!$B$7*(1-Parameters!$B$9)),1,0)</f>
        <v>0</v>
      </c>
      <c r="M100" s="9" t="n">
        <f aca="false">IF(AND(E100&lt;Parameters!$B$7,COUNTIFS($C$5:$C$634,C100,$B$5:$B$634,B100)&gt;1,SUMIFS($E$5:$E$634,$C$5:$C$634,C100,$B$5:$B$634,B100)&gt;=Parameters!$B$7),1,0)</f>
        <v>0</v>
      </c>
      <c r="N100" s="9" t="n">
        <f aca="false">IF(AND(E100&gt;=Parameters!$B$7,F100&lt;&gt;Parameters!$B$8),1,0)</f>
        <v>0</v>
      </c>
      <c r="O100" s="9" t="n">
        <f aca="false">INDEX(Vendor_Benford!$N$6:$N$50,MATCH(C100,Vendor_Benford!$A$6:$A$50,0))</f>
        <v>0</v>
      </c>
      <c r="P100" s="9" t="n">
        <f aca="false">INDEX(Vendor_Benford!$M$6:$M$50,MATCH(C100,Vendor_Benford!$A$6:$A$50,0))</f>
        <v>0</v>
      </c>
      <c r="Q100" s="9" t="n">
        <f aca="false">I100*Parameters!$B$28+J100*Parameters!$B$29+K100*Parameters!$B$30+L100*Parameters!$B$31+M100*Parameters!$B$32+N100*Parameters!$B$33+O100*Parameters!$B$34+P100*Parameters!$B$35</f>
        <v>0</v>
      </c>
      <c r="R100" s="0" t="str">
        <f aca="false">IF(Q100&gt;=Parameters!$B$24,"High","")</f>
        <v/>
      </c>
    </row>
    <row r="101" customFormat="false" ht="15" hidden="false" customHeight="false" outlineLevel="0" collapsed="false">
      <c r="A101" s="10" t="s">
        <v>508</v>
      </c>
      <c r="B101" s="8" t="n">
        <v>45715</v>
      </c>
      <c r="C101" s="10" t="s">
        <v>200</v>
      </c>
      <c r="D101" s="10" t="s">
        <v>509</v>
      </c>
      <c r="E101" s="12" t="n">
        <v>4933.73</v>
      </c>
      <c r="F101" s="10" t="s">
        <v>347</v>
      </c>
      <c r="G101" s="9" t="n">
        <f aca="false">VALUE(LEFT(TEXT(E101,"0.00"),1))</f>
        <v>4</v>
      </c>
      <c r="H101" s="0" t="str">
        <f aca="false">UPPER(SUBSTITUTE(SUBSTITUTE(SUBSTITUTE(D101," ",""),"/",""),".",""))</f>
        <v>INV31019</v>
      </c>
      <c r="I101" s="9" t="n">
        <f aca="false">IF(COUNTIFS($C$5:C101,C101,$H$5:H101,H101,$E$5:E101,E101)&gt;1,1,0)</f>
        <v>0</v>
      </c>
      <c r="J101" s="9" t="n">
        <f aca="false">IF(AND(I101=0,COUNTIFS($C$5:$C$634,C101,$E$5:$E$634,E101,$B$5:$B$634,"&gt;="&amp;(B101-Parameters!$B$12),$B$5:$B$634,"&lt;="&amp;(B101+Parameters!$B$12),$H$5:$H$634,"&lt;&gt;"&amp;H101)&gt;0),1,0)</f>
        <v>0</v>
      </c>
      <c r="K101" s="9" t="n">
        <f aca="false">IF(AND(E101&gt;=Parameters!$B$11,ROUND(MOD(ROUND(E101,2),Parameters!$B$10),2)=0),1,0)</f>
        <v>0</v>
      </c>
      <c r="L101" s="9" t="n">
        <f aca="false">IF(AND(E101&lt;Parameters!$B$7,E101&gt;=Parameters!$B$7*(1-Parameters!$B$9)),1,0)</f>
        <v>1</v>
      </c>
      <c r="M101" s="9" t="n">
        <f aca="false">IF(AND(E101&lt;Parameters!$B$7,COUNTIFS($C$5:$C$634,C101,$B$5:$B$634,B101)&gt;1,SUMIFS($E$5:$E$634,$C$5:$C$634,C101,$B$5:$B$634,B101)&gt;=Parameters!$B$7),1,0)</f>
        <v>0</v>
      </c>
      <c r="N101" s="9" t="n">
        <f aca="false">IF(AND(E101&gt;=Parameters!$B$7,F101&lt;&gt;Parameters!$B$8),1,0)</f>
        <v>0</v>
      </c>
      <c r="O101" s="9" t="n">
        <f aca="false">INDEX(Vendor_Benford!$N$6:$N$50,MATCH(C101,Vendor_Benford!$A$6:$A$50,0))</f>
        <v>0</v>
      </c>
      <c r="P101" s="9" t="n">
        <f aca="false">INDEX(Vendor_Benford!$M$6:$M$50,MATCH(C101,Vendor_Benford!$A$6:$A$50,0))</f>
        <v>1</v>
      </c>
      <c r="Q101" s="9" t="n">
        <f aca="false">I101*Parameters!$B$28+J101*Parameters!$B$29+K101*Parameters!$B$30+L101*Parameters!$B$31+M101*Parameters!$B$32+N101*Parameters!$B$33+O101*Parameters!$B$34+P101*Parameters!$B$35</f>
        <v>4</v>
      </c>
      <c r="R101" s="0" t="str">
        <f aca="false">IF(Q101&gt;=Parameters!$B$24,"High","")</f>
        <v/>
      </c>
    </row>
    <row r="102" customFormat="false" ht="15" hidden="false" customHeight="false" outlineLevel="0" collapsed="false">
      <c r="A102" s="10" t="s">
        <v>510</v>
      </c>
      <c r="B102" s="8" t="n">
        <v>45716</v>
      </c>
      <c r="C102" s="10" t="s">
        <v>227</v>
      </c>
      <c r="D102" s="10" t="s">
        <v>511</v>
      </c>
      <c r="E102" s="12" t="n">
        <v>6336.87</v>
      </c>
      <c r="F102" s="10" t="s">
        <v>40</v>
      </c>
      <c r="G102" s="9" t="n">
        <f aca="false">VALUE(LEFT(TEXT(E102,"0.00"),1))</f>
        <v>6</v>
      </c>
      <c r="H102" s="0" t="str">
        <f aca="false">UPPER(SUBSTITUTE(SUBSTITUTE(SUBSTITUTE(D102," ",""),"/",""),".",""))</f>
        <v>INV40006</v>
      </c>
      <c r="I102" s="9" t="n">
        <f aca="false">IF(COUNTIFS($C$5:C102,C102,$H$5:H102,H102,$E$5:E102,E102)&gt;1,1,0)</f>
        <v>0</v>
      </c>
      <c r="J102" s="9" t="n">
        <f aca="false">IF(AND(I102=0,COUNTIFS($C$5:$C$634,C102,$E$5:$E$634,E102,$B$5:$B$634,"&gt;="&amp;(B102-Parameters!$B$12),$B$5:$B$634,"&lt;="&amp;(B102+Parameters!$B$12),$H$5:$H$634,"&lt;&gt;"&amp;H102)&gt;0),1,0)</f>
        <v>0</v>
      </c>
      <c r="K102" s="9" t="n">
        <f aca="false">IF(AND(E102&gt;=Parameters!$B$11,ROUND(MOD(ROUND(E102,2),Parameters!$B$10),2)=0),1,0)</f>
        <v>0</v>
      </c>
      <c r="L102" s="9" t="n">
        <f aca="false">IF(AND(E102&lt;Parameters!$B$7,E102&gt;=Parameters!$B$7*(1-Parameters!$B$9)),1,0)</f>
        <v>0</v>
      </c>
      <c r="M102" s="9" t="n">
        <f aca="false">IF(AND(E102&lt;Parameters!$B$7,COUNTIFS($C$5:$C$634,C102,$B$5:$B$634,B102)&gt;1,SUMIFS($E$5:$E$634,$C$5:$C$634,C102,$B$5:$B$634,B102)&gt;=Parameters!$B$7),1,0)</f>
        <v>0</v>
      </c>
      <c r="N102" s="9" t="n">
        <f aca="false">IF(AND(E102&gt;=Parameters!$B$7,F102&lt;&gt;Parameters!$B$8),1,0)</f>
        <v>0</v>
      </c>
      <c r="O102" s="9" t="n">
        <f aca="false">INDEX(Vendor_Benford!$N$6:$N$50,MATCH(C102,Vendor_Benford!$A$6:$A$50,0))</f>
        <v>0</v>
      </c>
      <c r="P102" s="9" t="n">
        <f aca="false">INDEX(Vendor_Benford!$M$6:$M$50,MATCH(C102,Vendor_Benford!$A$6:$A$50,0))</f>
        <v>0</v>
      </c>
      <c r="Q102" s="9" t="n">
        <f aca="false">I102*Parameters!$B$28+J102*Parameters!$B$29+K102*Parameters!$B$30+L102*Parameters!$B$31+M102*Parameters!$B$32+N102*Parameters!$B$33+O102*Parameters!$B$34+P102*Parameters!$B$35</f>
        <v>0</v>
      </c>
      <c r="R102" s="0" t="str">
        <f aca="false">IF(Q102&gt;=Parameters!$B$24,"High","")</f>
        <v/>
      </c>
    </row>
    <row r="103" customFormat="false" ht="15" hidden="false" customHeight="false" outlineLevel="0" collapsed="false">
      <c r="A103" s="10" t="s">
        <v>512</v>
      </c>
      <c r="B103" s="8" t="n">
        <v>45719</v>
      </c>
      <c r="C103" s="10" t="s">
        <v>110</v>
      </c>
      <c r="D103" s="10" t="s">
        <v>513</v>
      </c>
      <c r="E103" s="12" t="n">
        <v>85000</v>
      </c>
      <c r="F103" s="10" t="s">
        <v>40</v>
      </c>
      <c r="G103" s="9" t="n">
        <f aca="false">VALUE(LEFT(TEXT(E103,"0.00"),1))</f>
        <v>8</v>
      </c>
      <c r="H103" s="0" t="str">
        <f aca="false">UPPER(SUBSTITUTE(SUBSTITUTE(SUBSTITUTE(D103," ",""),"/",""),".",""))</f>
        <v>RENT2503</v>
      </c>
      <c r="I103" s="9" t="n">
        <f aca="false">IF(COUNTIFS($C$5:C103,C103,$H$5:H103,H103,$E$5:E103,E103)&gt;1,1,0)</f>
        <v>0</v>
      </c>
      <c r="J103" s="9" t="n">
        <f aca="false">IF(AND(I103=0,COUNTIFS($C$5:$C$634,C103,$E$5:$E$634,E103,$B$5:$B$634,"&gt;="&amp;(B103-Parameters!$B$12),$B$5:$B$634,"&lt;="&amp;(B103+Parameters!$B$12),$H$5:$H$634,"&lt;&gt;"&amp;H103)&gt;0),1,0)</f>
        <v>1</v>
      </c>
      <c r="K103" s="9" t="n">
        <f aca="false">IF(AND(E103&gt;=Parameters!$B$11,ROUND(MOD(ROUND(E103,2),Parameters!$B$10),2)=0),1,0)</f>
        <v>1</v>
      </c>
      <c r="L103" s="9" t="n">
        <f aca="false">IF(AND(E103&lt;Parameters!$B$7,E103&gt;=Parameters!$B$7*(1-Parameters!$B$9)),1,0)</f>
        <v>0</v>
      </c>
      <c r="M103" s="9" t="n">
        <f aca="false">IF(AND(E103&lt;Parameters!$B$7,COUNTIFS($C$5:$C$634,C103,$B$5:$B$634,B103)&gt;1,SUMIFS($E$5:$E$634,$C$5:$C$634,C103,$B$5:$B$634,B103)&gt;=Parameters!$B$7),1,0)</f>
        <v>0</v>
      </c>
      <c r="N103" s="9" t="n">
        <f aca="false">IF(AND(E103&gt;=Parameters!$B$7,F103&lt;&gt;Parameters!$B$8),1,0)</f>
        <v>0</v>
      </c>
      <c r="O103" s="9" t="n">
        <f aca="false">INDEX(Vendor_Benford!$N$6:$N$50,MATCH(C103,Vendor_Benford!$A$6:$A$50,0))</f>
        <v>0</v>
      </c>
      <c r="P103" s="9" t="n">
        <f aca="false">INDEX(Vendor_Benford!$M$6:$M$50,MATCH(C103,Vendor_Benford!$A$6:$A$50,0))</f>
        <v>0</v>
      </c>
      <c r="Q103" s="9" t="n">
        <f aca="false">I103*Parameters!$B$28+J103*Parameters!$B$29+K103*Parameters!$B$30+L103*Parameters!$B$31+M103*Parameters!$B$32+N103*Parameters!$B$33+O103*Parameters!$B$34+P103*Parameters!$B$35</f>
        <v>5</v>
      </c>
      <c r="R103" s="0" t="str">
        <f aca="false">IF(Q103&gt;=Parameters!$B$24,"High","")</f>
        <v>High</v>
      </c>
    </row>
    <row r="104" customFormat="false" ht="15" hidden="false" customHeight="false" outlineLevel="0" collapsed="false">
      <c r="A104" s="10" t="s">
        <v>514</v>
      </c>
      <c r="B104" s="8" t="n">
        <v>45720</v>
      </c>
      <c r="C104" s="10" t="s">
        <v>134</v>
      </c>
      <c r="D104" s="10" t="s">
        <v>515</v>
      </c>
      <c r="E104" s="12" t="n">
        <v>64842.65</v>
      </c>
      <c r="F104" s="10" t="s">
        <v>40</v>
      </c>
      <c r="G104" s="9" t="n">
        <f aca="false">VALUE(LEFT(TEXT(E104,"0.00"),1))</f>
        <v>6</v>
      </c>
      <c r="H104" s="0" t="str">
        <f aca="false">UPPER(SUBSTITUTE(SUBSTITUTE(SUBSTITUTE(D104," ",""),"/",""),".",""))</f>
        <v>INV9014</v>
      </c>
      <c r="I104" s="9" t="n">
        <f aca="false">IF(COUNTIFS($C$5:C104,C104,$H$5:H104,H104,$E$5:E104,E104)&gt;1,1,0)</f>
        <v>0</v>
      </c>
      <c r="J104" s="9" t="n">
        <f aca="false">IF(AND(I104=0,COUNTIFS($C$5:$C$634,C104,$E$5:$E$634,E104,$B$5:$B$634,"&gt;="&amp;(B104-Parameters!$B$12),$B$5:$B$634,"&lt;="&amp;(B104+Parameters!$B$12),$H$5:$H$634,"&lt;&gt;"&amp;H104)&gt;0),1,0)</f>
        <v>0</v>
      </c>
      <c r="K104" s="9" t="n">
        <f aca="false">IF(AND(E104&gt;=Parameters!$B$11,ROUND(MOD(ROUND(E104,2),Parameters!$B$10),2)=0),1,0)</f>
        <v>0</v>
      </c>
      <c r="L104" s="9" t="n">
        <f aca="false">IF(AND(E104&lt;Parameters!$B$7,E104&gt;=Parameters!$B$7*(1-Parameters!$B$9)),1,0)</f>
        <v>0</v>
      </c>
      <c r="M104" s="9" t="n">
        <f aca="false">IF(AND(E104&lt;Parameters!$B$7,COUNTIFS($C$5:$C$634,C104,$B$5:$B$634,B104)&gt;1,SUMIFS($E$5:$E$634,$C$5:$C$634,C104,$B$5:$B$634,B104)&gt;=Parameters!$B$7),1,0)</f>
        <v>0</v>
      </c>
      <c r="N104" s="9" t="n">
        <f aca="false">IF(AND(E104&gt;=Parameters!$B$7,F104&lt;&gt;Parameters!$B$8),1,0)</f>
        <v>0</v>
      </c>
      <c r="O104" s="9" t="n">
        <f aca="false">INDEX(Vendor_Benford!$N$6:$N$50,MATCH(C104,Vendor_Benford!$A$6:$A$50,0))</f>
        <v>0</v>
      </c>
      <c r="P104" s="9" t="n">
        <f aca="false">INDEX(Vendor_Benford!$M$6:$M$50,MATCH(C104,Vendor_Benford!$A$6:$A$50,0))</f>
        <v>0</v>
      </c>
      <c r="Q104" s="9" t="n">
        <f aca="false">I104*Parameters!$B$28+J104*Parameters!$B$29+K104*Parameters!$B$30+L104*Parameters!$B$31+M104*Parameters!$B$32+N104*Parameters!$B$33+O104*Parameters!$B$34+P104*Parameters!$B$35</f>
        <v>0</v>
      </c>
      <c r="R104" s="0" t="str">
        <f aca="false">IF(Q104&gt;=Parameters!$B$24,"High","")</f>
        <v/>
      </c>
    </row>
    <row r="105" customFormat="false" ht="15" hidden="false" customHeight="false" outlineLevel="0" collapsed="false">
      <c r="A105" s="10" t="s">
        <v>516</v>
      </c>
      <c r="B105" s="8" t="n">
        <v>45720</v>
      </c>
      <c r="C105" s="10" t="s">
        <v>137</v>
      </c>
      <c r="D105" s="10" t="s">
        <v>517</v>
      </c>
      <c r="E105" s="12" t="n">
        <v>178.52</v>
      </c>
      <c r="F105" s="10" t="s">
        <v>347</v>
      </c>
      <c r="G105" s="9" t="n">
        <f aca="false">VALUE(LEFT(TEXT(E105,"0.00"),1))</f>
        <v>1</v>
      </c>
      <c r="H105" s="0" t="str">
        <f aca="false">UPPER(SUBSTITUTE(SUBSTITUTE(SUBSTITUTE(D105," ",""),"/",""),".",""))</f>
        <v>INV10002</v>
      </c>
      <c r="I105" s="9" t="n">
        <f aca="false">IF(COUNTIFS($C$5:C105,C105,$H$5:H105,H105,$E$5:E105,E105)&gt;1,1,0)</f>
        <v>0</v>
      </c>
      <c r="J105" s="9" t="n">
        <f aca="false">IF(AND(I105=0,COUNTIFS($C$5:$C$634,C105,$E$5:$E$634,E105,$B$5:$B$634,"&gt;="&amp;(B105-Parameters!$B$12),$B$5:$B$634,"&lt;="&amp;(B105+Parameters!$B$12),$H$5:$H$634,"&lt;&gt;"&amp;H105)&gt;0),1,0)</f>
        <v>0</v>
      </c>
      <c r="K105" s="9" t="n">
        <f aca="false">IF(AND(E105&gt;=Parameters!$B$11,ROUND(MOD(ROUND(E105,2),Parameters!$B$10),2)=0),1,0)</f>
        <v>0</v>
      </c>
      <c r="L105" s="9" t="n">
        <f aca="false">IF(AND(E105&lt;Parameters!$B$7,E105&gt;=Parameters!$B$7*(1-Parameters!$B$9)),1,0)</f>
        <v>0</v>
      </c>
      <c r="M105" s="9" t="n">
        <f aca="false">IF(AND(E105&lt;Parameters!$B$7,COUNTIFS($C$5:$C$634,C105,$B$5:$B$634,B105)&gt;1,SUMIFS($E$5:$E$634,$C$5:$C$634,C105,$B$5:$B$634,B105)&gt;=Parameters!$B$7),1,0)</f>
        <v>0</v>
      </c>
      <c r="N105" s="9" t="n">
        <f aca="false">IF(AND(E105&gt;=Parameters!$B$7,F105&lt;&gt;Parameters!$B$8),1,0)</f>
        <v>0</v>
      </c>
      <c r="O105" s="9" t="n">
        <f aca="false">INDEX(Vendor_Benford!$N$6:$N$50,MATCH(C105,Vendor_Benford!$A$6:$A$50,0))</f>
        <v>0</v>
      </c>
      <c r="P105" s="9" t="n">
        <f aca="false">INDEX(Vendor_Benford!$M$6:$M$50,MATCH(C105,Vendor_Benford!$A$6:$A$50,0))</f>
        <v>0</v>
      </c>
      <c r="Q105" s="9" t="n">
        <f aca="false">I105*Parameters!$B$28+J105*Parameters!$B$29+K105*Parameters!$B$30+L105*Parameters!$B$31+M105*Parameters!$B$32+N105*Parameters!$B$33+O105*Parameters!$B$34+P105*Parameters!$B$35</f>
        <v>0</v>
      </c>
      <c r="R105" s="0" t="str">
        <f aca="false">IF(Q105&gt;=Parameters!$B$24,"High","")</f>
        <v/>
      </c>
    </row>
    <row r="106" customFormat="false" ht="15" hidden="false" customHeight="false" outlineLevel="0" collapsed="false">
      <c r="A106" s="10" t="s">
        <v>518</v>
      </c>
      <c r="B106" s="8" t="n">
        <v>45720</v>
      </c>
      <c r="C106" s="10" t="s">
        <v>161</v>
      </c>
      <c r="D106" s="10" t="s">
        <v>519</v>
      </c>
      <c r="E106" s="12" t="n">
        <v>10025.86</v>
      </c>
      <c r="F106" s="10" t="s">
        <v>40</v>
      </c>
      <c r="G106" s="9" t="n">
        <f aca="false">VALUE(LEFT(TEXT(E106,"0.00"),1))</f>
        <v>1</v>
      </c>
      <c r="H106" s="0" t="str">
        <f aca="false">UPPER(SUBSTITUTE(SUBSTITUTE(SUBSTITUTE(D106," ",""),"/",""),".",""))</f>
        <v>INV18018</v>
      </c>
      <c r="I106" s="9" t="n">
        <f aca="false">IF(COUNTIFS($C$5:C106,C106,$H$5:H106,H106,$E$5:E106,E106)&gt;1,1,0)</f>
        <v>0</v>
      </c>
      <c r="J106" s="9" t="n">
        <f aca="false">IF(AND(I106=0,COUNTIFS($C$5:$C$634,C106,$E$5:$E$634,E106,$B$5:$B$634,"&gt;="&amp;(B106-Parameters!$B$12),$B$5:$B$634,"&lt;="&amp;(B106+Parameters!$B$12),$H$5:$H$634,"&lt;&gt;"&amp;H106)&gt;0),1,0)</f>
        <v>0</v>
      </c>
      <c r="K106" s="9" t="n">
        <f aca="false">IF(AND(E106&gt;=Parameters!$B$11,ROUND(MOD(ROUND(E106,2),Parameters!$B$10),2)=0),1,0)</f>
        <v>0</v>
      </c>
      <c r="L106" s="9" t="n">
        <f aca="false">IF(AND(E106&lt;Parameters!$B$7,E106&gt;=Parameters!$B$7*(1-Parameters!$B$9)),1,0)</f>
        <v>0</v>
      </c>
      <c r="M106" s="9" t="n">
        <f aca="false">IF(AND(E106&lt;Parameters!$B$7,COUNTIFS($C$5:$C$634,C106,$B$5:$B$634,B106)&gt;1,SUMIFS($E$5:$E$634,$C$5:$C$634,C106,$B$5:$B$634,B106)&gt;=Parameters!$B$7),1,0)</f>
        <v>0</v>
      </c>
      <c r="N106" s="9" t="n">
        <f aca="false">IF(AND(E106&gt;=Parameters!$B$7,F106&lt;&gt;Parameters!$B$8),1,0)</f>
        <v>0</v>
      </c>
      <c r="O106" s="9" t="n">
        <f aca="false">INDEX(Vendor_Benford!$N$6:$N$50,MATCH(C106,Vendor_Benford!$A$6:$A$50,0))</f>
        <v>0</v>
      </c>
      <c r="P106" s="9" t="n">
        <f aca="false">INDEX(Vendor_Benford!$M$6:$M$50,MATCH(C106,Vendor_Benford!$A$6:$A$50,0))</f>
        <v>0</v>
      </c>
      <c r="Q106" s="9" t="n">
        <f aca="false">I106*Parameters!$B$28+J106*Parameters!$B$29+K106*Parameters!$B$30+L106*Parameters!$B$31+M106*Parameters!$B$32+N106*Parameters!$B$33+O106*Parameters!$B$34+P106*Parameters!$B$35</f>
        <v>0</v>
      </c>
      <c r="R106" s="0" t="str">
        <f aca="false">IF(Q106&gt;=Parameters!$B$24,"High","")</f>
        <v/>
      </c>
    </row>
    <row r="107" customFormat="false" ht="15" hidden="false" customHeight="false" outlineLevel="0" collapsed="false">
      <c r="A107" s="10" t="s">
        <v>520</v>
      </c>
      <c r="B107" s="8" t="n">
        <v>45720</v>
      </c>
      <c r="C107" s="10" t="s">
        <v>173</v>
      </c>
      <c r="D107" s="10" t="s">
        <v>521</v>
      </c>
      <c r="E107" s="12" t="n">
        <v>156.68</v>
      </c>
      <c r="F107" s="10" t="s">
        <v>347</v>
      </c>
      <c r="G107" s="9" t="n">
        <f aca="false">VALUE(LEFT(TEXT(E107,"0.00"),1))</f>
        <v>1</v>
      </c>
      <c r="H107" s="0" t="str">
        <f aca="false">UPPER(SUBSTITUTE(SUBSTITUTE(SUBSTITUTE(D107," ",""),"/",""),".",""))</f>
        <v>INV22012</v>
      </c>
      <c r="I107" s="9" t="n">
        <f aca="false">IF(COUNTIFS($C$5:C107,C107,$H$5:H107,H107,$E$5:E107,E107)&gt;1,1,0)</f>
        <v>0</v>
      </c>
      <c r="J107" s="9" t="n">
        <f aca="false">IF(AND(I107=0,COUNTIFS($C$5:$C$634,C107,$E$5:$E$634,E107,$B$5:$B$634,"&gt;="&amp;(B107-Parameters!$B$12),$B$5:$B$634,"&lt;="&amp;(B107+Parameters!$B$12),$H$5:$H$634,"&lt;&gt;"&amp;H107)&gt;0),1,0)</f>
        <v>0</v>
      </c>
      <c r="K107" s="9" t="n">
        <f aca="false">IF(AND(E107&gt;=Parameters!$B$11,ROUND(MOD(ROUND(E107,2),Parameters!$B$10),2)=0),1,0)</f>
        <v>0</v>
      </c>
      <c r="L107" s="9" t="n">
        <f aca="false">IF(AND(E107&lt;Parameters!$B$7,E107&gt;=Parameters!$B$7*(1-Parameters!$B$9)),1,0)</f>
        <v>0</v>
      </c>
      <c r="M107" s="9" t="n">
        <f aca="false">IF(AND(E107&lt;Parameters!$B$7,COUNTIFS($C$5:$C$634,C107,$B$5:$B$634,B107)&gt;1,SUMIFS($E$5:$E$634,$C$5:$C$634,C107,$B$5:$B$634,B107)&gt;=Parameters!$B$7),1,0)</f>
        <v>0</v>
      </c>
      <c r="N107" s="9" t="n">
        <f aca="false">IF(AND(E107&gt;=Parameters!$B$7,F107&lt;&gt;Parameters!$B$8),1,0)</f>
        <v>0</v>
      </c>
      <c r="O107" s="9" t="n">
        <f aca="false">INDEX(Vendor_Benford!$N$6:$N$50,MATCH(C107,Vendor_Benford!$A$6:$A$50,0))</f>
        <v>0</v>
      </c>
      <c r="P107" s="9" t="n">
        <f aca="false">INDEX(Vendor_Benford!$M$6:$M$50,MATCH(C107,Vendor_Benford!$A$6:$A$50,0))</f>
        <v>0</v>
      </c>
      <c r="Q107" s="9" t="n">
        <f aca="false">I107*Parameters!$B$28+J107*Parameters!$B$29+K107*Parameters!$B$30+L107*Parameters!$B$31+M107*Parameters!$B$32+N107*Parameters!$B$33+O107*Parameters!$B$34+P107*Parameters!$B$35</f>
        <v>0</v>
      </c>
      <c r="R107" s="0" t="str">
        <f aca="false">IF(Q107&gt;=Parameters!$B$24,"High","")</f>
        <v/>
      </c>
    </row>
    <row r="108" customFormat="false" ht="15" hidden="false" customHeight="false" outlineLevel="0" collapsed="false">
      <c r="A108" s="10" t="s">
        <v>522</v>
      </c>
      <c r="B108" s="8" t="n">
        <v>45720</v>
      </c>
      <c r="C108" s="10" t="s">
        <v>200</v>
      </c>
      <c r="D108" s="10" t="s">
        <v>523</v>
      </c>
      <c r="E108" s="12" t="n">
        <v>4743.47</v>
      </c>
      <c r="F108" s="10" t="s">
        <v>347</v>
      </c>
      <c r="G108" s="9" t="n">
        <f aca="false">VALUE(LEFT(TEXT(E108,"0.00"),1))</f>
        <v>4</v>
      </c>
      <c r="H108" s="0" t="str">
        <f aca="false">UPPER(SUBSTITUTE(SUBSTITUTE(SUBSTITUTE(D108," ",""),"/",""),".",""))</f>
        <v>INV31015</v>
      </c>
      <c r="I108" s="9" t="n">
        <f aca="false">IF(COUNTIFS($C$5:C108,C108,$H$5:H108,H108,$E$5:E108,E108)&gt;1,1,0)</f>
        <v>0</v>
      </c>
      <c r="J108" s="9" t="n">
        <f aca="false">IF(AND(I108=0,COUNTIFS($C$5:$C$634,C108,$E$5:$E$634,E108,$B$5:$B$634,"&gt;="&amp;(B108-Parameters!$B$12),$B$5:$B$634,"&lt;="&amp;(B108+Parameters!$B$12),$H$5:$H$634,"&lt;&gt;"&amp;H108)&gt;0),1,0)</f>
        <v>0</v>
      </c>
      <c r="K108" s="9" t="n">
        <f aca="false">IF(AND(E108&gt;=Parameters!$B$11,ROUND(MOD(ROUND(E108,2),Parameters!$B$10),2)=0),1,0)</f>
        <v>0</v>
      </c>
      <c r="L108" s="9" t="n">
        <f aca="false">IF(AND(E108&lt;Parameters!$B$7,E108&gt;=Parameters!$B$7*(1-Parameters!$B$9)),1,0)</f>
        <v>0</v>
      </c>
      <c r="M108" s="9" t="n">
        <f aca="false">IF(AND(E108&lt;Parameters!$B$7,COUNTIFS($C$5:$C$634,C108,$B$5:$B$634,B108)&gt;1,SUMIFS($E$5:$E$634,$C$5:$C$634,C108,$B$5:$B$634,B108)&gt;=Parameters!$B$7),1,0)</f>
        <v>1</v>
      </c>
      <c r="N108" s="9" t="n">
        <f aca="false">IF(AND(E108&gt;=Parameters!$B$7,F108&lt;&gt;Parameters!$B$8),1,0)</f>
        <v>0</v>
      </c>
      <c r="O108" s="9" t="n">
        <f aca="false">INDEX(Vendor_Benford!$N$6:$N$50,MATCH(C108,Vendor_Benford!$A$6:$A$50,0))</f>
        <v>0</v>
      </c>
      <c r="P108" s="9" t="n">
        <f aca="false">INDEX(Vendor_Benford!$M$6:$M$50,MATCH(C108,Vendor_Benford!$A$6:$A$50,0))</f>
        <v>1</v>
      </c>
      <c r="Q108" s="9" t="n">
        <f aca="false">I108*Parameters!$B$28+J108*Parameters!$B$29+K108*Parameters!$B$30+L108*Parameters!$B$31+M108*Parameters!$B$32+N108*Parameters!$B$33+O108*Parameters!$B$34+P108*Parameters!$B$35</f>
        <v>5</v>
      </c>
      <c r="R108" s="0" t="str">
        <f aca="false">IF(Q108&gt;=Parameters!$B$24,"High","")</f>
        <v>High</v>
      </c>
    </row>
    <row r="109" customFormat="false" ht="15" hidden="false" customHeight="false" outlineLevel="0" collapsed="false">
      <c r="A109" s="10" t="s">
        <v>524</v>
      </c>
      <c r="B109" s="8" t="n">
        <v>45720</v>
      </c>
      <c r="C109" s="10" t="s">
        <v>200</v>
      </c>
      <c r="D109" s="10" t="s">
        <v>525</v>
      </c>
      <c r="E109" s="12" t="n">
        <v>4776.69</v>
      </c>
      <c r="F109" s="10" t="s">
        <v>347</v>
      </c>
      <c r="G109" s="9" t="n">
        <f aca="false">VALUE(LEFT(TEXT(E109,"0.00"),1))</f>
        <v>4</v>
      </c>
      <c r="H109" s="0" t="str">
        <f aca="false">UPPER(SUBSTITUTE(SUBSTITUTE(SUBSTITUTE(D109," ",""),"/",""),".",""))</f>
        <v>INV31023</v>
      </c>
      <c r="I109" s="9" t="n">
        <f aca="false">IF(COUNTIFS($C$5:C109,C109,$H$5:H109,H109,$E$5:E109,E109)&gt;1,1,0)</f>
        <v>0</v>
      </c>
      <c r="J109" s="9" t="n">
        <f aca="false">IF(AND(I109=0,COUNTIFS($C$5:$C$634,C109,$E$5:$E$634,E109,$B$5:$B$634,"&gt;="&amp;(B109-Parameters!$B$12),$B$5:$B$634,"&lt;="&amp;(B109+Parameters!$B$12),$H$5:$H$634,"&lt;&gt;"&amp;H109)&gt;0),1,0)</f>
        <v>0</v>
      </c>
      <c r="K109" s="9" t="n">
        <f aca="false">IF(AND(E109&gt;=Parameters!$B$11,ROUND(MOD(ROUND(E109,2),Parameters!$B$10),2)=0),1,0)</f>
        <v>0</v>
      </c>
      <c r="L109" s="9" t="n">
        <f aca="false">IF(AND(E109&lt;Parameters!$B$7,E109&gt;=Parameters!$B$7*(1-Parameters!$B$9)),1,0)</f>
        <v>1</v>
      </c>
      <c r="M109" s="9" t="n">
        <f aca="false">IF(AND(E109&lt;Parameters!$B$7,COUNTIFS($C$5:$C$634,C109,$B$5:$B$634,B109)&gt;1,SUMIFS($E$5:$E$634,$C$5:$C$634,C109,$B$5:$B$634,B109)&gt;=Parameters!$B$7),1,0)</f>
        <v>1</v>
      </c>
      <c r="N109" s="9" t="n">
        <f aca="false">IF(AND(E109&gt;=Parameters!$B$7,F109&lt;&gt;Parameters!$B$8),1,0)</f>
        <v>0</v>
      </c>
      <c r="O109" s="9" t="n">
        <f aca="false">INDEX(Vendor_Benford!$N$6:$N$50,MATCH(C109,Vendor_Benford!$A$6:$A$50,0))</f>
        <v>0</v>
      </c>
      <c r="P109" s="9" t="n">
        <f aca="false">INDEX(Vendor_Benford!$M$6:$M$50,MATCH(C109,Vendor_Benford!$A$6:$A$50,0))</f>
        <v>1</v>
      </c>
      <c r="Q109" s="9" t="n">
        <f aca="false">I109*Parameters!$B$28+J109*Parameters!$B$29+K109*Parameters!$B$30+L109*Parameters!$B$31+M109*Parameters!$B$32+N109*Parameters!$B$33+O109*Parameters!$B$34+P109*Parameters!$B$35</f>
        <v>7</v>
      </c>
      <c r="R109" s="0" t="str">
        <f aca="false">IF(Q109&gt;=Parameters!$B$24,"High","")</f>
        <v>High</v>
      </c>
    </row>
    <row r="110" customFormat="false" ht="15" hidden="false" customHeight="false" outlineLevel="0" collapsed="false">
      <c r="A110" s="10" t="s">
        <v>526</v>
      </c>
      <c r="B110" s="8" t="n">
        <v>45720</v>
      </c>
      <c r="C110" s="10" t="s">
        <v>200</v>
      </c>
      <c r="D110" s="10" t="s">
        <v>527</v>
      </c>
      <c r="E110" s="12" t="n">
        <v>4781.77</v>
      </c>
      <c r="F110" s="10" t="s">
        <v>347</v>
      </c>
      <c r="G110" s="9" t="n">
        <f aca="false">VALUE(LEFT(TEXT(E110,"0.00"),1))</f>
        <v>4</v>
      </c>
      <c r="H110" s="0" t="str">
        <f aca="false">UPPER(SUBSTITUTE(SUBSTITUTE(SUBSTITUTE(D110," ",""),"/",""),".",""))</f>
        <v>INV31041</v>
      </c>
      <c r="I110" s="9" t="n">
        <f aca="false">IF(COUNTIFS($C$5:C110,C110,$H$5:H110,H110,$E$5:E110,E110)&gt;1,1,0)</f>
        <v>0</v>
      </c>
      <c r="J110" s="9" t="n">
        <f aca="false">IF(AND(I110=0,COUNTIFS($C$5:$C$634,C110,$E$5:$E$634,E110,$B$5:$B$634,"&gt;="&amp;(B110-Parameters!$B$12),$B$5:$B$634,"&lt;="&amp;(B110+Parameters!$B$12),$H$5:$H$634,"&lt;&gt;"&amp;H110)&gt;0),1,0)</f>
        <v>0</v>
      </c>
      <c r="K110" s="9" t="n">
        <f aca="false">IF(AND(E110&gt;=Parameters!$B$11,ROUND(MOD(ROUND(E110,2),Parameters!$B$10),2)=0),1,0)</f>
        <v>0</v>
      </c>
      <c r="L110" s="9" t="n">
        <f aca="false">IF(AND(E110&lt;Parameters!$B$7,E110&gt;=Parameters!$B$7*(1-Parameters!$B$9)),1,0)</f>
        <v>1</v>
      </c>
      <c r="M110" s="9" t="n">
        <f aca="false">IF(AND(E110&lt;Parameters!$B$7,COUNTIFS($C$5:$C$634,C110,$B$5:$B$634,B110)&gt;1,SUMIFS($E$5:$E$634,$C$5:$C$634,C110,$B$5:$B$634,B110)&gt;=Parameters!$B$7),1,0)</f>
        <v>1</v>
      </c>
      <c r="N110" s="9" t="n">
        <f aca="false">IF(AND(E110&gt;=Parameters!$B$7,F110&lt;&gt;Parameters!$B$8),1,0)</f>
        <v>0</v>
      </c>
      <c r="O110" s="9" t="n">
        <f aca="false">INDEX(Vendor_Benford!$N$6:$N$50,MATCH(C110,Vendor_Benford!$A$6:$A$50,0))</f>
        <v>0</v>
      </c>
      <c r="P110" s="9" t="n">
        <f aca="false">INDEX(Vendor_Benford!$M$6:$M$50,MATCH(C110,Vendor_Benford!$A$6:$A$50,0))</f>
        <v>1</v>
      </c>
      <c r="Q110" s="9" t="n">
        <f aca="false">I110*Parameters!$B$28+J110*Parameters!$B$29+K110*Parameters!$B$30+L110*Parameters!$B$31+M110*Parameters!$B$32+N110*Parameters!$B$33+O110*Parameters!$B$34+P110*Parameters!$B$35</f>
        <v>7</v>
      </c>
      <c r="R110" s="0" t="str">
        <f aca="false">IF(Q110&gt;=Parameters!$B$24,"High","")</f>
        <v>High</v>
      </c>
    </row>
    <row r="111" customFormat="false" ht="15" hidden="false" customHeight="false" outlineLevel="0" collapsed="false">
      <c r="A111" s="10" t="s">
        <v>528</v>
      </c>
      <c r="B111" s="8" t="n">
        <v>45720</v>
      </c>
      <c r="C111" s="10" t="s">
        <v>233</v>
      </c>
      <c r="D111" s="10" t="s">
        <v>529</v>
      </c>
      <c r="E111" s="12" t="n">
        <v>15058.48</v>
      </c>
      <c r="F111" s="10" t="s">
        <v>40</v>
      </c>
      <c r="G111" s="9" t="n">
        <f aca="false">VALUE(LEFT(TEXT(E111,"0.00"),1))</f>
        <v>1</v>
      </c>
      <c r="H111" s="0" t="str">
        <f aca="false">UPPER(SUBSTITUTE(SUBSTITUTE(SUBSTITUTE(D111," ",""),"/",""),".",""))</f>
        <v>INV42007</v>
      </c>
      <c r="I111" s="9" t="n">
        <f aca="false">IF(COUNTIFS($C$5:C111,C111,$H$5:H111,H111,$E$5:E111,E111)&gt;1,1,0)</f>
        <v>0</v>
      </c>
      <c r="J111" s="9" t="n">
        <f aca="false">IF(AND(I111=0,COUNTIFS($C$5:$C$634,C111,$E$5:$E$634,E111,$B$5:$B$634,"&gt;="&amp;(B111-Parameters!$B$12),$B$5:$B$634,"&lt;="&amp;(B111+Parameters!$B$12),$H$5:$H$634,"&lt;&gt;"&amp;H111)&gt;0),1,0)</f>
        <v>0</v>
      </c>
      <c r="K111" s="9" t="n">
        <f aca="false">IF(AND(E111&gt;=Parameters!$B$11,ROUND(MOD(ROUND(E111,2),Parameters!$B$10),2)=0),1,0)</f>
        <v>0</v>
      </c>
      <c r="L111" s="9" t="n">
        <f aca="false">IF(AND(E111&lt;Parameters!$B$7,E111&gt;=Parameters!$B$7*(1-Parameters!$B$9)),1,0)</f>
        <v>0</v>
      </c>
      <c r="M111" s="9" t="n">
        <f aca="false">IF(AND(E111&lt;Parameters!$B$7,COUNTIFS($C$5:$C$634,C111,$B$5:$B$634,B111)&gt;1,SUMIFS($E$5:$E$634,$C$5:$C$634,C111,$B$5:$B$634,B111)&gt;=Parameters!$B$7),1,0)</f>
        <v>0</v>
      </c>
      <c r="N111" s="9" t="n">
        <f aca="false">IF(AND(E111&gt;=Parameters!$B$7,F111&lt;&gt;Parameters!$B$8),1,0)</f>
        <v>0</v>
      </c>
      <c r="O111" s="9" t="n">
        <f aca="false">INDEX(Vendor_Benford!$N$6:$N$50,MATCH(C111,Vendor_Benford!$A$6:$A$50,0))</f>
        <v>0</v>
      </c>
      <c r="P111" s="9" t="n">
        <f aca="false">INDEX(Vendor_Benford!$M$6:$M$50,MATCH(C111,Vendor_Benford!$A$6:$A$50,0))</f>
        <v>0</v>
      </c>
      <c r="Q111" s="9" t="n">
        <f aca="false">I111*Parameters!$B$28+J111*Parameters!$B$29+K111*Parameters!$B$30+L111*Parameters!$B$31+M111*Parameters!$B$32+N111*Parameters!$B$33+O111*Parameters!$B$34+P111*Parameters!$B$35</f>
        <v>0</v>
      </c>
      <c r="R111" s="0" t="str">
        <f aca="false">IF(Q111&gt;=Parameters!$B$24,"High","")</f>
        <v/>
      </c>
    </row>
    <row r="112" customFormat="false" ht="15" hidden="false" customHeight="false" outlineLevel="0" collapsed="false">
      <c r="A112" s="10" t="s">
        <v>530</v>
      </c>
      <c r="B112" s="8" t="n">
        <v>45721</v>
      </c>
      <c r="C112" s="10" t="s">
        <v>119</v>
      </c>
      <c r="D112" s="10" t="s">
        <v>531</v>
      </c>
      <c r="E112" s="12" t="n">
        <v>1958.29</v>
      </c>
      <c r="F112" s="10" t="s">
        <v>347</v>
      </c>
      <c r="G112" s="9" t="n">
        <f aca="false">VALUE(LEFT(TEXT(E112,"0.00"),1))</f>
        <v>1</v>
      </c>
      <c r="H112" s="0" t="str">
        <f aca="false">UPPER(SUBSTITUTE(SUBSTITUTE(SUBSTITUTE(D112," ",""),"/",""),".",""))</f>
        <v>INV4007</v>
      </c>
      <c r="I112" s="9" t="n">
        <f aca="false">IF(COUNTIFS($C$5:C112,C112,$H$5:H112,H112,$E$5:E112,E112)&gt;1,1,0)</f>
        <v>0</v>
      </c>
      <c r="J112" s="9" t="n">
        <f aca="false">IF(AND(I112=0,COUNTIFS($C$5:$C$634,C112,$E$5:$E$634,E112,$B$5:$B$634,"&gt;="&amp;(B112-Parameters!$B$12),$B$5:$B$634,"&lt;="&amp;(B112+Parameters!$B$12),$H$5:$H$634,"&lt;&gt;"&amp;H112)&gt;0),1,0)</f>
        <v>0</v>
      </c>
      <c r="K112" s="9" t="n">
        <f aca="false">IF(AND(E112&gt;=Parameters!$B$11,ROUND(MOD(ROUND(E112,2),Parameters!$B$10),2)=0),1,0)</f>
        <v>0</v>
      </c>
      <c r="L112" s="9" t="n">
        <f aca="false">IF(AND(E112&lt;Parameters!$B$7,E112&gt;=Parameters!$B$7*(1-Parameters!$B$9)),1,0)</f>
        <v>0</v>
      </c>
      <c r="M112" s="9" t="n">
        <f aca="false">IF(AND(E112&lt;Parameters!$B$7,COUNTIFS($C$5:$C$634,C112,$B$5:$B$634,B112)&gt;1,SUMIFS($E$5:$E$634,$C$5:$C$634,C112,$B$5:$B$634,B112)&gt;=Parameters!$B$7),1,0)</f>
        <v>0</v>
      </c>
      <c r="N112" s="9" t="n">
        <f aca="false">IF(AND(E112&gt;=Parameters!$B$7,F112&lt;&gt;Parameters!$B$8),1,0)</f>
        <v>0</v>
      </c>
      <c r="O112" s="9" t="n">
        <f aca="false">INDEX(Vendor_Benford!$N$6:$N$50,MATCH(C112,Vendor_Benford!$A$6:$A$50,0))</f>
        <v>0</v>
      </c>
      <c r="P112" s="9" t="n">
        <f aca="false">INDEX(Vendor_Benford!$M$6:$M$50,MATCH(C112,Vendor_Benford!$A$6:$A$50,0))</f>
        <v>0</v>
      </c>
      <c r="Q112" s="9" t="n">
        <f aca="false">I112*Parameters!$B$28+J112*Parameters!$B$29+K112*Parameters!$B$30+L112*Parameters!$B$31+M112*Parameters!$B$32+N112*Parameters!$B$33+O112*Parameters!$B$34+P112*Parameters!$B$35</f>
        <v>0</v>
      </c>
      <c r="R112" s="0" t="str">
        <f aca="false">IF(Q112&gt;=Parameters!$B$24,"High","")</f>
        <v/>
      </c>
    </row>
    <row r="113" customFormat="false" ht="15" hidden="false" customHeight="false" outlineLevel="0" collapsed="false">
      <c r="A113" s="10" t="s">
        <v>532</v>
      </c>
      <c r="B113" s="8" t="n">
        <v>45721</v>
      </c>
      <c r="C113" s="10" t="s">
        <v>134</v>
      </c>
      <c r="D113" s="10" t="s">
        <v>533</v>
      </c>
      <c r="E113" s="12" t="n">
        <v>71754.53</v>
      </c>
      <c r="F113" s="10" t="s">
        <v>40</v>
      </c>
      <c r="G113" s="9" t="n">
        <f aca="false">VALUE(LEFT(TEXT(E113,"0.00"),1))</f>
        <v>7</v>
      </c>
      <c r="H113" s="0" t="str">
        <f aca="false">UPPER(SUBSTITUTE(SUBSTITUTE(SUBSTITUTE(D113," ",""),"/",""),".",""))</f>
        <v>INV9005</v>
      </c>
      <c r="I113" s="9" t="n">
        <f aca="false">IF(COUNTIFS($C$5:C113,C113,$H$5:H113,H113,$E$5:E113,E113)&gt;1,1,0)</f>
        <v>0</v>
      </c>
      <c r="J113" s="9" t="n">
        <f aca="false">IF(AND(I113=0,COUNTIFS($C$5:$C$634,C113,$E$5:$E$634,E113,$B$5:$B$634,"&gt;="&amp;(B113-Parameters!$B$12),$B$5:$B$634,"&lt;="&amp;(B113+Parameters!$B$12),$H$5:$H$634,"&lt;&gt;"&amp;H113)&gt;0),1,0)</f>
        <v>0</v>
      </c>
      <c r="K113" s="9" t="n">
        <f aca="false">IF(AND(E113&gt;=Parameters!$B$11,ROUND(MOD(ROUND(E113,2),Parameters!$B$10),2)=0),1,0)</f>
        <v>0</v>
      </c>
      <c r="L113" s="9" t="n">
        <f aca="false">IF(AND(E113&lt;Parameters!$B$7,E113&gt;=Parameters!$B$7*(1-Parameters!$B$9)),1,0)</f>
        <v>0</v>
      </c>
      <c r="M113" s="9" t="n">
        <f aca="false">IF(AND(E113&lt;Parameters!$B$7,COUNTIFS($C$5:$C$634,C113,$B$5:$B$634,B113)&gt;1,SUMIFS($E$5:$E$634,$C$5:$C$634,C113,$B$5:$B$634,B113)&gt;=Parameters!$B$7),1,0)</f>
        <v>0</v>
      </c>
      <c r="N113" s="9" t="n">
        <f aca="false">IF(AND(E113&gt;=Parameters!$B$7,F113&lt;&gt;Parameters!$B$8),1,0)</f>
        <v>0</v>
      </c>
      <c r="O113" s="9" t="n">
        <f aca="false">INDEX(Vendor_Benford!$N$6:$N$50,MATCH(C113,Vendor_Benford!$A$6:$A$50,0))</f>
        <v>0</v>
      </c>
      <c r="P113" s="9" t="n">
        <f aca="false">INDEX(Vendor_Benford!$M$6:$M$50,MATCH(C113,Vendor_Benford!$A$6:$A$50,0))</f>
        <v>0</v>
      </c>
      <c r="Q113" s="9" t="n">
        <f aca="false">I113*Parameters!$B$28+J113*Parameters!$B$29+K113*Parameters!$B$30+L113*Parameters!$B$31+M113*Parameters!$B$32+N113*Parameters!$B$33+O113*Parameters!$B$34+P113*Parameters!$B$35</f>
        <v>0</v>
      </c>
      <c r="R113" s="0" t="str">
        <f aca="false">IF(Q113&gt;=Parameters!$B$24,"High","")</f>
        <v/>
      </c>
    </row>
    <row r="114" customFormat="false" ht="15" hidden="false" customHeight="false" outlineLevel="0" collapsed="false">
      <c r="A114" s="10" t="s">
        <v>534</v>
      </c>
      <c r="B114" s="8" t="n">
        <v>45721</v>
      </c>
      <c r="C114" s="10" t="s">
        <v>140</v>
      </c>
      <c r="D114" s="10" t="s">
        <v>535</v>
      </c>
      <c r="E114" s="12" t="n">
        <v>189.29</v>
      </c>
      <c r="F114" s="10" t="s">
        <v>347</v>
      </c>
      <c r="G114" s="9" t="n">
        <f aca="false">VALUE(LEFT(TEXT(E114,"0.00"),1))</f>
        <v>1</v>
      </c>
      <c r="H114" s="0" t="str">
        <f aca="false">UPPER(SUBSTITUTE(SUBSTITUTE(SUBSTITUTE(D114," ",""),"/",""),".",""))</f>
        <v>INV11006</v>
      </c>
      <c r="I114" s="9" t="n">
        <f aca="false">IF(COUNTIFS($C$5:C114,C114,$H$5:H114,H114,$E$5:E114,E114)&gt;1,1,0)</f>
        <v>0</v>
      </c>
      <c r="J114" s="9" t="n">
        <f aca="false">IF(AND(I114=0,COUNTIFS($C$5:$C$634,C114,$E$5:$E$634,E114,$B$5:$B$634,"&gt;="&amp;(B114-Parameters!$B$12),$B$5:$B$634,"&lt;="&amp;(B114+Parameters!$B$12),$H$5:$H$634,"&lt;&gt;"&amp;H114)&gt;0),1,0)</f>
        <v>0</v>
      </c>
      <c r="K114" s="9" t="n">
        <f aca="false">IF(AND(E114&gt;=Parameters!$B$11,ROUND(MOD(ROUND(E114,2),Parameters!$B$10),2)=0),1,0)</f>
        <v>0</v>
      </c>
      <c r="L114" s="9" t="n">
        <f aca="false">IF(AND(E114&lt;Parameters!$B$7,E114&gt;=Parameters!$B$7*(1-Parameters!$B$9)),1,0)</f>
        <v>0</v>
      </c>
      <c r="M114" s="9" t="n">
        <f aca="false">IF(AND(E114&lt;Parameters!$B$7,COUNTIFS($C$5:$C$634,C114,$B$5:$B$634,B114)&gt;1,SUMIFS($E$5:$E$634,$C$5:$C$634,C114,$B$5:$B$634,B114)&gt;=Parameters!$B$7),1,0)</f>
        <v>0</v>
      </c>
      <c r="N114" s="9" t="n">
        <f aca="false">IF(AND(E114&gt;=Parameters!$B$7,F114&lt;&gt;Parameters!$B$8),1,0)</f>
        <v>0</v>
      </c>
      <c r="O114" s="9" t="n">
        <f aca="false">INDEX(Vendor_Benford!$N$6:$N$50,MATCH(C114,Vendor_Benford!$A$6:$A$50,0))</f>
        <v>0</v>
      </c>
      <c r="P114" s="9" t="n">
        <f aca="false">INDEX(Vendor_Benford!$M$6:$M$50,MATCH(C114,Vendor_Benford!$A$6:$A$50,0))</f>
        <v>0</v>
      </c>
      <c r="Q114" s="9" t="n">
        <f aca="false">I114*Parameters!$B$28+J114*Parameters!$B$29+K114*Parameters!$B$30+L114*Parameters!$B$31+M114*Parameters!$B$32+N114*Parameters!$B$33+O114*Parameters!$B$34+P114*Parameters!$B$35</f>
        <v>0</v>
      </c>
      <c r="R114" s="0" t="str">
        <f aca="false">IF(Q114&gt;=Parameters!$B$24,"High","")</f>
        <v/>
      </c>
    </row>
    <row r="115" customFormat="false" ht="15" hidden="false" customHeight="false" outlineLevel="0" collapsed="false">
      <c r="A115" s="10" t="s">
        <v>536</v>
      </c>
      <c r="B115" s="8" t="n">
        <v>45721</v>
      </c>
      <c r="C115" s="10" t="s">
        <v>221</v>
      </c>
      <c r="D115" s="10" t="s">
        <v>537</v>
      </c>
      <c r="E115" s="12" t="n">
        <v>20640.17</v>
      </c>
      <c r="F115" s="10" t="s">
        <v>40</v>
      </c>
      <c r="G115" s="9" t="n">
        <f aca="false">VALUE(LEFT(TEXT(E115,"0.00"),1))</f>
        <v>2</v>
      </c>
      <c r="H115" s="0" t="str">
        <f aca="false">UPPER(SUBSTITUTE(SUBSTITUTE(SUBSTITUTE(D115," ",""),"/",""),".",""))</f>
        <v>INV38007</v>
      </c>
      <c r="I115" s="9" t="n">
        <f aca="false">IF(COUNTIFS($C$5:C115,C115,$H$5:H115,H115,$E$5:E115,E115)&gt;1,1,0)</f>
        <v>0</v>
      </c>
      <c r="J115" s="9" t="n">
        <f aca="false">IF(AND(I115=0,COUNTIFS($C$5:$C$634,C115,$E$5:$E$634,E115,$B$5:$B$634,"&gt;="&amp;(B115-Parameters!$B$12),$B$5:$B$634,"&lt;="&amp;(B115+Parameters!$B$12),$H$5:$H$634,"&lt;&gt;"&amp;H115)&gt;0),1,0)</f>
        <v>0</v>
      </c>
      <c r="K115" s="9" t="n">
        <f aca="false">IF(AND(E115&gt;=Parameters!$B$11,ROUND(MOD(ROUND(E115,2),Parameters!$B$10),2)=0),1,0)</f>
        <v>0</v>
      </c>
      <c r="L115" s="9" t="n">
        <f aca="false">IF(AND(E115&lt;Parameters!$B$7,E115&gt;=Parameters!$B$7*(1-Parameters!$B$9)),1,0)</f>
        <v>0</v>
      </c>
      <c r="M115" s="9" t="n">
        <f aca="false">IF(AND(E115&lt;Parameters!$B$7,COUNTIFS($C$5:$C$634,C115,$B$5:$B$634,B115)&gt;1,SUMIFS($E$5:$E$634,$C$5:$C$634,C115,$B$5:$B$634,B115)&gt;=Parameters!$B$7),1,0)</f>
        <v>0</v>
      </c>
      <c r="N115" s="9" t="n">
        <f aca="false">IF(AND(E115&gt;=Parameters!$B$7,F115&lt;&gt;Parameters!$B$8),1,0)</f>
        <v>0</v>
      </c>
      <c r="O115" s="9" t="n">
        <f aca="false">INDEX(Vendor_Benford!$N$6:$N$50,MATCH(C115,Vendor_Benford!$A$6:$A$50,0))</f>
        <v>1</v>
      </c>
      <c r="P115" s="9" t="n">
        <f aca="false">INDEX(Vendor_Benford!$M$6:$M$50,MATCH(C115,Vendor_Benford!$A$6:$A$50,0))</f>
        <v>0</v>
      </c>
      <c r="Q115" s="9" t="n">
        <f aca="false">I115*Parameters!$B$28+J115*Parameters!$B$29+K115*Parameters!$B$30+L115*Parameters!$B$31+M115*Parameters!$B$32+N115*Parameters!$B$33+O115*Parameters!$B$34+P115*Parameters!$B$35</f>
        <v>5</v>
      </c>
      <c r="R115" s="0" t="str">
        <f aca="false">IF(Q115&gt;=Parameters!$B$24,"High","")</f>
        <v>High</v>
      </c>
    </row>
    <row r="116" customFormat="false" ht="15" hidden="false" customHeight="false" outlineLevel="0" collapsed="false">
      <c r="A116" s="10" t="s">
        <v>538</v>
      </c>
      <c r="B116" s="8" t="n">
        <v>45723</v>
      </c>
      <c r="C116" s="10" t="s">
        <v>131</v>
      </c>
      <c r="D116" s="10" t="s">
        <v>539</v>
      </c>
      <c r="E116" s="12" t="n">
        <v>29080.01</v>
      </c>
      <c r="F116" s="10" t="s">
        <v>40</v>
      </c>
      <c r="G116" s="9" t="n">
        <f aca="false">VALUE(LEFT(TEXT(E116,"0.00"),1))</f>
        <v>2</v>
      </c>
      <c r="H116" s="0" t="str">
        <f aca="false">UPPER(SUBSTITUTE(SUBSTITUTE(SUBSTITUTE(D116," ",""),"/",""),".",""))</f>
        <v>INV8013</v>
      </c>
      <c r="I116" s="9" t="n">
        <f aca="false">IF(COUNTIFS($C$5:C116,C116,$H$5:H116,H116,$E$5:E116,E116)&gt;1,1,0)</f>
        <v>0</v>
      </c>
      <c r="J116" s="9" t="n">
        <f aca="false">IF(AND(I116=0,COUNTIFS($C$5:$C$634,C116,$E$5:$E$634,E116,$B$5:$B$634,"&gt;="&amp;(B116-Parameters!$B$12),$B$5:$B$634,"&lt;="&amp;(B116+Parameters!$B$12),$H$5:$H$634,"&lt;&gt;"&amp;H116)&gt;0),1,0)</f>
        <v>0</v>
      </c>
      <c r="K116" s="9" t="n">
        <f aca="false">IF(AND(E116&gt;=Parameters!$B$11,ROUND(MOD(ROUND(E116,2),Parameters!$B$10),2)=0),1,0)</f>
        <v>0</v>
      </c>
      <c r="L116" s="9" t="n">
        <f aca="false">IF(AND(E116&lt;Parameters!$B$7,E116&gt;=Parameters!$B$7*(1-Parameters!$B$9)),1,0)</f>
        <v>0</v>
      </c>
      <c r="M116" s="9" t="n">
        <f aca="false">IF(AND(E116&lt;Parameters!$B$7,COUNTIFS($C$5:$C$634,C116,$B$5:$B$634,B116)&gt;1,SUMIFS($E$5:$E$634,$C$5:$C$634,C116,$B$5:$B$634,B116)&gt;=Parameters!$B$7),1,0)</f>
        <v>0</v>
      </c>
      <c r="N116" s="9" t="n">
        <f aca="false">IF(AND(E116&gt;=Parameters!$B$7,F116&lt;&gt;Parameters!$B$8),1,0)</f>
        <v>0</v>
      </c>
      <c r="O116" s="9" t="n">
        <f aca="false">INDEX(Vendor_Benford!$N$6:$N$50,MATCH(C116,Vendor_Benford!$A$6:$A$50,0))</f>
        <v>0</v>
      </c>
      <c r="P116" s="9" t="n">
        <f aca="false">INDEX(Vendor_Benford!$M$6:$M$50,MATCH(C116,Vendor_Benford!$A$6:$A$50,0))</f>
        <v>0</v>
      </c>
      <c r="Q116" s="9" t="n">
        <f aca="false">I116*Parameters!$B$28+J116*Parameters!$B$29+K116*Parameters!$B$30+L116*Parameters!$B$31+M116*Parameters!$B$32+N116*Parameters!$B$33+O116*Parameters!$B$34+P116*Parameters!$B$35</f>
        <v>0</v>
      </c>
      <c r="R116" s="0" t="str">
        <f aca="false">IF(Q116&gt;=Parameters!$B$24,"High","")</f>
        <v/>
      </c>
    </row>
    <row r="117" customFormat="false" ht="15" hidden="false" customHeight="false" outlineLevel="0" collapsed="false">
      <c r="A117" s="10" t="s">
        <v>540</v>
      </c>
      <c r="B117" s="8" t="n">
        <v>45723</v>
      </c>
      <c r="C117" s="10" t="s">
        <v>170</v>
      </c>
      <c r="D117" s="10" t="s">
        <v>541</v>
      </c>
      <c r="E117" s="12" t="n">
        <v>881.91</v>
      </c>
      <c r="F117" s="10" t="s">
        <v>347</v>
      </c>
      <c r="G117" s="9" t="n">
        <f aca="false">VALUE(LEFT(TEXT(E117,"0.00"),1))</f>
        <v>8</v>
      </c>
      <c r="H117" s="0" t="str">
        <f aca="false">UPPER(SUBSTITUTE(SUBSTITUTE(SUBSTITUTE(D117," ",""),"/",""),".",""))</f>
        <v>INV21003</v>
      </c>
      <c r="I117" s="9" t="n">
        <f aca="false">IF(COUNTIFS($C$5:C117,C117,$H$5:H117,H117,$E$5:E117,E117)&gt;1,1,0)</f>
        <v>0</v>
      </c>
      <c r="J117" s="9" t="n">
        <f aca="false">IF(AND(I117=0,COUNTIFS($C$5:$C$634,C117,$E$5:$E$634,E117,$B$5:$B$634,"&gt;="&amp;(B117-Parameters!$B$12),$B$5:$B$634,"&lt;="&amp;(B117+Parameters!$B$12),$H$5:$H$634,"&lt;&gt;"&amp;H117)&gt;0),1,0)</f>
        <v>0</v>
      </c>
      <c r="K117" s="9" t="n">
        <f aca="false">IF(AND(E117&gt;=Parameters!$B$11,ROUND(MOD(ROUND(E117,2),Parameters!$B$10),2)=0),1,0)</f>
        <v>0</v>
      </c>
      <c r="L117" s="9" t="n">
        <f aca="false">IF(AND(E117&lt;Parameters!$B$7,E117&gt;=Parameters!$B$7*(1-Parameters!$B$9)),1,0)</f>
        <v>0</v>
      </c>
      <c r="M117" s="9" t="n">
        <f aca="false">IF(AND(E117&lt;Parameters!$B$7,COUNTIFS($C$5:$C$634,C117,$B$5:$B$634,B117)&gt;1,SUMIFS($E$5:$E$634,$C$5:$C$634,C117,$B$5:$B$634,B117)&gt;=Parameters!$B$7),1,0)</f>
        <v>0</v>
      </c>
      <c r="N117" s="9" t="n">
        <f aca="false">IF(AND(E117&gt;=Parameters!$B$7,F117&lt;&gt;Parameters!$B$8),1,0)</f>
        <v>0</v>
      </c>
      <c r="O117" s="9" t="n">
        <f aca="false">INDEX(Vendor_Benford!$N$6:$N$50,MATCH(C117,Vendor_Benford!$A$6:$A$50,0))</f>
        <v>0</v>
      </c>
      <c r="P117" s="9" t="n">
        <f aca="false">INDEX(Vendor_Benford!$M$6:$M$50,MATCH(C117,Vendor_Benford!$A$6:$A$50,0))</f>
        <v>0</v>
      </c>
      <c r="Q117" s="9" t="n">
        <f aca="false">I117*Parameters!$B$28+J117*Parameters!$B$29+K117*Parameters!$B$30+L117*Parameters!$B$31+M117*Parameters!$B$32+N117*Parameters!$B$33+O117*Parameters!$B$34+P117*Parameters!$B$35</f>
        <v>0</v>
      </c>
      <c r="R117" s="0" t="str">
        <f aca="false">IF(Q117&gt;=Parameters!$B$24,"High","")</f>
        <v/>
      </c>
    </row>
    <row r="118" customFormat="false" ht="15" hidden="false" customHeight="false" outlineLevel="0" collapsed="false">
      <c r="A118" s="10" t="s">
        <v>542</v>
      </c>
      <c r="B118" s="8" t="n">
        <v>45723</v>
      </c>
      <c r="C118" s="10" t="s">
        <v>194</v>
      </c>
      <c r="D118" s="10" t="s">
        <v>543</v>
      </c>
      <c r="E118" s="12" t="n">
        <v>454.77</v>
      </c>
      <c r="F118" s="10" t="s">
        <v>347</v>
      </c>
      <c r="G118" s="9" t="n">
        <f aca="false">VALUE(LEFT(TEXT(E118,"0.00"),1))</f>
        <v>4</v>
      </c>
      <c r="H118" s="0" t="str">
        <f aca="false">UPPER(SUBSTITUTE(SUBSTITUTE(SUBSTITUTE(D118," ",""),"/",""),".",""))</f>
        <v>INV29001</v>
      </c>
      <c r="I118" s="9" t="n">
        <f aca="false">IF(COUNTIFS($C$5:C118,C118,$H$5:H118,H118,$E$5:E118,E118)&gt;1,1,0)</f>
        <v>0</v>
      </c>
      <c r="J118" s="9" t="n">
        <f aca="false">IF(AND(I118=0,COUNTIFS($C$5:$C$634,C118,$E$5:$E$634,E118,$B$5:$B$634,"&gt;="&amp;(B118-Parameters!$B$12),$B$5:$B$634,"&lt;="&amp;(B118+Parameters!$B$12),$H$5:$H$634,"&lt;&gt;"&amp;H118)&gt;0),1,0)</f>
        <v>0</v>
      </c>
      <c r="K118" s="9" t="n">
        <f aca="false">IF(AND(E118&gt;=Parameters!$B$11,ROUND(MOD(ROUND(E118,2),Parameters!$B$10),2)=0),1,0)</f>
        <v>0</v>
      </c>
      <c r="L118" s="9" t="n">
        <f aca="false">IF(AND(E118&lt;Parameters!$B$7,E118&gt;=Parameters!$B$7*(1-Parameters!$B$9)),1,0)</f>
        <v>0</v>
      </c>
      <c r="M118" s="9" t="n">
        <f aca="false">IF(AND(E118&lt;Parameters!$B$7,COUNTIFS($C$5:$C$634,C118,$B$5:$B$634,B118)&gt;1,SUMIFS($E$5:$E$634,$C$5:$C$634,C118,$B$5:$B$634,B118)&gt;=Parameters!$B$7),1,0)</f>
        <v>0</v>
      </c>
      <c r="N118" s="9" t="n">
        <f aca="false">IF(AND(E118&gt;=Parameters!$B$7,F118&lt;&gt;Parameters!$B$8),1,0)</f>
        <v>0</v>
      </c>
      <c r="O118" s="9" t="n">
        <f aca="false">INDEX(Vendor_Benford!$N$6:$N$50,MATCH(C118,Vendor_Benford!$A$6:$A$50,0))</f>
        <v>0</v>
      </c>
      <c r="P118" s="9" t="n">
        <f aca="false">INDEX(Vendor_Benford!$M$6:$M$50,MATCH(C118,Vendor_Benford!$A$6:$A$50,0))</f>
        <v>0</v>
      </c>
      <c r="Q118" s="9" t="n">
        <f aca="false">I118*Parameters!$B$28+J118*Parameters!$B$29+K118*Parameters!$B$30+L118*Parameters!$B$31+M118*Parameters!$B$32+N118*Parameters!$B$33+O118*Parameters!$B$34+P118*Parameters!$B$35</f>
        <v>0</v>
      </c>
      <c r="R118" s="0" t="str">
        <f aca="false">IF(Q118&gt;=Parameters!$B$24,"High","")</f>
        <v/>
      </c>
    </row>
    <row r="119" customFormat="false" ht="15" hidden="false" customHeight="false" outlineLevel="0" collapsed="false">
      <c r="A119" s="10" t="s">
        <v>544</v>
      </c>
      <c r="B119" s="8" t="n">
        <v>45726</v>
      </c>
      <c r="C119" s="10" t="s">
        <v>122</v>
      </c>
      <c r="D119" s="10" t="s">
        <v>545</v>
      </c>
      <c r="E119" s="12" t="n">
        <v>20812.13</v>
      </c>
      <c r="F119" s="10" t="s">
        <v>40</v>
      </c>
      <c r="G119" s="9" t="n">
        <f aca="false">VALUE(LEFT(TEXT(E119,"0.00"),1))</f>
        <v>2</v>
      </c>
      <c r="H119" s="0" t="str">
        <f aca="false">UPPER(SUBSTITUTE(SUBSTITUTE(SUBSTITUTE(D119," ",""),"/",""),".",""))</f>
        <v>INV5006</v>
      </c>
      <c r="I119" s="9" t="n">
        <f aca="false">IF(COUNTIFS($C$5:C119,C119,$H$5:H119,H119,$E$5:E119,E119)&gt;1,1,0)</f>
        <v>0</v>
      </c>
      <c r="J119" s="9" t="n">
        <f aca="false">IF(AND(I119=0,COUNTIFS($C$5:$C$634,C119,$E$5:$E$634,E119,$B$5:$B$634,"&gt;="&amp;(B119-Parameters!$B$12),$B$5:$B$634,"&lt;="&amp;(B119+Parameters!$B$12),$H$5:$H$634,"&lt;&gt;"&amp;H119)&gt;0),1,0)</f>
        <v>0</v>
      </c>
      <c r="K119" s="9" t="n">
        <f aca="false">IF(AND(E119&gt;=Parameters!$B$11,ROUND(MOD(ROUND(E119,2),Parameters!$B$10),2)=0),1,0)</f>
        <v>0</v>
      </c>
      <c r="L119" s="9" t="n">
        <f aca="false">IF(AND(E119&lt;Parameters!$B$7,E119&gt;=Parameters!$B$7*(1-Parameters!$B$9)),1,0)</f>
        <v>0</v>
      </c>
      <c r="M119" s="9" t="n">
        <f aca="false">IF(AND(E119&lt;Parameters!$B$7,COUNTIFS($C$5:$C$634,C119,$B$5:$B$634,B119)&gt;1,SUMIFS($E$5:$E$634,$C$5:$C$634,C119,$B$5:$B$634,B119)&gt;=Parameters!$B$7),1,0)</f>
        <v>0</v>
      </c>
      <c r="N119" s="9" t="n">
        <f aca="false">IF(AND(E119&gt;=Parameters!$B$7,F119&lt;&gt;Parameters!$B$8),1,0)</f>
        <v>0</v>
      </c>
      <c r="O119" s="9" t="n">
        <f aca="false">INDEX(Vendor_Benford!$N$6:$N$50,MATCH(C119,Vendor_Benford!$A$6:$A$50,0))</f>
        <v>0</v>
      </c>
      <c r="P119" s="9" t="n">
        <f aca="false">INDEX(Vendor_Benford!$M$6:$M$50,MATCH(C119,Vendor_Benford!$A$6:$A$50,0))</f>
        <v>0</v>
      </c>
      <c r="Q119" s="9" t="n">
        <f aca="false">I119*Parameters!$B$28+J119*Parameters!$B$29+K119*Parameters!$B$30+L119*Parameters!$B$31+M119*Parameters!$B$32+N119*Parameters!$B$33+O119*Parameters!$B$34+P119*Parameters!$B$35</f>
        <v>0</v>
      </c>
      <c r="R119" s="0" t="str">
        <f aca="false">IF(Q119&gt;=Parameters!$B$24,"High","")</f>
        <v/>
      </c>
    </row>
    <row r="120" customFormat="false" ht="15" hidden="false" customHeight="false" outlineLevel="0" collapsed="false">
      <c r="A120" s="10" t="s">
        <v>546</v>
      </c>
      <c r="B120" s="8" t="n">
        <v>45726</v>
      </c>
      <c r="C120" s="10" t="s">
        <v>200</v>
      </c>
      <c r="D120" s="10" t="s">
        <v>547</v>
      </c>
      <c r="E120" s="12" t="n">
        <v>4795.77</v>
      </c>
      <c r="F120" s="10" t="s">
        <v>347</v>
      </c>
      <c r="G120" s="9" t="n">
        <f aca="false">VALUE(LEFT(TEXT(E120,"0.00"),1))</f>
        <v>4</v>
      </c>
      <c r="H120" s="0" t="str">
        <f aca="false">UPPER(SUBSTITUTE(SUBSTITUTE(SUBSTITUTE(D120," ",""),"/",""),".",""))</f>
        <v>INV31003</v>
      </c>
      <c r="I120" s="9" t="n">
        <f aca="false">IF(COUNTIFS($C$5:C120,C120,$H$5:H120,H120,$E$5:E120,E120)&gt;1,1,0)</f>
        <v>0</v>
      </c>
      <c r="J120" s="9" t="n">
        <f aca="false">IF(AND(I120=0,COUNTIFS($C$5:$C$634,C120,$E$5:$E$634,E120,$B$5:$B$634,"&gt;="&amp;(B120-Parameters!$B$12),$B$5:$B$634,"&lt;="&amp;(B120+Parameters!$B$12),$H$5:$H$634,"&lt;&gt;"&amp;H120)&gt;0),1,0)</f>
        <v>0</v>
      </c>
      <c r="K120" s="9" t="n">
        <f aca="false">IF(AND(E120&gt;=Parameters!$B$11,ROUND(MOD(ROUND(E120,2),Parameters!$B$10),2)=0),1,0)</f>
        <v>0</v>
      </c>
      <c r="L120" s="9" t="n">
        <f aca="false">IF(AND(E120&lt;Parameters!$B$7,E120&gt;=Parameters!$B$7*(1-Parameters!$B$9)),1,0)</f>
        <v>1</v>
      </c>
      <c r="M120" s="9" t="n">
        <f aca="false">IF(AND(E120&lt;Parameters!$B$7,COUNTIFS($C$5:$C$634,C120,$B$5:$B$634,B120)&gt;1,SUMIFS($E$5:$E$634,$C$5:$C$634,C120,$B$5:$B$634,B120)&gt;=Parameters!$B$7),1,0)</f>
        <v>0</v>
      </c>
      <c r="N120" s="9" t="n">
        <f aca="false">IF(AND(E120&gt;=Parameters!$B$7,F120&lt;&gt;Parameters!$B$8),1,0)</f>
        <v>0</v>
      </c>
      <c r="O120" s="9" t="n">
        <f aca="false">INDEX(Vendor_Benford!$N$6:$N$50,MATCH(C120,Vendor_Benford!$A$6:$A$50,0))</f>
        <v>0</v>
      </c>
      <c r="P120" s="9" t="n">
        <f aca="false">INDEX(Vendor_Benford!$M$6:$M$50,MATCH(C120,Vendor_Benford!$A$6:$A$50,0))</f>
        <v>1</v>
      </c>
      <c r="Q120" s="9" t="n">
        <f aca="false">I120*Parameters!$B$28+J120*Parameters!$B$29+K120*Parameters!$B$30+L120*Parameters!$B$31+M120*Parameters!$B$32+N120*Parameters!$B$33+O120*Parameters!$B$34+P120*Parameters!$B$35</f>
        <v>4</v>
      </c>
      <c r="R120" s="0" t="str">
        <f aca="false">IF(Q120&gt;=Parameters!$B$24,"High","")</f>
        <v/>
      </c>
    </row>
    <row r="121" customFormat="false" ht="15" hidden="false" customHeight="false" outlineLevel="0" collapsed="false">
      <c r="A121" s="10" t="s">
        <v>548</v>
      </c>
      <c r="B121" s="8" t="n">
        <v>45727</v>
      </c>
      <c r="C121" s="10" t="s">
        <v>161</v>
      </c>
      <c r="D121" s="10" t="s">
        <v>549</v>
      </c>
      <c r="E121" s="12" t="n">
        <v>15053.87</v>
      </c>
      <c r="F121" s="10" t="s">
        <v>40</v>
      </c>
      <c r="G121" s="9" t="n">
        <f aca="false">VALUE(LEFT(TEXT(E121,"0.00"),1))</f>
        <v>1</v>
      </c>
      <c r="H121" s="0" t="str">
        <f aca="false">UPPER(SUBSTITUTE(SUBSTITUTE(SUBSTITUTE(D121," ",""),"/",""),".",""))</f>
        <v>INV18019</v>
      </c>
      <c r="I121" s="9" t="n">
        <f aca="false">IF(COUNTIFS($C$5:C121,C121,$H$5:H121,H121,$E$5:E121,E121)&gt;1,1,0)</f>
        <v>0</v>
      </c>
      <c r="J121" s="9" t="n">
        <f aca="false">IF(AND(I121=0,COUNTIFS($C$5:$C$634,C121,$E$5:$E$634,E121,$B$5:$B$634,"&gt;="&amp;(B121-Parameters!$B$12),$B$5:$B$634,"&lt;="&amp;(B121+Parameters!$B$12),$H$5:$H$634,"&lt;&gt;"&amp;H121)&gt;0),1,0)</f>
        <v>0</v>
      </c>
      <c r="K121" s="9" t="n">
        <f aca="false">IF(AND(E121&gt;=Parameters!$B$11,ROUND(MOD(ROUND(E121,2),Parameters!$B$10),2)=0),1,0)</f>
        <v>0</v>
      </c>
      <c r="L121" s="9" t="n">
        <f aca="false">IF(AND(E121&lt;Parameters!$B$7,E121&gt;=Parameters!$B$7*(1-Parameters!$B$9)),1,0)</f>
        <v>0</v>
      </c>
      <c r="M121" s="9" t="n">
        <f aca="false">IF(AND(E121&lt;Parameters!$B$7,COUNTIFS($C$5:$C$634,C121,$B$5:$B$634,B121)&gt;1,SUMIFS($E$5:$E$634,$C$5:$C$634,C121,$B$5:$B$634,B121)&gt;=Parameters!$B$7),1,0)</f>
        <v>0</v>
      </c>
      <c r="N121" s="9" t="n">
        <f aca="false">IF(AND(E121&gt;=Parameters!$B$7,F121&lt;&gt;Parameters!$B$8),1,0)</f>
        <v>0</v>
      </c>
      <c r="O121" s="9" t="n">
        <f aca="false">INDEX(Vendor_Benford!$N$6:$N$50,MATCH(C121,Vendor_Benford!$A$6:$A$50,0))</f>
        <v>0</v>
      </c>
      <c r="P121" s="9" t="n">
        <f aca="false">INDEX(Vendor_Benford!$M$6:$M$50,MATCH(C121,Vendor_Benford!$A$6:$A$50,0))</f>
        <v>0</v>
      </c>
      <c r="Q121" s="9" t="n">
        <f aca="false">I121*Parameters!$B$28+J121*Parameters!$B$29+K121*Parameters!$B$30+L121*Parameters!$B$31+M121*Parameters!$B$32+N121*Parameters!$B$33+O121*Parameters!$B$34+P121*Parameters!$B$35</f>
        <v>0</v>
      </c>
      <c r="R121" s="0" t="str">
        <f aca="false">IF(Q121&gt;=Parameters!$B$24,"High","")</f>
        <v/>
      </c>
    </row>
    <row r="122" customFormat="false" ht="15" hidden="false" customHeight="false" outlineLevel="0" collapsed="false">
      <c r="A122" s="10" t="s">
        <v>550</v>
      </c>
      <c r="B122" s="8" t="n">
        <v>45727</v>
      </c>
      <c r="C122" s="10" t="s">
        <v>200</v>
      </c>
      <c r="D122" s="10" t="s">
        <v>551</v>
      </c>
      <c r="E122" s="12" t="n">
        <v>4840.59</v>
      </c>
      <c r="F122" s="10" t="s">
        <v>347</v>
      </c>
      <c r="G122" s="9" t="n">
        <f aca="false">VALUE(LEFT(TEXT(E122,"0.00"),1))</f>
        <v>4</v>
      </c>
      <c r="H122" s="0" t="str">
        <f aca="false">UPPER(SUBSTITUTE(SUBSTITUTE(SUBSTITUTE(D122," ",""),"/",""),".",""))</f>
        <v>INV31002</v>
      </c>
      <c r="I122" s="9" t="n">
        <f aca="false">IF(COUNTIFS($C$5:C122,C122,$H$5:H122,H122,$E$5:E122,E122)&gt;1,1,0)</f>
        <v>0</v>
      </c>
      <c r="J122" s="9" t="n">
        <f aca="false">IF(AND(I122=0,COUNTIFS($C$5:$C$634,C122,$E$5:$E$634,E122,$B$5:$B$634,"&gt;="&amp;(B122-Parameters!$B$12),$B$5:$B$634,"&lt;="&amp;(B122+Parameters!$B$12),$H$5:$H$634,"&lt;&gt;"&amp;H122)&gt;0),1,0)</f>
        <v>0</v>
      </c>
      <c r="K122" s="9" t="n">
        <f aca="false">IF(AND(E122&gt;=Parameters!$B$11,ROUND(MOD(ROUND(E122,2),Parameters!$B$10),2)=0),1,0)</f>
        <v>0</v>
      </c>
      <c r="L122" s="9" t="n">
        <f aca="false">IF(AND(E122&lt;Parameters!$B$7,E122&gt;=Parameters!$B$7*(1-Parameters!$B$9)),1,0)</f>
        <v>1</v>
      </c>
      <c r="M122" s="9" t="n">
        <f aca="false">IF(AND(E122&lt;Parameters!$B$7,COUNTIFS($C$5:$C$634,C122,$B$5:$B$634,B122)&gt;1,SUMIFS($E$5:$E$634,$C$5:$C$634,C122,$B$5:$B$634,B122)&gt;=Parameters!$B$7),1,0)</f>
        <v>0</v>
      </c>
      <c r="N122" s="9" t="n">
        <f aca="false">IF(AND(E122&gt;=Parameters!$B$7,F122&lt;&gt;Parameters!$B$8),1,0)</f>
        <v>0</v>
      </c>
      <c r="O122" s="9" t="n">
        <f aca="false">INDEX(Vendor_Benford!$N$6:$N$50,MATCH(C122,Vendor_Benford!$A$6:$A$50,0))</f>
        <v>0</v>
      </c>
      <c r="P122" s="9" t="n">
        <f aca="false">INDEX(Vendor_Benford!$M$6:$M$50,MATCH(C122,Vendor_Benford!$A$6:$A$50,0))</f>
        <v>1</v>
      </c>
      <c r="Q122" s="9" t="n">
        <f aca="false">I122*Parameters!$B$28+J122*Parameters!$B$29+K122*Parameters!$B$30+L122*Parameters!$B$31+M122*Parameters!$B$32+N122*Parameters!$B$33+O122*Parameters!$B$34+P122*Parameters!$B$35</f>
        <v>4</v>
      </c>
      <c r="R122" s="0" t="str">
        <f aca="false">IF(Q122&gt;=Parameters!$B$24,"High","")</f>
        <v/>
      </c>
    </row>
    <row r="123" customFormat="false" ht="15" hidden="false" customHeight="false" outlineLevel="0" collapsed="false">
      <c r="A123" s="10" t="s">
        <v>552</v>
      </c>
      <c r="B123" s="8" t="n">
        <v>45728</v>
      </c>
      <c r="C123" s="10" t="s">
        <v>149</v>
      </c>
      <c r="D123" s="10" t="s">
        <v>553</v>
      </c>
      <c r="E123" s="12" t="n">
        <v>666.65</v>
      </c>
      <c r="F123" s="10" t="s">
        <v>40</v>
      </c>
      <c r="G123" s="9" t="n">
        <f aca="false">VALUE(LEFT(TEXT(E123,"0.00"),1))</f>
        <v>6</v>
      </c>
      <c r="H123" s="0" t="str">
        <f aca="false">UPPER(SUBSTITUTE(SUBSTITUTE(SUBSTITUTE(D123," ",""),"/",""),".",""))</f>
        <v>INV14005</v>
      </c>
      <c r="I123" s="9" t="n">
        <f aca="false">IF(COUNTIFS($C$5:C123,C123,$H$5:H123,H123,$E$5:E123,E123)&gt;1,1,0)</f>
        <v>0</v>
      </c>
      <c r="J123" s="9" t="n">
        <f aca="false">IF(AND(I123=0,COUNTIFS($C$5:$C$634,C123,$E$5:$E$634,E123,$B$5:$B$634,"&gt;="&amp;(B123-Parameters!$B$12),$B$5:$B$634,"&lt;="&amp;(B123+Parameters!$B$12),$H$5:$H$634,"&lt;&gt;"&amp;H123)&gt;0),1,0)</f>
        <v>0</v>
      </c>
      <c r="K123" s="9" t="n">
        <f aca="false">IF(AND(E123&gt;=Parameters!$B$11,ROUND(MOD(ROUND(E123,2),Parameters!$B$10),2)=0),1,0)</f>
        <v>0</v>
      </c>
      <c r="L123" s="9" t="n">
        <f aca="false">IF(AND(E123&lt;Parameters!$B$7,E123&gt;=Parameters!$B$7*(1-Parameters!$B$9)),1,0)</f>
        <v>0</v>
      </c>
      <c r="M123" s="9" t="n">
        <f aca="false">IF(AND(E123&lt;Parameters!$B$7,COUNTIFS($C$5:$C$634,C123,$B$5:$B$634,B123)&gt;1,SUMIFS($E$5:$E$634,$C$5:$C$634,C123,$B$5:$B$634,B123)&gt;=Parameters!$B$7),1,0)</f>
        <v>0</v>
      </c>
      <c r="N123" s="9" t="n">
        <f aca="false">IF(AND(E123&gt;=Parameters!$B$7,F123&lt;&gt;Parameters!$B$8),1,0)</f>
        <v>0</v>
      </c>
      <c r="O123" s="9" t="n">
        <f aca="false">INDEX(Vendor_Benford!$N$6:$N$50,MATCH(C123,Vendor_Benford!$A$6:$A$50,0))</f>
        <v>0</v>
      </c>
      <c r="P123" s="9" t="n">
        <f aca="false">INDEX(Vendor_Benford!$M$6:$M$50,MATCH(C123,Vendor_Benford!$A$6:$A$50,0))</f>
        <v>0</v>
      </c>
      <c r="Q123" s="9" t="n">
        <f aca="false">I123*Parameters!$B$28+J123*Parameters!$B$29+K123*Parameters!$B$30+L123*Parameters!$B$31+M123*Parameters!$B$32+N123*Parameters!$B$33+O123*Parameters!$B$34+P123*Parameters!$B$35</f>
        <v>0</v>
      </c>
      <c r="R123" s="0" t="str">
        <f aca="false">IF(Q123&gt;=Parameters!$B$24,"High","")</f>
        <v/>
      </c>
    </row>
    <row r="124" customFormat="false" ht="15" hidden="false" customHeight="false" outlineLevel="0" collapsed="false">
      <c r="A124" s="10" t="s">
        <v>554</v>
      </c>
      <c r="B124" s="8" t="n">
        <v>45728</v>
      </c>
      <c r="C124" s="10" t="s">
        <v>155</v>
      </c>
      <c r="D124" s="10" t="s">
        <v>555</v>
      </c>
      <c r="E124" s="12" t="n">
        <v>14081.33</v>
      </c>
      <c r="F124" s="10" t="s">
        <v>40</v>
      </c>
      <c r="G124" s="9" t="n">
        <f aca="false">VALUE(LEFT(TEXT(E124,"0.00"),1))</f>
        <v>1</v>
      </c>
      <c r="H124" s="0" t="str">
        <f aca="false">UPPER(SUBSTITUTE(SUBSTITUTE(SUBSTITUTE(D124," ",""),"/",""),".",""))</f>
        <v>INV16020</v>
      </c>
      <c r="I124" s="9" t="n">
        <f aca="false">IF(COUNTIFS($C$5:C124,C124,$H$5:H124,H124,$E$5:E124,E124)&gt;1,1,0)</f>
        <v>0</v>
      </c>
      <c r="J124" s="9" t="n">
        <f aca="false">IF(AND(I124=0,COUNTIFS($C$5:$C$634,C124,$E$5:$E$634,E124,$B$5:$B$634,"&gt;="&amp;(B124-Parameters!$B$12),$B$5:$B$634,"&lt;="&amp;(B124+Parameters!$B$12),$H$5:$H$634,"&lt;&gt;"&amp;H124)&gt;0),1,0)</f>
        <v>0</v>
      </c>
      <c r="K124" s="9" t="n">
        <f aca="false">IF(AND(E124&gt;=Parameters!$B$11,ROUND(MOD(ROUND(E124,2),Parameters!$B$10),2)=0),1,0)</f>
        <v>0</v>
      </c>
      <c r="L124" s="9" t="n">
        <f aca="false">IF(AND(E124&lt;Parameters!$B$7,E124&gt;=Parameters!$B$7*(1-Parameters!$B$9)),1,0)</f>
        <v>0</v>
      </c>
      <c r="M124" s="9" t="n">
        <f aca="false">IF(AND(E124&lt;Parameters!$B$7,COUNTIFS($C$5:$C$634,C124,$B$5:$B$634,B124)&gt;1,SUMIFS($E$5:$E$634,$C$5:$C$634,C124,$B$5:$B$634,B124)&gt;=Parameters!$B$7),1,0)</f>
        <v>0</v>
      </c>
      <c r="N124" s="9" t="n">
        <f aca="false">IF(AND(E124&gt;=Parameters!$B$7,F124&lt;&gt;Parameters!$B$8),1,0)</f>
        <v>0</v>
      </c>
      <c r="O124" s="9" t="n">
        <f aca="false">INDEX(Vendor_Benford!$N$6:$N$50,MATCH(C124,Vendor_Benford!$A$6:$A$50,0))</f>
        <v>0</v>
      </c>
      <c r="P124" s="9" t="n">
        <f aca="false">INDEX(Vendor_Benford!$M$6:$M$50,MATCH(C124,Vendor_Benford!$A$6:$A$50,0))</f>
        <v>0</v>
      </c>
      <c r="Q124" s="9" t="n">
        <f aca="false">I124*Parameters!$B$28+J124*Parameters!$B$29+K124*Parameters!$B$30+L124*Parameters!$B$31+M124*Parameters!$B$32+N124*Parameters!$B$33+O124*Parameters!$B$34+P124*Parameters!$B$35</f>
        <v>0</v>
      </c>
      <c r="R124" s="0" t="str">
        <f aca="false">IF(Q124&gt;=Parameters!$B$24,"High","")</f>
        <v/>
      </c>
    </row>
    <row r="125" customFormat="false" ht="15" hidden="false" customHeight="false" outlineLevel="0" collapsed="false">
      <c r="A125" s="10" t="s">
        <v>556</v>
      </c>
      <c r="B125" s="8" t="n">
        <v>45728</v>
      </c>
      <c r="C125" s="10" t="s">
        <v>182</v>
      </c>
      <c r="D125" s="10" t="s">
        <v>557</v>
      </c>
      <c r="E125" s="12" t="n">
        <v>13867.27</v>
      </c>
      <c r="F125" s="10" t="s">
        <v>40</v>
      </c>
      <c r="G125" s="9" t="n">
        <f aca="false">VALUE(LEFT(TEXT(E125,"0.00"),1))</f>
        <v>1</v>
      </c>
      <c r="H125" s="0" t="str">
        <f aca="false">UPPER(SUBSTITUTE(SUBSTITUTE(SUBSTITUTE(D125," ",""),"/",""),".",""))</f>
        <v>INV25002</v>
      </c>
      <c r="I125" s="9" t="n">
        <f aca="false">IF(COUNTIFS($C$5:C125,C125,$H$5:H125,H125,$E$5:E125,E125)&gt;1,1,0)</f>
        <v>0</v>
      </c>
      <c r="J125" s="9" t="n">
        <f aca="false">IF(AND(I125=0,COUNTIFS($C$5:$C$634,C125,$E$5:$E$634,E125,$B$5:$B$634,"&gt;="&amp;(B125-Parameters!$B$12),$B$5:$B$634,"&lt;="&amp;(B125+Parameters!$B$12),$H$5:$H$634,"&lt;&gt;"&amp;H125)&gt;0),1,0)</f>
        <v>0</v>
      </c>
      <c r="K125" s="9" t="n">
        <f aca="false">IF(AND(E125&gt;=Parameters!$B$11,ROUND(MOD(ROUND(E125,2),Parameters!$B$10),2)=0),1,0)</f>
        <v>0</v>
      </c>
      <c r="L125" s="9" t="n">
        <f aca="false">IF(AND(E125&lt;Parameters!$B$7,E125&gt;=Parameters!$B$7*(1-Parameters!$B$9)),1,0)</f>
        <v>0</v>
      </c>
      <c r="M125" s="9" t="n">
        <f aca="false">IF(AND(E125&lt;Parameters!$B$7,COUNTIFS($C$5:$C$634,C125,$B$5:$B$634,B125)&gt;1,SUMIFS($E$5:$E$634,$C$5:$C$634,C125,$B$5:$B$634,B125)&gt;=Parameters!$B$7),1,0)</f>
        <v>0</v>
      </c>
      <c r="N125" s="9" t="n">
        <f aca="false">IF(AND(E125&gt;=Parameters!$B$7,F125&lt;&gt;Parameters!$B$8),1,0)</f>
        <v>0</v>
      </c>
      <c r="O125" s="9" t="n">
        <f aca="false">INDEX(Vendor_Benford!$N$6:$N$50,MATCH(C125,Vendor_Benford!$A$6:$A$50,0))</f>
        <v>0</v>
      </c>
      <c r="P125" s="9" t="n">
        <f aca="false">INDEX(Vendor_Benford!$M$6:$M$50,MATCH(C125,Vendor_Benford!$A$6:$A$50,0))</f>
        <v>0</v>
      </c>
      <c r="Q125" s="9" t="n">
        <f aca="false">I125*Parameters!$B$28+J125*Parameters!$B$29+K125*Parameters!$B$30+L125*Parameters!$B$31+M125*Parameters!$B$32+N125*Parameters!$B$33+O125*Parameters!$B$34+P125*Parameters!$B$35</f>
        <v>0</v>
      </c>
      <c r="R125" s="0" t="str">
        <f aca="false">IF(Q125&gt;=Parameters!$B$24,"High","")</f>
        <v/>
      </c>
    </row>
    <row r="126" customFormat="false" ht="15" hidden="false" customHeight="false" outlineLevel="0" collapsed="false">
      <c r="A126" s="10" t="s">
        <v>558</v>
      </c>
      <c r="B126" s="8" t="n">
        <v>45729</v>
      </c>
      <c r="C126" s="10" t="s">
        <v>146</v>
      </c>
      <c r="D126" s="10" t="s">
        <v>559</v>
      </c>
      <c r="E126" s="12" t="n">
        <v>518.49</v>
      </c>
      <c r="F126" s="10" t="s">
        <v>40</v>
      </c>
      <c r="G126" s="9" t="n">
        <f aca="false">VALUE(LEFT(TEXT(E126,"0.00"),1))</f>
        <v>5</v>
      </c>
      <c r="H126" s="0" t="str">
        <f aca="false">UPPER(SUBSTITUTE(SUBSTITUTE(SUBSTITUTE(D126," ",""),"/",""),".",""))</f>
        <v>INV13008</v>
      </c>
      <c r="I126" s="9" t="n">
        <f aca="false">IF(COUNTIFS($C$5:C126,C126,$H$5:H126,H126,$E$5:E126,E126)&gt;1,1,0)</f>
        <v>0</v>
      </c>
      <c r="J126" s="9" t="n">
        <f aca="false">IF(AND(I126=0,COUNTIFS($C$5:$C$634,C126,$E$5:$E$634,E126,$B$5:$B$634,"&gt;="&amp;(B126-Parameters!$B$12),$B$5:$B$634,"&lt;="&amp;(B126+Parameters!$B$12),$H$5:$H$634,"&lt;&gt;"&amp;H126)&gt;0),1,0)</f>
        <v>0</v>
      </c>
      <c r="K126" s="9" t="n">
        <f aca="false">IF(AND(E126&gt;=Parameters!$B$11,ROUND(MOD(ROUND(E126,2),Parameters!$B$10),2)=0),1,0)</f>
        <v>0</v>
      </c>
      <c r="L126" s="9" t="n">
        <f aca="false">IF(AND(E126&lt;Parameters!$B$7,E126&gt;=Parameters!$B$7*(1-Parameters!$B$9)),1,0)</f>
        <v>0</v>
      </c>
      <c r="M126" s="9" t="n">
        <f aca="false">IF(AND(E126&lt;Parameters!$B$7,COUNTIFS($C$5:$C$634,C126,$B$5:$B$634,B126)&gt;1,SUMIFS($E$5:$E$634,$C$5:$C$634,C126,$B$5:$B$634,B126)&gt;=Parameters!$B$7),1,0)</f>
        <v>0</v>
      </c>
      <c r="N126" s="9" t="n">
        <f aca="false">IF(AND(E126&gt;=Parameters!$B$7,F126&lt;&gt;Parameters!$B$8),1,0)</f>
        <v>0</v>
      </c>
      <c r="O126" s="9" t="n">
        <f aca="false">INDEX(Vendor_Benford!$N$6:$N$50,MATCH(C126,Vendor_Benford!$A$6:$A$50,0))</f>
        <v>0</v>
      </c>
      <c r="P126" s="9" t="n">
        <f aca="false">INDEX(Vendor_Benford!$M$6:$M$50,MATCH(C126,Vendor_Benford!$A$6:$A$50,0))</f>
        <v>0</v>
      </c>
      <c r="Q126" s="9" t="n">
        <f aca="false">I126*Parameters!$B$28+J126*Parameters!$B$29+K126*Parameters!$B$30+L126*Parameters!$B$31+M126*Parameters!$B$32+N126*Parameters!$B$33+O126*Parameters!$B$34+P126*Parameters!$B$35</f>
        <v>0</v>
      </c>
      <c r="R126" s="0" t="str">
        <f aca="false">IF(Q126&gt;=Parameters!$B$24,"High","")</f>
        <v/>
      </c>
    </row>
    <row r="127" customFormat="false" ht="15" hidden="false" customHeight="false" outlineLevel="0" collapsed="false">
      <c r="A127" s="10" t="s">
        <v>560</v>
      </c>
      <c r="B127" s="8" t="n">
        <v>45729</v>
      </c>
      <c r="C127" s="10" t="s">
        <v>236</v>
      </c>
      <c r="D127" s="10" t="s">
        <v>497</v>
      </c>
      <c r="E127" s="12" t="n">
        <v>20425.57</v>
      </c>
      <c r="F127" s="10" t="s">
        <v>40</v>
      </c>
      <c r="G127" s="9" t="n">
        <f aca="false">VALUE(LEFT(TEXT(E127,"0.00"),1))</f>
        <v>2</v>
      </c>
      <c r="H127" s="0" t="str">
        <f aca="false">UPPER(SUBSTITUTE(SUBSTITUTE(SUBSTITUTE(D127," ",""),"/",""),".",""))</f>
        <v>INV43009</v>
      </c>
      <c r="I127" s="9" t="n">
        <f aca="false">IF(COUNTIFS($C$5:C127,C127,$H$5:H127,H127,$E$5:E127,E127)&gt;1,1,0)</f>
        <v>1</v>
      </c>
      <c r="J127" s="9" t="n">
        <f aca="false">IF(AND(I127=0,COUNTIFS($C$5:$C$634,C127,$E$5:$E$634,E127,$B$5:$B$634,"&gt;="&amp;(B127-Parameters!$B$12),$B$5:$B$634,"&lt;="&amp;(B127+Parameters!$B$12),$H$5:$H$634,"&lt;&gt;"&amp;H127)&gt;0),1,0)</f>
        <v>0</v>
      </c>
      <c r="K127" s="9" t="n">
        <f aca="false">IF(AND(E127&gt;=Parameters!$B$11,ROUND(MOD(ROUND(E127,2),Parameters!$B$10),2)=0),1,0)</f>
        <v>0</v>
      </c>
      <c r="L127" s="9" t="n">
        <f aca="false">IF(AND(E127&lt;Parameters!$B$7,E127&gt;=Parameters!$B$7*(1-Parameters!$B$9)),1,0)</f>
        <v>0</v>
      </c>
      <c r="M127" s="9" t="n">
        <f aca="false">IF(AND(E127&lt;Parameters!$B$7,COUNTIFS($C$5:$C$634,C127,$B$5:$B$634,B127)&gt;1,SUMIFS($E$5:$E$634,$C$5:$C$634,C127,$B$5:$B$634,B127)&gt;=Parameters!$B$7),1,0)</f>
        <v>0</v>
      </c>
      <c r="N127" s="9" t="n">
        <f aca="false">IF(AND(E127&gt;=Parameters!$B$7,F127&lt;&gt;Parameters!$B$8),1,0)</f>
        <v>0</v>
      </c>
      <c r="O127" s="9" t="n">
        <f aca="false">INDEX(Vendor_Benford!$N$6:$N$50,MATCH(C127,Vendor_Benford!$A$6:$A$50,0))</f>
        <v>0</v>
      </c>
      <c r="P127" s="9" t="n">
        <f aca="false">INDEX(Vendor_Benford!$M$6:$M$50,MATCH(C127,Vendor_Benford!$A$6:$A$50,0))</f>
        <v>0</v>
      </c>
      <c r="Q127" s="9" t="n">
        <f aca="false">I127*Parameters!$B$28+J127*Parameters!$B$29+K127*Parameters!$B$30+L127*Parameters!$B$31+M127*Parameters!$B$32+N127*Parameters!$B$33+O127*Parameters!$B$34+P127*Parameters!$B$35</f>
        <v>5</v>
      </c>
      <c r="R127" s="0" t="str">
        <f aca="false">IF(Q127&gt;=Parameters!$B$24,"High","")</f>
        <v>High</v>
      </c>
    </row>
    <row r="128" customFormat="false" ht="15" hidden="false" customHeight="false" outlineLevel="0" collapsed="false">
      <c r="A128" s="10" t="s">
        <v>561</v>
      </c>
      <c r="B128" s="8" t="n">
        <v>45730</v>
      </c>
      <c r="C128" s="10" t="s">
        <v>221</v>
      </c>
      <c r="D128" s="10" t="s">
        <v>562</v>
      </c>
      <c r="E128" s="12" t="n">
        <v>11260.13</v>
      </c>
      <c r="F128" s="10" t="s">
        <v>40</v>
      </c>
      <c r="G128" s="9" t="n">
        <f aca="false">VALUE(LEFT(TEXT(E128,"0.00"),1))</f>
        <v>1</v>
      </c>
      <c r="H128" s="0" t="str">
        <f aca="false">UPPER(SUBSTITUTE(SUBSTITUTE(SUBSTITUTE(D128," ",""),"/",""),".",""))</f>
        <v>INV38009</v>
      </c>
      <c r="I128" s="9" t="n">
        <f aca="false">IF(COUNTIFS($C$5:C128,C128,$H$5:H128,H128,$E$5:E128,E128)&gt;1,1,0)</f>
        <v>0</v>
      </c>
      <c r="J128" s="9" t="n">
        <f aca="false">IF(AND(I128=0,COUNTIFS($C$5:$C$634,C128,$E$5:$E$634,E128,$B$5:$B$634,"&gt;="&amp;(B128-Parameters!$B$12),$B$5:$B$634,"&lt;="&amp;(B128+Parameters!$B$12),$H$5:$H$634,"&lt;&gt;"&amp;H128)&gt;0),1,0)</f>
        <v>0</v>
      </c>
      <c r="K128" s="9" t="n">
        <f aca="false">IF(AND(E128&gt;=Parameters!$B$11,ROUND(MOD(ROUND(E128,2),Parameters!$B$10),2)=0),1,0)</f>
        <v>0</v>
      </c>
      <c r="L128" s="9" t="n">
        <f aca="false">IF(AND(E128&lt;Parameters!$B$7,E128&gt;=Parameters!$B$7*(1-Parameters!$B$9)),1,0)</f>
        <v>0</v>
      </c>
      <c r="M128" s="9" t="n">
        <f aca="false">IF(AND(E128&lt;Parameters!$B$7,COUNTIFS($C$5:$C$634,C128,$B$5:$B$634,B128)&gt;1,SUMIFS($E$5:$E$634,$C$5:$C$634,C128,$B$5:$B$634,B128)&gt;=Parameters!$B$7),1,0)</f>
        <v>0</v>
      </c>
      <c r="N128" s="9" t="n">
        <f aca="false">IF(AND(E128&gt;=Parameters!$B$7,F128&lt;&gt;Parameters!$B$8),1,0)</f>
        <v>0</v>
      </c>
      <c r="O128" s="9" t="n">
        <f aca="false">INDEX(Vendor_Benford!$N$6:$N$50,MATCH(C128,Vendor_Benford!$A$6:$A$50,0))</f>
        <v>1</v>
      </c>
      <c r="P128" s="9" t="n">
        <f aca="false">INDEX(Vendor_Benford!$M$6:$M$50,MATCH(C128,Vendor_Benford!$A$6:$A$50,0))</f>
        <v>0</v>
      </c>
      <c r="Q128" s="9" t="n">
        <f aca="false">I128*Parameters!$B$28+J128*Parameters!$B$29+K128*Parameters!$B$30+L128*Parameters!$B$31+M128*Parameters!$B$32+N128*Parameters!$B$33+O128*Parameters!$B$34+P128*Parameters!$B$35</f>
        <v>5</v>
      </c>
      <c r="R128" s="0" t="str">
        <f aca="false">IF(Q128&gt;=Parameters!$B$24,"High","")</f>
        <v>High</v>
      </c>
    </row>
    <row r="129" customFormat="false" ht="15" hidden="false" customHeight="false" outlineLevel="0" collapsed="false">
      <c r="A129" s="10" t="s">
        <v>563</v>
      </c>
      <c r="B129" s="8" t="n">
        <v>45733</v>
      </c>
      <c r="C129" s="10" t="s">
        <v>113</v>
      </c>
      <c r="D129" s="10" t="s">
        <v>564</v>
      </c>
      <c r="E129" s="12" t="n">
        <v>4900</v>
      </c>
      <c r="F129" s="10" t="s">
        <v>347</v>
      </c>
      <c r="G129" s="9" t="n">
        <f aca="false">VALUE(LEFT(TEXT(E129,"0.00"),1))</f>
        <v>4</v>
      </c>
      <c r="H129" s="0" t="str">
        <f aca="false">UPPER(SUBSTITUTE(SUBSTITUTE(SUBSTITUTE(D129," ",""),"/",""),".",""))</f>
        <v>LIC2503</v>
      </c>
      <c r="I129" s="9" t="n">
        <f aca="false">IF(COUNTIFS($C$5:C129,C129,$H$5:H129,H129,$E$5:E129,E129)&gt;1,1,0)</f>
        <v>0</v>
      </c>
      <c r="J129" s="9" t="n">
        <f aca="false">IF(AND(I129=0,COUNTIFS($C$5:$C$634,C129,$E$5:$E$634,E129,$B$5:$B$634,"&gt;="&amp;(B129-Parameters!$B$12),$B$5:$B$634,"&lt;="&amp;(B129+Parameters!$B$12),$H$5:$H$634,"&lt;&gt;"&amp;H129)&gt;0),1,0)</f>
        <v>1</v>
      </c>
      <c r="K129" s="9" t="n">
        <f aca="false">IF(AND(E129&gt;=Parameters!$B$11,ROUND(MOD(ROUND(E129,2),Parameters!$B$10),2)=0),1,0)</f>
        <v>0</v>
      </c>
      <c r="L129" s="9" t="n">
        <f aca="false">IF(AND(E129&lt;Parameters!$B$7,E129&gt;=Parameters!$B$7*(1-Parameters!$B$9)),1,0)</f>
        <v>1</v>
      </c>
      <c r="M129" s="9" t="n">
        <f aca="false">IF(AND(E129&lt;Parameters!$B$7,COUNTIFS($C$5:$C$634,C129,$B$5:$B$634,B129)&gt;1,SUMIFS($E$5:$E$634,$C$5:$C$634,C129,$B$5:$B$634,B129)&gt;=Parameters!$B$7),1,0)</f>
        <v>0</v>
      </c>
      <c r="N129" s="9" t="n">
        <f aca="false">IF(AND(E129&gt;=Parameters!$B$7,F129&lt;&gt;Parameters!$B$8),1,0)</f>
        <v>0</v>
      </c>
      <c r="O129" s="9" t="n">
        <f aca="false">INDEX(Vendor_Benford!$N$6:$N$50,MATCH(C129,Vendor_Benford!$A$6:$A$50,0))</f>
        <v>0</v>
      </c>
      <c r="P129" s="9" t="n">
        <f aca="false">INDEX(Vendor_Benford!$M$6:$M$50,MATCH(C129,Vendor_Benford!$A$6:$A$50,0))</f>
        <v>0</v>
      </c>
      <c r="Q129" s="9" t="n">
        <f aca="false">I129*Parameters!$B$28+J129*Parameters!$B$29+K129*Parameters!$B$30+L129*Parameters!$B$31+M129*Parameters!$B$32+N129*Parameters!$B$33+O129*Parameters!$B$34+P129*Parameters!$B$35</f>
        <v>5</v>
      </c>
      <c r="R129" s="0" t="str">
        <f aca="false">IF(Q129&gt;=Parameters!$B$24,"High","")</f>
        <v>High</v>
      </c>
    </row>
    <row r="130" customFormat="false" ht="15" hidden="false" customHeight="false" outlineLevel="0" collapsed="false">
      <c r="A130" s="10" t="s">
        <v>565</v>
      </c>
      <c r="B130" s="8" t="n">
        <v>45733</v>
      </c>
      <c r="C130" s="10" t="s">
        <v>182</v>
      </c>
      <c r="D130" s="10" t="s">
        <v>566</v>
      </c>
      <c r="E130" s="12" t="n">
        <v>49340.66</v>
      </c>
      <c r="F130" s="10" t="s">
        <v>40</v>
      </c>
      <c r="G130" s="9" t="n">
        <f aca="false">VALUE(LEFT(TEXT(E130,"0.00"),1))</f>
        <v>4</v>
      </c>
      <c r="H130" s="0" t="str">
        <f aca="false">UPPER(SUBSTITUTE(SUBSTITUTE(SUBSTITUTE(D130," ",""),"/",""),".",""))</f>
        <v>INV25001</v>
      </c>
      <c r="I130" s="9" t="n">
        <f aca="false">IF(COUNTIFS($C$5:C130,C130,$H$5:H130,H130,$E$5:E130,E130)&gt;1,1,0)</f>
        <v>0</v>
      </c>
      <c r="J130" s="9" t="n">
        <f aca="false">IF(AND(I130=0,COUNTIFS($C$5:$C$634,C130,$E$5:$E$634,E130,$B$5:$B$634,"&gt;="&amp;(B130-Parameters!$B$12),$B$5:$B$634,"&lt;="&amp;(B130+Parameters!$B$12),$H$5:$H$634,"&lt;&gt;"&amp;H130)&gt;0),1,0)</f>
        <v>0</v>
      </c>
      <c r="K130" s="9" t="n">
        <f aca="false">IF(AND(E130&gt;=Parameters!$B$11,ROUND(MOD(ROUND(E130,2),Parameters!$B$10),2)=0),1,0)</f>
        <v>0</v>
      </c>
      <c r="L130" s="9" t="n">
        <f aca="false">IF(AND(E130&lt;Parameters!$B$7,E130&gt;=Parameters!$B$7*(1-Parameters!$B$9)),1,0)</f>
        <v>0</v>
      </c>
      <c r="M130" s="9" t="n">
        <f aca="false">IF(AND(E130&lt;Parameters!$B$7,COUNTIFS($C$5:$C$634,C130,$B$5:$B$634,B130)&gt;1,SUMIFS($E$5:$E$634,$C$5:$C$634,C130,$B$5:$B$634,B130)&gt;=Parameters!$B$7),1,0)</f>
        <v>0</v>
      </c>
      <c r="N130" s="9" t="n">
        <f aca="false">IF(AND(E130&gt;=Parameters!$B$7,F130&lt;&gt;Parameters!$B$8),1,0)</f>
        <v>0</v>
      </c>
      <c r="O130" s="9" t="n">
        <f aca="false">INDEX(Vendor_Benford!$N$6:$N$50,MATCH(C130,Vendor_Benford!$A$6:$A$50,0))</f>
        <v>0</v>
      </c>
      <c r="P130" s="9" t="n">
        <f aca="false">INDEX(Vendor_Benford!$M$6:$M$50,MATCH(C130,Vendor_Benford!$A$6:$A$50,0))</f>
        <v>0</v>
      </c>
      <c r="Q130" s="9" t="n">
        <f aca="false">I130*Parameters!$B$28+J130*Parameters!$B$29+K130*Parameters!$B$30+L130*Parameters!$B$31+M130*Parameters!$B$32+N130*Parameters!$B$33+O130*Parameters!$B$34+P130*Parameters!$B$35</f>
        <v>0</v>
      </c>
      <c r="R130" s="0" t="str">
        <f aca="false">IF(Q130&gt;=Parameters!$B$24,"High","")</f>
        <v/>
      </c>
    </row>
    <row r="131" customFormat="false" ht="15" hidden="false" customHeight="false" outlineLevel="0" collapsed="false">
      <c r="A131" s="10" t="s">
        <v>567</v>
      </c>
      <c r="B131" s="8" t="n">
        <v>45733</v>
      </c>
      <c r="C131" s="10" t="s">
        <v>227</v>
      </c>
      <c r="D131" s="10" t="s">
        <v>568</v>
      </c>
      <c r="E131" s="12" t="n">
        <v>1226.03</v>
      </c>
      <c r="F131" s="10" t="s">
        <v>40</v>
      </c>
      <c r="G131" s="9" t="n">
        <f aca="false">VALUE(LEFT(TEXT(E131,"0.00"),1))</f>
        <v>1</v>
      </c>
      <c r="H131" s="0" t="str">
        <f aca="false">UPPER(SUBSTITUTE(SUBSTITUTE(SUBSTITUTE(D131," ",""),"/",""),".",""))</f>
        <v>INV40004</v>
      </c>
      <c r="I131" s="9" t="n">
        <f aca="false">IF(COUNTIFS($C$5:C131,C131,$H$5:H131,H131,$E$5:E131,E131)&gt;1,1,0)</f>
        <v>0</v>
      </c>
      <c r="J131" s="9" t="n">
        <f aca="false">IF(AND(I131=0,COUNTIFS($C$5:$C$634,C131,$E$5:$E$634,E131,$B$5:$B$634,"&gt;="&amp;(B131-Parameters!$B$12),$B$5:$B$634,"&lt;="&amp;(B131+Parameters!$B$12),$H$5:$H$634,"&lt;&gt;"&amp;H131)&gt;0),1,0)</f>
        <v>0</v>
      </c>
      <c r="K131" s="9" t="n">
        <f aca="false">IF(AND(E131&gt;=Parameters!$B$11,ROUND(MOD(ROUND(E131,2),Parameters!$B$10),2)=0),1,0)</f>
        <v>0</v>
      </c>
      <c r="L131" s="9" t="n">
        <f aca="false">IF(AND(E131&lt;Parameters!$B$7,E131&gt;=Parameters!$B$7*(1-Parameters!$B$9)),1,0)</f>
        <v>0</v>
      </c>
      <c r="M131" s="9" t="n">
        <f aca="false">IF(AND(E131&lt;Parameters!$B$7,COUNTIFS($C$5:$C$634,C131,$B$5:$B$634,B131)&gt;1,SUMIFS($E$5:$E$634,$C$5:$C$634,C131,$B$5:$B$634,B131)&gt;=Parameters!$B$7),1,0)</f>
        <v>0</v>
      </c>
      <c r="N131" s="9" t="n">
        <f aca="false">IF(AND(E131&gt;=Parameters!$B$7,F131&lt;&gt;Parameters!$B$8),1,0)</f>
        <v>0</v>
      </c>
      <c r="O131" s="9" t="n">
        <f aca="false">INDEX(Vendor_Benford!$N$6:$N$50,MATCH(C131,Vendor_Benford!$A$6:$A$50,0))</f>
        <v>0</v>
      </c>
      <c r="P131" s="9" t="n">
        <f aca="false">INDEX(Vendor_Benford!$M$6:$M$50,MATCH(C131,Vendor_Benford!$A$6:$A$50,0))</f>
        <v>0</v>
      </c>
      <c r="Q131" s="9" t="n">
        <f aca="false">I131*Parameters!$B$28+J131*Parameters!$B$29+K131*Parameters!$B$30+L131*Parameters!$B$31+M131*Parameters!$B$32+N131*Parameters!$B$33+O131*Parameters!$B$34+P131*Parameters!$B$35</f>
        <v>0</v>
      </c>
      <c r="R131" s="0" t="str">
        <f aca="false">IF(Q131&gt;=Parameters!$B$24,"High","")</f>
        <v/>
      </c>
    </row>
    <row r="132" customFormat="false" ht="15" hidden="false" customHeight="false" outlineLevel="0" collapsed="false">
      <c r="A132" s="10" t="s">
        <v>569</v>
      </c>
      <c r="B132" s="8" t="n">
        <v>45734</v>
      </c>
      <c r="C132" s="10" t="s">
        <v>188</v>
      </c>
      <c r="D132" s="10" t="s">
        <v>570</v>
      </c>
      <c r="E132" s="12" t="n">
        <v>1891.81</v>
      </c>
      <c r="F132" s="10" t="s">
        <v>347</v>
      </c>
      <c r="G132" s="9" t="n">
        <f aca="false">VALUE(LEFT(TEXT(E132,"0.00"),1))</f>
        <v>1</v>
      </c>
      <c r="H132" s="0" t="str">
        <f aca="false">UPPER(SUBSTITUTE(SUBSTITUTE(SUBSTITUTE(D132," ",""),"/",""),".",""))</f>
        <v>INV27001</v>
      </c>
      <c r="I132" s="9" t="n">
        <f aca="false">IF(COUNTIFS($C$5:C132,C132,$H$5:H132,H132,$E$5:E132,E132)&gt;1,1,0)</f>
        <v>0</v>
      </c>
      <c r="J132" s="9" t="n">
        <f aca="false">IF(AND(I132=0,COUNTIFS($C$5:$C$634,C132,$E$5:$E$634,E132,$B$5:$B$634,"&gt;="&amp;(B132-Parameters!$B$12),$B$5:$B$634,"&lt;="&amp;(B132+Parameters!$B$12),$H$5:$H$634,"&lt;&gt;"&amp;H132)&gt;0),1,0)</f>
        <v>0</v>
      </c>
      <c r="K132" s="9" t="n">
        <f aca="false">IF(AND(E132&gt;=Parameters!$B$11,ROUND(MOD(ROUND(E132,2),Parameters!$B$10),2)=0),1,0)</f>
        <v>0</v>
      </c>
      <c r="L132" s="9" t="n">
        <f aca="false">IF(AND(E132&lt;Parameters!$B$7,E132&gt;=Parameters!$B$7*(1-Parameters!$B$9)),1,0)</f>
        <v>0</v>
      </c>
      <c r="M132" s="9" t="n">
        <f aca="false">IF(AND(E132&lt;Parameters!$B$7,COUNTIFS($C$5:$C$634,C132,$B$5:$B$634,B132)&gt;1,SUMIFS($E$5:$E$634,$C$5:$C$634,C132,$B$5:$B$634,B132)&gt;=Parameters!$B$7),1,0)</f>
        <v>0</v>
      </c>
      <c r="N132" s="9" t="n">
        <f aca="false">IF(AND(E132&gt;=Parameters!$B$7,F132&lt;&gt;Parameters!$B$8),1,0)</f>
        <v>0</v>
      </c>
      <c r="O132" s="9" t="n">
        <f aca="false">INDEX(Vendor_Benford!$N$6:$N$50,MATCH(C132,Vendor_Benford!$A$6:$A$50,0))</f>
        <v>0</v>
      </c>
      <c r="P132" s="9" t="n">
        <f aca="false">INDEX(Vendor_Benford!$M$6:$M$50,MATCH(C132,Vendor_Benford!$A$6:$A$50,0))</f>
        <v>0</v>
      </c>
      <c r="Q132" s="9" t="n">
        <f aca="false">I132*Parameters!$B$28+J132*Parameters!$B$29+K132*Parameters!$B$30+L132*Parameters!$B$31+M132*Parameters!$B$32+N132*Parameters!$B$33+O132*Parameters!$B$34+P132*Parameters!$B$35</f>
        <v>0</v>
      </c>
      <c r="R132" s="0" t="str">
        <f aca="false">IF(Q132&gt;=Parameters!$B$24,"High","")</f>
        <v/>
      </c>
    </row>
    <row r="133" customFormat="false" ht="15" hidden="false" customHeight="false" outlineLevel="0" collapsed="false">
      <c r="A133" s="10" t="s">
        <v>571</v>
      </c>
      <c r="B133" s="8" t="n">
        <v>45735</v>
      </c>
      <c r="C133" s="10" t="s">
        <v>239</v>
      </c>
      <c r="D133" s="10" t="s">
        <v>572</v>
      </c>
      <c r="E133" s="12" t="n">
        <v>81615.43</v>
      </c>
      <c r="F133" s="10" t="s">
        <v>40</v>
      </c>
      <c r="G133" s="9" t="n">
        <f aca="false">VALUE(LEFT(TEXT(E133,"0.00"),1))</f>
        <v>8</v>
      </c>
      <c r="H133" s="0" t="str">
        <f aca="false">UPPER(SUBSTITUTE(SUBSTITUTE(SUBSTITUTE(D133," ",""),"/",""),".",""))</f>
        <v>INV44005</v>
      </c>
      <c r="I133" s="9" t="n">
        <f aca="false">IF(COUNTIFS($C$5:C133,C133,$H$5:H133,H133,$E$5:E133,E133)&gt;1,1,0)</f>
        <v>0</v>
      </c>
      <c r="J133" s="9" t="n">
        <f aca="false">IF(AND(I133=0,COUNTIFS($C$5:$C$634,C133,$E$5:$E$634,E133,$B$5:$B$634,"&gt;="&amp;(B133-Parameters!$B$12),$B$5:$B$634,"&lt;="&amp;(B133+Parameters!$B$12),$H$5:$H$634,"&lt;&gt;"&amp;H133)&gt;0),1,0)</f>
        <v>0</v>
      </c>
      <c r="K133" s="9" t="n">
        <f aca="false">IF(AND(E133&gt;=Parameters!$B$11,ROUND(MOD(ROUND(E133,2),Parameters!$B$10),2)=0),1,0)</f>
        <v>0</v>
      </c>
      <c r="L133" s="9" t="n">
        <f aca="false">IF(AND(E133&lt;Parameters!$B$7,E133&gt;=Parameters!$B$7*(1-Parameters!$B$9)),1,0)</f>
        <v>0</v>
      </c>
      <c r="M133" s="9" t="n">
        <f aca="false">IF(AND(E133&lt;Parameters!$B$7,COUNTIFS($C$5:$C$634,C133,$B$5:$B$634,B133)&gt;1,SUMIFS($E$5:$E$634,$C$5:$C$634,C133,$B$5:$B$634,B133)&gt;=Parameters!$B$7),1,0)</f>
        <v>0</v>
      </c>
      <c r="N133" s="9" t="n">
        <f aca="false">IF(AND(E133&gt;=Parameters!$B$7,F133&lt;&gt;Parameters!$B$8),1,0)</f>
        <v>0</v>
      </c>
      <c r="O133" s="9" t="n">
        <f aca="false">INDEX(Vendor_Benford!$N$6:$N$50,MATCH(C133,Vendor_Benford!$A$6:$A$50,0))</f>
        <v>0</v>
      </c>
      <c r="P133" s="9" t="n">
        <f aca="false">INDEX(Vendor_Benford!$M$6:$M$50,MATCH(C133,Vendor_Benford!$A$6:$A$50,0))</f>
        <v>0</v>
      </c>
      <c r="Q133" s="9" t="n">
        <f aca="false">I133*Parameters!$B$28+J133*Parameters!$B$29+K133*Parameters!$B$30+L133*Parameters!$B$31+M133*Parameters!$B$32+N133*Parameters!$B$33+O133*Parameters!$B$34+P133*Parameters!$B$35</f>
        <v>0</v>
      </c>
      <c r="R133" s="0" t="str">
        <f aca="false">IF(Q133&gt;=Parameters!$B$24,"High","")</f>
        <v/>
      </c>
    </row>
    <row r="134" customFormat="false" ht="15" hidden="false" customHeight="false" outlineLevel="0" collapsed="false">
      <c r="A134" s="10" t="s">
        <v>573</v>
      </c>
      <c r="B134" s="8" t="n">
        <v>45737</v>
      </c>
      <c r="C134" s="10" t="s">
        <v>242</v>
      </c>
      <c r="D134" s="10" t="s">
        <v>574</v>
      </c>
      <c r="E134" s="12" t="n">
        <v>33675.63</v>
      </c>
      <c r="F134" s="10" t="s">
        <v>40</v>
      </c>
      <c r="G134" s="9" t="n">
        <f aca="false">VALUE(LEFT(TEXT(E134,"0.00"),1))</f>
        <v>3</v>
      </c>
      <c r="H134" s="0" t="str">
        <f aca="false">UPPER(SUBSTITUTE(SUBSTITUTE(SUBSTITUTE(D134," ",""),"/",""),".",""))</f>
        <v>INV45003</v>
      </c>
      <c r="I134" s="9" t="n">
        <f aca="false">IF(COUNTIFS($C$5:C134,C134,$H$5:H134,H134,$E$5:E134,E134)&gt;1,1,0)</f>
        <v>0</v>
      </c>
      <c r="J134" s="9" t="n">
        <f aca="false">IF(AND(I134=0,COUNTIFS($C$5:$C$634,C134,$E$5:$E$634,E134,$B$5:$B$634,"&gt;="&amp;(B134-Parameters!$B$12),$B$5:$B$634,"&lt;="&amp;(B134+Parameters!$B$12),$H$5:$H$634,"&lt;&gt;"&amp;H134)&gt;0),1,0)</f>
        <v>0</v>
      </c>
      <c r="K134" s="9" t="n">
        <f aca="false">IF(AND(E134&gt;=Parameters!$B$11,ROUND(MOD(ROUND(E134,2),Parameters!$B$10),2)=0),1,0)</f>
        <v>0</v>
      </c>
      <c r="L134" s="9" t="n">
        <f aca="false">IF(AND(E134&lt;Parameters!$B$7,E134&gt;=Parameters!$B$7*(1-Parameters!$B$9)),1,0)</f>
        <v>0</v>
      </c>
      <c r="M134" s="9" t="n">
        <f aca="false">IF(AND(E134&lt;Parameters!$B$7,COUNTIFS($C$5:$C$634,C134,$B$5:$B$634,B134)&gt;1,SUMIFS($E$5:$E$634,$C$5:$C$634,C134,$B$5:$B$634,B134)&gt;=Parameters!$B$7),1,0)</f>
        <v>0</v>
      </c>
      <c r="N134" s="9" t="n">
        <f aca="false">IF(AND(E134&gt;=Parameters!$B$7,F134&lt;&gt;Parameters!$B$8),1,0)</f>
        <v>0</v>
      </c>
      <c r="O134" s="9" t="n">
        <f aca="false">INDEX(Vendor_Benford!$N$6:$N$50,MATCH(C134,Vendor_Benford!$A$6:$A$50,0))</f>
        <v>0</v>
      </c>
      <c r="P134" s="9" t="n">
        <f aca="false">INDEX(Vendor_Benford!$M$6:$M$50,MATCH(C134,Vendor_Benford!$A$6:$A$50,0))</f>
        <v>0</v>
      </c>
      <c r="Q134" s="9" t="n">
        <f aca="false">I134*Parameters!$B$28+J134*Parameters!$B$29+K134*Parameters!$B$30+L134*Parameters!$B$31+M134*Parameters!$B$32+N134*Parameters!$B$33+O134*Parameters!$B$34+P134*Parameters!$B$35</f>
        <v>0</v>
      </c>
      <c r="R134" s="0" t="str">
        <f aca="false">IF(Q134&gt;=Parameters!$B$24,"High","")</f>
        <v/>
      </c>
    </row>
    <row r="135" customFormat="false" ht="15" hidden="false" customHeight="false" outlineLevel="0" collapsed="false">
      <c r="A135" s="10" t="s">
        <v>575</v>
      </c>
      <c r="B135" s="8" t="n">
        <v>45740</v>
      </c>
      <c r="C135" s="10" t="s">
        <v>212</v>
      </c>
      <c r="D135" s="10" t="s">
        <v>576</v>
      </c>
      <c r="E135" s="12" t="n">
        <v>231.43</v>
      </c>
      <c r="F135" s="10" t="s">
        <v>40</v>
      </c>
      <c r="G135" s="9" t="n">
        <f aca="false">VALUE(LEFT(TEXT(E135,"0.00"),1))</f>
        <v>2</v>
      </c>
      <c r="H135" s="0" t="str">
        <f aca="false">UPPER(SUBSTITUTE(SUBSTITUTE(SUBSTITUTE(D135," ",""),"/",""),".",""))</f>
        <v>INV35018</v>
      </c>
      <c r="I135" s="9" t="n">
        <f aca="false">IF(COUNTIFS($C$5:C135,C135,$H$5:H135,H135,$E$5:E135,E135)&gt;1,1,0)</f>
        <v>0</v>
      </c>
      <c r="J135" s="9" t="n">
        <f aca="false">IF(AND(I135=0,COUNTIFS($C$5:$C$634,C135,$E$5:$E$634,E135,$B$5:$B$634,"&gt;="&amp;(B135-Parameters!$B$12),$B$5:$B$634,"&lt;="&amp;(B135+Parameters!$B$12),$H$5:$H$634,"&lt;&gt;"&amp;H135)&gt;0),1,0)</f>
        <v>0</v>
      </c>
      <c r="K135" s="9" t="n">
        <f aca="false">IF(AND(E135&gt;=Parameters!$B$11,ROUND(MOD(ROUND(E135,2),Parameters!$B$10),2)=0),1,0)</f>
        <v>0</v>
      </c>
      <c r="L135" s="9" t="n">
        <f aca="false">IF(AND(E135&lt;Parameters!$B$7,E135&gt;=Parameters!$B$7*(1-Parameters!$B$9)),1,0)</f>
        <v>0</v>
      </c>
      <c r="M135" s="9" t="n">
        <f aca="false">IF(AND(E135&lt;Parameters!$B$7,COUNTIFS($C$5:$C$634,C135,$B$5:$B$634,B135)&gt;1,SUMIFS($E$5:$E$634,$C$5:$C$634,C135,$B$5:$B$634,B135)&gt;=Parameters!$B$7),1,0)</f>
        <v>0</v>
      </c>
      <c r="N135" s="9" t="n">
        <f aca="false">IF(AND(E135&gt;=Parameters!$B$7,F135&lt;&gt;Parameters!$B$8),1,0)</f>
        <v>0</v>
      </c>
      <c r="O135" s="9" t="n">
        <f aca="false">INDEX(Vendor_Benford!$N$6:$N$50,MATCH(C135,Vendor_Benford!$A$6:$A$50,0))</f>
        <v>0</v>
      </c>
      <c r="P135" s="9" t="n">
        <f aca="false">INDEX(Vendor_Benford!$M$6:$M$50,MATCH(C135,Vendor_Benford!$A$6:$A$50,0))</f>
        <v>0</v>
      </c>
      <c r="Q135" s="9" t="n">
        <f aca="false">I135*Parameters!$B$28+J135*Parameters!$B$29+K135*Parameters!$B$30+L135*Parameters!$B$31+M135*Parameters!$B$32+N135*Parameters!$B$33+O135*Parameters!$B$34+P135*Parameters!$B$35</f>
        <v>0</v>
      </c>
      <c r="R135" s="0" t="str">
        <f aca="false">IF(Q135&gt;=Parameters!$B$24,"High","")</f>
        <v/>
      </c>
    </row>
    <row r="136" customFormat="false" ht="15" hidden="false" customHeight="false" outlineLevel="0" collapsed="false">
      <c r="A136" s="10" t="s">
        <v>577</v>
      </c>
      <c r="B136" s="8" t="n">
        <v>45740</v>
      </c>
      <c r="C136" s="10" t="s">
        <v>224</v>
      </c>
      <c r="D136" s="10" t="s">
        <v>578</v>
      </c>
      <c r="E136" s="12" t="n">
        <v>140.74</v>
      </c>
      <c r="F136" s="10" t="s">
        <v>347</v>
      </c>
      <c r="G136" s="9" t="n">
        <f aca="false">VALUE(LEFT(TEXT(E136,"0.00"),1))</f>
        <v>1</v>
      </c>
      <c r="H136" s="0" t="str">
        <f aca="false">UPPER(SUBSTITUTE(SUBSTITUTE(SUBSTITUTE(D136," ",""),"/",""),".",""))</f>
        <v>INV39003</v>
      </c>
      <c r="I136" s="9" t="n">
        <f aca="false">IF(COUNTIFS($C$5:C136,C136,$H$5:H136,H136,$E$5:E136,E136)&gt;1,1,0)</f>
        <v>0</v>
      </c>
      <c r="J136" s="9" t="n">
        <f aca="false">IF(AND(I136=0,COUNTIFS($C$5:$C$634,C136,$E$5:$E$634,E136,$B$5:$B$634,"&gt;="&amp;(B136-Parameters!$B$12),$B$5:$B$634,"&lt;="&amp;(B136+Parameters!$B$12),$H$5:$H$634,"&lt;&gt;"&amp;H136)&gt;0),1,0)</f>
        <v>0</v>
      </c>
      <c r="K136" s="9" t="n">
        <f aca="false">IF(AND(E136&gt;=Parameters!$B$11,ROUND(MOD(ROUND(E136,2),Parameters!$B$10),2)=0),1,0)</f>
        <v>0</v>
      </c>
      <c r="L136" s="9" t="n">
        <f aca="false">IF(AND(E136&lt;Parameters!$B$7,E136&gt;=Parameters!$B$7*(1-Parameters!$B$9)),1,0)</f>
        <v>0</v>
      </c>
      <c r="M136" s="9" t="n">
        <f aca="false">IF(AND(E136&lt;Parameters!$B$7,COUNTIFS($C$5:$C$634,C136,$B$5:$B$634,B136)&gt;1,SUMIFS($E$5:$E$634,$C$5:$C$634,C136,$B$5:$B$634,B136)&gt;=Parameters!$B$7),1,0)</f>
        <v>1</v>
      </c>
      <c r="N136" s="9" t="n">
        <f aca="false">IF(AND(E136&gt;=Parameters!$B$7,F136&lt;&gt;Parameters!$B$8),1,0)</f>
        <v>0</v>
      </c>
      <c r="O136" s="9" t="n">
        <f aca="false">INDEX(Vendor_Benford!$N$6:$N$50,MATCH(C136,Vendor_Benford!$A$6:$A$50,0))</f>
        <v>0</v>
      </c>
      <c r="P136" s="9" t="n">
        <f aca="false">INDEX(Vendor_Benford!$M$6:$M$50,MATCH(C136,Vendor_Benford!$A$6:$A$50,0))</f>
        <v>0</v>
      </c>
      <c r="Q136" s="9" t="n">
        <f aca="false">I136*Parameters!$B$28+J136*Parameters!$B$29+K136*Parameters!$B$30+L136*Parameters!$B$31+M136*Parameters!$B$32+N136*Parameters!$B$33+O136*Parameters!$B$34+P136*Parameters!$B$35</f>
        <v>3</v>
      </c>
      <c r="R136" s="0" t="str">
        <f aca="false">IF(Q136&gt;=Parameters!$B$24,"High","")</f>
        <v/>
      </c>
    </row>
    <row r="137" customFormat="false" ht="15" hidden="false" customHeight="false" outlineLevel="0" collapsed="false">
      <c r="A137" s="10" t="s">
        <v>579</v>
      </c>
      <c r="B137" s="8" t="n">
        <v>45740</v>
      </c>
      <c r="C137" s="10" t="s">
        <v>224</v>
      </c>
      <c r="D137" s="10" t="s">
        <v>580</v>
      </c>
      <c r="E137" s="12" t="n">
        <v>6271.64</v>
      </c>
      <c r="F137" s="10" t="s">
        <v>40</v>
      </c>
      <c r="G137" s="9" t="n">
        <f aca="false">VALUE(LEFT(TEXT(E137,"0.00"),1))</f>
        <v>6</v>
      </c>
      <c r="H137" s="0" t="str">
        <f aca="false">UPPER(SUBSTITUTE(SUBSTITUTE(SUBSTITUTE(D137," ",""),"/",""),".",""))</f>
        <v>INV39016</v>
      </c>
      <c r="I137" s="9" t="n">
        <f aca="false">IF(COUNTIFS($C$5:C137,C137,$H$5:H137,H137,$E$5:E137,E137)&gt;1,1,0)</f>
        <v>0</v>
      </c>
      <c r="J137" s="9" t="n">
        <f aca="false">IF(AND(I137=0,COUNTIFS($C$5:$C$634,C137,$E$5:$E$634,E137,$B$5:$B$634,"&gt;="&amp;(B137-Parameters!$B$12),$B$5:$B$634,"&lt;="&amp;(B137+Parameters!$B$12),$H$5:$H$634,"&lt;&gt;"&amp;H137)&gt;0),1,0)</f>
        <v>0</v>
      </c>
      <c r="K137" s="9" t="n">
        <f aca="false">IF(AND(E137&gt;=Parameters!$B$11,ROUND(MOD(ROUND(E137,2),Parameters!$B$10),2)=0),1,0)</f>
        <v>0</v>
      </c>
      <c r="L137" s="9" t="n">
        <f aca="false">IF(AND(E137&lt;Parameters!$B$7,E137&gt;=Parameters!$B$7*(1-Parameters!$B$9)),1,0)</f>
        <v>0</v>
      </c>
      <c r="M137" s="9" t="n">
        <f aca="false">IF(AND(E137&lt;Parameters!$B$7,COUNTIFS($C$5:$C$634,C137,$B$5:$B$634,B137)&gt;1,SUMIFS($E$5:$E$634,$C$5:$C$634,C137,$B$5:$B$634,B137)&gt;=Parameters!$B$7),1,0)</f>
        <v>0</v>
      </c>
      <c r="N137" s="9" t="n">
        <f aca="false">IF(AND(E137&gt;=Parameters!$B$7,F137&lt;&gt;Parameters!$B$8),1,0)</f>
        <v>0</v>
      </c>
      <c r="O137" s="9" t="n">
        <f aca="false">INDEX(Vendor_Benford!$N$6:$N$50,MATCH(C137,Vendor_Benford!$A$6:$A$50,0))</f>
        <v>0</v>
      </c>
      <c r="P137" s="9" t="n">
        <f aca="false">INDEX(Vendor_Benford!$M$6:$M$50,MATCH(C137,Vendor_Benford!$A$6:$A$50,0))</f>
        <v>0</v>
      </c>
      <c r="Q137" s="9" t="n">
        <f aca="false">I137*Parameters!$B$28+J137*Parameters!$B$29+K137*Parameters!$B$30+L137*Parameters!$B$31+M137*Parameters!$B$32+N137*Parameters!$B$33+O137*Parameters!$B$34+P137*Parameters!$B$35</f>
        <v>0</v>
      </c>
      <c r="R137" s="0" t="str">
        <f aca="false">IF(Q137&gt;=Parameters!$B$24,"High","")</f>
        <v/>
      </c>
    </row>
    <row r="138" customFormat="false" ht="15" hidden="false" customHeight="false" outlineLevel="0" collapsed="false">
      <c r="A138" s="10" t="s">
        <v>581</v>
      </c>
      <c r="B138" s="8" t="n">
        <v>45741</v>
      </c>
      <c r="C138" s="10" t="s">
        <v>167</v>
      </c>
      <c r="D138" s="10" t="s">
        <v>582</v>
      </c>
      <c r="E138" s="12" t="n">
        <v>23603.91</v>
      </c>
      <c r="F138" s="10" t="s">
        <v>40</v>
      </c>
      <c r="G138" s="9" t="n">
        <f aca="false">VALUE(LEFT(TEXT(E138,"0.00"),1))</f>
        <v>2</v>
      </c>
      <c r="H138" s="0" t="str">
        <f aca="false">UPPER(SUBSTITUTE(SUBSTITUTE(SUBSTITUTE(D138," ",""),"/",""),".",""))</f>
        <v>INV20003</v>
      </c>
      <c r="I138" s="9" t="n">
        <f aca="false">IF(COUNTIFS($C$5:C138,C138,$H$5:H138,H138,$E$5:E138,E138)&gt;1,1,0)</f>
        <v>0</v>
      </c>
      <c r="J138" s="9" t="n">
        <f aca="false">IF(AND(I138=0,COUNTIFS($C$5:$C$634,C138,$E$5:$E$634,E138,$B$5:$B$634,"&gt;="&amp;(B138-Parameters!$B$12),$B$5:$B$634,"&lt;="&amp;(B138+Parameters!$B$12),$H$5:$H$634,"&lt;&gt;"&amp;H138)&gt;0),1,0)</f>
        <v>0</v>
      </c>
      <c r="K138" s="9" t="n">
        <f aca="false">IF(AND(E138&gt;=Parameters!$B$11,ROUND(MOD(ROUND(E138,2),Parameters!$B$10),2)=0),1,0)</f>
        <v>0</v>
      </c>
      <c r="L138" s="9" t="n">
        <f aca="false">IF(AND(E138&lt;Parameters!$B$7,E138&gt;=Parameters!$B$7*(1-Parameters!$B$9)),1,0)</f>
        <v>0</v>
      </c>
      <c r="M138" s="9" t="n">
        <f aca="false">IF(AND(E138&lt;Parameters!$B$7,COUNTIFS($C$5:$C$634,C138,$B$5:$B$634,B138)&gt;1,SUMIFS($E$5:$E$634,$C$5:$C$634,C138,$B$5:$B$634,B138)&gt;=Parameters!$B$7),1,0)</f>
        <v>0</v>
      </c>
      <c r="N138" s="9" t="n">
        <f aca="false">IF(AND(E138&gt;=Parameters!$B$7,F138&lt;&gt;Parameters!$B$8),1,0)</f>
        <v>0</v>
      </c>
      <c r="O138" s="9" t="n">
        <f aca="false">INDEX(Vendor_Benford!$N$6:$N$50,MATCH(C138,Vendor_Benford!$A$6:$A$50,0))</f>
        <v>0</v>
      </c>
      <c r="P138" s="9" t="n">
        <f aca="false">INDEX(Vendor_Benford!$M$6:$M$50,MATCH(C138,Vendor_Benford!$A$6:$A$50,0))</f>
        <v>0</v>
      </c>
      <c r="Q138" s="9" t="n">
        <f aca="false">I138*Parameters!$B$28+J138*Parameters!$B$29+K138*Parameters!$B$30+L138*Parameters!$B$31+M138*Parameters!$B$32+N138*Parameters!$B$33+O138*Parameters!$B$34+P138*Parameters!$B$35</f>
        <v>0</v>
      </c>
      <c r="R138" s="0" t="str">
        <f aca="false">IF(Q138&gt;=Parameters!$B$24,"High","")</f>
        <v/>
      </c>
    </row>
    <row r="139" customFormat="false" ht="15" hidden="false" customHeight="false" outlineLevel="0" collapsed="false">
      <c r="A139" s="10" t="s">
        <v>583</v>
      </c>
      <c r="B139" s="8" t="n">
        <v>45743</v>
      </c>
      <c r="C139" s="10" t="s">
        <v>167</v>
      </c>
      <c r="D139" s="10" t="s">
        <v>584</v>
      </c>
      <c r="E139" s="12" t="n">
        <v>88312.67</v>
      </c>
      <c r="F139" s="10" t="s">
        <v>40</v>
      </c>
      <c r="G139" s="9" t="n">
        <f aca="false">VALUE(LEFT(TEXT(E139,"0.00"),1))</f>
        <v>8</v>
      </c>
      <c r="H139" s="0" t="str">
        <f aca="false">UPPER(SUBSTITUTE(SUBSTITUTE(SUBSTITUTE(D139," ",""),"/",""),".",""))</f>
        <v>INV20005</v>
      </c>
      <c r="I139" s="9" t="n">
        <f aca="false">IF(COUNTIFS($C$5:C139,C139,$H$5:H139,H139,$E$5:E139,E139)&gt;1,1,0)</f>
        <v>0</v>
      </c>
      <c r="J139" s="9" t="n">
        <f aca="false">IF(AND(I139=0,COUNTIFS($C$5:$C$634,C139,$E$5:$E$634,E139,$B$5:$B$634,"&gt;="&amp;(B139-Parameters!$B$12),$B$5:$B$634,"&lt;="&amp;(B139+Parameters!$B$12),$H$5:$H$634,"&lt;&gt;"&amp;H139)&gt;0),1,0)</f>
        <v>0</v>
      </c>
      <c r="K139" s="9" t="n">
        <f aca="false">IF(AND(E139&gt;=Parameters!$B$11,ROUND(MOD(ROUND(E139,2),Parameters!$B$10),2)=0),1,0)</f>
        <v>0</v>
      </c>
      <c r="L139" s="9" t="n">
        <f aca="false">IF(AND(E139&lt;Parameters!$B$7,E139&gt;=Parameters!$B$7*(1-Parameters!$B$9)),1,0)</f>
        <v>0</v>
      </c>
      <c r="M139" s="9" t="n">
        <f aca="false">IF(AND(E139&lt;Parameters!$B$7,COUNTIFS($C$5:$C$634,C139,$B$5:$B$634,B139)&gt;1,SUMIFS($E$5:$E$634,$C$5:$C$634,C139,$B$5:$B$634,B139)&gt;=Parameters!$B$7),1,0)</f>
        <v>0</v>
      </c>
      <c r="N139" s="9" t="n">
        <f aca="false">IF(AND(E139&gt;=Parameters!$B$7,F139&lt;&gt;Parameters!$B$8),1,0)</f>
        <v>0</v>
      </c>
      <c r="O139" s="9" t="n">
        <f aca="false">INDEX(Vendor_Benford!$N$6:$N$50,MATCH(C139,Vendor_Benford!$A$6:$A$50,0))</f>
        <v>0</v>
      </c>
      <c r="P139" s="9" t="n">
        <f aca="false">INDEX(Vendor_Benford!$M$6:$M$50,MATCH(C139,Vendor_Benford!$A$6:$A$50,0))</f>
        <v>0</v>
      </c>
      <c r="Q139" s="9" t="n">
        <f aca="false">I139*Parameters!$B$28+J139*Parameters!$B$29+K139*Parameters!$B$30+L139*Parameters!$B$31+M139*Parameters!$B$32+N139*Parameters!$B$33+O139*Parameters!$B$34+P139*Parameters!$B$35</f>
        <v>0</v>
      </c>
      <c r="R139" s="0" t="str">
        <f aca="false">IF(Q139&gt;=Parameters!$B$24,"High","")</f>
        <v/>
      </c>
    </row>
    <row r="140" customFormat="false" ht="15" hidden="false" customHeight="false" outlineLevel="0" collapsed="false">
      <c r="A140" s="10" t="s">
        <v>585</v>
      </c>
      <c r="B140" s="8" t="n">
        <v>45747</v>
      </c>
      <c r="C140" s="10" t="s">
        <v>116</v>
      </c>
      <c r="D140" s="10" t="s">
        <v>586</v>
      </c>
      <c r="E140" s="12" t="n">
        <v>47105.94</v>
      </c>
      <c r="F140" s="10" t="s">
        <v>40</v>
      </c>
      <c r="G140" s="9" t="n">
        <f aca="false">VALUE(LEFT(TEXT(E140,"0.00"),1))</f>
        <v>4</v>
      </c>
      <c r="H140" s="0" t="str">
        <f aca="false">UPPER(SUBSTITUTE(SUBSTITUTE(SUBSTITUTE(D140," ",""),"/",""),".",""))</f>
        <v>INV3014</v>
      </c>
      <c r="I140" s="9" t="n">
        <f aca="false">IF(COUNTIFS($C$5:C140,C140,$H$5:H140,H140,$E$5:E140,E140)&gt;1,1,0)</f>
        <v>0</v>
      </c>
      <c r="J140" s="9" t="n">
        <f aca="false">IF(AND(I140=0,COUNTIFS($C$5:$C$634,C140,$E$5:$E$634,E140,$B$5:$B$634,"&gt;="&amp;(B140-Parameters!$B$12),$B$5:$B$634,"&lt;="&amp;(B140+Parameters!$B$12),$H$5:$H$634,"&lt;&gt;"&amp;H140)&gt;0),1,0)</f>
        <v>0</v>
      </c>
      <c r="K140" s="9" t="n">
        <f aca="false">IF(AND(E140&gt;=Parameters!$B$11,ROUND(MOD(ROUND(E140,2),Parameters!$B$10),2)=0),1,0)</f>
        <v>0</v>
      </c>
      <c r="L140" s="9" t="n">
        <f aca="false">IF(AND(E140&lt;Parameters!$B$7,E140&gt;=Parameters!$B$7*(1-Parameters!$B$9)),1,0)</f>
        <v>0</v>
      </c>
      <c r="M140" s="9" t="n">
        <f aca="false">IF(AND(E140&lt;Parameters!$B$7,COUNTIFS($C$5:$C$634,C140,$B$5:$B$634,B140)&gt;1,SUMIFS($E$5:$E$634,$C$5:$C$634,C140,$B$5:$B$634,B140)&gt;=Parameters!$B$7),1,0)</f>
        <v>0</v>
      </c>
      <c r="N140" s="9" t="n">
        <f aca="false">IF(AND(E140&gt;=Parameters!$B$7,F140&lt;&gt;Parameters!$B$8),1,0)</f>
        <v>0</v>
      </c>
      <c r="O140" s="9" t="n">
        <f aca="false">INDEX(Vendor_Benford!$N$6:$N$50,MATCH(C140,Vendor_Benford!$A$6:$A$50,0))</f>
        <v>0</v>
      </c>
      <c r="P140" s="9" t="n">
        <f aca="false">INDEX(Vendor_Benford!$M$6:$M$50,MATCH(C140,Vendor_Benford!$A$6:$A$50,0))</f>
        <v>0</v>
      </c>
      <c r="Q140" s="9" t="n">
        <f aca="false">I140*Parameters!$B$28+J140*Parameters!$B$29+K140*Parameters!$B$30+L140*Parameters!$B$31+M140*Parameters!$B$32+N140*Parameters!$B$33+O140*Parameters!$B$34+P140*Parameters!$B$35</f>
        <v>0</v>
      </c>
      <c r="R140" s="0" t="str">
        <f aca="false">IF(Q140&gt;=Parameters!$B$24,"High","")</f>
        <v/>
      </c>
    </row>
    <row r="141" customFormat="false" ht="15" hidden="false" customHeight="false" outlineLevel="0" collapsed="false">
      <c r="A141" s="10" t="s">
        <v>587</v>
      </c>
      <c r="B141" s="8" t="n">
        <v>45747</v>
      </c>
      <c r="C141" s="10" t="s">
        <v>152</v>
      </c>
      <c r="D141" s="10" t="s">
        <v>588</v>
      </c>
      <c r="E141" s="12" t="n">
        <v>46157.22</v>
      </c>
      <c r="F141" s="10" t="s">
        <v>40</v>
      </c>
      <c r="G141" s="9" t="n">
        <f aca="false">VALUE(LEFT(TEXT(E141,"0.00"),1))</f>
        <v>4</v>
      </c>
      <c r="H141" s="0" t="str">
        <f aca="false">UPPER(SUBSTITUTE(SUBSTITUTE(SUBSTITUTE(D141," ",""),"/",""),".",""))</f>
        <v>INV15014</v>
      </c>
      <c r="I141" s="9" t="n">
        <f aca="false">IF(COUNTIFS($C$5:C141,C141,$H$5:H141,H141,$E$5:E141,E141)&gt;1,1,0)</f>
        <v>0</v>
      </c>
      <c r="J141" s="9" t="n">
        <f aca="false">IF(AND(I141=0,COUNTIFS($C$5:$C$634,C141,$E$5:$E$634,E141,$B$5:$B$634,"&gt;="&amp;(B141-Parameters!$B$12),$B$5:$B$634,"&lt;="&amp;(B141+Parameters!$B$12),$H$5:$H$634,"&lt;&gt;"&amp;H141)&gt;0),1,0)</f>
        <v>0</v>
      </c>
      <c r="K141" s="9" t="n">
        <f aca="false">IF(AND(E141&gt;=Parameters!$B$11,ROUND(MOD(ROUND(E141,2),Parameters!$B$10),2)=0),1,0)</f>
        <v>0</v>
      </c>
      <c r="L141" s="9" t="n">
        <f aca="false">IF(AND(E141&lt;Parameters!$B$7,E141&gt;=Parameters!$B$7*(1-Parameters!$B$9)),1,0)</f>
        <v>0</v>
      </c>
      <c r="M141" s="9" t="n">
        <f aca="false">IF(AND(E141&lt;Parameters!$B$7,COUNTIFS($C$5:$C$634,C141,$B$5:$B$634,B141)&gt;1,SUMIFS($E$5:$E$634,$C$5:$C$634,C141,$B$5:$B$634,B141)&gt;=Parameters!$B$7),1,0)</f>
        <v>0</v>
      </c>
      <c r="N141" s="9" t="n">
        <f aca="false">IF(AND(E141&gt;=Parameters!$B$7,F141&lt;&gt;Parameters!$B$8),1,0)</f>
        <v>0</v>
      </c>
      <c r="O141" s="9" t="n">
        <f aca="false">INDEX(Vendor_Benford!$N$6:$N$50,MATCH(C141,Vendor_Benford!$A$6:$A$50,0))</f>
        <v>0</v>
      </c>
      <c r="P141" s="9" t="n">
        <f aca="false">INDEX(Vendor_Benford!$M$6:$M$50,MATCH(C141,Vendor_Benford!$A$6:$A$50,0))</f>
        <v>0</v>
      </c>
      <c r="Q141" s="9" t="n">
        <f aca="false">I141*Parameters!$B$28+J141*Parameters!$B$29+K141*Parameters!$B$30+L141*Parameters!$B$31+M141*Parameters!$B$32+N141*Parameters!$B$33+O141*Parameters!$B$34+P141*Parameters!$B$35</f>
        <v>0</v>
      </c>
      <c r="R141" s="0" t="str">
        <f aca="false">IF(Q141&gt;=Parameters!$B$24,"High","")</f>
        <v/>
      </c>
    </row>
    <row r="142" customFormat="false" ht="15" hidden="false" customHeight="false" outlineLevel="0" collapsed="false">
      <c r="A142" s="10" t="s">
        <v>589</v>
      </c>
      <c r="B142" s="8" t="n">
        <v>45747</v>
      </c>
      <c r="C142" s="10" t="s">
        <v>203</v>
      </c>
      <c r="D142" s="10" t="s">
        <v>590</v>
      </c>
      <c r="E142" s="12" t="n">
        <v>50237.15</v>
      </c>
      <c r="F142" s="10" t="s">
        <v>40</v>
      </c>
      <c r="G142" s="9" t="n">
        <f aca="false">VALUE(LEFT(TEXT(E142,"0.00"),1))</f>
        <v>5</v>
      </c>
      <c r="H142" s="0" t="str">
        <f aca="false">UPPER(SUBSTITUTE(SUBSTITUTE(SUBSTITUTE(D142," ",""),"/",""),".",""))</f>
        <v>INV32012</v>
      </c>
      <c r="I142" s="9" t="n">
        <f aca="false">IF(COUNTIFS($C$5:C142,C142,$H$5:H142,H142,$E$5:E142,E142)&gt;1,1,0)</f>
        <v>0</v>
      </c>
      <c r="J142" s="9" t="n">
        <f aca="false">IF(AND(I142=0,COUNTIFS($C$5:$C$634,C142,$E$5:$E$634,E142,$B$5:$B$634,"&gt;="&amp;(B142-Parameters!$B$12),$B$5:$B$634,"&lt;="&amp;(B142+Parameters!$B$12),$H$5:$H$634,"&lt;&gt;"&amp;H142)&gt;0),1,0)</f>
        <v>0</v>
      </c>
      <c r="K142" s="9" t="n">
        <f aca="false">IF(AND(E142&gt;=Parameters!$B$11,ROUND(MOD(ROUND(E142,2),Parameters!$B$10),2)=0),1,0)</f>
        <v>0</v>
      </c>
      <c r="L142" s="9" t="n">
        <f aca="false">IF(AND(E142&lt;Parameters!$B$7,E142&gt;=Parameters!$B$7*(1-Parameters!$B$9)),1,0)</f>
        <v>0</v>
      </c>
      <c r="M142" s="9" t="n">
        <f aca="false">IF(AND(E142&lt;Parameters!$B$7,COUNTIFS($C$5:$C$634,C142,$B$5:$B$634,B142)&gt;1,SUMIFS($E$5:$E$634,$C$5:$C$634,C142,$B$5:$B$634,B142)&gt;=Parameters!$B$7),1,0)</f>
        <v>0</v>
      </c>
      <c r="N142" s="9" t="n">
        <f aca="false">IF(AND(E142&gt;=Parameters!$B$7,F142&lt;&gt;Parameters!$B$8),1,0)</f>
        <v>0</v>
      </c>
      <c r="O142" s="9" t="n">
        <f aca="false">INDEX(Vendor_Benford!$N$6:$N$50,MATCH(C142,Vendor_Benford!$A$6:$A$50,0))</f>
        <v>0</v>
      </c>
      <c r="P142" s="9" t="n">
        <f aca="false">INDEX(Vendor_Benford!$M$6:$M$50,MATCH(C142,Vendor_Benford!$A$6:$A$50,0))</f>
        <v>0</v>
      </c>
      <c r="Q142" s="9" t="n">
        <f aca="false">I142*Parameters!$B$28+J142*Parameters!$B$29+K142*Parameters!$B$30+L142*Parameters!$B$31+M142*Parameters!$B$32+N142*Parameters!$B$33+O142*Parameters!$B$34+P142*Parameters!$B$35</f>
        <v>0</v>
      </c>
      <c r="R142" s="0" t="str">
        <f aca="false">IF(Q142&gt;=Parameters!$B$24,"High","")</f>
        <v/>
      </c>
    </row>
    <row r="143" customFormat="false" ht="15" hidden="false" customHeight="false" outlineLevel="0" collapsed="false">
      <c r="A143" s="10" t="s">
        <v>591</v>
      </c>
      <c r="B143" s="8" t="n">
        <v>45748</v>
      </c>
      <c r="C143" s="10" t="s">
        <v>110</v>
      </c>
      <c r="D143" s="10" t="s">
        <v>592</v>
      </c>
      <c r="E143" s="12" t="n">
        <v>85000</v>
      </c>
      <c r="F143" s="10" t="s">
        <v>40</v>
      </c>
      <c r="G143" s="9" t="n">
        <f aca="false">VALUE(LEFT(TEXT(E143,"0.00"),1))</f>
        <v>8</v>
      </c>
      <c r="H143" s="0" t="str">
        <f aca="false">UPPER(SUBSTITUTE(SUBSTITUTE(SUBSTITUTE(D143," ",""),"/",""),".",""))</f>
        <v>RENT2504</v>
      </c>
      <c r="I143" s="9" t="n">
        <f aca="false">IF(COUNTIFS($C$5:C143,C143,$H$5:H143,H143,$E$5:E143,E143)&gt;1,1,0)</f>
        <v>0</v>
      </c>
      <c r="J143" s="9" t="n">
        <f aca="false">IF(AND(I143=0,COUNTIFS($C$5:$C$634,C143,$E$5:$E$634,E143,$B$5:$B$634,"&gt;="&amp;(B143-Parameters!$B$12),$B$5:$B$634,"&lt;="&amp;(B143+Parameters!$B$12),$H$5:$H$634,"&lt;&gt;"&amp;H143)&gt;0),1,0)</f>
        <v>1</v>
      </c>
      <c r="K143" s="9" t="n">
        <f aca="false">IF(AND(E143&gt;=Parameters!$B$11,ROUND(MOD(ROUND(E143,2),Parameters!$B$10),2)=0),1,0)</f>
        <v>1</v>
      </c>
      <c r="L143" s="9" t="n">
        <f aca="false">IF(AND(E143&lt;Parameters!$B$7,E143&gt;=Parameters!$B$7*(1-Parameters!$B$9)),1,0)</f>
        <v>0</v>
      </c>
      <c r="M143" s="9" t="n">
        <f aca="false">IF(AND(E143&lt;Parameters!$B$7,COUNTIFS($C$5:$C$634,C143,$B$5:$B$634,B143)&gt;1,SUMIFS($E$5:$E$634,$C$5:$C$634,C143,$B$5:$B$634,B143)&gt;=Parameters!$B$7),1,0)</f>
        <v>0</v>
      </c>
      <c r="N143" s="9" t="n">
        <f aca="false">IF(AND(E143&gt;=Parameters!$B$7,F143&lt;&gt;Parameters!$B$8),1,0)</f>
        <v>0</v>
      </c>
      <c r="O143" s="9" t="n">
        <f aca="false">INDEX(Vendor_Benford!$N$6:$N$50,MATCH(C143,Vendor_Benford!$A$6:$A$50,0))</f>
        <v>0</v>
      </c>
      <c r="P143" s="9" t="n">
        <f aca="false">INDEX(Vendor_Benford!$M$6:$M$50,MATCH(C143,Vendor_Benford!$A$6:$A$50,0))</f>
        <v>0</v>
      </c>
      <c r="Q143" s="9" t="n">
        <f aca="false">I143*Parameters!$B$28+J143*Parameters!$B$29+K143*Parameters!$B$30+L143*Parameters!$B$31+M143*Parameters!$B$32+N143*Parameters!$B$33+O143*Parameters!$B$34+P143*Parameters!$B$35</f>
        <v>5</v>
      </c>
      <c r="R143" s="0" t="str">
        <f aca="false">IF(Q143&gt;=Parameters!$B$24,"High","")</f>
        <v>High</v>
      </c>
    </row>
    <row r="144" customFormat="false" ht="15" hidden="false" customHeight="false" outlineLevel="0" collapsed="false">
      <c r="A144" s="10" t="s">
        <v>593</v>
      </c>
      <c r="B144" s="8" t="n">
        <v>45748</v>
      </c>
      <c r="C144" s="10" t="s">
        <v>119</v>
      </c>
      <c r="D144" s="10" t="s">
        <v>594</v>
      </c>
      <c r="E144" s="12" t="n">
        <v>1890.79</v>
      </c>
      <c r="F144" s="10" t="s">
        <v>40</v>
      </c>
      <c r="G144" s="9" t="n">
        <f aca="false">VALUE(LEFT(TEXT(E144,"0.00"),1))</f>
        <v>1</v>
      </c>
      <c r="H144" s="0" t="str">
        <f aca="false">UPPER(SUBSTITUTE(SUBSTITUTE(SUBSTITUTE(D144," ",""),"/",""),".",""))</f>
        <v>INV4008</v>
      </c>
      <c r="I144" s="9" t="n">
        <f aca="false">IF(COUNTIFS($C$5:C144,C144,$H$5:H144,H144,$E$5:E144,E144)&gt;1,1,0)</f>
        <v>0</v>
      </c>
      <c r="J144" s="9" t="n">
        <f aca="false">IF(AND(I144=0,COUNTIFS($C$5:$C$634,C144,$E$5:$E$634,E144,$B$5:$B$634,"&gt;="&amp;(B144-Parameters!$B$12),$B$5:$B$634,"&lt;="&amp;(B144+Parameters!$B$12),$H$5:$H$634,"&lt;&gt;"&amp;H144)&gt;0),1,0)</f>
        <v>0</v>
      </c>
      <c r="K144" s="9" t="n">
        <f aca="false">IF(AND(E144&gt;=Parameters!$B$11,ROUND(MOD(ROUND(E144,2),Parameters!$B$10),2)=0),1,0)</f>
        <v>0</v>
      </c>
      <c r="L144" s="9" t="n">
        <f aca="false">IF(AND(E144&lt;Parameters!$B$7,E144&gt;=Parameters!$B$7*(1-Parameters!$B$9)),1,0)</f>
        <v>0</v>
      </c>
      <c r="M144" s="9" t="n">
        <f aca="false">IF(AND(E144&lt;Parameters!$B$7,COUNTIFS($C$5:$C$634,C144,$B$5:$B$634,B144)&gt;1,SUMIFS($E$5:$E$634,$C$5:$C$634,C144,$B$5:$B$634,B144)&gt;=Parameters!$B$7),1,0)</f>
        <v>0</v>
      </c>
      <c r="N144" s="9" t="n">
        <f aca="false">IF(AND(E144&gt;=Parameters!$B$7,F144&lt;&gt;Parameters!$B$8),1,0)</f>
        <v>0</v>
      </c>
      <c r="O144" s="9" t="n">
        <f aca="false">INDEX(Vendor_Benford!$N$6:$N$50,MATCH(C144,Vendor_Benford!$A$6:$A$50,0))</f>
        <v>0</v>
      </c>
      <c r="P144" s="9" t="n">
        <f aca="false">INDEX(Vendor_Benford!$M$6:$M$50,MATCH(C144,Vendor_Benford!$A$6:$A$50,0))</f>
        <v>0</v>
      </c>
      <c r="Q144" s="9" t="n">
        <f aca="false">I144*Parameters!$B$28+J144*Parameters!$B$29+K144*Parameters!$B$30+L144*Parameters!$B$31+M144*Parameters!$B$32+N144*Parameters!$B$33+O144*Parameters!$B$34+P144*Parameters!$B$35</f>
        <v>0</v>
      </c>
      <c r="R144" s="0" t="str">
        <f aca="false">IF(Q144&gt;=Parameters!$B$24,"High","")</f>
        <v/>
      </c>
    </row>
    <row r="145" customFormat="false" ht="15" hidden="false" customHeight="false" outlineLevel="0" collapsed="false">
      <c r="A145" s="10" t="s">
        <v>595</v>
      </c>
      <c r="B145" s="8" t="n">
        <v>45748</v>
      </c>
      <c r="C145" s="10" t="s">
        <v>152</v>
      </c>
      <c r="D145" s="10" t="s">
        <v>596</v>
      </c>
      <c r="E145" s="12" t="n">
        <v>299.31</v>
      </c>
      <c r="F145" s="10" t="s">
        <v>347</v>
      </c>
      <c r="G145" s="9" t="n">
        <f aca="false">VALUE(LEFT(TEXT(E145,"0.00"),1))</f>
        <v>2</v>
      </c>
      <c r="H145" s="0" t="str">
        <f aca="false">UPPER(SUBSTITUTE(SUBSTITUTE(SUBSTITUTE(D145," ",""),"/",""),".",""))</f>
        <v>INV15005</v>
      </c>
      <c r="I145" s="9" t="n">
        <f aca="false">IF(COUNTIFS($C$5:C145,C145,$H$5:H145,H145,$E$5:E145,E145)&gt;1,1,0)</f>
        <v>0</v>
      </c>
      <c r="J145" s="9" t="n">
        <f aca="false">IF(AND(I145=0,COUNTIFS($C$5:$C$634,C145,$E$5:$E$634,E145,$B$5:$B$634,"&gt;="&amp;(B145-Parameters!$B$12),$B$5:$B$634,"&lt;="&amp;(B145+Parameters!$B$12),$H$5:$H$634,"&lt;&gt;"&amp;H145)&gt;0),1,0)</f>
        <v>0</v>
      </c>
      <c r="K145" s="9" t="n">
        <f aca="false">IF(AND(E145&gt;=Parameters!$B$11,ROUND(MOD(ROUND(E145,2),Parameters!$B$10),2)=0),1,0)</f>
        <v>0</v>
      </c>
      <c r="L145" s="9" t="n">
        <f aca="false">IF(AND(E145&lt;Parameters!$B$7,E145&gt;=Parameters!$B$7*(1-Parameters!$B$9)),1,0)</f>
        <v>0</v>
      </c>
      <c r="M145" s="9" t="n">
        <f aca="false">IF(AND(E145&lt;Parameters!$B$7,COUNTIFS($C$5:$C$634,C145,$B$5:$B$634,B145)&gt;1,SUMIFS($E$5:$E$634,$C$5:$C$634,C145,$B$5:$B$634,B145)&gt;=Parameters!$B$7),1,0)</f>
        <v>0</v>
      </c>
      <c r="N145" s="9" t="n">
        <f aca="false">IF(AND(E145&gt;=Parameters!$B$7,F145&lt;&gt;Parameters!$B$8),1,0)</f>
        <v>0</v>
      </c>
      <c r="O145" s="9" t="n">
        <f aca="false">INDEX(Vendor_Benford!$N$6:$N$50,MATCH(C145,Vendor_Benford!$A$6:$A$50,0))</f>
        <v>0</v>
      </c>
      <c r="P145" s="9" t="n">
        <f aca="false">INDEX(Vendor_Benford!$M$6:$M$50,MATCH(C145,Vendor_Benford!$A$6:$A$50,0))</f>
        <v>0</v>
      </c>
      <c r="Q145" s="9" t="n">
        <f aca="false">I145*Parameters!$B$28+J145*Parameters!$B$29+K145*Parameters!$B$30+L145*Parameters!$B$31+M145*Parameters!$B$32+N145*Parameters!$B$33+O145*Parameters!$B$34+P145*Parameters!$B$35</f>
        <v>0</v>
      </c>
      <c r="R145" s="0" t="str">
        <f aca="false">IF(Q145&gt;=Parameters!$B$24,"High","")</f>
        <v/>
      </c>
    </row>
    <row r="146" customFormat="false" ht="15" hidden="false" customHeight="false" outlineLevel="0" collapsed="false">
      <c r="A146" s="10" t="s">
        <v>597</v>
      </c>
      <c r="B146" s="8" t="n">
        <v>45748</v>
      </c>
      <c r="C146" s="10" t="s">
        <v>194</v>
      </c>
      <c r="D146" s="10" t="s">
        <v>598</v>
      </c>
      <c r="E146" s="12" t="n">
        <v>24694.74</v>
      </c>
      <c r="F146" s="10" t="s">
        <v>40</v>
      </c>
      <c r="G146" s="9" t="n">
        <f aca="false">VALUE(LEFT(TEXT(E146,"0.00"),1))</f>
        <v>2</v>
      </c>
      <c r="H146" s="0" t="str">
        <f aca="false">UPPER(SUBSTITUTE(SUBSTITUTE(SUBSTITUTE(D146," ",""),"/",""),".",""))</f>
        <v>INV29010</v>
      </c>
      <c r="I146" s="9" t="n">
        <f aca="false">IF(COUNTIFS($C$5:C146,C146,$H$5:H146,H146,$E$5:E146,E146)&gt;1,1,0)</f>
        <v>0</v>
      </c>
      <c r="J146" s="9" t="n">
        <f aca="false">IF(AND(I146=0,COUNTIFS($C$5:$C$634,C146,$E$5:$E$634,E146,$B$5:$B$634,"&gt;="&amp;(B146-Parameters!$B$12),$B$5:$B$634,"&lt;="&amp;(B146+Parameters!$B$12),$H$5:$H$634,"&lt;&gt;"&amp;H146)&gt;0),1,0)</f>
        <v>0</v>
      </c>
      <c r="K146" s="9" t="n">
        <f aca="false">IF(AND(E146&gt;=Parameters!$B$11,ROUND(MOD(ROUND(E146,2),Parameters!$B$10),2)=0),1,0)</f>
        <v>0</v>
      </c>
      <c r="L146" s="9" t="n">
        <f aca="false">IF(AND(E146&lt;Parameters!$B$7,E146&gt;=Parameters!$B$7*(1-Parameters!$B$9)),1,0)</f>
        <v>0</v>
      </c>
      <c r="M146" s="9" t="n">
        <f aca="false">IF(AND(E146&lt;Parameters!$B$7,COUNTIFS($C$5:$C$634,C146,$B$5:$B$634,B146)&gt;1,SUMIFS($E$5:$E$634,$C$5:$C$634,C146,$B$5:$B$634,B146)&gt;=Parameters!$B$7),1,0)</f>
        <v>0</v>
      </c>
      <c r="N146" s="9" t="n">
        <f aca="false">IF(AND(E146&gt;=Parameters!$B$7,F146&lt;&gt;Parameters!$B$8),1,0)</f>
        <v>0</v>
      </c>
      <c r="O146" s="9" t="n">
        <f aca="false">INDEX(Vendor_Benford!$N$6:$N$50,MATCH(C146,Vendor_Benford!$A$6:$A$50,0))</f>
        <v>0</v>
      </c>
      <c r="P146" s="9" t="n">
        <f aca="false">INDEX(Vendor_Benford!$M$6:$M$50,MATCH(C146,Vendor_Benford!$A$6:$A$50,0))</f>
        <v>0</v>
      </c>
      <c r="Q146" s="9" t="n">
        <f aca="false">I146*Parameters!$B$28+J146*Parameters!$B$29+K146*Parameters!$B$30+L146*Parameters!$B$31+M146*Parameters!$B$32+N146*Parameters!$B$33+O146*Parameters!$B$34+P146*Parameters!$B$35</f>
        <v>0</v>
      </c>
      <c r="R146" s="0" t="str">
        <f aca="false">IF(Q146&gt;=Parameters!$B$24,"High","")</f>
        <v/>
      </c>
    </row>
    <row r="147" customFormat="false" ht="15" hidden="false" customHeight="false" outlineLevel="0" collapsed="false">
      <c r="A147" s="10" t="s">
        <v>599</v>
      </c>
      <c r="B147" s="8" t="n">
        <v>45749</v>
      </c>
      <c r="C147" s="10" t="s">
        <v>122</v>
      </c>
      <c r="D147" s="10" t="s">
        <v>600</v>
      </c>
      <c r="E147" s="12" t="n">
        <v>95185.62</v>
      </c>
      <c r="F147" s="10" t="s">
        <v>40</v>
      </c>
      <c r="G147" s="9" t="n">
        <f aca="false">VALUE(LEFT(TEXT(E147,"0.00"),1))</f>
        <v>9</v>
      </c>
      <c r="H147" s="0" t="str">
        <f aca="false">UPPER(SUBSTITUTE(SUBSTITUTE(SUBSTITUTE(D147," ",""),"/",""),".",""))</f>
        <v>INV5011</v>
      </c>
      <c r="I147" s="9" t="n">
        <f aca="false">IF(COUNTIFS($C$5:C147,C147,$H$5:H147,H147,$E$5:E147,E147)&gt;1,1,0)</f>
        <v>0</v>
      </c>
      <c r="J147" s="9" t="n">
        <f aca="false">IF(AND(I147=0,COUNTIFS($C$5:$C$634,C147,$E$5:$E$634,E147,$B$5:$B$634,"&gt;="&amp;(B147-Parameters!$B$12),$B$5:$B$634,"&lt;="&amp;(B147+Parameters!$B$12),$H$5:$H$634,"&lt;&gt;"&amp;H147)&gt;0),1,0)</f>
        <v>0</v>
      </c>
      <c r="K147" s="9" t="n">
        <f aca="false">IF(AND(E147&gt;=Parameters!$B$11,ROUND(MOD(ROUND(E147,2),Parameters!$B$10),2)=0),1,0)</f>
        <v>0</v>
      </c>
      <c r="L147" s="9" t="n">
        <f aca="false">IF(AND(E147&lt;Parameters!$B$7,E147&gt;=Parameters!$B$7*(1-Parameters!$B$9)),1,0)</f>
        <v>0</v>
      </c>
      <c r="M147" s="9" t="n">
        <f aca="false">IF(AND(E147&lt;Parameters!$B$7,COUNTIFS($C$5:$C$634,C147,$B$5:$B$634,B147)&gt;1,SUMIFS($E$5:$E$634,$C$5:$C$634,C147,$B$5:$B$634,B147)&gt;=Parameters!$B$7),1,0)</f>
        <v>0</v>
      </c>
      <c r="N147" s="9" t="n">
        <f aca="false">IF(AND(E147&gt;=Parameters!$B$7,F147&lt;&gt;Parameters!$B$8),1,0)</f>
        <v>0</v>
      </c>
      <c r="O147" s="9" t="n">
        <f aca="false">INDEX(Vendor_Benford!$N$6:$N$50,MATCH(C147,Vendor_Benford!$A$6:$A$50,0))</f>
        <v>0</v>
      </c>
      <c r="P147" s="9" t="n">
        <f aca="false">INDEX(Vendor_Benford!$M$6:$M$50,MATCH(C147,Vendor_Benford!$A$6:$A$50,0))</f>
        <v>0</v>
      </c>
      <c r="Q147" s="9" t="n">
        <f aca="false">I147*Parameters!$B$28+J147*Parameters!$B$29+K147*Parameters!$B$30+L147*Parameters!$B$31+M147*Parameters!$B$32+N147*Parameters!$B$33+O147*Parameters!$B$34+P147*Parameters!$B$35</f>
        <v>0</v>
      </c>
      <c r="R147" s="0" t="str">
        <f aca="false">IF(Q147&gt;=Parameters!$B$24,"High","")</f>
        <v/>
      </c>
    </row>
    <row r="148" customFormat="false" ht="15" hidden="false" customHeight="false" outlineLevel="0" collapsed="false">
      <c r="A148" s="10" t="s">
        <v>601</v>
      </c>
      <c r="B148" s="8" t="n">
        <v>45749</v>
      </c>
      <c r="C148" s="10" t="s">
        <v>122</v>
      </c>
      <c r="D148" s="10" t="s">
        <v>602</v>
      </c>
      <c r="E148" s="12" t="n">
        <v>320.02</v>
      </c>
      <c r="F148" s="10" t="s">
        <v>347</v>
      </c>
      <c r="G148" s="9" t="n">
        <f aca="false">VALUE(LEFT(TEXT(E148,"0.00"),1))</f>
        <v>3</v>
      </c>
      <c r="H148" s="0" t="str">
        <f aca="false">UPPER(SUBSTITUTE(SUBSTITUTE(SUBSTITUTE(D148," ",""),"/",""),".",""))</f>
        <v>INV5014</v>
      </c>
      <c r="I148" s="9" t="n">
        <f aca="false">IF(COUNTIFS($C$5:C148,C148,$H$5:H148,H148,$E$5:E148,E148)&gt;1,1,0)</f>
        <v>0</v>
      </c>
      <c r="J148" s="9" t="n">
        <f aca="false">IF(AND(I148=0,COUNTIFS($C$5:$C$634,C148,$E$5:$E$634,E148,$B$5:$B$634,"&gt;="&amp;(B148-Parameters!$B$12),$B$5:$B$634,"&lt;="&amp;(B148+Parameters!$B$12),$H$5:$H$634,"&lt;&gt;"&amp;H148)&gt;0),1,0)</f>
        <v>0</v>
      </c>
      <c r="K148" s="9" t="n">
        <f aca="false">IF(AND(E148&gt;=Parameters!$B$11,ROUND(MOD(ROUND(E148,2),Parameters!$B$10),2)=0),1,0)</f>
        <v>0</v>
      </c>
      <c r="L148" s="9" t="n">
        <f aca="false">IF(AND(E148&lt;Parameters!$B$7,E148&gt;=Parameters!$B$7*(1-Parameters!$B$9)),1,0)</f>
        <v>0</v>
      </c>
      <c r="M148" s="9" t="n">
        <f aca="false">IF(AND(E148&lt;Parameters!$B$7,COUNTIFS($C$5:$C$634,C148,$B$5:$B$634,B148)&gt;1,SUMIFS($E$5:$E$634,$C$5:$C$634,C148,$B$5:$B$634,B148)&gt;=Parameters!$B$7),1,0)</f>
        <v>1</v>
      </c>
      <c r="N148" s="9" t="n">
        <f aca="false">IF(AND(E148&gt;=Parameters!$B$7,F148&lt;&gt;Parameters!$B$8),1,0)</f>
        <v>0</v>
      </c>
      <c r="O148" s="9" t="n">
        <f aca="false">INDEX(Vendor_Benford!$N$6:$N$50,MATCH(C148,Vendor_Benford!$A$6:$A$50,0))</f>
        <v>0</v>
      </c>
      <c r="P148" s="9" t="n">
        <f aca="false">INDEX(Vendor_Benford!$M$6:$M$50,MATCH(C148,Vendor_Benford!$A$6:$A$50,0))</f>
        <v>0</v>
      </c>
      <c r="Q148" s="9" t="n">
        <f aca="false">I148*Parameters!$B$28+J148*Parameters!$B$29+K148*Parameters!$B$30+L148*Parameters!$B$31+M148*Parameters!$B$32+N148*Parameters!$B$33+O148*Parameters!$B$34+P148*Parameters!$B$35</f>
        <v>3</v>
      </c>
      <c r="R148" s="0" t="str">
        <f aca="false">IF(Q148&gt;=Parameters!$B$24,"High","")</f>
        <v/>
      </c>
    </row>
    <row r="149" customFormat="false" ht="15" hidden="false" customHeight="false" outlineLevel="0" collapsed="false">
      <c r="A149" s="10" t="s">
        <v>603</v>
      </c>
      <c r="B149" s="8" t="n">
        <v>45749</v>
      </c>
      <c r="C149" s="10" t="s">
        <v>149</v>
      </c>
      <c r="D149" s="10" t="s">
        <v>604</v>
      </c>
      <c r="E149" s="12" t="n">
        <v>270</v>
      </c>
      <c r="F149" s="10" t="s">
        <v>347</v>
      </c>
      <c r="G149" s="9" t="n">
        <f aca="false">VALUE(LEFT(TEXT(E149,"0.00"),1))</f>
        <v>2</v>
      </c>
      <c r="H149" s="0" t="str">
        <f aca="false">UPPER(SUBSTITUTE(SUBSTITUTE(SUBSTITUTE(D149," ",""),"/",""),".",""))</f>
        <v>INV14006</v>
      </c>
      <c r="I149" s="9" t="n">
        <f aca="false">IF(COUNTIFS($C$5:C149,C149,$H$5:H149,H149,$E$5:E149,E149)&gt;1,1,0)</f>
        <v>0</v>
      </c>
      <c r="J149" s="9" t="n">
        <f aca="false">IF(AND(I149=0,COUNTIFS($C$5:$C$634,C149,$E$5:$E$634,E149,$B$5:$B$634,"&gt;="&amp;(B149-Parameters!$B$12),$B$5:$B$634,"&lt;="&amp;(B149+Parameters!$B$12),$H$5:$H$634,"&lt;&gt;"&amp;H149)&gt;0),1,0)</f>
        <v>0</v>
      </c>
      <c r="K149" s="9" t="n">
        <f aca="false">IF(AND(E149&gt;=Parameters!$B$11,ROUND(MOD(ROUND(E149,2),Parameters!$B$10),2)=0),1,0)</f>
        <v>0</v>
      </c>
      <c r="L149" s="9" t="n">
        <f aca="false">IF(AND(E149&lt;Parameters!$B$7,E149&gt;=Parameters!$B$7*(1-Parameters!$B$9)),1,0)</f>
        <v>0</v>
      </c>
      <c r="M149" s="9" t="n">
        <f aca="false">IF(AND(E149&lt;Parameters!$B$7,COUNTIFS($C$5:$C$634,C149,$B$5:$B$634,B149)&gt;1,SUMIFS($E$5:$E$634,$C$5:$C$634,C149,$B$5:$B$634,B149)&gt;=Parameters!$B$7),1,0)</f>
        <v>0</v>
      </c>
      <c r="N149" s="9" t="n">
        <f aca="false">IF(AND(E149&gt;=Parameters!$B$7,F149&lt;&gt;Parameters!$B$8),1,0)</f>
        <v>0</v>
      </c>
      <c r="O149" s="9" t="n">
        <f aca="false">INDEX(Vendor_Benford!$N$6:$N$50,MATCH(C149,Vendor_Benford!$A$6:$A$50,0))</f>
        <v>0</v>
      </c>
      <c r="P149" s="9" t="n">
        <f aca="false">INDEX(Vendor_Benford!$M$6:$M$50,MATCH(C149,Vendor_Benford!$A$6:$A$50,0))</f>
        <v>0</v>
      </c>
      <c r="Q149" s="9" t="n">
        <f aca="false">I149*Parameters!$B$28+J149*Parameters!$B$29+K149*Parameters!$B$30+L149*Parameters!$B$31+M149*Parameters!$B$32+N149*Parameters!$B$33+O149*Parameters!$B$34+P149*Parameters!$B$35</f>
        <v>0</v>
      </c>
      <c r="R149" s="0" t="str">
        <f aca="false">IF(Q149&gt;=Parameters!$B$24,"High","")</f>
        <v/>
      </c>
    </row>
    <row r="150" customFormat="false" ht="15" hidden="false" customHeight="false" outlineLevel="0" collapsed="false">
      <c r="A150" s="10" t="s">
        <v>605</v>
      </c>
      <c r="B150" s="8" t="n">
        <v>45749</v>
      </c>
      <c r="C150" s="10" t="s">
        <v>167</v>
      </c>
      <c r="D150" s="10" t="s">
        <v>606</v>
      </c>
      <c r="E150" s="12" t="n">
        <v>14312.23</v>
      </c>
      <c r="F150" s="10" t="s">
        <v>40</v>
      </c>
      <c r="G150" s="9" t="n">
        <f aca="false">VALUE(LEFT(TEXT(E150,"0.00"),1))</f>
        <v>1</v>
      </c>
      <c r="H150" s="0" t="str">
        <f aca="false">UPPER(SUBSTITUTE(SUBSTITUTE(SUBSTITUTE(D150," ",""),"/",""),".",""))</f>
        <v>INV20004</v>
      </c>
      <c r="I150" s="9" t="n">
        <f aca="false">IF(COUNTIFS($C$5:C150,C150,$H$5:H150,H150,$E$5:E150,E150)&gt;1,1,0)</f>
        <v>0</v>
      </c>
      <c r="J150" s="9" t="n">
        <f aca="false">IF(AND(I150=0,COUNTIFS($C$5:$C$634,C150,$E$5:$E$634,E150,$B$5:$B$634,"&gt;="&amp;(B150-Parameters!$B$12),$B$5:$B$634,"&lt;="&amp;(B150+Parameters!$B$12),$H$5:$H$634,"&lt;&gt;"&amp;H150)&gt;0),1,0)</f>
        <v>0</v>
      </c>
      <c r="K150" s="9" t="n">
        <f aca="false">IF(AND(E150&gt;=Parameters!$B$11,ROUND(MOD(ROUND(E150,2),Parameters!$B$10),2)=0),1,0)</f>
        <v>0</v>
      </c>
      <c r="L150" s="9" t="n">
        <f aca="false">IF(AND(E150&lt;Parameters!$B$7,E150&gt;=Parameters!$B$7*(1-Parameters!$B$9)),1,0)</f>
        <v>0</v>
      </c>
      <c r="M150" s="9" t="n">
        <f aca="false">IF(AND(E150&lt;Parameters!$B$7,COUNTIFS($C$5:$C$634,C150,$B$5:$B$634,B150)&gt;1,SUMIFS($E$5:$E$634,$C$5:$C$634,C150,$B$5:$B$634,B150)&gt;=Parameters!$B$7),1,0)</f>
        <v>0</v>
      </c>
      <c r="N150" s="9" t="n">
        <f aca="false">IF(AND(E150&gt;=Parameters!$B$7,F150&lt;&gt;Parameters!$B$8),1,0)</f>
        <v>0</v>
      </c>
      <c r="O150" s="9" t="n">
        <f aca="false">INDEX(Vendor_Benford!$N$6:$N$50,MATCH(C150,Vendor_Benford!$A$6:$A$50,0))</f>
        <v>0</v>
      </c>
      <c r="P150" s="9" t="n">
        <f aca="false">INDEX(Vendor_Benford!$M$6:$M$50,MATCH(C150,Vendor_Benford!$A$6:$A$50,0))</f>
        <v>0</v>
      </c>
      <c r="Q150" s="9" t="n">
        <f aca="false">I150*Parameters!$B$28+J150*Parameters!$B$29+K150*Parameters!$B$30+L150*Parameters!$B$31+M150*Parameters!$B$32+N150*Parameters!$B$33+O150*Parameters!$B$34+P150*Parameters!$B$35</f>
        <v>0</v>
      </c>
      <c r="R150" s="0" t="str">
        <f aca="false">IF(Q150&gt;=Parameters!$B$24,"High","")</f>
        <v/>
      </c>
    </row>
    <row r="151" customFormat="false" ht="15" hidden="false" customHeight="false" outlineLevel="0" collapsed="false">
      <c r="A151" s="10" t="s">
        <v>607</v>
      </c>
      <c r="B151" s="8" t="n">
        <v>45749</v>
      </c>
      <c r="C151" s="10" t="s">
        <v>200</v>
      </c>
      <c r="D151" s="10" t="s">
        <v>608</v>
      </c>
      <c r="E151" s="12" t="n">
        <v>4918.25</v>
      </c>
      <c r="F151" s="10" t="s">
        <v>347</v>
      </c>
      <c r="G151" s="9" t="n">
        <f aca="false">VALUE(LEFT(TEXT(E151,"0.00"),1))</f>
        <v>4</v>
      </c>
      <c r="H151" s="0" t="str">
        <f aca="false">UPPER(SUBSTITUTE(SUBSTITUTE(SUBSTITUTE(D151," ",""),"/",""),".",""))</f>
        <v>INV31042</v>
      </c>
      <c r="I151" s="9" t="n">
        <f aca="false">IF(COUNTIFS($C$5:C151,C151,$H$5:H151,H151,$E$5:E151,E151)&gt;1,1,0)</f>
        <v>0</v>
      </c>
      <c r="J151" s="9" t="n">
        <f aca="false">IF(AND(I151=0,COUNTIFS($C$5:$C$634,C151,$E$5:$E$634,E151,$B$5:$B$634,"&gt;="&amp;(B151-Parameters!$B$12),$B$5:$B$634,"&lt;="&amp;(B151+Parameters!$B$12),$H$5:$H$634,"&lt;&gt;"&amp;H151)&gt;0),1,0)</f>
        <v>0</v>
      </c>
      <c r="K151" s="9" t="n">
        <f aca="false">IF(AND(E151&gt;=Parameters!$B$11,ROUND(MOD(ROUND(E151,2),Parameters!$B$10),2)=0),1,0)</f>
        <v>0</v>
      </c>
      <c r="L151" s="9" t="n">
        <f aca="false">IF(AND(E151&lt;Parameters!$B$7,E151&gt;=Parameters!$B$7*(1-Parameters!$B$9)),1,0)</f>
        <v>1</v>
      </c>
      <c r="M151" s="9" t="n">
        <f aca="false">IF(AND(E151&lt;Parameters!$B$7,COUNTIFS($C$5:$C$634,C151,$B$5:$B$634,B151)&gt;1,SUMIFS($E$5:$E$634,$C$5:$C$634,C151,$B$5:$B$634,B151)&gt;=Parameters!$B$7),1,0)</f>
        <v>0</v>
      </c>
      <c r="N151" s="9" t="n">
        <f aca="false">IF(AND(E151&gt;=Parameters!$B$7,F151&lt;&gt;Parameters!$B$8),1,0)</f>
        <v>0</v>
      </c>
      <c r="O151" s="9" t="n">
        <f aca="false">INDEX(Vendor_Benford!$N$6:$N$50,MATCH(C151,Vendor_Benford!$A$6:$A$50,0))</f>
        <v>0</v>
      </c>
      <c r="P151" s="9" t="n">
        <f aca="false">INDEX(Vendor_Benford!$M$6:$M$50,MATCH(C151,Vendor_Benford!$A$6:$A$50,0))</f>
        <v>1</v>
      </c>
      <c r="Q151" s="9" t="n">
        <f aca="false">I151*Parameters!$B$28+J151*Parameters!$B$29+K151*Parameters!$B$30+L151*Parameters!$B$31+M151*Parameters!$B$32+N151*Parameters!$B$33+O151*Parameters!$B$34+P151*Parameters!$B$35</f>
        <v>4</v>
      </c>
      <c r="R151" s="0" t="str">
        <f aca="false">IF(Q151&gt;=Parameters!$B$24,"High","")</f>
        <v/>
      </c>
    </row>
    <row r="152" customFormat="false" ht="15" hidden="false" customHeight="false" outlineLevel="0" collapsed="false">
      <c r="A152" s="10" t="s">
        <v>609</v>
      </c>
      <c r="B152" s="8" t="n">
        <v>45750</v>
      </c>
      <c r="C152" s="10" t="s">
        <v>134</v>
      </c>
      <c r="D152" s="10" t="s">
        <v>610</v>
      </c>
      <c r="E152" s="12" t="n">
        <v>19463.67</v>
      </c>
      <c r="F152" s="10" t="s">
        <v>40</v>
      </c>
      <c r="G152" s="9" t="n">
        <f aca="false">VALUE(LEFT(TEXT(E152,"0.00"),1))</f>
        <v>1</v>
      </c>
      <c r="H152" s="0" t="str">
        <f aca="false">UPPER(SUBSTITUTE(SUBSTITUTE(SUBSTITUTE(D152," ",""),"/",""),".",""))</f>
        <v>INV9024</v>
      </c>
      <c r="I152" s="9" t="n">
        <f aca="false">IF(COUNTIFS($C$5:C152,C152,$H$5:H152,H152,$E$5:E152,E152)&gt;1,1,0)</f>
        <v>0</v>
      </c>
      <c r="J152" s="9" t="n">
        <f aca="false">IF(AND(I152=0,COUNTIFS($C$5:$C$634,C152,$E$5:$E$634,E152,$B$5:$B$634,"&gt;="&amp;(B152-Parameters!$B$12),$B$5:$B$634,"&lt;="&amp;(B152+Parameters!$B$12),$H$5:$H$634,"&lt;&gt;"&amp;H152)&gt;0),1,0)</f>
        <v>0</v>
      </c>
      <c r="K152" s="9" t="n">
        <f aca="false">IF(AND(E152&gt;=Parameters!$B$11,ROUND(MOD(ROUND(E152,2),Parameters!$B$10),2)=0),1,0)</f>
        <v>0</v>
      </c>
      <c r="L152" s="9" t="n">
        <f aca="false">IF(AND(E152&lt;Parameters!$B$7,E152&gt;=Parameters!$B$7*(1-Parameters!$B$9)),1,0)</f>
        <v>0</v>
      </c>
      <c r="M152" s="9" t="n">
        <f aca="false">IF(AND(E152&lt;Parameters!$B$7,COUNTIFS($C$5:$C$634,C152,$B$5:$B$634,B152)&gt;1,SUMIFS($E$5:$E$634,$C$5:$C$634,C152,$B$5:$B$634,B152)&gt;=Parameters!$B$7),1,0)</f>
        <v>0</v>
      </c>
      <c r="N152" s="9" t="n">
        <f aca="false">IF(AND(E152&gt;=Parameters!$B$7,F152&lt;&gt;Parameters!$B$8),1,0)</f>
        <v>0</v>
      </c>
      <c r="O152" s="9" t="n">
        <f aca="false">INDEX(Vendor_Benford!$N$6:$N$50,MATCH(C152,Vendor_Benford!$A$6:$A$50,0))</f>
        <v>0</v>
      </c>
      <c r="P152" s="9" t="n">
        <f aca="false">INDEX(Vendor_Benford!$M$6:$M$50,MATCH(C152,Vendor_Benford!$A$6:$A$50,0))</f>
        <v>0</v>
      </c>
      <c r="Q152" s="9" t="n">
        <f aca="false">I152*Parameters!$B$28+J152*Parameters!$B$29+K152*Parameters!$B$30+L152*Parameters!$B$31+M152*Parameters!$B$32+N152*Parameters!$B$33+O152*Parameters!$B$34+P152*Parameters!$B$35</f>
        <v>0</v>
      </c>
      <c r="R152" s="0" t="str">
        <f aca="false">IF(Q152&gt;=Parameters!$B$24,"High","")</f>
        <v/>
      </c>
    </row>
    <row r="153" customFormat="false" ht="15" hidden="false" customHeight="false" outlineLevel="0" collapsed="false">
      <c r="A153" s="10" t="s">
        <v>611</v>
      </c>
      <c r="B153" s="8" t="n">
        <v>45750</v>
      </c>
      <c r="C153" s="10" t="s">
        <v>200</v>
      </c>
      <c r="D153" s="10" t="s">
        <v>612</v>
      </c>
      <c r="E153" s="12" t="n">
        <v>4812.37</v>
      </c>
      <c r="F153" s="10" t="s">
        <v>347</v>
      </c>
      <c r="G153" s="9" t="n">
        <f aca="false">VALUE(LEFT(TEXT(E153,"0.00"),1))</f>
        <v>4</v>
      </c>
      <c r="H153" s="0" t="str">
        <f aca="false">UPPER(SUBSTITUTE(SUBSTITUTE(SUBSTITUTE(D153," ",""),"/",""),".",""))</f>
        <v>INV31026</v>
      </c>
      <c r="I153" s="9" t="n">
        <f aca="false">IF(COUNTIFS($C$5:C153,C153,$H$5:H153,H153,$E$5:E153,E153)&gt;1,1,0)</f>
        <v>0</v>
      </c>
      <c r="J153" s="9" t="n">
        <f aca="false">IF(AND(I153=0,COUNTIFS($C$5:$C$634,C153,$E$5:$E$634,E153,$B$5:$B$634,"&gt;="&amp;(B153-Parameters!$B$12),$B$5:$B$634,"&lt;="&amp;(B153+Parameters!$B$12),$H$5:$H$634,"&lt;&gt;"&amp;H153)&gt;0),1,0)</f>
        <v>0</v>
      </c>
      <c r="K153" s="9" t="n">
        <f aca="false">IF(AND(E153&gt;=Parameters!$B$11,ROUND(MOD(ROUND(E153,2),Parameters!$B$10),2)=0),1,0)</f>
        <v>0</v>
      </c>
      <c r="L153" s="9" t="n">
        <f aca="false">IF(AND(E153&lt;Parameters!$B$7,E153&gt;=Parameters!$B$7*(1-Parameters!$B$9)),1,0)</f>
        <v>1</v>
      </c>
      <c r="M153" s="9" t="n">
        <f aca="false">IF(AND(E153&lt;Parameters!$B$7,COUNTIFS($C$5:$C$634,C153,$B$5:$B$634,B153)&gt;1,SUMIFS($E$5:$E$634,$C$5:$C$634,C153,$B$5:$B$634,B153)&gt;=Parameters!$B$7),1,0)</f>
        <v>0</v>
      </c>
      <c r="N153" s="9" t="n">
        <f aca="false">IF(AND(E153&gt;=Parameters!$B$7,F153&lt;&gt;Parameters!$B$8),1,0)</f>
        <v>0</v>
      </c>
      <c r="O153" s="9" t="n">
        <f aca="false">INDEX(Vendor_Benford!$N$6:$N$50,MATCH(C153,Vendor_Benford!$A$6:$A$50,0))</f>
        <v>0</v>
      </c>
      <c r="P153" s="9" t="n">
        <f aca="false">INDEX(Vendor_Benford!$M$6:$M$50,MATCH(C153,Vendor_Benford!$A$6:$A$50,0))</f>
        <v>1</v>
      </c>
      <c r="Q153" s="9" t="n">
        <f aca="false">I153*Parameters!$B$28+J153*Parameters!$B$29+K153*Parameters!$B$30+L153*Parameters!$B$31+M153*Parameters!$B$32+N153*Parameters!$B$33+O153*Parameters!$B$34+P153*Parameters!$B$35</f>
        <v>4</v>
      </c>
      <c r="R153" s="0" t="str">
        <f aca="false">IF(Q153&gt;=Parameters!$B$24,"High","")</f>
        <v/>
      </c>
    </row>
    <row r="154" customFormat="false" ht="15" hidden="false" customHeight="false" outlineLevel="0" collapsed="false">
      <c r="A154" s="10" t="s">
        <v>613</v>
      </c>
      <c r="B154" s="8" t="n">
        <v>45750</v>
      </c>
      <c r="C154" s="10" t="s">
        <v>215</v>
      </c>
      <c r="D154" s="10" t="s">
        <v>614</v>
      </c>
      <c r="E154" s="12" t="n">
        <v>117.51</v>
      </c>
      <c r="F154" s="10" t="s">
        <v>40</v>
      </c>
      <c r="G154" s="9" t="n">
        <f aca="false">VALUE(LEFT(TEXT(E154,"0.00"),1))</f>
        <v>1</v>
      </c>
      <c r="H154" s="0" t="str">
        <f aca="false">UPPER(SUBSTITUTE(SUBSTITUTE(SUBSTITUTE(D154," ",""),"/",""),".",""))</f>
        <v>INV36001</v>
      </c>
      <c r="I154" s="9" t="n">
        <f aca="false">IF(COUNTIFS($C$5:C154,C154,$H$5:H154,H154,$E$5:E154,E154)&gt;1,1,0)</f>
        <v>0</v>
      </c>
      <c r="J154" s="9" t="n">
        <f aca="false">IF(AND(I154=0,COUNTIFS($C$5:$C$634,C154,$E$5:$E$634,E154,$B$5:$B$634,"&gt;="&amp;(B154-Parameters!$B$12),$B$5:$B$634,"&lt;="&amp;(B154+Parameters!$B$12),$H$5:$H$634,"&lt;&gt;"&amp;H154)&gt;0),1,0)</f>
        <v>0</v>
      </c>
      <c r="K154" s="9" t="n">
        <f aca="false">IF(AND(E154&gt;=Parameters!$B$11,ROUND(MOD(ROUND(E154,2),Parameters!$B$10),2)=0),1,0)</f>
        <v>0</v>
      </c>
      <c r="L154" s="9" t="n">
        <f aca="false">IF(AND(E154&lt;Parameters!$B$7,E154&gt;=Parameters!$B$7*(1-Parameters!$B$9)),1,0)</f>
        <v>0</v>
      </c>
      <c r="M154" s="9" t="n">
        <f aca="false">IF(AND(E154&lt;Parameters!$B$7,COUNTIFS($C$5:$C$634,C154,$B$5:$B$634,B154)&gt;1,SUMIFS($E$5:$E$634,$C$5:$C$634,C154,$B$5:$B$634,B154)&gt;=Parameters!$B$7),1,0)</f>
        <v>0</v>
      </c>
      <c r="N154" s="9" t="n">
        <f aca="false">IF(AND(E154&gt;=Parameters!$B$7,F154&lt;&gt;Parameters!$B$8),1,0)</f>
        <v>0</v>
      </c>
      <c r="O154" s="9" t="n">
        <f aca="false">INDEX(Vendor_Benford!$N$6:$N$50,MATCH(C154,Vendor_Benford!$A$6:$A$50,0))</f>
        <v>0</v>
      </c>
      <c r="P154" s="9" t="n">
        <f aca="false">INDEX(Vendor_Benford!$M$6:$M$50,MATCH(C154,Vendor_Benford!$A$6:$A$50,0))</f>
        <v>0</v>
      </c>
      <c r="Q154" s="9" t="n">
        <f aca="false">I154*Parameters!$B$28+J154*Parameters!$B$29+K154*Parameters!$B$30+L154*Parameters!$B$31+M154*Parameters!$B$32+N154*Parameters!$B$33+O154*Parameters!$B$34+P154*Parameters!$B$35</f>
        <v>0</v>
      </c>
      <c r="R154" s="0" t="str">
        <f aca="false">IF(Q154&gt;=Parameters!$B$24,"High","")</f>
        <v/>
      </c>
    </row>
    <row r="155" customFormat="false" ht="15" hidden="false" customHeight="false" outlineLevel="0" collapsed="false">
      <c r="A155" s="10" t="s">
        <v>615</v>
      </c>
      <c r="B155" s="8" t="n">
        <v>45751</v>
      </c>
      <c r="C155" s="10" t="s">
        <v>155</v>
      </c>
      <c r="D155" s="10" t="s">
        <v>616</v>
      </c>
      <c r="E155" s="12" t="n">
        <v>261.74</v>
      </c>
      <c r="F155" s="10" t="s">
        <v>40</v>
      </c>
      <c r="G155" s="9" t="n">
        <f aca="false">VALUE(LEFT(TEXT(E155,"0.00"),1))</f>
        <v>2</v>
      </c>
      <c r="H155" s="0" t="str">
        <f aca="false">UPPER(SUBSTITUTE(SUBSTITUTE(SUBSTITUTE(D155," ",""),"/",""),".",""))</f>
        <v>INV16004</v>
      </c>
      <c r="I155" s="9" t="n">
        <f aca="false">IF(COUNTIFS($C$5:C155,C155,$H$5:H155,H155,$E$5:E155,E155)&gt;1,1,0)</f>
        <v>0</v>
      </c>
      <c r="J155" s="9" t="n">
        <f aca="false">IF(AND(I155=0,COUNTIFS($C$5:$C$634,C155,$E$5:$E$634,E155,$B$5:$B$634,"&gt;="&amp;(B155-Parameters!$B$12),$B$5:$B$634,"&lt;="&amp;(B155+Parameters!$B$12),$H$5:$H$634,"&lt;&gt;"&amp;H155)&gt;0),1,0)</f>
        <v>0</v>
      </c>
      <c r="K155" s="9" t="n">
        <f aca="false">IF(AND(E155&gt;=Parameters!$B$11,ROUND(MOD(ROUND(E155,2),Parameters!$B$10),2)=0),1,0)</f>
        <v>0</v>
      </c>
      <c r="L155" s="9" t="n">
        <f aca="false">IF(AND(E155&lt;Parameters!$B$7,E155&gt;=Parameters!$B$7*(1-Parameters!$B$9)),1,0)</f>
        <v>0</v>
      </c>
      <c r="M155" s="9" t="n">
        <f aca="false">IF(AND(E155&lt;Parameters!$B$7,COUNTIFS($C$5:$C$634,C155,$B$5:$B$634,B155)&gt;1,SUMIFS($E$5:$E$634,$C$5:$C$634,C155,$B$5:$B$634,B155)&gt;=Parameters!$B$7),1,0)</f>
        <v>0</v>
      </c>
      <c r="N155" s="9" t="n">
        <f aca="false">IF(AND(E155&gt;=Parameters!$B$7,F155&lt;&gt;Parameters!$B$8),1,0)</f>
        <v>0</v>
      </c>
      <c r="O155" s="9" t="n">
        <f aca="false">INDEX(Vendor_Benford!$N$6:$N$50,MATCH(C155,Vendor_Benford!$A$6:$A$50,0))</f>
        <v>0</v>
      </c>
      <c r="P155" s="9" t="n">
        <f aca="false">INDEX(Vendor_Benford!$M$6:$M$50,MATCH(C155,Vendor_Benford!$A$6:$A$50,0))</f>
        <v>0</v>
      </c>
      <c r="Q155" s="9" t="n">
        <f aca="false">I155*Parameters!$B$28+J155*Parameters!$B$29+K155*Parameters!$B$30+L155*Parameters!$B$31+M155*Parameters!$B$32+N155*Parameters!$B$33+O155*Parameters!$B$34+P155*Parameters!$B$35</f>
        <v>0</v>
      </c>
      <c r="R155" s="0" t="str">
        <f aca="false">IF(Q155&gt;=Parameters!$B$24,"High","")</f>
        <v/>
      </c>
    </row>
    <row r="156" customFormat="false" ht="15" hidden="false" customHeight="false" outlineLevel="0" collapsed="false">
      <c r="A156" s="10" t="s">
        <v>617</v>
      </c>
      <c r="B156" s="8" t="n">
        <v>45751</v>
      </c>
      <c r="C156" s="10" t="s">
        <v>209</v>
      </c>
      <c r="D156" s="10" t="s">
        <v>618</v>
      </c>
      <c r="E156" s="12" t="n">
        <v>21104.16</v>
      </c>
      <c r="F156" s="10" t="s">
        <v>40</v>
      </c>
      <c r="G156" s="9" t="n">
        <f aca="false">VALUE(LEFT(TEXT(E156,"0.00"),1))</f>
        <v>2</v>
      </c>
      <c r="H156" s="0" t="str">
        <f aca="false">UPPER(SUBSTITUTE(SUBSTITUTE(SUBSTITUTE(D156," ",""),"/",""),".",""))</f>
        <v>INV34012</v>
      </c>
      <c r="I156" s="9" t="n">
        <f aca="false">IF(COUNTIFS($C$5:C156,C156,$H$5:H156,H156,$E$5:E156,E156)&gt;1,1,0)</f>
        <v>0</v>
      </c>
      <c r="J156" s="9" t="n">
        <f aca="false">IF(AND(I156=0,COUNTIFS($C$5:$C$634,C156,$E$5:$E$634,E156,$B$5:$B$634,"&gt;="&amp;(B156-Parameters!$B$12),$B$5:$B$634,"&lt;="&amp;(B156+Parameters!$B$12),$H$5:$H$634,"&lt;&gt;"&amp;H156)&gt;0),1,0)</f>
        <v>0</v>
      </c>
      <c r="K156" s="9" t="n">
        <f aca="false">IF(AND(E156&gt;=Parameters!$B$11,ROUND(MOD(ROUND(E156,2),Parameters!$B$10),2)=0),1,0)</f>
        <v>0</v>
      </c>
      <c r="L156" s="9" t="n">
        <f aca="false">IF(AND(E156&lt;Parameters!$B$7,E156&gt;=Parameters!$B$7*(1-Parameters!$B$9)),1,0)</f>
        <v>0</v>
      </c>
      <c r="M156" s="9" t="n">
        <f aca="false">IF(AND(E156&lt;Parameters!$B$7,COUNTIFS($C$5:$C$634,C156,$B$5:$B$634,B156)&gt;1,SUMIFS($E$5:$E$634,$C$5:$C$634,C156,$B$5:$B$634,B156)&gt;=Parameters!$B$7),1,0)</f>
        <v>0</v>
      </c>
      <c r="N156" s="9" t="n">
        <f aca="false">IF(AND(E156&gt;=Parameters!$B$7,F156&lt;&gt;Parameters!$B$8),1,0)</f>
        <v>0</v>
      </c>
      <c r="O156" s="9" t="n">
        <f aca="false">INDEX(Vendor_Benford!$N$6:$N$50,MATCH(C156,Vendor_Benford!$A$6:$A$50,0))</f>
        <v>0</v>
      </c>
      <c r="P156" s="9" t="n">
        <f aca="false">INDEX(Vendor_Benford!$M$6:$M$50,MATCH(C156,Vendor_Benford!$A$6:$A$50,0))</f>
        <v>0</v>
      </c>
      <c r="Q156" s="9" t="n">
        <f aca="false">I156*Parameters!$B$28+J156*Parameters!$B$29+K156*Parameters!$B$30+L156*Parameters!$B$31+M156*Parameters!$B$32+N156*Parameters!$B$33+O156*Parameters!$B$34+P156*Parameters!$B$35</f>
        <v>0</v>
      </c>
      <c r="R156" s="0" t="str">
        <f aca="false">IF(Q156&gt;=Parameters!$B$24,"High","")</f>
        <v/>
      </c>
    </row>
    <row r="157" customFormat="false" ht="15" hidden="false" customHeight="false" outlineLevel="0" collapsed="false">
      <c r="A157" s="10" t="s">
        <v>619</v>
      </c>
      <c r="B157" s="8" t="n">
        <v>45751</v>
      </c>
      <c r="C157" s="10" t="s">
        <v>218</v>
      </c>
      <c r="D157" s="10" t="s">
        <v>620</v>
      </c>
      <c r="E157" s="12" t="n">
        <v>2235.74</v>
      </c>
      <c r="F157" s="10" t="s">
        <v>40</v>
      </c>
      <c r="G157" s="9" t="n">
        <f aca="false">VALUE(LEFT(TEXT(E157,"0.00"),1))</f>
        <v>2</v>
      </c>
      <c r="H157" s="0" t="str">
        <f aca="false">UPPER(SUBSTITUTE(SUBSTITUTE(SUBSTITUTE(D157," ",""),"/",""),".",""))</f>
        <v>INV37017</v>
      </c>
      <c r="I157" s="9" t="n">
        <f aca="false">IF(COUNTIFS($C$5:C157,C157,$H$5:H157,H157,$E$5:E157,E157)&gt;1,1,0)</f>
        <v>0</v>
      </c>
      <c r="J157" s="9" t="n">
        <f aca="false">IF(AND(I157=0,COUNTIFS($C$5:$C$634,C157,$E$5:$E$634,E157,$B$5:$B$634,"&gt;="&amp;(B157-Parameters!$B$12),$B$5:$B$634,"&lt;="&amp;(B157+Parameters!$B$12),$H$5:$H$634,"&lt;&gt;"&amp;H157)&gt;0),1,0)</f>
        <v>0</v>
      </c>
      <c r="K157" s="9" t="n">
        <f aca="false">IF(AND(E157&gt;=Parameters!$B$11,ROUND(MOD(ROUND(E157,2),Parameters!$B$10),2)=0),1,0)</f>
        <v>0</v>
      </c>
      <c r="L157" s="9" t="n">
        <f aca="false">IF(AND(E157&lt;Parameters!$B$7,E157&gt;=Parameters!$B$7*(1-Parameters!$B$9)),1,0)</f>
        <v>0</v>
      </c>
      <c r="M157" s="9" t="n">
        <f aca="false">IF(AND(E157&lt;Parameters!$B$7,COUNTIFS($C$5:$C$634,C157,$B$5:$B$634,B157)&gt;1,SUMIFS($E$5:$E$634,$C$5:$C$634,C157,$B$5:$B$634,B157)&gt;=Parameters!$B$7),1,0)</f>
        <v>0</v>
      </c>
      <c r="N157" s="9" t="n">
        <f aca="false">IF(AND(E157&gt;=Parameters!$B$7,F157&lt;&gt;Parameters!$B$8),1,0)</f>
        <v>0</v>
      </c>
      <c r="O157" s="9" t="n">
        <f aca="false">INDEX(Vendor_Benford!$N$6:$N$50,MATCH(C157,Vendor_Benford!$A$6:$A$50,0))</f>
        <v>0</v>
      </c>
      <c r="P157" s="9" t="n">
        <f aca="false">INDEX(Vendor_Benford!$M$6:$M$50,MATCH(C157,Vendor_Benford!$A$6:$A$50,0))</f>
        <v>0</v>
      </c>
      <c r="Q157" s="9" t="n">
        <f aca="false">I157*Parameters!$B$28+J157*Parameters!$B$29+K157*Parameters!$B$30+L157*Parameters!$B$31+M157*Parameters!$B$32+N157*Parameters!$B$33+O157*Parameters!$B$34+P157*Parameters!$B$35</f>
        <v>0</v>
      </c>
      <c r="R157" s="0" t="str">
        <f aca="false">IF(Q157&gt;=Parameters!$B$24,"High","")</f>
        <v/>
      </c>
    </row>
    <row r="158" customFormat="false" ht="15" hidden="false" customHeight="false" outlineLevel="0" collapsed="false">
      <c r="A158" s="10" t="s">
        <v>621</v>
      </c>
      <c r="B158" s="8" t="n">
        <v>45751</v>
      </c>
      <c r="C158" s="10" t="s">
        <v>242</v>
      </c>
      <c r="D158" s="10" t="s">
        <v>622</v>
      </c>
      <c r="E158" s="12" t="n">
        <v>11568.81</v>
      </c>
      <c r="F158" s="10" t="s">
        <v>40</v>
      </c>
      <c r="G158" s="9" t="n">
        <f aca="false">VALUE(LEFT(TEXT(E158,"0.00"),1))</f>
        <v>1</v>
      </c>
      <c r="H158" s="0" t="str">
        <f aca="false">UPPER(SUBSTITUTE(SUBSTITUTE(SUBSTITUTE(D158," ",""),"/",""),".",""))</f>
        <v>INV45008</v>
      </c>
      <c r="I158" s="9" t="n">
        <f aca="false">IF(COUNTIFS($C$5:C158,C158,$H$5:H158,H158,$E$5:E158,E158)&gt;1,1,0)</f>
        <v>0</v>
      </c>
      <c r="J158" s="9" t="n">
        <f aca="false">IF(AND(I158=0,COUNTIFS($C$5:$C$634,C158,$E$5:$E$634,E158,$B$5:$B$634,"&gt;="&amp;(B158-Parameters!$B$12),$B$5:$B$634,"&lt;="&amp;(B158+Parameters!$B$12),$H$5:$H$634,"&lt;&gt;"&amp;H158)&gt;0),1,0)</f>
        <v>0</v>
      </c>
      <c r="K158" s="9" t="n">
        <f aca="false">IF(AND(E158&gt;=Parameters!$B$11,ROUND(MOD(ROUND(E158,2),Parameters!$B$10),2)=0),1,0)</f>
        <v>0</v>
      </c>
      <c r="L158" s="9" t="n">
        <f aca="false">IF(AND(E158&lt;Parameters!$B$7,E158&gt;=Parameters!$B$7*(1-Parameters!$B$9)),1,0)</f>
        <v>0</v>
      </c>
      <c r="M158" s="9" t="n">
        <f aca="false">IF(AND(E158&lt;Parameters!$B$7,COUNTIFS($C$5:$C$634,C158,$B$5:$B$634,B158)&gt;1,SUMIFS($E$5:$E$634,$C$5:$C$634,C158,$B$5:$B$634,B158)&gt;=Parameters!$B$7),1,0)</f>
        <v>0</v>
      </c>
      <c r="N158" s="9" t="n">
        <f aca="false">IF(AND(E158&gt;=Parameters!$B$7,F158&lt;&gt;Parameters!$B$8),1,0)</f>
        <v>0</v>
      </c>
      <c r="O158" s="9" t="n">
        <f aca="false">INDEX(Vendor_Benford!$N$6:$N$50,MATCH(C158,Vendor_Benford!$A$6:$A$50,0))</f>
        <v>0</v>
      </c>
      <c r="P158" s="9" t="n">
        <f aca="false">INDEX(Vendor_Benford!$M$6:$M$50,MATCH(C158,Vendor_Benford!$A$6:$A$50,0))</f>
        <v>0</v>
      </c>
      <c r="Q158" s="9" t="n">
        <f aca="false">I158*Parameters!$B$28+J158*Parameters!$B$29+K158*Parameters!$B$30+L158*Parameters!$B$31+M158*Parameters!$B$32+N158*Parameters!$B$33+O158*Parameters!$B$34+P158*Parameters!$B$35</f>
        <v>0</v>
      </c>
      <c r="R158" s="0" t="str">
        <f aca="false">IF(Q158&gt;=Parameters!$B$24,"High","")</f>
        <v/>
      </c>
    </row>
    <row r="159" customFormat="false" ht="15" hidden="false" customHeight="false" outlineLevel="0" collapsed="false">
      <c r="A159" s="10" t="s">
        <v>623</v>
      </c>
      <c r="B159" s="8" t="n">
        <v>45754</v>
      </c>
      <c r="C159" s="10" t="s">
        <v>212</v>
      </c>
      <c r="D159" s="10" t="s">
        <v>624</v>
      </c>
      <c r="E159" s="12" t="n">
        <v>1337.02</v>
      </c>
      <c r="F159" s="10" t="s">
        <v>347</v>
      </c>
      <c r="G159" s="9" t="n">
        <f aca="false">VALUE(LEFT(TEXT(E159,"0.00"),1))</f>
        <v>1</v>
      </c>
      <c r="H159" s="0" t="str">
        <f aca="false">UPPER(SUBSTITUTE(SUBSTITUTE(SUBSTITUTE(D159," ",""),"/",""),".",""))</f>
        <v>INV35003</v>
      </c>
      <c r="I159" s="9" t="n">
        <f aca="false">IF(COUNTIFS($C$5:C159,C159,$H$5:H159,H159,$E$5:E159,E159)&gt;1,1,0)</f>
        <v>0</v>
      </c>
      <c r="J159" s="9" t="n">
        <f aca="false">IF(AND(I159=0,COUNTIFS($C$5:$C$634,C159,$E$5:$E$634,E159,$B$5:$B$634,"&gt;="&amp;(B159-Parameters!$B$12),$B$5:$B$634,"&lt;="&amp;(B159+Parameters!$B$12),$H$5:$H$634,"&lt;&gt;"&amp;H159)&gt;0),1,0)</f>
        <v>0</v>
      </c>
      <c r="K159" s="9" t="n">
        <f aca="false">IF(AND(E159&gt;=Parameters!$B$11,ROUND(MOD(ROUND(E159,2),Parameters!$B$10),2)=0),1,0)</f>
        <v>0</v>
      </c>
      <c r="L159" s="9" t="n">
        <f aca="false">IF(AND(E159&lt;Parameters!$B$7,E159&gt;=Parameters!$B$7*(1-Parameters!$B$9)),1,0)</f>
        <v>0</v>
      </c>
      <c r="M159" s="9" t="n">
        <f aca="false">IF(AND(E159&lt;Parameters!$B$7,COUNTIFS($C$5:$C$634,C159,$B$5:$B$634,B159)&gt;1,SUMIFS($E$5:$E$634,$C$5:$C$634,C159,$B$5:$B$634,B159)&gt;=Parameters!$B$7),1,0)</f>
        <v>0</v>
      </c>
      <c r="N159" s="9" t="n">
        <f aca="false">IF(AND(E159&gt;=Parameters!$B$7,F159&lt;&gt;Parameters!$B$8),1,0)</f>
        <v>0</v>
      </c>
      <c r="O159" s="9" t="n">
        <f aca="false">INDEX(Vendor_Benford!$N$6:$N$50,MATCH(C159,Vendor_Benford!$A$6:$A$50,0))</f>
        <v>0</v>
      </c>
      <c r="P159" s="9" t="n">
        <f aca="false">INDEX(Vendor_Benford!$M$6:$M$50,MATCH(C159,Vendor_Benford!$A$6:$A$50,0))</f>
        <v>0</v>
      </c>
      <c r="Q159" s="9" t="n">
        <f aca="false">I159*Parameters!$B$28+J159*Parameters!$B$29+K159*Parameters!$B$30+L159*Parameters!$B$31+M159*Parameters!$B$32+N159*Parameters!$B$33+O159*Parameters!$B$34+P159*Parameters!$B$35</f>
        <v>0</v>
      </c>
      <c r="R159" s="0" t="str">
        <f aca="false">IF(Q159&gt;=Parameters!$B$24,"High","")</f>
        <v/>
      </c>
    </row>
    <row r="160" customFormat="false" ht="15" hidden="false" customHeight="false" outlineLevel="0" collapsed="false">
      <c r="A160" s="10" t="s">
        <v>625</v>
      </c>
      <c r="B160" s="8" t="n">
        <v>45754</v>
      </c>
      <c r="C160" s="10" t="s">
        <v>242</v>
      </c>
      <c r="D160" s="10" t="s">
        <v>626</v>
      </c>
      <c r="E160" s="12" t="n">
        <v>10130.93</v>
      </c>
      <c r="F160" s="10" t="s">
        <v>347</v>
      </c>
      <c r="G160" s="9" t="n">
        <f aca="false">VALUE(LEFT(TEXT(E160,"0.00"),1))</f>
        <v>1</v>
      </c>
      <c r="H160" s="0" t="str">
        <f aca="false">UPPER(SUBSTITUTE(SUBSTITUTE(SUBSTITUTE(D160," ",""),"/",""),".",""))</f>
        <v>INV45011</v>
      </c>
      <c r="I160" s="9" t="n">
        <f aca="false">IF(COUNTIFS($C$5:C160,C160,$H$5:H160,H160,$E$5:E160,E160)&gt;1,1,0)</f>
        <v>0</v>
      </c>
      <c r="J160" s="9" t="n">
        <f aca="false">IF(AND(I160=0,COUNTIFS($C$5:$C$634,C160,$E$5:$E$634,E160,$B$5:$B$634,"&gt;="&amp;(B160-Parameters!$B$12),$B$5:$B$634,"&lt;="&amp;(B160+Parameters!$B$12),$H$5:$H$634,"&lt;&gt;"&amp;H160)&gt;0),1,0)</f>
        <v>0</v>
      </c>
      <c r="K160" s="9" t="n">
        <f aca="false">IF(AND(E160&gt;=Parameters!$B$11,ROUND(MOD(ROUND(E160,2),Parameters!$B$10),2)=0),1,0)</f>
        <v>0</v>
      </c>
      <c r="L160" s="9" t="n">
        <f aca="false">IF(AND(E160&lt;Parameters!$B$7,E160&gt;=Parameters!$B$7*(1-Parameters!$B$9)),1,0)</f>
        <v>0</v>
      </c>
      <c r="M160" s="9" t="n">
        <f aca="false">IF(AND(E160&lt;Parameters!$B$7,COUNTIFS($C$5:$C$634,C160,$B$5:$B$634,B160)&gt;1,SUMIFS($E$5:$E$634,$C$5:$C$634,C160,$B$5:$B$634,B160)&gt;=Parameters!$B$7),1,0)</f>
        <v>0</v>
      </c>
      <c r="N160" s="9" t="n">
        <f aca="false">IF(AND(E160&gt;=Parameters!$B$7,F160&lt;&gt;Parameters!$B$8),1,0)</f>
        <v>1</v>
      </c>
      <c r="O160" s="9" t="n">
        <f aca="false">INDEX(Vendor_Benford!$N$6:$N$50,MATCH(C160,Vendor_Benford!$A$6:$A$50,0))</f>
        <v>0</v>
      </c>
      <c r="P160" s="9" t="n">
        <f aca="false">INDEX(Vendor_Benford!$M$6:$M$50,MATCH(C160,Vendor_Benford!$A$6:$A$50,0))</f>
        <v>0</v>
      </c>
      <c r="Q160" s="9" t="n">
        <f aca="false">I160*Parameters!$B$28+J160*Parameters!$B$29+K160*Parameters!$B$30+L160*Parameters!$B$31+M160*Parameters!$B$32+N160*Parameters!$B$33+O160*Parameters!$B$34+P160*Parameters!$B$35</f>
        <v>4</v>
      </c>
      <c r="R160" s="0" t="str">
        <f aca="false">IF(Q160&gt;=Parameters!$B$24,"High","")</f>
        <v/>
      </c>
    </row>
    <row r="161" customFormat="false" ht="15" hidden="false" customHeight="false" outlineLevel="0" collapsed="false">
      <c r="A161" s="10" t="s">
        <v>627</v>
      </c>
      <c r="B161" s="8" t="n">
        <v>45755</v>
      </c>
      <c r="C161" s="10" t="s">
        <v>134</v>
      </c>
      <c r="D161" s="10" t="s">
        <v>628</v>
      </c>
      <c r="E161" s="12" t="n">
        <v>26141.23</v>
      </c>
      <c r="F161" s="10" t="s">
        <v>40</v>
      </c>
      <c r="G161" s="9" t="n">
        <f aca="false">VALUE(LEFT(TEXT(E161,"0.00"),1))</f>
        <v>2</v>
      </c>
      <c r="H161" s="0" t="str">
        <f aca="false">UPPER(SUBSTITUTE(SUBSTITUTE(SUBSTITUTE(D161," ",""),"/",""),".",""))</f>
        <v>INV9026</v>
      </c>
      <c r="I161" s="9" t="n">
        <f aca="false">IF(COUNTIFS($C$5:C161,C161,$H$5:H161,H161,$E$5:E161,E161)&gt;1,1,0)</f>
        <v>0</v>
      </c>
      <c r="J161" s="9" t="n">
        <f aca="false">IF(AND(I161=0,COUNTIFS($C$5:$C$634,C161,$E$5:$E$634,E161,$B$5:$B$634,"&gt;="&amp;(B161-Parameters!$B$12),$B$5:$B$634,"&lt;="&amp;(B161+Parameters!$B$12),$H$5:$H$634,"&lt;&gt;"&amp;H161)&gt;0),1,0)</f>
        <v>0</v>
      </c>
      <c r="K161" s="9" t="n">
        <f aca="false">IF(AND(E161&gt;=Parameters!$B$11,ROUND(MOD(ROUND(E161,2),Parameters!$B$10),2)=0),1,0)</f>
        <v>0</v>
      </c>
      <c r="L161" s="9" t="n">
        <f aca="false">IF(AND(E161&lt;Parameters!$B$7,E161&gt;=Parameters!$B$7*(1-Parameters!$B$9)),1,0)</f>
        <v>0</v>
      </c>
      <c r="M161" s="9" t="n">
        <f aca="false">IF(AND(E161&lt;Parameters!$B$7,COUNTIFS($C$5:$C$634,C161,$B$5:$B$634,B161)&gt;1,SUMIFS($E$5:$E$634,$C$5:$C$634,C161,$B$5:$B$634,B161)&gt;=Parameters!$B$7),1,0)</f>
        <v>0</v>
      </c>
      <c r="N161" s="9" t="n">
        <f aca="false">IF(AND(E161&gt;=Parameters!$B$7,F161&lt;&gt;Parameters!$B$8),1,0)</f>
        <v>0</v>
      </c>
      <c r="O161" s="9" t="n">
        <f aca="false">INDEX(Vendor_Benford!$N$6:$N$50,MATCH(C161,Vendor_Benford!$A$6:$A$50,0))</f>
        <v>0</v>
      </c>
      <c r="P161" s="9" t="n">
        <f aca="false">INDEX(Vendor_Benford!$M$6:$M$50,MATCH(C161,Vendor_Benford!$A$6:$A$50,0))</f>
        <v>0</v>
      </c>
      <c r="Q161" s="9" t="n">
        <f aca="false">I161*Parameters!$B$28+J161*Parameters!$B$29+K161*Parameters!$B$30+L161*Parameters!$B$31+M161*Parameters!$B$32+N161*Parameters!$B$33+O161*Parameters!$B$34+P161*Parameters!$B$35</f>
        <v>0</v>
      </c>
      <c r="R161" s="0" t="str">
        <f aca="false">IF(Q161&gt;=Parameters!$B$24,"High","")</f>
        <v/>
      </c>
    </row>
    <row r="162" customFormat="false" ht="15" hidden="false" customHeight="false" outlineLevel="0" collapsed="false">
      <c r="A162" s="10" t="s">
        <v>629</v>
      </c>
      <c r="B162" s="8" t="n">
        <v>45755</v>
      </c>
      <c r="C162" s="10" t="s">
        <v>164</v>
      </c>
      <c r="D162" s="10" t="s">
        <v>630</v>
      </c>
      <c r="E162" s="12" t="n">
        <v>23843.29</v>
      </c>
      <c r="F162" s="10" t="s">
        <v>40</v>
      </c>
      <c r="G162" s="9" t="n">
        <f aca="false">VALUE(LEFT(TEXT(E162,"0.00"),1))</f>
        <v>2</v>
      </c>
      <c r="H162" s="0" t="str">
        <f aca="false">UPPER(SUBSTITUTE(SUBSTITUTE(SUBSTITUTE(D162," ",""),"/",""),".",""))</f>
        <v>INV19002</v>
      </c>
      <c r="I162" s="9" t="n">
        <f aca="false">IF(COUNTIFS($C$5:C162,C162,$H$5:H162,H162,$E$5:E162,E162)&gt;1,1,0)</f>
        <v>0</v>
      </c>
      <c r="J162" s="9" t="n">
        <f aca="false">IF(AND(I162=0,COUNTIFS($C$5:$C$634,C162,$E$5:$E$634,E162,$B$5:$B$634,"&gt;="&amp;(B162-Parameters!$B$12),$B$5:$B$634,"&lt;="&amp;(B162+Parameters!$B$12),$H$5:$H$634,"&lt;&gt;"&amp;H162)&gt;0),1,0)</f>
        <v>0</v>
      </c>
      <c r="K162" s="9" t="n">
        <f aca="false">IF(AND(E162&gt;=Parameters!$B$11,ROUND(MOD(ROUND(E162,2),Parameters!$B$10),2)=0),1,0)</f>
        <v>0</v>
      </c>
      <c r="L162" s="9" t="n">
        <f aca="false">IF(AND(E162&lt;Parameters!$B$7,E162&gt;=Parameters!$B$7*(1-Parameters!$B$9)),1,0)</f>
        <v>0</v>
      </c>
      <c r="M162" s="9" t="n">
        <f aca="false">IF(AND(E162&lt;Parameters!$B$7,COUNTIFS($C$5:$C$634,C162,$B$5:$B$634,B162)&gt;1,SUMIFS($E$5:$E$634,$C$5:$C$634,C162,$B$5:$B$634,B162)&gt;=Parameters!$B$7),1,0)</f>
        <v>0</v>
      </c>
      <c r="N162" s="9" t="n">
        <f aca="false">IF(AND(E162&gt;=Parameters!$B$7,F162&lt;&gt;Parameters!$B$8),1,0)</f>
        <v>0</v>
      </c>
      <c r="O162" s="9" t="n">
        <f aca="false">INDEX(Vendor_Benford!$N$6:$N$50,MATCH(C162,Vendor_Benford!$A$6:$A$50,0))</f>
        <v>0</v>
      </c>
      <c r="P162" s="9" t="n">
        <f aca="false">INDEX(Vendor_Benford!$M$6:$M$50,MATCH(C162,Vendor_Benford!$A$6:$A$50,0))</f>
        <v>0</v>
      </c>
      <c r="Q162" s="9" t="n">
        <f aca="false">I162*Parameters!$B$28+J162*Parameters!$B$29+K162*Parameters!$B$30+L162*Parameters!$B$31+M162*Parameters!$B$32+N162*Parameters!$B$33+O162*Parameters!$B$34+P162*Parameters!$B$35</f>
        <v>0</v>
      </c>
      <c r="R162" s="0" t="str">
        <f aca="false">IF(Q162&gt;=Parameters!$B$24,"High","")</f>
        <v/>
      </c>
    </row>
    <row r="163" customFormat="false" ht="15" hidden="false" customHeight="false" outlineLevel="0" collapsed="false">
      <c r="A163" s="10" t="s">
        <v>631</v>
      </c>
      <c r="B163" s="8" t="n">
        <v>45756</v>
      </c>
      <c r="C163" s="10" t="s">
        <v>143</v>
      </c>
      <c r="D163" s="10" t="s">
        <v>632</v>
      </c>
      <c r="E163" s="12" t="n">
        <v>16628.77</v>
      </c>
      <c r="F163" s="10" t="s">
        <v>40</v>
      </c>
      <c r="G163" s="9" t="n">
        <f aca="false">VALUE(LEFT(TEXT(E163,"0.00"),1))</f>
        <v>1</v>
      </c>
      <c r="H163" s="0" t="str">
        <f aca="false">UPPER(SUBSTITUTE(SUBSTITUTE(SUBSTITUTE(D163," ",""),"/",""),".",""))</f>
        <v>INV12014</v>
      </c>
      <c r="I163" s="9" t="n">
        <f aca="false">IF(COUNTIFS($C$5:C163,C163,$H$5:H163,H163,$E$5:E163,E163)&gt;1,1,0)</f>
        <v>0</v>
      </c>
      <c r="J163" s="9" t="n">
        <f aca="false">IF(AND(I163=0,COUNTIFS($C$5:$C$634,C163,$E$5:$E$634,E163,$B$5:$B$634,"&gt;="&amp;(B163-Parameters!$B$12),$B$5:$B$634,"&lt;="&amp;(B163+Parameters!$B$12),$H$5:$H$634,"&lt;&gt;"&amp;H163)&gt;0),1,0)</f>
        <v>0</v>
      </c>
      <c r="K163" s="9" t="n">
        <f aca="false">IF(AND(E163&gt;=Parameters!$B$11,ROUND(MOD(ROUND(E163,2),Parameters!$B$10),2)=0),1,0)</f>
        <v>0</v>
      </c>
      <c r="L163" s="9" t="n">
        <f aca="false">IF(AND(E163&lt;Parameters!$B$7,E163&gt;=Parameters!$B$7*(1-Parameters!$B$9)),1,0)</f>
        <v>0</v>
      </c>
      <c r="M163" s="9" t="n">
        <f aca="false">IF(AND(E163&lt;Parameters!$B$7,COUNTIFS($C$5:$C$634,C163,$B$5:$B$634,B163)&gt;1,SUMIFS($E$5:$E$634,$C$5:$C$634,C163,$B$5:$B$634,B163)&gt;=Parameters!$B$7),1,0)</f>
        <v>0</v>
      </c>
      <c r="N163" s="9" t="n">
        <f aca="false">IF(AND(E163&gt;=Parameters!$B$7,F163&lt;&gt;Parameters!$B$8),1,0)</f>
        <v>0</v>
      </c>
      <c r="O163" s="9" t="n">
        <f aca="false">INDEX(Vendor_Benford!$N$6:$N$50,MATCH(C163,Vendor_Benford!$A$6:$A$50,0))</f>
        <v>0</v>
      </c>
      <c r="P163" s="9" t="n">
        <f aca="false">INDEX(Vendor_Benford!$M$6:$M$50,MATCH(C163,Vendor_Benford!$A$6:$A$50,0))</f>
        <v>0</v>
      </c>
      <c r="Q163" s="9" t="n">
        <f aca="false">I163*Parameters!$B$28+J163*Parameters!$B$29+K163*Parameters!$B$30+L163*Parameters!$B$31+M163*Parameters!$B$32+N163*Parameters!$B$33+O163*Parameters!$B$34+P163*Parameters!$B$35</f>
        <v>0</v>
      </c>
      <c r="R163" s="0" t="str">
        <f aca="false">IF(Q163&gt;=Parameters!$B$24,"High","")</f>
        <v/>
      </c>
    </row>
    <row r="164" customFormat="false" ht="15" hidden="false" customHeight="false" outlineLevel="0" collapsed="false">
      <c r="A164" s="10" t="s">
        <v>633</v>
      </c>
      <c r="B164" s="8" t="n">
        <v>45756</v>
      </c>
      <c r="C164" s="10" t="s">
        <v>152</v>
      </c>
      <c r="D164" s="10" t="s">
        <v>634</v>
      </c>
      <c r="E164" s="12" t="n">
        <v>115.12</v>
      </c>
      <c r="F164" s="10" t="s">
        <v>347</v>
      </c>
      <c r="G164" s="9" t="n">
        <f aca="false">VALUE(LEFT(TEXT(E164,"0.00"),1))</f>
        <v>1</v>
      </c>
      <c r="H164" s="0" t="str">
        <f aca="false">UPPER(SUBSTITUTE(SUBSTITUTE(SUBSTITUTE(D164," ",""),"/",""),".",""))</f>
        <v>INV15002</v>
      </c>
      <c r="I164" s="9" t="n">
        <f aca="false">IF(COUNTIFS($C$5:C164,C164,$H$5:H164,H164,$E$5:E164,E164)&gt;1,1,0)</f>
        <v>0</v>
      </c>
      <c r="J164" s="9" t="n">
        <f aca="false">IF(AND(I164=0,COUNTIFS($C$5:$C$634,C164,$E$5:$E$634,E164,$B$5:$B$634,"&gt;="&amp;(B164-Parameters!$B$12),$B$5:$B$634,"&lt;="&amp;(B164+Parameters!$B$12),$H$5:$H$634,"&lt;&gt;"&amp;H164)&gt;0),1,0)</f>
        <v>0</v>
      </c>
      <c r="K164" s="9" t="n">
        <f aca="false">IF(AND(E164&gt;=Parameters!$B$11,ROUND(MOD(ROUND(E164,2),Parameters!$B$10),2)=0),1,0)</f>
        <v>0</v>
      </c>
      <c r="L164" s="9" t="n">
        <f aca="false">IF(AND(E164&lt;Parameters!$B$7,E164&gt;=Parameters!$B$7*(1-Parameters!$B$9)),1,0)</f>
        <v>0</v>
      </c>
      <c r="M164" s="9" t="n">
        <f aca="false">IF(AND(E164&lt;Parameters!$B$7,COUNTIFS($C$5:$C$634,C164,$B$5:$B$634,B164)&gt;1,SUMIFS($E$5:$E$634,$C$5:$C$634,C164,$B$5:$B$634,B164)&gt;=Parameters!$B$7),1,0)</f>
        <v>0</v>
      </c>
      <c r="N164" s="9" t="n">
        <f aca="false">IF(AND(E164&gt;=Parameters!$B$7,F164&lt;&gt;Parameters!$B$8),1,0)</f>
        <v>0</v>
      </c>
      <c r="O164" s="9" t="n">
        <f aca="false">INDEX(Vendor_Benford!$N$6:$N$50,MATCH(C164,Vendor_Benford!$A$6:$A$50,0))</f>
        <v>0</v>
      </c>
      <c r="P164" s="9" t="n">
        <f aca="false">INDEX(Vendor_Benford!$M$6:$M$50,MATCH(C164,Vendor_Benford!$A$6:$A$50,0))</f>
        <v>0</v>
      </c>
      <c r="Q164" s="9" t="n">
        <f aca="false">I164*Parameters!$B$28+J164*Parameters!$B$29+K164*Parameters!$B$30+L164*Parameters!$B$31+M164*Parameters!$B$32+N164*Parameters!$B$33+O164*Parameters!$B$34+P164*Parameters!$B$35</f>
        <v>0</v>
      </c>
      <c r="R164" s="0" t="str">
        <f aca="false">IF(Q164&gt;=Parameters!$B$24,"High","")</f>
        <v/>
      </c>
    </row>
    <row r="165" customFormat="false" ht="15" hidden="false" customHeight="false" outlineLevel="0" collapsed="false">
      <c r="A165" s="10" t="s">
        <v>635</v>
      </c>
      <c r="B165" s="8" t="n">
        <v>45756</v>
      </c>
      <c r="C165" s="10" t="s">
        <v>155</v>
      </c>
      <c r="D165" s="10" t="s">
        <v>636</v>
      </c>
      <c r="E165" s="12" t="n">
        <v>5639.98</v>
      </c>
      <c r="F165" s="10" t="s">
        <v>40</v>
      </c>
      <c r="G165" s="9" t="n">
        <f aca="false">VALUE(LEFT(TEXT(E165,"0.00"),1))</f>
        <v>5</v>
      </c>
      <c r="H165" s="0" t="str">
        <f aca="false">UPPER(SUBSTITUTE(SUBSTITUTE(SUBSTITUTE(D165," ",""),"/",""),".",""))</f>
        <v>INV16013</v>
      </c>
      <c r="I165" s="9" t="n">
        <f aca="false">IF(COUNTIFS($C$5:C165,C165,$H$5:H165,H165,$E$5:E165,E165)&gt;1,1,0)</f>
        <v>0</v>
      </c>
      <c r="J165" s="9" t="n">
        <f aca="false">IF(AND(I165=0,COUNTIFS($C$5:$C$634,C165,$E$5:$E$634,E165,$B$5:$B$634,"&gt;="&amp;(B165-Parameters!$B$12),$B$5:$B$634,"&lt;="&amp;(B165+Parameters!$B$12),$H$5:$H$634,"&lt;&gt;"&amp;H165)&gt;0),1,0)</f>
        <v>0</v>
      </c>
      <c r="K165" s="9" t="n">
        <f aca="false">IF(AND(E165&gt;=Parameters!$B$11,ROUND(MOD(ROUND(E165,2),Parameters!$B$10),2)=0),1,0)</f>
        <v>0</v>
      </c>
      <c r="L165" s="9" t="n">
        <f aca="false">IF(AND(E165&lt;Parameters!$B$7,E165&gt;=Parameters!$B$7*(1-Parameters!$B$9)),1,0)</f>
        <v>0</v>
      </c>
      <c r="M165" s="9" t="n">
        <f aca="false">IF(AND(E165&lt;Parameters!$B$7,COUNTIFS($C$5:$C$634,C165,$B$5:$B$634,B165)&gt;1,SUMIFS($E$5:$E$634,$C$5:$C$634,C165,$B$5:$B$634,B165)&gt;=Parameters!$B$7),1,0)</f>
        <v>0</v>
      </c>
      <c r="N165" s="9" t="n">
        <f aca="false">IF(AND(E165&gt;=Parameters!$B$7,F165&lt;&gt;Parameters!$B$8),1,0)</f>
        <v>0</v>
      </c>
      <c r="O165" s="9" t="n">
        <f aca="false">INDEX(Vendor_Benford!$N$6:$N$50,MATCH(C165,Vendor_Benford!$A$6:$A$50,0))</f>
        <v>0</v>
      </c>
      <c r="P165" s="9" t="n">
        <f aca="false">INDEX(Vendor_Benford!$M$6:$M$50,MATCH(C165,Vendor_Benford!$A$6:$A$50,0))</f>
        <v>0</v>
      </c>
      <c r="Q165" s="9" t="n">
        <f aca="false">I165*Parameters!$B$28+J165*Parameters!$B$29+K165*Parameters!$B$30+L165*Parameters!$B$31+M165*Parameters!$B$32+N165*Parameters!$B$33+O165*Parameters!$B$34+P165*Parameters!$B$35</f>
        <v>0</v>
      </c>
      <c r="R165" s="0" t="str">
        <f aca="false">IF(Q165&gt;=Parameters!$B$24,"High","")</f>
        <v/>
      </c>
    </row>
    <row r="166" customFormat="false" ht="15" hidden="false" customHeight="false" outlineLevel="0" collapsed="false">
      <c r="A166" s="10" t="s">
        <v>637</v>
      </c>
      <c r="B166" s="8" t="n">
        <v>45756</v>
      </c>
      <c r="C166" s="10" t="s">
        <v>191</v>
      </c>
      <c r="D166" s="10" t="s">
        <v>638</v>
      </c>
      <c r="E166" s="12" t="n">
        <v>66871.88</v>
      </c>
      <c r="F166" s="10" t="s">
        <v>40</v>
      </c>
      <c r="G166" s="9" t="n">
        <f aca="false">VALUE(LEFT(TEXT(E166,"0.00"),1))</f>
        <v>6</v>
      </c>
      <c r="H166" s="0" t="str">
        <f aca="false">UPPER(SUBSTITUTE(SUBSTITUTE(SUBSTITUTE(D166," ",""),"/",""),".",""))</f>
        <v>INV28007</v>
      </c>
      <c r="I166" s="9" t="n">
        <f aca="false">IF(COUNTIFS($C$5:C166,C166,$H$5:H166,H166,$E$5:E166,E166)&gt;1,1,0)</f>
        <v>0</v>
      </c>
      <c r="J166" s="9" t="n">
        <f aca="false">IF(AND(I166=0,COUNTIFS($C$5:$C$634,C166,$E$5:$E$634,E166,$B$5:$B$634,"&gt;="&amp;(B166-Parameters!$B$12),$B$5:$B$634,"&lt;="&amp;(B166+Parameters!$B$12),$H$5:$H$634,"&lt;&gt;"&amp;H166)&gt;0),1,0)</f>
        <v>0</v>
      </c>
      <c r="K166" s="9" t="n">
        <f aca="false">IF(AND(E166&gt;=Parameters!$B$11,ROUND(MOD(ROUND(E166,2),Parameters!$B$10),2)=0),1,0)</f>
        <v>0</v>
      </c>
      <c r="L166" s="9" t="n">
        <f aca="false">IF(AND(E166&lt;Parameters!$B$7,E166&gt;=Parameters!$B$7*(1-Parameters!$B$9)),1,0)</f>
        <v>0</v>
      </c>
      <c r="M166" s="9" t="n">
        <f aca="false">IF(AND(E166&lt;Parameters!$B$7,COUNTIFS($C$5:$C$634,C166,$B$5:$B$634,B166)&gt;1,SUMIFS($E$5:$E$634,$C$5:$C$634,C166,$B$5:$B$634,B166)&gt;=Parameters!$B$7),1,0)</f>
        <v>0</v>
      </c>
      <c r="N166" s="9" t="n">
        <f aca="false">IF(AND(E166&gt;=Parameters!$B$7,F166&lt;&gt;Parameters!$B$8),1,0)</f>
        <v>0</v>
      </c>
      <c r="O166" s="9" t="n">
        <f aca="false">INDEX(Vendor_Benford!$N$6:$N$50,MATCH(C166,Vendor_Benford!$A$6:$A$50,0))</f>
        <v>0</v>
      </c>
      <c r="P166" s="9" t="n">
        <f aca="false">INDEX(Vendor_Benford!$M$6:$M$50,MATCH(C166,Vendor_Benford!$A$6:$A$50,0))</f>
        <v>0</v>
      </c>
      <c r="Q166" s="9" t="n">
        <f aca="false">I166*Parameters!$B$28+J166*Parameters!$B$29+K166*Parameters!$B$30+L166*Parameters!$B$31+M166*Parameters!$B$32+N166*Parameters!$B$33+O166*Parameters!$B$34+P166*Parameters!$B$35</f>
        <v>0</v>
      </c>
      <c r="R166" s="0" t="str">
        <f aca="false">IF(Q166&gt;=Parameters!$B$24,"High","")</f>
        <v/>
      </c>
    </row>
    <row r="167" customFormat="false" ht="15" hidden="false" customHeight="false" outlineLevel="0" collapsed="false">
      <c r="A167" s="10" t="s">
        <v>639</v>
      </c>
      <c r="B167" s="8" t="n">
        <v>45756</v>
      </c>
      <c r="C167" s="10" t="s">
        <v>239</v>
      </c>
      <c r="D167" s="10" t="s">
        <v>640</v>
      </c>
      <c r="E167" s="12" t="n">
        <v>102.34</v>
      </c>
      <c r="F167" s="10" t="s">
        <v>40</v>
      </c>
      <c r="G167" s="9" t="n">
        <f aca="false">VALUE(LEFT(TEXT(E167,"0.00"),1))</f>
        <v>1</v>
      </c>
      <c r="H167" s="0" t="str">
        <f aca="false">UPPER(SUBSTITUTE(SUBSTITUTE(SUBSTITUTE(D167," ",""),"/",""),".",""))</f>
        <v>INV44018</v>
      </c>
      <c r="I167" s="9" t="n">
        <f aca="false">IF(COUNTIFS($C$5:C167,C167,$H$5:H167,H167,$E$5:E167,E167)&gt;1,1,0)</f>
        <v>0</v>
      </c>
      <c r="J167" s="9" t="n">
        <f aca="false">IF(AND(I167=0,COUNTIFS($C$5:$C$634,C167,$E$5:$E$634,E167,$B$5:$B$634,"&gt;="&amp;(B167-Parameters!$B$12),$B$5:$B$634,"&lt;="&amp;(B167+Parameters!$B$12),$H$5:$H$634,"&lt;&gt;"&amp;H167)&gt;0),1,0)</f>
        <v>0</v>
      </c>
      <c r="K167" s="9" t="n">
        <f aca="false">IF(AND(E167&gt;=Parameters!$B$11,ROUND(MOD(ROUND(E167,2),Parameters!$B$10),2)=0),1,0)</f>
        <v>0</v>
      </c>
      <c r="L167" s="9" t="n">
        <f aca="false">IF(AND(E167&lt;Parameters!$B$7,E167&gt;=Parameters!$B$7*(1-Parameters!$B$9)),1,0)</f>
        <v>0</v>
      </c>
      <c r="M167" s="9" t="n">
        <f aca="false">IF(AND(E167&lt;Parameters!$B$7,COUNTIFS($C$5:$C$634,C167,$B$5:$B$634,B167)&gt;1,SUMIFS($E$5:$E$634,$C$5:$C$634,C167,$B$5:$B$634,B167)&gt;=Parameters!$B$7),1,0)</f>
        <v>0</v>
      </c>
      <c r="N167" s="9" t="n">
        <f aca="false">IF(AND(E167&gt;=Parameters!$B$7,F167&lt;&gt;Parameters!$B$8),1,0)</f>
        <v>0</v>
      </c>
      <c r="O167" s="9" t="n">
        <f aca="false">INDEX(Vendor_Benford!$N$6:$N$50,MATCH(C167,Vendor_Benford!$A$6:$A$50,0))</f>
        <v>0</v>
      </c>
      <c r="P167" s="9" t="n">
        <f aca="false">INDEX(Vendor_Benford!$M$6:$M$50,MATCH(C167,Vendor_Benford!$A$6:$A$50,0))</f>
        <v>0</v>
      </c>
      <c r="Q167" s="9" t="n">
        <f aca="false">I167*Parameters!$B$28+J167*Parameters!$B$29+K167*Parameters!$B$30+L167*Parameters!$B$31+M167*Parameters!$B$32+N167*Parameters!$B$33+O167*Parameters!$B$34+P167*Parameters!$B$35</f>
        <v>0</v>
      </c>
      <c r="R167" s="0" t="str">
        <f aca="false">IF(Q167&gt;=Parameters!$B$24,"High","")</f>
        <v/>
      </c>
    </row>
    <row r="168" customFormat="false" ht="15" hidden="false" customHeight="false" outlineLevel="0" collapsed="false">
      <c r="A168" s="10" t="s">
        <v>641</v>
      </c>
      <c r="B168" s="8" t="n">
        <v>45757</v>
      </c>
      <c r="C168" s="10" t="s">
        <v>140</v>
      </c>
      <c r="D168" s="10" t="s">
        <v>642</v>
      </c>
      <c r="E168" s="12" t="n">
        <v>260.63</v>
      </c>
      <c r="F168" s="10" t="s">
        <v>40</v>
      </c>
      <c r="G168" s="9" t="n">
        <f aca="false">VALUE(LEFT(TEXT(E168,"0.00"),1))</f>
        <v>2</v>
      </c>
      <c r="H168" s="0" t="str">
        <f aca="false">UPPER(SUBSTITUTE(SUBSTITUTE(SUBSTITUTE(D168," ",""),"/",""),".",""))</f>
        <v>INV11020</v>
      </c>
      <c r="I168" s="9" t="n">
        <f aca="false">IF(COUNTIFS($C$5:C168,C168,$H$5:H168,H168,$E$5:E168,E168)&gt;1,1,0)</f>
        <v>0</v>
      </c>
      <c r="J168" s="9" t="n">
        <f aca="false">IF(AND(I168=0,COUNTIFS($C$5:$C$634,C168,$E$5:$E$634,E168,$B$5:$B$634,"&gt;="&amp;(B168-Parameters!$B$12),$B$5:$B$634,"&lt;="&amp;(B168+Parameters!$B$12),$H$5:$H$634,"&lt;&gt;"&amp;H168)&gt;0),1,0)</f>
        <v>0</v>
      </c>
      <c r="K168" s="9" t="n">
        <f aca="false">IF(AND(E168&gt;=Parameters!$B$11,ROUND(MOD(ROUND(E168,2),Parameters!$B$10),2)=0),1,0)</f>
        <v>0</v>
      </c>
      <c r="L168" s="9" t="n">
        <f aca="false">IF(AND(E168&lt;Parameters!$B$7,E168&gt;=Parameters!$B$7*(1-Parameters!$B$9)),1,0)</f>
        <v>0</v>
      </c>
      <c r="M168" s="9" t="n">
        <f aca="false">IF(AND(E168&lt;Parameters!$B$7,COUNTIFS($C$5:$C$634,C168,$B$5:$B$634,B168)&gt;1,SUMIFS($E$5:$E$634,$C$5:$C$634,C168,$B$5:$B$634,B168)&gt;=Parameters!$B$7),1,0)</f>
        <v>0</v>
      </c>
      <c r="N168" s="9" t="n">
        <f aca="false">IF(AND(E168&gt;=Parameters!$B$7,F168&lt;&gt;Parameters!$B$8),1,0)</f>
        <v>0</v>
      </c>
      <c r="O168" s="9" t="n">
        <f aca="false">INDEX(Vendor_Benford!$N$6:$N$50,MATCH(C168,Vendor_Benford!$A$6:$A$50,0))</f>
        <v>0</v>
      </c>
      <c r="P168" s="9" t="n">
        <f aca="false">INDEX(Vendor_Benford!$M$6:$M$50,MATCH(C168,Vendor_Benford!$A$6:$A$50,0))</f>
        <v>0</v>
      </c>
      <c r="Q168" s="9" t="n">
        <f aca="false">I168*Parameters!$B$28+J168*Parameters!$B$29+K168*Parameters!$B$30+L168*Parameters!$B$31+M168*Parameters!$B$32+N168*Parameters!$B$33+O168*Parameters!$B$34+P168*Parameters!$B$35</f>
        <v>0</v>
      </c>
      <c r="R168" s="0" t="str">
        <f aca="false">IF(Q168&gt;=Parameters!$B$24,"High","")</f>
        <v/>
      </c>
    </row>
    <row r="169" customFormat="false" ht="15" hidden="false" customHeight="false" outlineLevel="0" collapsed="false">
      <c r="A169" s="10" t="s">
        <v>643</v>
      </c>
      <c r="B169" s="8" t="n">
        <v>45757</v>
      </c>
      <c r="C169" s="10" t="s">
        <v>218</v>
      </c>
      <c r="D169" s="10" t="s">
        <v>644</v>
      </c>
      <c r="E169" s="12" t="n">
        <v>128.96</v>
      </c>
      <c r="F169" s="10" t="s">
        <v>347</v>
      </c>
      <c r="G169" s="9" t="n">
        <f aca="false">VALUE(LEFT(TEXT(E169,"0.00"),1))</f>
        <v>1</v>
      </c>
      <c r="H169" s="0" t="str">
        <f aca="false">UPPER(SUBSTITUTE(SUBSTITUTE(SUBSTITUTE(D169," ",""),"/",""),".",""))</f>
        <v>INV37006</v>
      </c>
      <c r="I169" s="9" t="n">
        <f aca="false">IF(COUNTIFS($C$5:C169,C169,$H$5:H169,H169,$E$5:E169,E169)&gt;1,1,0)</f>
        <v>0</v>
      </c>
      <c r="J169" s="9" t="n">
        <f aca="false">IF(AND(I169=0,COUNTIFS($C$5:$C$634,C169,$E$5:$E$634,E169,$B$5:$B$634,"&gt;="&amp;(B169-Parameters!$B$12),$B$5:$B$634,"&lt;="&amp;(B169+Parameters!$B$12),$H$5:$H$634,"&lt;&gt;"&amp;H169)&gt;0),1,0)</f>
        <v>0</v>
      </c>
      <c r="K169" s="9" t="n">
        <f aca="false">IF(AND(E169&gt;=Parameters!$B$11,ROUND(MOD(ROUND(E169,2),Parameters!$B$10),2)=0),1,0)</f>
        <v>0</v>
      </c>
      <c r="L169" s="9" t="n">
        <f aca="false">IF(AND(E169&lt;Parameters!$B$7,E169&gt;=Parameters!$B$7*(1-Parameters!$B$9)),1,0)</f>
        <v>0</v>
      </c>
      <c r="M169" s="9" t="n">
        <f aca="false">IF(AND(E169&lt;Parameters!$B$7,COUNTIFS($C$5:$C$634,C169,$B$5:$B$634,B169)&gt;1,SUMIFS($E$5:$E$634,$C$5:$C$634,C169,$B$5:$B$634,B169)&gt;=Parameters!$B$7),1,0)</f>
        <v>0</v>
      </c>
      <c r="N169" s="9" t="n">
        <f aca="false">IF(AND(E169&gt;=Parameters!$B$7,F169&lt;&gt;Parameters!$B$8),1,0)</f>
        <v>0</v>
      </c>
      <c r="O169" s="9" t="n">
        <f aca="false">INDEX(Vendor_Benford!$N$6:$N$50,MATCH(C169,Vendor_Benford!$A$6:$A$50,0))</f>
        <v>0</v>
      </c>
      <c r="P169" s="9" t="n">
        <f aca="false">INDEX(Vendor_Benford!$M$6:$M$50,MATCH(C169,Vendor_Benford!$A$6:$A$50,0))</f>
        <v>0</v>
      </c>
      <c r="Q169" s="9" t="n">
        <f aca="false">I169*Parameters!$B$28+J169*Parameters!$B$29+K169*Parameters!$B$30+L169*Parameters!$B$31+M169*Parameters!$B$32+N169*Parameters!$B$33+O169*Parameters!$B$34+P169*Parameters!$B$35</f>
        <v>0</v>
      </c>
      <c r="R169" s="0" t="str">
        <f aca="false">IF(Q169&gt;=Parameters!$B$24,"High","")</f>
        <v/>
      </c>
    </row>
    <row r="170" customFormat="false" ht="15" hidden="false" customHeight="false" outlineLevel="0" collapsed="false">
      <c r="A170" s="10" t="s">
        <v>645</v>
      </c>
      <c r="B170" s="8" t="n">
        <v>45758</v>
      </c>
      <c r="C170" s="10" t="s">
        <v>122</v>
      </c>
      <c r="D170" s="10" t="s">
        <v>646</v>
      </c>
      <c r="E170" s="12" t="n">
        <v>2499.93</v>
      </c>
      <c r="F170" s="10" t="s">
        <v>347</v>
      </c>
      <c r="G170" s="9" t="n">
        <f aca="false">VALUE(LEFT(TEXT(E170,"0.00"),1))</f>
        <v>2</v>
      </c>
      <c r="H170" s="0" t="str">
        <f aca="false">UPPER(SUBSTITUTE(SUBSTITUTE(SUBSTITUTE(D170," ",""),"/",""),".",""))</f>
        <v>INV5005</v>
      </c>
      <c r="I170" s="9" t="n">
        <f aca="false">IF(COUNTIFS($C$5:C170,C170,$H$5:H170,H170,$E$5:E170,E170)&gt;1,1,0)</f>
        <v>0</v>
      </c>
      <c r="J170" s="9" t="n">
        <f aca="false">IF(AND(I170=0,COUNTIFS($C$5:$C$634,C170,$E$5:$E$634,E170,$B$5:$B$634,"&gt;="&amp;(B170-Parameters!$B$12),$B$5:$B$634,"&lt;="&amp;(B170+Parameters!$B$12),$H$5:$H$634,"&lt;&gt;"&amp;H170)&gt;0),1,0)</f>
        <v>0</v>
      </c>
      <c r="K170" s="9" t="n">
        <f aca="false">IF(AND(E170&gt;=Parameters!$B$11,ROUND(MOD(ROUND(E170,2),Parameters!$B$10),2)=0),1,0)</f>
        <v>0</v>
      </c>
      <c r="L170" s="9" t="n">
        <f aca="false">IF(AND(E170&lt;Parameters!$B$7,E170&gt;=Parameters!$B$7*(1-Parameters!$B$9)),1,0)</f>
        <v>0</v>
      </c>
      <c r="M170" s="9" t="n">
        <f aca="false">IF(AND(E170&lt;Parameters!$B$7,COUNTIFS($C$5:$C$634,C170,$B$5:$B$634,B170)&gt;1,SUMIFS($E$5:$E$634,$C$5:$C$634,C170,$B$5:$B$634,B170)&gt;=Parameters!$B$7),1,0)</f>
        <v>0</v>
      </c>
      <c r="N170" s="9" t="n">
        <f aca="false">IF(AND(E170&gt;=Parameters!$B$7,F170&lt;&gt;Parameters!$B$8),1,0)</f>
        <v>0</v>
      </c>
      <c r="O170" s="9" t="n">
        <f aca="false">INDEX(Vendor_Benford!$N$6:$N$50,MATCH(C170,Vendor_Benford!$A$6:$A$50,0))</f>
        <v>0</v>
      </c>
      <c r="P170" s="9" t="n">
        <f aca="false">INDEX(Vendor_Benford!$M$6:$M$50,MATCH(C170,Vendor_Benford!$A$6:$A$50,0))</f>
        <v>0</v>
      </c>
      <c r="Q170" s="9" t="n">
        <f aca="false">I170*Parameters!$B$28+J170*Parameters!$B$29+K170*Parameters!$B$30+L170*Parameters!$B$31+M170*Parameters!$B$32+N170*Parameters!$B$33+O170*Parameters!$B$34+P170*Parameters!$B$35</f>
        <v>0</v>
      </c>
      <c r="R170" s="0" t="str">
        <f aca="false">IF(Q170&gt;=Parameters!$B$24,"High","")</f>
        <v/>
      </c>
    </row>
    <row r="171" customFormat="false" ht="15" hidden="false" customHeight="false" outlineLevel="0" collapsed="false">
      <c r="A171" s="10" t="s">
        <v>647</v>
      </c>
      <c r="B171" s="8" t="n">
        <v>45758</v>
      </c>
      <c r="C171" s="10" t="s">
        <v>134</v>
      </c>
      <c r="D171" s="10" t="s">
        <v>648</v>
      </c>
      <c r="E171" s="12" t="n">
        <v>19463.67</v>
      </c>
      <c r="F171" s="10" t="s">
        <v>40</v>
      </c>
      <c r="G171" s="9" t="n">
        <f aca="false">VALUE(LEFT(TEXT(E171,"0.00"),1))</f>
        <v>1</v>
      </c>
      <c r="H171" s="0" t="str">
        <f aca="false">UPPER(SUBSTITUTE(SUBSTITUTE(SUBSTITUTE(D171," ",""),"/",""),".",""))</f>
        <v>INV9024</v>
      </c>
      <c r="I171" s="9" t="n">
        <f aca="false">IF(COUNTIFS($C$5:C171,C171,$H$5:H171,H171,$E$5:E171,E171)&gt;1,1,0)</f>
        <v>1</v>
      </c>
      <c r="J171" s="9" t="n">
        <f aca="false">IF(AND(I171=0,COUNTIFS($C$5:$C$634,C171,$E$5:$E$634,E171,$B$5:$B$634,"&gt;="&amp;(B171-Parameters!$B$12),$B$5:$B$634,"&lt;="&amp;(B171+Parameters!$B$12),$H$5:$H$634,"&lt;&gt;"&amp;H171)&gt;0),1,0)</f>
        <v>0</v>
      </c>
      <c r="K171" s="9" t="n">
        <f aca="false">IF(AND(E171&gt;=Parameters!$B$11,ROUND(MOD(ROUND(E171,2),Parameters!$B$10),2)=0),1,0)</f>
        <v>0</v>
      </c>
      <c r="L171" s="9" t="n">
        <f aca="false">IF(AND(E171&lt;Parameters!$B$7,E171&gt;=Parameters!$B$7*(1-Parameters!$B$9)),1,0)</f>
        <v>0</v>
      </c>
      <c r="M171" s="9" t="n">
        <f aca="false">IF(AND(E171&lt;Parameters!$B$7,COUNTIFS($C$5:$C$634,C171,$B$5:$B$634,B171)&gt;1,SUMIFS($E$5:$E$634,$C$5:$C$634,C171,$B$5:$B$634,B171)&gt;=Parameters!$B$7),1,0)</f>
        <v>0</v>
      </c>
      <c r="N171" s="9" t="n">
        <f aca="false">IF(AND(E171&gt;=Parameters!$B$7,F171&lt;&gt;Parameters!$B$8),1,0)</f>
        <v>0</v>
      </c>
      <c r="O171" s="9" t="n">
        <f aca="false">INDEX(Vendor_Benford!$N$6:$N$50,MATCH(C171,Vendor_Benford!$A$6:$A$50,0))</f>
        <v>0</v>
      </c>
      <c r="P171" s="9" t="n">
        <f aca="false">INDEX(Vendor_Benford!$M$6:$M$50,MATCH(C171,Vendor_Benford!$A$6:$A$50,0))</f>
        <v>0</v>
      </c>
      <c r="Q171" s="9" t="n">
        <f aca="false">I171*Parameters!$B$28+J171*Parameters!$B$29+K171*Parameters!$B$30+L171*Parameters!$B$31+M171*Parameters!$B$32+N171*Parameters!$B$33+O171*Parameters!$B$34+P171*Parameters!$B$35</f>
        <v>5</v>
      </c>
      <c r="R171" s="0" t="str">
        <f aca="false">IF(Q171&gt;=Parameters!$B$24,"High","")</f>
        <v>High</v>
      </c>
    </row>
    <row r="172" customFormat="false" ht="15" hidden="false" customHeight="false" outlineLevel="0" collapsed="false">
      <c r="A172" s="10" t="s">
        <v>649</v>
      </c>
      <c r="B172" s="8" t="n">
        <v>45758</v>
      </c>
      <c r="C172" s="10" t="s">
        <v>203</v>
      </c>
      <c r="D172" s="10" t="s">
        <v>650</v>
      </c>
      <c r="E172" s="12" t="n">
        <v>98363.46</v>
      </c>
      <c r="F172" s="10" t="s">
        <v>40</v>
      </c>
      <c r="G172" s="9" t="n">
        <f aca="false">VALUE(LEFT(TEXT(E172,"0.00"),1))</f>
        <v>9</v>
      </c>
      <c r="H172" s="0" t="str">
        <f aca="false">UPPER(SUBSTITUTE(SUBSTITUTE(SUBSTITUTE(D172," ",""),"/",""),".",""))</f>
        <v>INV32014</v>
      </c>
      <c r="I172" s="9" t="n">
        <f aca="false">IF(COUNTIFS($C$5:C172,C172,$H$5:H172,H172,$E$5:E172,E172)&gt;1,1,0)</f>
        <v>0</v>
      </c>
      <c r="J172" s="9" t="n">
        <f aca="false">IF(AND(I172=0,COUNTIFS($C$5:$C$634,C172,$E$5:$E$634,E172,$B$5:$B$634,"&gt;="&amp;(B172-Parameters!$B$12),$B$5:$B$634,"&lt;="&amp;(B172+Parameters!$B$12),$H$5:$H$634,"&lt;&gt;"&amp;H172)&gt;0),1,0)</f>
        <v>0</v>
      </c>
      <c r="K172" s="9" t="n">
        <f aca="false">IF(AND(E172&gt;=Parameters!$B$11,ROUND(MOD(ROUND(E172,2),Parameters!$B$10),2)=0),1,0)</f>
        <v>0</v>
      </c>
      <c r="L172" s="9" t="n">
        <f aca="false">IF(AND(E172&lt;Parameters!$B$7,E172&gt;=Parameters!$B$7*(1-Parameters!$B$9)),1,0)</f>
        <v>0</v>
      </c>
      <c r="M172" s="9" t="n">
        <f aca="false">IF(AND(E172&lt;Parameters!$B$7,COUNTIFS($C$5:$C$634,C172,$B$5:$B$634,B172)&gt;1,SUMIFS($E$5:$E$634,$C$5:$C$634,C172,$B$5:$B$634,B172)&gt;=Parameters!$B$7),1,0)</f>
        <v>0</v>
      </c>
      <c r="N172" s="9" t="n">
        <f aca="false">IF(AND(E172&gt;=Parameters!$B$7,F172&lt;&gt;Parameters!$B$8),1,0)</f>
        <v>0</v>
      </c>
      <c r="O172" s="9" t="n">
        <f aca="false">INDEX(Vendor_Benford!$N$6:$N$50,MATCH(C172,Vendor_Benford!$A$6:$A$50,0))</f>
        <v>0</v>
      </c>
      <c r="P172" s="9" t="n">
        <f aca="false">INDEX(Vendor_Benford!$M$6:$M$50,MATCH(C172,Vendor_Benford!$A$6:$A$50,0))</f>
        <v>0</v>
      </c>
      <c r="Q172" s="9" t="n">
        <f aca="false">I172*Parameters!$B$28+J172*Parameters!$B$29+K172*Parameters!$B$30+L172*Parameters!$B$31+M172*Parameters!$B$32+N172*Parameters!$B$33+O172*Parameters!$B$34+P172*Parameters!$B$35</f>
        <v>0</v>
      </c>
      <c r="R172" s="0" t="str">
        <f aca="false">IF(Q172&gt;=Parameters!$B$24,"High","")</f>
        <v/>
      </c>
    </row>
    <row r="173" customFormat="false" ht="15" hidden="false" customHeight="false" outlineLevel="0" collapsed="false">
      <c r="A173" s="10" t="s">
        <v>651</v>
      </c>
      <c r="B173" s="8" t="n">
        <v>45758</v>
      </c>
      <c r="C173" s="10" t="s">
        <v>212</v>
      </c>
      <c r="D173" s="10" t="s">
        <v>652</v>
      </c>
      <c r="E173" s="12" t="n">
        <v>6085.33</v>
      </c>
      <c r="F173" s="10" t="s">
        <v>40</v>
      </c>
      <c r="G173" s="9" t="n">
        <f aca="false">VALUE(LEFT(TEXT(E173,"0.00"),1))</f>
        <v>6</v>
      </c>
      <c r="H173" s="0" t="str">
        <f aca="false">UPPER(SUBSTITUTE(SUBSTITUTE(SUBSTITUTE(D173," ",""),"/",""),".",""))</f>
        <v>INV35001</v>
      </c>
      <c r="I173" s="9" t="n">
        <f aca="false">IF(COUNTIFS($C$5:C173,C173,$H$5:H173,H173,$E$5:E173,E173)&gt;1,1,0)</f>
        <v>0</v>
      </c>
      <c r="J173" s="9" t="n">
        <f aca="false">IF(AND(I173=0,COUNTIFS($C$5:$C$634,C173,$E$5:$E$634,E173,$B$5:$B$634,"&gt;="&amp;(B173-Parameters!$B$12),$B$5:$B$634,"&lt;="&amp;(B173+Parameters!$B$12),$H$5:$H$634,"&lt;&gt;"&amp;H173)&gt;0),1,0)</f>
        <v>0</v>
      </c>
      <c r="K173" s="9" t="n">
        <f aca="false">IF(AND(E173&gt;=Parameters!$B$11,ROUND(MOD(ROUND(E173,2),Parameters!$B$10),2)=0),1,0)</f>
        <v>0</v>
      </c>
      <c r="L173" s="9" t="n">
        <f aca="false">IF(AND(E173&lt;Parameters!$B$7,E173&gt;=Parameters!$B$7*(1-Parameters!$B$9)),1,0)</f>
        <v>0</v>
      </c>
      <c r="M173" s="9" t="n">
        <f aca="false">IF(AND(E173&lt;Parameters!$B$7,COUNTIFS($C$5:$C$634,C173,$B$5:$B$634,B173)&gt;1,SUMIFS($E$5:$E$634,$C$5:$C$634,C173,$B$5:$B$634,B173)&gt;=Parameters!$B$7),1,0)</f>
        <v>0</v>
      </c>
      <c r="N173" s="9" t="n">
        <f aca="false">IF(AND(E173&gt;=Parameters!$B$7,F173&lt;&gt;Parameters!$B$8),1,0)</f>
        <v>0</v>
      </c>
      <c r="O173" s="9" t="n">
        <f aca="false">INDEX(Vendor_Benford!$N$6:$N$50,MATCH(C173,Vendor_Benford!$A$6:$A$50,0))</f>
        <v>0</v>
      </c>
      <c r="P173" s="9" t="n">
        <f aca="false">INDEX(Vendor_Benford!$M$6:$M$50,MATCH(C173,Vendor_Benford!$A$6:$A$50,0))</f>
        <v>0</v>
      </c>
      <c r="Q173" s="9" t="n">
        <f aca="false">I173*Parameters!$B$28+J173*Parameters!$B$29+K173*Parameters!$B$30+L173*Parameters!$B$31+M173*Parameters!$B$32+N173*Parameters!$B$33+O173*Parameters!$B$34+P173*Parameters!$B$35</f>
        <v>0</v>
      </c>
      <c r="R173" s="0" t="str">
        <f aca="false">IF(Q173&gt;=Parameters!$B$24,"High","")</f>
        <v/>
      </c>
    </row>
    <row r="174" customFormat="false" ht="15" hidden="false" customHeight="false" outlineLevel="0" collapsed="false">
      <c r="A174" s="10" t="s">
        <v>653</v>
      </c>
      <c r="B174" s="8" t="n">
        <v>45761</v>
      </c>
      <c r="C174" s="10" t="s">
        <v>131</v>
      </c>
      <c r="D174" s="10" t="s">
        <v>654</v>
      </c>
      <c r="E174" s="12" t="n">
        <v>5753.23</v>
      </c>
      <c r="F174" s="10" t="s">
        <v>40</v>
      </c>
      <c r="G174" s="9" t="n">
        <f aca="false">VALUE(LEFT(TEXT(E174,"0.00"),1))</f>
        <v>5</v>
      </c>
      <c r="H174" s="0" t="str">
        <f aca="false">UPPER(SUBSTITUTE(SUBSTITUTE(SUBSTITUTE(D174," ",""),"/",""),".",""))</f>
        <v>INV8004</v>
      </c>
      <c r="I174" s="9" t="n">
        <f aca="false">IF(COUNTIFS($C$5:C174,C174,$H$5:H174,H174,$E$5:E174,E174)&gt;1,1,0)</f>
        <v>0</v>
      </c>
      <c r="J174" s="9" t="n">
        <f aca="false">IF(AND(I174=0,COUNTIFS($C$5:$C$634,C174,$E$5:$E$634,E174,$B$5:$B$634,"&gt;="&amp;(B174-Parameters!$B$12),$B$5:$B$634,"&lt;="&amp;(B174+Parameters!$B$12),$H$5:$H$634,"&lt;&gt;"&amp;H174)&gt;0),1,0)</f>
        <v>0</v>
      </c>
      <c r="K174" s="9" t="n">
        <f aca="false">IF(AND(E174&gt;=Parameters!$B$11,ROUND(MOD(ROUND(E174,2),Parameters!$B$10),2)=0),1,0)</f>
        <v>0</v>
      </c>
      <c r="L174" s="9" t="n">
        <f aca="false">IF(AND(E174&lt;Parameters!$B$7,E174&gt;=Parameters!$B$7*(1-Parameters!$B$9)),1,0)</f>
        <v>0</v>
      </c>
      <c r="M174" s="9" t="n">
        <f aca="false">IF(AND(E174&lt;Parameters!$B$7,COUNTIFS($C$5:$C$634,C174,$B$5:$B$634,B174)&gt;1,SUMIFS($E$5:$E$634,$C$5:$C$634,C174,$B$5:$B$634,B174)&gt;=Parameters!$B$7),1,0)</f>
        <v>0</v>
      </c>
      <c r="N174" s="9" t="n">
        <f aca="false">IF(AND(E174&gt;=Parameters!$B$7,F174&lt;&gt;Parameters!$B$8),1,0)</f>
        <v>0</v>
      </c>
      <c r="O174" s="9" t="n">
        <f aca="false">INDEX(Vendor_Benford!$N$6:$N$50,MATCH(C174,Vendor_Benford!$A$6:$A$50,0))</f>
        <v>0</v>
      </c>
      <c r="P174" s="9" t="n">
        <f aca="false">INDEX(Vendor_Benford!$M$6:$M$50,MATCH(C174,Vendor_Benford!$A$6:$A$50,0))</f>
        <v>0</v>
      </c>
      <c r="Q174" s="9" t="n">
        <f aca="false">I174*Parameters!$B$28+J174*Parameters!$B$29+K174*Parameters!$B$30+L174*Parameters!$B$31+M174*Parameters!$B$32+N174*Parameters!$B$33+O174*Parameters!$B$34+P174*Parameters!$B$35</f>
        <v>0</v>
      </c>
      <c r="R174" s="0" t="str">
        <f aca="false">IF(Q174&gt;=Parameters!$B$24,"High","")</f>
        <v/>
      </c>
    </row>
    <row r="175" customFormat="false" ht="15" hidden="false" customHeight="false" outlineLevel="0" collapsed="false">
      <c r="A175" s="10" t="s">
        <v>655</v>
      </c>
      <c r="B175" s="8" t="n">
        <v>45762</v>
      </c>
      <c r="C175" s="10" t="s">
        <v>134</v>
      </c>
      <c r="D175" s="10" t="s">
        <v>656</v>
      </c>
      <c r="E175" s="12" t="n">
        <v>570.78</v>
      </c>
      <c r="F175" s="10" t="s">
        <v>40</v>
      </c>
      <c r="G175" s="9" t="n">
        <f aca="false">VALUE(LEFT(TEXT(E175,"0.00"),1))</f>
        <v>5</v>
      </c>
      <c r="H175" s="0" t="str">
        <f aca="false">UPPER(SUBSTITUTE(SUBSTITUTE(SUBSTITUTE(D175," ",""),"/",""),".",""))</f>
        <v>INV9004</v>
      </c>
      <c r="I175" s="9" t="n">
        <f aca="false">IF(COUNTIFS($C$5:C175,C175,$H$5:H175,H175,$E$5:E175,E175)&gt;1,1,0)</f>
        <v>0</v>
      </c>
      <c r="J175" s="9" t="n">
        <f aca="false">IF(AND(I175=0,COUNTIFS($C$5:$C$634,C175,$E$5:$E$634,E175,$B$5:$B$634,"&gt;="&amp;(B175-Parameters!$B$12),$B$5:$B$634,"&lt;="&amp;(B175+Parameters!$B$12),$H$5:$H$634,"&lt;&gt;"&amp;H175)&gt;0),1,0)</f>
        <v>0</v>
      </c>
      <c r="K175" s="9" t="n">
        <f aca="false">IF(AND(E175&gt;=Parameters!$B$11,ROUND(MOD(ROUND(E175,2),Parameters!$B$10),2)=0),1,0)</f>
        <v>0</v>
      </c>
      <c r="L175" s="9" t="n">
        <f aca="false">IF(AND(E175&lt;Parameters!$B$7,E175&gt;=Parameters!$B$7*(1-Parameters!$B$9)),1,0)</f>
        <v>0</v>
      </c>
      <c r="M175" s="9" t="n">
        <f aca="false">IF(AND(E175&lt;Parameters!$B$7,COUNTIFS($C$5:$C$634,C175,$B$5:$B$634,B175)&gt;1,SUMIFS($E$5:$E$634,$C$5:$C$634,C175,$B$5:$B$634,B175)&gt;=Parameters!$B$7),1,0)</f>
        <v>0</v>
      </c>
      <c r="N175" s="9" t="n">
        <f aca="false">IF(AND(E175&gt;=Parameters!$B$7,F175&lt;&gt;Parameters!$B$8),1,0)</f>
        <v>0</v>
      </c>
      <c r="O175" s="9" t="n">
        <f aca="false">INDEX(Vendor_Benford!$N$6:$N$50,MATCH(C175,Vendor_Benford!$A$6:$A$50,0))</f>
        <v>0</v>
      </c>
      <c r="P175" s="9" t="n">
        <f aca="false">INDEX(Vendor_Benford!$M$6:$M$50,MATCH(C175,Vendor_Benford!$A$6:$A$50,0))</f>
        <v>0</v>
      </c>
      <c r="Q175" s="9" t="n">
        <f aca="false">I175*Parameters!$B$28+J175*Parameters!$B$29+K175*Parameters!$B$30+L175*Parameters!$B$31+M175*Parameters!$B$32+N175*Parameters!$B$33+O175*Parameters!$B$34+P175*Parameters!$B$35</f>
        <v>0</v>
      </c>
      <c r="R175" s="0" t="str">
        <f aca="false">IF(Q175&gt;=Parameters!$B$24,"High","")</f>
        <v/>
      </c>
    </row>
    <row r="176" customFormat="false" ht="15" hidden="false" customHeight="false" outlineLevel="0" collapsed="false">
      <c r="A176" s="10" t="s">
        <v>657</v>
      </c>
      <c r="B176" s="8" t="n">
        <v>45762</v>
      </c>
      <c r="C176" s="10" t="s">
        <v>152</v>
      </c>
      <c r="D176" s="10" t="s">
        <v>658</v>
      </c>
      <c r="E176" s="12" t="n">
        <v>12746.08</v>
      </c>
      <c r="F176" s="10" t="s">
        <v>40</v>
      </c>
      <c r="G176" s="9" t="n">
        <f aca="false">VALUE(LEFT(TEXT(E176,"0.00"),1))</f>
        <v>1</v>
      </c>
      <c r="H176" s="0" t="str">
        <f aca="false">UPPER(SUBSTITUTE(SUBSTITUTE(SUBSTITUTE(D176," ",""),"/",""),".",""))</f>
        <v>INV15016</v>
      </c>
      <c r="I176" s="9" t="n">
        <f aca="false">IF(COUNTIFS($C$5:C176,C176,$H$5:H176,H176,$E$5:E176,E176)&gt;1,1,0)</f>
        <v>0</v>
      </c>
      <c r="J176" s="9" t="n">
        <f aca="false">IF(AND(I176=0,COUNTIFS($C$5:$C$634,C176,$E$5:$E$634,E176,$B$5:$B$634,"&gt;="&amp;(B176-Parameters!$B$12),$B$5:$B$634,"&lt;="&amp;(B176+Parameters!$B$12),$H$5:$H$634,"&lt;&gt;"&amp;H176)&gt;0),1,0)</f>
        <v>0</v>
      </c>
      <c r="K176" s="9" t="n">
        <f aca="false">IF(AND(E176&gt;=Parameters!$B$11,ROUND(MOD(ROUND(E176,2),Parameters!$B$10),2)=0),1,0)</f>
        <v>0</v>
      </c>
      <c r="L176" s="9" t="n">
        <f aca="false">IF(AND(E176&lt;Parameters!$B$7,E176&gt;=Parameters!$B$7*(1-Parameters!$B$9)),1,0)</f>
        <v>0</v>
      </c>
      <c r="M176" s="9" t="n">
        <f aca="false">IF(AND(E176&lt;Parameters!$B$7,COUNTIFS($C$5:$C$634,C176,$B$5:$B$634,B176)&gt;1,SUMIFS($E$5:$E$634,$C$5:$C$634,C176,$B$5:$B$634,B176)&gt;=Parameters!$B$7),1,0)</f>
        <v>0</v>
      </c>
      <c r="N176" s="9" t="n">
        <f aca="false">IF(AND(E176&gt;=Parameters!$B$7,F176&lt;&gt;Parameters!$B$8),1,0)</f>
        <v>0</v>
      </c>
      <c r="O176" s="9" t="n">
        <f aca="false">INDEX(Vendor_Benford!$N$6:$N$50,MATCH(C176,Vendor_Benford!$A$6:$A$50,0))</f>
        <v>0</v>
      </c>
      <c r="P176" s="9" t="n">
        <f aca="false">INDEX(Vendor_Benford!$M$6:$M$50,MATCH(C176,Vendor_Benford!$A$6:$A$50,0))</f>
        <v>0</v>
      </c>
      <c r="Q176" s="9" t="n">
        <f aca="false">I176*Parameters!$B$28+J176*Parameters!$B$29+K176*Parameters!$B$30+L176*Parameters!$B$31+M176*Parameters!$B$32+N176*Parameters!$B$33+O176*Parameters!$B$34+P176*Parameters!$B$35</f>
        <v>0</v>
      </c>
      <c r="R176" s="0" t="str">
        <f aca="false">IF(Q176&gt;=Parameters!$B$24,"High","")</f>
        <v/>
      </c>
    </row>
    <row r="177" customFormat="false" ht="15" hidden="false" customHeight="false" outlineLevel="0" collapsed="false">
      <c r="A177" s="10" t="s">
        <v>659</v>
      </c>
      <c r="B177" s="8" t="n">
        <v>45762</v>
      </c>
      <c r="C177" s="10" t="s">
        <v>152</v>
      </c>
      <c r="D177" s="10" t="s">
        <v>660</v>
      </c>
      <c r="E177" s="12" t="n">
        <v>12280.88</v>
      </c>
      <c r="F177" s="10" t="s">
        <v>40</v>
      </c>
      <c r="G177" s="9" t="n">
        <f aca="false">VALUE(LEFT(TEXT(E177,"0.00"),1))</f>
        <v>1</v>
      </c>
      <c r="H177" s="0" t="str">
        <f aca="false">UPPER(SUBSTITUTE(SUBSTITUTE(SUBSTITUTE(D177," ",""),"/",""),".",""))</f>
        <v>INV15021</v>
      </c>
      <c r="I177" s="9" t="n">
        <f aca="false">IF(COUNTIFS($C$5:C177,C177,$H$5:H177,H177,$E$5:E177,E177)&gt;1,1,0)</f>
        <v>0</v>
      </c>
      <c r="J177" s="9" t="n">
        <f aca="false">IF(AND(I177=0,COUNTIFS($C$5:$C$634,C177,$E$5:$E$634,E177,$B$5:$B$634,"&gt;="&amp;(B177-Parameters!$B$12),$B$5:$B$634,"&lt;="&amp;(B177+Parameters!$B$12),$H$5:$H$634,"&lt;&gt;"&amp;H177)&gt;0),1,0)</f>
        <v>0</v>
      </c>
      <c r="K177" s="9" t="n">
        <f aca="false">IF(AND(E177&gt;=Parameters!$B$11,ROUND(MOD(ROUND(E177,2),Parameters!$B$10),2)=0),1,0)</f>
        <v>0</v>
      </c>
      <c r="L177" s="9" t="n">
        <f aca="false">IF(AND(E177&lt;Parameters!$B$7,E177&gt;=Parameters!$B$7*(1-Parameters!$B$9)),1,0)</f>
        <v>0</v>
      </c>
      <c r="M177" s="9" t="n">
        <f aca="false">IF(AND(E177&lt;Parameters!$B$7,COUNTIFS($C$5:$C$634,C177,$B$5:$B$634,B177)&gt;1,SUMIFS($E$5:$E$634,$C$5:$C$634,C177,$B$5:$B$634,B177)&gt;=Parameters!$B$7),1,0)</f>
        <v>0</v>
      </c>
      <c r="N177" s="9" t="n">
        <f aca="false">IF(AND(E177&gt;=Parameters!$B$7,F177&lt;&gt;Parameters!$B$8),1,0)</f>
        <v>0</v>
      </c>
      <c r="O177" s="9" t="n">
        <f aca="false">INDEX(Vendor_Benford!$N$6:$N$50,MATCH(C177,Vendor_Benford!$A$6:$A$50,0))</f>
        <v>0</v>
      </c>
      <c r="P177" s="9" t="n">
        <f aca="false">INDEX(Vendor_Benford!$M$6:$M$50,MATCH(C177,Vendor_Benford!$A$6:$A$50,0))</f>
        <v>0</v>
      </c>
      <c r="Q177" s="9" t="n">
        <f aca="false">I177*Parameters!$B$28+J177*Parameters!$B$29+K177*Parameters!$B$30+L177*Parameters!$B$31+M177*Parameters!$B$32+N177*Parameters!$B$33+O177*Parameters!$B$34+P177*Parameters!$B$35</f>
        <v>0</v>
      </c>
      <c r="R177" s="0" t="str">
        <f aca="false">IF(Q177&gt;=Parameters!$B$24,"High","")</f>
        <v/>
      </c>
    </row>
    <row r="178" customFormat="false" ht="15" hidden="false" customHeight="false" outlineLevel="0" collapsed="false">
      <c r="A178" s="10" t="s">
        <v>661</v>
      </c>
      <c r="B178" s="8" t="n">
        <v>45762</v>
      </c>
      <c r="C178" s="10" t="s">
        <v>173</v>
      </c>
      <c r="D178" s="10" t="s">
        <v>662</v>
      </c>
      <c r="E178" s="12" t="n">
        <v>18282.86</v>
      </c>
      <c r="F178" s="10" t="s">
        <v>40</v>
      </c>
      <c r="G178" s="9" t="n">
        <f aca="false">VALUE(LEFT(TEXT(E178,"0.00"),1))</f>
        <v>1</v>
      </c>
      <c r="H178" s="0" t="str">
        <f aca="false">UPPER(SUBSTITUTE(SUBSTITUTE(SUBSTITUTE(D178," ",""),"/",""),".",""))</f>
        <v>INV22013</v>
      </c>
      <c r="I178" s="9" t="n">
        <f aca="false">IF(COUNTIFS($C$5:C178,C178,$H$5:H178,H178,$E$5:E178,E178)&gt;1,1,0)</f>
        <v>0</v>
      </c>
      <c r="J178" s="9" t="n">
        <f aca="false">IF(AND(I178=0,COUNTIFS($C$5:$C$634,C178,$E$5:$E$634,E178,$B$5:$B$634,"&gt;="&amp;(B178-Parameters!$B$12),$B$5:$B$634,"&lt;="&amp;(B178+Parameters!$B$12),$H$5:$H$634,"&lt;&gt;"&amp;H178)&gt;0),1,0)</f>
        <v>0</v>
      </c>
      <c r="K178" s="9" t="n">
        <f aca="false">IF(AND(E178&gt;=Parameters!$B$11,ROUND(MOD(ROUND(E178,2),Parameters!$B$10),2)=0),1,0)</f>
        <v>0</v>
      </c>
      <c r="L178" s="9" t="n">
        <f aca="false">IF(AND(E178&lt;Parameters!$B$7,E178&gt;=Parameters!$B$7*(1-Parameters!$B$9)),1,0)</f>
        <v>0</v>
      </c>
      <c r="M178" s="9" t="n">
        <f aca="false">IF(AND(E178&lt;Parameters!$B$7,COUNTIFS($C$5:$C$634,C178,$B$5:$B$634,B178)&gt;1,SUMIFS($E$5:$E$634,$C$5:$C$634,C178,$B$5:$B$634,B178)&gt;=Parameters!$B$7),1,0)</f>
        <v>0</v>
      </c>
      <c r="N178" s="9" t="n">
        <f aca="false">IF(AND(E178&gt;=Parameters!$B$7,F178&lt;&gt;Parameters!$B$8),1,0)</f>
        <v>0</v>
      </c>
      <c r="O178" s="9" t="n">
        <f aca="false">INDEX(Vendor_Benford!$N$6:$N$50,MATCH(C178,Vendor_Benford!$A$6:$A$50,0))</f>
        <v>0</v>
      </c>
      <c r="P178" s="9" t="n">
        <f aca="false">INDEX(Vendor_Benford!$M$6:$M$50,MATCH(C178,Vendor_Benford!$A$6:$A$50,0))</f>
        <v>0</v>
      </c>
      <c r="Q178" s="9" t="n">
        <f aca="false">I178*Parameters!$B$28+J178*Parameters!$B$29+K178*Parameters!$B$30+L178*Parameters!$B$31+M178*Parameters!$B$32+N178*Parameters!$B$33+O178*Parameters!$B$34+P178*Parameters!$B$35</f>
        <v>0</v>
      </c>
      <c r="R178" s="0" t="str">
        <f aca="false">IF(Q178&gt;=Parameters!$B$24,"High","")</f>
        <v/>
      </c>
    </row>
    <row r="179" customFormat="false" ht="15" hidden="false" customHeight="false" outlineLevel="0" collapsed="false">
      <c r="A179" s="10" t="s">
        <v>663</v>
      </c>
      <c r="B179" s="8" t="n">
        <v>45762</v>
      </c>
      <c r="C179" s="10" t="s">
        <v>200</v>
      </c>
      <c r="D179" s="10" t="s">
        <v>664</v>
      </c>
      <c r="E179" s="12" t="n">
        <v>4926.78</v>
      </c>
      <c r="F179" s="10" t="s">
        <v>347</v>
      </c>
      <c r="G179" s="9" t="n">
        <f aca="false">VALUE(LEFT(TEXT(E179,"0.00"),1))</f>
        <v>4</v>
      </c>
      <c r="H179" s="0" t="str">
        <f aca="false">UPPER(SUBSTITUTE(SUBSTITUTE(SUBSTITUTE(D179," ",""),"/",""),".",""))</f>
        <v>INV31010</v>
      </c>
      <c r="I179" s="9" t="n">
        <f aca="false">IF(COUNTIFS($C$5:C179,C179,$H$5:H179,H179,$E$5:E179,E179)&gt;1,1,0)</f>
        <v>0</v>
      </c>
      <c r="J179" s="9" t="n">
        <f aca="false">IF(AND(I179=0,COUNTIFS($C$5:$C$634,C179,$E$5:$E$634,E179,$B$5:$B$634,"&gt;="&amp;(B179-Parameters!$B$12),$B$5:$B$634,"&lt;="&amp;(B179+Parameters!$B$12),$H$5:$H$634,"&lt;&gt;"&amp;H179)&gt;0),1,0)</f>
        <v>0</v>
      </c>
      <c r="K179" s="9" t="n">
        <f aca="false">IF(AND(E179&gt;=Parameters!$B$11,ROUND(MOD(ROUND(E179,2),Parameters!$B$10),2)=0),1,0)</f>
        <v>0</v>
      </c>
      <c r="L179" s="9" t="n">
        <f aca="false">IF(AND(E179&lt;Parameters!$B$7,E179&gt;=Parameters!$B$7*(1-Parameters!$B$9)),1,0)</f>
        <v>1</v>
      </c>
      <c r="M179" s="9" t="n">
        <f aca="false">IF(AND(E179&lt;Parameters!$B$7,COUNTIFS($C$5:$C$634,C179,$B$5:$B$634,B179)&gt;1,SUMIFS($E$5:$E$634,$C$5:$C$634,C179,$B$5:$B$634,B179)&gt;=Parameters!$B$7),1,0)</f>
        <v>0</v>
      </c>
      <c r="N179" s="9" t="n">
        <f aca="false">IF(AND(E179&gt;=Parameters!$B$7,F179&lt;&gt;Parameters!$B$8),1,0)</f>
        <v>0</v>
      </c>
      <c r="O179" s="9" t="n">
        <f aca="false">INDEX(Vendor_Benford!$N$6:$N$50,MATCH(C179,Vendor_Benford!$A$6:$A$50,0))</f>
        <v>0</v>
      </c>
      <c r="P179" s="9" t="n">
        <f aca="false">INDEX(Vendor_Benford!$M$6:$M$50,MATCH(C179,Vendor_Benford!$A$6:$A$50,0))</f>
        <v>1</v>
      </c>
      <c r="Q179" s="9" t="n">
        <f aca="false">I179*Parameters!$B$28+J179*Parameters!$B$29+K179*Parameters!$B$30+L179*Parameters!$B$31+M179*Parameters!$B$32+N179*Parameters!$B$33+O179*Parameters!$B$34+P179*Parameters!$B$35</f>
        <v>4</v>
      </c>
      <c r="R179" s="0" t="str">
        <f aca="false">IF(Q179&gt;=Parameters!$B$24,"High","")</f>
        <v/>
      </c>
    </row>
    <row r="180" customFormat="false" ht="15" hidden="false" customHeight="false" outlineLevel="0" collapsed="false">
      <c r="A180" s="10" t="s">
        <v>665</v>
      </c>
      <c r="B180" s="8" t="n">
        <v>45762</v>
      </c>
      <c r="C180" s="10" t="s">
        <v>227</v>
      </c>
      <c r="D180" s="10" t="s">
        <v>666</v>
      </c>
      <c r="E180" s="12" t="n">
        <v>10819.76</v>
      </c>
      <c r="F180" s="10" t="s">
        <v>40</v>
      </c>
      <c r="G180" s="9" t="n">
        <f aca="false">VALUE(LEFT(TEXT(E180,"0.00"),1))</f>
        <v>1</v>
      </c>
      <c r="H180" s="0" t="str">
        <f aca="false">UPPER(SUBSTITUTE(SUBSTITUTE(SUBSTITUTE(D180," ",""),"/",""),".",""))</f>
        <v>INV40001</v>
      </c>
      <c r="I180" s="9" t="n">
        <f aca="false">IF(COUNTIFS($C$5:C180,C180,$H$5:H180,H180,$E$5:E180,E180)&gt;1,1,0)</f>
        <v>0</v>
      </c>
      <c r="J180" s="9" t="n">
        <f aca="false">IF(AND(I180=0,COUNTIFS($C$5:$C$634,C180,$E$5:$E$634,E180,$B$5:$B$634,"&gt;="&amp;(B180-Parameters!$B$12),$B$5:$B$634,"&lt;="&amp;(B180+Parameters!$B$12),$H$5:$H$634,"&lt;&gt;"&amp;H180)&gt;0),1,0)</f>
        <v>0</v>
      </c>
      <c r="K180" s="9" t="n">
        <f aca="false">IF(AND(E180&gt;=Parameters!$B$11,ROUND(MOD(ROUND(E180,2),Parameters!$B$10),2)=0),1,0)</f>
        <v>0</v>
      </c>
      <c r="L180" s="9" t="n">
        <f aca="false">IF(AND(E180&lt;Parameters!$B$7,E180&gt;=Parameters!$B$7*(1-Parameters!$B$9)),1,0)</f>
        <v>0</v>
      </c>
      <c r="M180" s="9" t="n">
        <f aca="false">IF(AND(E180&lt;Parameters!$B$7,COUNTIFS($C$5:$C$634,C180,$B$5:$B$634,B180)&gt;1,SUMIFS($E$5:$E$634,$C$5:$C$634,C180,$B$5:$B$634,B180)&gt;=Parameters!$B$7),1,0)</f>
        <v>0</v>
      </c>
      <c r="N180" s="9" t="n">
        <f aca="false">IF(AND(E180&gt;=Parameters!$B$7,F180&lt;&gt;Parameters!$B$8),1,0)</f>
        <v>0</v>
      </c>
      <c r="O180" s="9" t="n">
        <f aca="false">INDEX(Vendor_Benford!$N$6:$N$50,MATCH(C180,Vendor_Benford!$A$6:$A$50,0))</f>
        <v>0</v>
      </c>
      <c r="P180" s="9" t="n">
        <f aca="false">INDEX(Vendor_Benford!$M$6:$M$50,MATCH(C180,Vendor_Benford!$A$6:$A$50,0))</f>
        <v>0</v>
      </c>
      <c r="Q180" s="9" t="n">
        <f aca="false">I180*Parameters!$B$28+J180*Parameters!$B$29+K180*Parameters!$B$30+L180*Parameters!$B$31+M180*Parameters!$B$32+N180*Parameters!$B$33+O180*Parameters!$B$34+P180*Parameters!$B$35</f>
        <v>0</v>
      </c>
      <c r="R180" s="0" t="str">
        <f aca="false">IF(Q180&gt;=Parameters!$B$24,"High","")</f>
        <v/>
      </c>
    </row>
    <row r="181" customFormat="false" ht="15" hidden="false" customHeight="false" outlineLevel="0" collapsed="false">
      <c r="A181" s="10" t="s">
        <v>667</v>
      </c>
      <c r="B181" s="8" t="n">
        <v>45763</v>
      </c>
      <c r="C181" s="10" t="s">
        <v>200</v>
      </c>
      <c r="D181" s="10" t="s">
        <v>668</v>
      </c>
      <c r="E181" s="12" t="n">
        <v>4979.41</v>
      </c>
      <c r="F181" s="10" t="s">
        <v>347</v>
      </c>
      <c r="G181" s="9" t="n">
        <f aca="false">VALUE(LEFT(TEXT(E181,"0.00"),1))</f>
        <v>4</v>
      </c>
      <c r="H181" s="0" t="str">
        <f aca="false">UPPER(SUBSTITUTE(SUBSTITUTE(SUBSTITUTE(D181," ",""),"/",""),".",""))</f>
        <v>INV31043</v>
      </c>
      <c r="I181" s="9" t="n">
        <f aca="false">IF(COUNTIFS($C$5:C181,C181,$H$5:H181,H181,$E$5:E181,E181)&gt;1,1,0)</f>
        <v>0</v>
      </c>
      <c r="J181" s="9" t="n">
        <f aca="false">IF(AND(I181=0,COUNTIFS($C$5:$C$634,C181,$E$5:$E$634,E181,$B$5:$B$634,"&gt;="&amp;(B181-Parameters!$B$12),$B$5:$B$634,"&lt;="&amp;(B181+Parameters!$B$12),$H$5:$H$634,"&lt;&gt;"&amp;H181)&gt;0),1,0)</f>
        <v>0</v>
      </c>
      <c r="K181" s="9" t="n">
        <f aca="false">IF(AND(E181&gt;=Parameters!$B$11,ROUND(MOD(ROUND(E181,2),Parameters!$B$10),2)=0),1,0)</f>
        <v>0</v>
      </c>
      <c r="L181" s="9" t="n">
        <f aca="false">IF(AND(E181&lt;Parameters!$B$7,E181&gt;=Parameters!$B$7*(1-Parameters!$B$9)),1,0)</f>
        <v>1</v>
      </c>
      <c r="M181" s="9" t="n">
        <f aca="false">IF(AND(E181&lt;Parameters!$B$7,COUNTIFS($C$5:$C$634,C181,$B$5:$B$634,B181)&gt;1,SUMIFS($E$5:$E$634,$C$5:$C$634,C181,$B$5:$B$634,B181)&gt;=Parameters!$B$7),1,0)</f>
        <v>0</v>
      </c>
      <c r="N181" s="9" t="n">
        <f aca="false">IF(AND(E181&gt;=Parameters!$B$7,F181&lt;&gt;Parameters!$B$8),1,0)</f>
        <v>0</v>
      </c>
      <c r="O181" s="9" t="n">
        <f aca="false">INDEX(Vendor_Benford!$N$6:$N$50,MATCH(C181,Vendor_Benford!$A$6:$A$50,0))</f>
        <v>0</v>
      </c>
      <c r="P181" s="9" t="n">
        <f aca="false">INDEX(Vendor_Benford!$M$6:$M$50,MATCH(C181,Vendor_Benford!$A$6:$A$50,0))</f>
        <v>1</v>
      </c>
      <c r="Q181" s="9" t="n">
        <f aca="false">I181*Parameters!$B$28+J181*Parameters!$B$29+K181*Parameters!$B$30+L181*Parameters!$B$31+M181*Parameters!$B$32+N181*Parameters!$B$33+O181*Parameters!$B$34+P181*Parameters!$B$35</f>
        <v>4</v>
      </c>
      <c r="R181" s="0" t="str">
        <f aca="false">IF(Q181&gt;=Parameters!$B$24,"High","")</f>
        <v/>
      </c>
    </row>
    <row r="182" customFormat="false" ht="15" hidden="false" customHeight="false" outlineLevel="0" collapsed="false">
      <c r="A182" s="10" t="s">
        <v>669</v>
      </c>
      <c r="B182" s="8" t="n">
        <v>45763</v>
      </c>
      <c r="C182" s="10" t="s">
        <v>206</v>
      </c>
      <c r="D182" s="10" t="s">
        <v>670</v>
      </c>
      <c r="E182" s="12" t="n">
        <v>641.14</v>
      </c>
      <c r="F182" s="10" t="s">
        <v>347</v>
      </c>
      <c r="G182" s="9" t="n">
        <f aca="false">VALUE(LEFT(TEXT(E182,"0.00"),1))</f>
        <v>6</v>
      </c>
      <c r="H182" s="0" t="str">
        <f aca="false">UPPER(SUBSTITUTE(SUBSTITUTE(SUBSTITUTE(D182," ",""),"/",""),".",""))</f>
        <v>INV33009</v>
      </c>
      <c r="I182" s="9" t="n">
        <f aca="false">IF(COUNTIFS($C$5:C182,C182,$H$5:H182,H182,$E$5:E182,E182)&gt;1,1,0)</f>
        <v>0</v>
      </c>
      <c r="J182" s="9" t="n">
        <f aca="false">IF(AND(I182=0,COUNTIFS($C$5:$C$634,C182,$E$5:$E$634,E182,$B$5:$B$634,"&gt;="&amp;(B182-Parameters!$B$12),$B$5:$B$634,"&lt;="&amp;(B182+Parameters!$B$12),$H$5:$H$634,"&lt;&gt;"&amp;H182)&gt;0),1,0)</f>
        <v>0</v>
      </c>
      <c r="K182" s="9" t="n">
        <f aca="false">IF(AND(E182&gt;=Parameters!$B$11,ROUND(MOD(ROUND(E182,2),Parameters!$B$10),2)=0),1,0)</f>
        <v>0</v>
      </c>
      <c r="L182" s="9" t="n">
        <f aca="false">IF(AND(E182&lt;Parameters!$B$7,E182&gt;=Parameters!$B$7*(1-Parameters!$B$9)),1,0)</f>
        <v>0</v>
      </c>
      <c r="M182" s="9" t="n">
        <f aca="false">IF(AND(E182&lt;Parameters!$B$7,COUNTIFS($C$5:$C$634,C182,$B$5:$B$634,B182)&gt;1,SUMIFS($E$5:$E$634,$C$5:$C$634,C182,$B$5:$B$634,B182)&gt;=Parameters!$B$7),1,0)</f>
        <v>0</v>
      </c>
      <c r="N182" s="9" t="n">
        <f aca="false">IF(AND(E182&gt;=Parameters!$B$7,F182&lt;&gt;Parameters!$B$8),1,0)</f>
        <v>0</v>
      </c>
      <c r="O182" s="9" t="n">
        <f aca="false">INDEX(Vendor_Benford!$N$6:$N$50,MATCH(C182,Vendor_Benford!$A$6:$A$50,0))</f>
        <v>0</v>
      </c>
      <c r="P182" s="9" t="n">
        <f aca="false">INDEX(Vendor_Benford!$M$6:$M$50,MATCH(C182,Vendor_Benford!$A$6:$A$50,0))</f>
        <v>0</v>
      </c>
      <c r="Q182" s="9" t="n">
        <f aca="false">I182*Parameters!$B$28+J182*Parameters!$B$29+K182*Parameters!$B$30+L182*Parameters!$B$31+M182*Parameters!$B$32+N182*Parameters!$B$33+O182*Parameters!$B$34+P182*Parameters!$B$35</f>
        <v>0</v>
      </c>
      <c r="R182" s="0" t="str">
        <f aca="false">IF(Q182&gt;=Parameters!$B$24,"High","")</f>
        <v/>
      </c>
    </row>
    <row r="183" customFormat="false" ht="15" hidden="false" customHeight="false" outlineLevel="0" collapsed="false">
      <c r="A183" s="10" t="s">
        <v>671</v>
      </c>
      <c r="B183" s="8" t="n">
        <v>45764</v>
      </c>
      <c r="C183" s="10" t="s">
        <v>113</v>
      </c>
      <c r="D183" s="10" t="s">
        <v>672</v>
      </c>
      <c r="E183" s="12" t="n">
        <v>4900</v>
      </c>
      <c r="F183" s="10" t="s">
        <v>347</v>
      </c>
      <c r="G183" s="9" t="n">
        <f aca="false">VALUE(LEFT(TEXT(E183,"0.00"),1))</f>
        <v>4</v>
      </c>
      <c r="H183" s="0" t="str">
        <f aca="false">UPPER(SUBSTITUTE(SUBSTITUTE(SUBSTITUTE(D183," ",""),"/",""),".",""))</f>
        <v>LIC2504</v>
      </c>
      <c r="I183" s="9" t="n">
        <f aca="false">IF(COUNTIFS($C$5:C183,C183,$H$5:H183,H183,$E$5:E183,E183)&gt;1,1,0)</f>
        <v>0</v>
      </c>
      <c r="J183" s="9" t="n">
        <f aca="false">IF(AND(I183=0,COUNTIFS($C$5:$C$634,C183,$E$5:$E$634,E183,$B$5:$B$634,"&gt;="&amp;(B183-Parameters!$B$12),$B$5:$B$634,"&lt;="&amp;(B183+Parameters!$B$12),$H$5:$H$634,"&lt;&gt;"&amp;H183)&gt;0),1,0)</f>
        <v>1</v>
      </c>
      <c r="K183" s="9" t="n">
        <f aca="false">IF(AND(E183&gt;=Parameters!$B$11,ROUND(MOD(ROUND(E183,2),Parameters!$B$10),2)=0),1,0)</f>
        <v>0</v>
      </c>
      <c r="L183" s="9" t="n">
        <f aca="false">IF(AND(E183&lt;Parameters!$B$7,E183&gt;=Parameters!$B$7*(1-Parameters!$B$9)),1,0)</f>
        <v>1</v>
      </c>
      <c r="M183" s="9" t="n">
        <f aca="false">IF(AND(E183&lt;Parameters!$B$7,COUNTIFS($C$5:$C$634,C183,$B$5:$B$634,B183)&gt;1,SUMIFS($E$5:$E$634,$C$5:$C$634,C183,$B$5:$B$634,B183)&gt;=Parameters!$B$7),1,0)</f>
        <v>0</v>
      </c>
      <c r="N183" s="9" t="n">
        <f aca="false">IF(AND(E183&gt;=Parameters!$B$7,F183&lt;&gt;Parameters!$B$8),1,0)</f>
        <v>0</v>
      </c>
      <c r="O183" s="9" t="n">
        <f aca="false">INDEX(Vendor_Benford!$N$6:$N$50,MATCH(C183,Vendor_Benford!$A$6:$A$50,0))</f>
        <v>0</v>
      </c>
      <c r="P183" s="9" t="n">
        <f aca="false">INDEX(Vendor_Benford!$M$6:$M$50,MATCH(C183,Vendor_Benford!$A$6:$A$50,0))</f>
        <v>0</v>
      </c>
      <c r="Q183" s="9" t="n">
        <f aca="false">I183*Parameters!$B$28+J183*Parameters!$B$29+K183*Parameters!$B$30+L183*Parameters!$B$31+M183*Parameters!$B$32+N183*Parameters!$B$33+O183*Parameters!$B$34+P183*Parameters!$B$35</f>
        <v>5</v>
      </c>
      <c r="R183" s="0" t="str">
        <f aca="false">IF(Q183&gt;=Parameters!$B$24,"High","")</f>
        <v>High</v>
      </c>
    </row>
    <row r="184" customFormat="false" ht="15" hidden="false" customHeight="false" outlineLevel="0" collapsed="false">
      <c r="A184" s="10" t="s">
        <v>673</v>
      </c>
      <c r="B184" s="8" t="n">
        <v>45764</v>
      </c>
      <c r="C184" s="10" t="s">
        <v>134</v>
      </c>
      <c r="D184" s="10" t="s">
        <v>674</v>
      </c>
      <c r="E184" s="12" t="n">
        <v>110.84</v>
      </c>
      <c r="F184" s="10" t="s">
        <v>347</v>
      </c>
      <c r="G184" s="9" t="n">
        <f aca="false">VALUE(LEFT(TEXT(E184,"0.00"),1))</f>
        <v>1</v>
      </c>
      <c r="H184" s="0" t="str">
        <f aca="false">UPPER(SUBSTITUTE(SUBSTITUTE(SUBSTITUTE(D184," ",""),"/",""),".",""))</f>
        <v>INV9023</v>
      </c>
      <c r="I184" s="9" t="n">
        <f aca="false">IF(COUNTIFS($C$5:C184,C184,$H$5:H184,H184,$E$5:E184,E184)&gt;1,1,0)</f>
        <v>0</v>
      </c>
      <c r="J184" s="9" t="n">
        <f aca="false">IF(AND(I184=0,COUNTIFS($C$5:$C$634,C184,$E$5:$E$634,E184,$B$5:$B$634,"&gt;="&amp;(B184-Parameters!$B$12),$B$5:$B$634,"&lt;="&amp;(B184+Parameters!$B$12),$H$5:$H$634,"&lt;&gt;"&amp;H184)&gt;0),1,0)</f>
        <v>0</v>
      </c>
      <c r="K184" s="9" t="n">
        <f aca="false">IF(AND(E184&gt;=Parameters!$B$11,ROUND(MOD(ROUND(E184,2),Parameters!$B$10),2)=0),1,0)</f>
        <v>0</v>
      </c>
      <c r="L184" s="9" t="n">
        <f aca="false">IF(AND(E184&lt;Parameters!$B$7,E184&gt;=Parameters!$B$7*(1-Parameters!$B$9)),1,0)</f>
        <v>0</v>
      </c>
      <c r="M184" s="9" t="n">
        <f aca="false">IF(AND(E184&lt;Parameters!$B$7,COUNTIFS($C$5:$C$634,C184,$B$5:$B$634,B184)&gt;1,SUMIFS($E$5:$E$634,$C$5:$C$634,C184,$B$5:$B$634,B184)&gt;=Parameters!$B$7),1,0)</f>
        <v>0</v>
      </c>
      <c r="N184" s="9" t="n">
        <f aca="false">IF(AND(E184&gt;=Parameters!$B$7,F184&lt;&gt;Parameters!$B$8),1,0)</f>
        <v>0</v>
      </c>
      <c r="O184" s="9" t="n">
        <f aca="false">INDEX(Vendor_Benford!$N$6:$N$50,MATCH(C184,Vendor_Benford!$A$6:$A$50,0))</f>
        <v>0</v>
      </c>
      <c r="P184" s="9" t="n">
        <f aca="false">INDEX(Vendor_Benford!$M$6:$M$50,MATCH(C184,Vendor_Benford!$A$6:$A$50,0))</f>
        <v>0</v>
      </c>
      <c r="Q184" s="9" t="n">
        <f aca="false">I184*Parameters!$B$28+J184*Parameters!$B$29+K184*Parameters!$B$30+L184*Parameters!$B$31+M184*Parameters!$B$32+N184*Parameters!$B$33+O184*Parameters!$B$34+P184*Parameters!$B$35</f>
        <v>0</v>
      </c>
      <c r="R184" s="0" t="str">
        <f aca="false">IF(Q184&gt;=Parameters!$B$24,"High","")</f>
        <v/>
      </c>
    </row>
    <row r="185" customFormat="false" ht="15" hidden="false" customHeight="false" outlineLevel="0" collapsed="false">
      <c r="A185" s="10" t="s">
        <v>675</v>
      </c>
      <c r="B185" s="8" t="n">
        <v>45764</v>
      </c>
      <c r="C185" s="10" t="s">
        <v>140</v>
      </c>
      <c r="D185" s="10" t="s">
        <v>676</v>
      </c>
      <c r="E185" s="12" t="n">
        <v>9532.79</v>
      </c>
      <c r="F185" s="10" t="s">
        <v>40</v>
      </c>
      <c r="G185" s="9" t="n">
        <f aca="false">VALUE(LEFT(TEXT(E185,"0.00"),1))</f>
        <v>9</v>
      </c>
      <c r="H185" s="0" t="str">
        <f aca="false">UPPER(SUBSTITUTE(SUBSTITUTE(SUBSTITUTE(D185," ",""),"/",""),".",""))</f>
        <v>INV11003</v>
      </c>
      <c r="I185" s="9" t="n">
        <f aca="false">IF(COUNTIFS($C$5:C185,C185,$H$5:H185,H185,$E$5:E185,E185)&gt;1,1,0)</f>
        <v>0</v>
      </c>
      <c r="J185" s="9" t="n">
        <f aca="false">IF(AND(I185=0,COUNTIFS($C$5:$C$634,C185,$E$5:$E$634,E185,$B$5:$B$634,"&gt;="&amp;(B185-Parameters!$B$12),$B$5:$B$634,"&lt;="&amp;(B185+Parameters!$B$12),$H$5:$H$634,"&lt;&gt;"&amp;H185)&gt;0),1,0)</f>
        <v>0</v>
      </c>
      <c r="K185" s="9" t="n">
        <f aca="false">IF(AND(E185&gt;=Parameters!$B$11,ROUND(MOD(ROUND(E185,2),Parameters!$B$10),2)=0),1,0)</f>
        <v>0</v>
      </c>
      <c r="L185" s="9" t="n">
        <f aca="false">IF(AND(E185&lt;Parameters!$B$7,E185&gt;=Parameters!$B$7*(1-Parameters!$B$9)),1,0)</f>
        <v>0</v>
      </c>
      <c r="M185" s="9" t="n">
        <f aca="false">IF(AND(E185&lt;Parameters!$B$7,COUNTIFS($C$5:$C$634,C185,$B$5:$B$634,B185)&gt;1,SUMIFS($E$5:$E$634,$C$5:$C$634,C185,$B$5:$B$634,B185)&gt;=Parameters!$B$7),1,0)</f>
        <v>0</v>
      </c>
      <c r="N185" s="9" t="n">
        <f aca="false">IF(AND(E185&gt;=Parameters!$B$7,F185&lt;&gt;Parameters!$B$8),1,0)</f>
        <v>0</v>
      </c>
      <c r="O185" s="9" t="n">
        <f aca="false">INDEX(Vendor_Benford!$N$6:$N$50,MATCH(C185,Vendor_Benford!$A$6:$A$50,0))</f>
        <v>0</v>
      </c>
      <c r="P185" s="9" t="n">
        <f aca="false">INDEX(Vendor_Benford!$M$6:$M$50,MATCH(C185,Vendor_Benford!$A$6:$A$50,0))</f>
        <v>0</v>
      </c>
      <c r="Q185" s="9" t="n">
        <f aca="false">I185*Parameters!$B$28+J185*Parameters!$B$29+K185*Parameters!$B$30+L185*Parameters!$B$31+M185*Parameters!$B$32+N185*Parameters!$B$33+O185*Parameters!$B$34+P185*Parameters!$B$35</f>
        <v>0</v>
      </c>
      <c r="R185" s="0" t="str">
        <f aca="false">IF(Q185&gt;=Parameters!$B$24,"High","")</f>
        <v/>
      </c>
    </row>
    <row r="186" customFormat="false" ht="15" hidden="false" customHeight="false" outlineLevel="0" collapsed="false">
      <c r="A186" s="10" t="s">
        <v>677</v>
      </c>
      <c r="B186" s="8" t="n">
        <v>45764</v>
      </c>
      <c r="C186" s="10" t="s">
        <v>143</v>
      </c>
      <c r="D186" s="10" t="s">
        <v>678</v>
      </c>
      <c r="E186" s="12" t="n">
        <v>725</v>
      </c>
      <c r="F186" s="10" t="s">
        <v>40</v>
      </c>
      <c r="G186" s="9" t="n">
        <f aca="false">VALUE(LEFT(TEXT(E186,"0.00"),1))</f>
        <v>7</v>
      </c>
      <c r="H186" s="0" t="str">
        <f aca="false">UPPER(SUBSTITUTE(SUBSTITUTE(SUBSTITUTE(D186," ",""),"/",""),".",""))</f>
        <v>INV12017</v>
      </c>
      <c r="I186" s="9" t="n">
        <f aca="false">IF(COUNTIFS($C$5:C186,C186,$H$5:H186,H186,$E$5:E186,E186)&gt;1,1,0)</f>
        <v>0</v>
      </c>
      <c r="J186" s="9" t="n">
        <f aca="false">IF(AND(I186=0,COUNTIFS($C$5:$C$634,C186,$E$5:$E$634,E186,$B$5:$B$634,"&gt;="&amp;(B186-Parameters!$B$12),$B$5:$B$634,"&lt;="&amp;(B186+Parameters!$B$12),$H$5:$H$634,"&lt;&gt;"&amp;H186)&gt;0),1,0)</f>
        <v>0</v>
      </c>
      <c r="K186" s="9" t="n">
        <f aca="false">IF(AND(E186&gt;=Parameters!$B$11,ROUND(MOD(ROUND(E186,2),Parameters!$B$10),2)=0),1,0)</f>
        <v>0</v>
      </c>
      <c r="L186" s="9" t="n">
        <f aca="false">IF(AND(E186&lt;Parameters!$B$7,E186&gt;=Parameters!$B$7*(1-Parameters!$B$9)),1,0)</f>
        <v>0</v>
      </c>
      <c r="M186" s="9" t="n">
        <f aca="false">IF(AND(E186&lt;Parameters!$B$7,COUNTIFS($C$5:$C$634,C186,$B$5:$B$634,B186)&gt;1,SUMIFS($E$5:$E$634,$C$5:$C$634,C186,$B$5:$B$634,B186)&gt;=Parameters!$B$7),1,0)</f>
        <v>0</v>
      </c>
      <c r="N186" s="9" t="n">
        <f aca="false">IF(AND(E186&gt;=Parameters!$B$7,F186&lt;&gt;Parameters!$B$8),1,0)</f>
        <v>0</v>
      </c>
      <c r="O186" s="9" t="n">
        <f aca="false">INDEX(Vendor_Benford!$N$6:$N$50,MATCH(C186,Vendor_Benford!$A$6:$A$50,0))</f>
        <v>0</v>
      </c>
      <c r="P186" s="9" t="n">
        <f aca="false">INDEX(Vendor_Benford!$M$6:$M$50,MATCH(C186,Vendor_Benford!$A$6:$A$50,0))</f>
        <v>0</v>
      </c>
      <c r="Q186" s="9" t="n">
        <f aca="false">I186*Parameters!$B$28+J186*Parameters!$B$29+K186*Parameters!$B$30+L186*Parameters!$B$31+M186*Parameters!$B$32+N186*Parameters!$B$33+O186*Parameters!$B$34+P186*Parameters!$B$35</f>
        <v>0</v>
      </c>
      <c r="R186" s="0" t="str">
        <f aca="false">IF(Q186&gt;=Parameters!$B$24,"High","")</f>
        <v/>
      </c>
    </row>
    <row r="187" customFormat="false" ht="15" hidden="false" customHeight="false" outlineLevel="0" collapsed="false">
      <c r="A187" s="10" t="s">
        <v>679</v>
      </c>
      <c r="B187" s="8" t="n">
        <v>45764</v>
      </c>
      <c r="C187" s="10" t="s">
        <v>206</v>
      </c>
      <c r="D187" s="10" t="s">
        <v>680</v>
      </c>
      <c r="E187" s="12" t="n">
        <v>183.93</v>
      </c>
      <c r="F187" s="10" t="s">
        <v>347</v>
      </c>
      <c r="G187" s="9" t="n">
        <f aca="false">VALUE(LEFT(TEXT(E187,"0.00"),1))</f>
        <v>1</v>
      </c>
      <c r="H187" s="0" t="str">
        <f aca="false">UPPER(SUBSTITUTE(SUBSTITUTE(SUBSTITUTE(D187," ",""),"/",""),".",""))</f>
        <v>INV33018</v>
      </c>
      <c r="I187" s="9" t="n">
        <f aca="false">IF(COUNTIFS($C$5:C187,C187,$H$5:H187,H187,$E$5:E187,E187)&gt;1,1,0)</f>
        <v>0</v>
      </c>
      <c r="J187" s="9" t="n">
        <f aca="false">IF(AND(I187=0,COUNTIFS($C$5:$C$634,C187,$E$5:$E$634,E187,$B$5:$B$634,"&gt;="&amp;(B187-Parameters!$B$12),$B$5:$B$634,"&lt;="&amp;(B187+Parameters!$B$12),$H$5:$H$634,"&lt;&gt;"&amp;H187)&gt;0),1,0)</f>
        <v>0</v>
      </c>
      <c r="K187" s="9" t="n">
        <f aca="false">IF(AND(E187&gt;=Parameters!$B$11,ROUND(MOD(ROUND(E187,2),Parameters!$B$10),2)=0),1,0)</f>
        <v>0</v>
      </c>
      <c r="L187" s="9" t="n">
        <f aca="false">IF(AND(E187&lt;Parameters!$B$7,E187&gt;=Parameters!$B$7*(1-Parameters!$B$9)),1,0)</f>
        <v>0</v>
      </c>
      <c r="M187" s="9" t="n">
        <f aca="false">IF(AND(E187&lt;Parameters!$B$7,COUNTIFS($C$5:$C$634,C187,$B$5:$B$634,B187)&gt;1,SUMIFS($E$5:$E$634,$C$5:$C$634,C187,$B$5:$B$634,B187)&gt;=Parameters!$B$7),1,0)</f>
        <v>0</v>
      </c>
      <c r="N187" s="9" t="n">
        <f aca="false">IF(AND(E187&gt;=Parameters!$B$7,F187&lt;&gt;Parameters!$B$8),1,0)</f>
        <v>0</v>
      </c>
      <c r="O187" s="9" t="n">
        <f aca="false">INDEX(Vendor_Benford!$N$6:$N$50,MATCH(C187,Vendor_Benford!$A$6:$A$50,0))</f>
        <v>0</v>
      </c>
      <c r="P187" s="9" t="n">
        <f aca="false">INDEX(Vendor_Benford!$M$6:$M$50,MATCH(C187,Vendor_Benford!$A$6:$A$50,0))</f>
        <v>0</v>
      </c>
      <c r="Q187" s="9" t="n">
        <f aca="false">I187*Parameters!$B$28+J187*Parameters!$B$29+K187*Parameters!$B$30+L187*Parameters!$B$31+M187*Parameters!$B$32+N187*Parameters!$B$33+O187*Parameters!$B$34+P187*Parameters!$B$35</f>
        <v>0</v>
      </c>
      <c r="R187" s="0" t="str">
        <f aca="false">IF(Q187&gt;=Parameters!$B$24,"High","")</f>
        <v/>
      </c>
    </row>
    <row r="188" customFormat="false" ht="15" hidden="false" customHeight="false" outlineLevel="0" collapsed="false">
      <c r="A188" s="10" t="s">
        <v>681</v>
      </c>
      <c r="B188" s="8" t="n">
        <v>45765</v>
      </c>
      <c r="C188" s="10" t="s">
        <v>161</v>
      </c>
      <c r="D188" s="10" t="s">
        <v>682</v>
      </c>
      <c r="E188" s="12" t="n">
        <v>6205.64</v>
      </c>
      <c r="F188" s="10" t="s">
        <v>40</v>
      </c>
      <c r="G188" s="9" t="n">
        <f aca="false">VALUE(LEFT(TEXT(E188,"0.00"),1))</f>
        <v>6</v>
      </c>
      <c r="H188" s="0" t="str">
        <f aca="false">UPPER(SUBSTITUTE(SUBSTITUTE(SUBSTITUTE(D188," ",""),"/",""),".",""))</f>
        <v>INV18012</v>
      </c>
      <c r="I188" s="9" t="n">
        <f aca="false">IF(COUNTIFS($C$5:C188,C188,$H$5:H188,H188,$E$5:E188,E188)&gt;1,1,0)</f>
        <v>0</v>
      </c>
      <c r="J188" s="9" t="n">
        <f aca="false">IF(AND(I188=0,COUNTIFS($C$5:$C$634,C188,$E$5:$E$634,E188,$B$5:$B$634,"&gt;="&amp;(B188-Parameters!$B$12),$B$5:$B$634,"&lt;="&amp;(B188+Parameters!$B$12),$H$5:$H$634,"&lt;&gt;"&amp;H188)&gt;0),1,0)</f>
        <v>0</v>
      </c>
      <c r="K188" s="9" t="n">
        <f aca="false">IF(AND(E188&gt;=Parameters!$B$11,ROUND(MOD(ROUND(E188,2),Parameters!$B$10),2)=0),1,0)</f>
        <v>0</v>
      </c>
      <c r="L188" s="9" t="n">
        <f aca="false">IF(AND(E188&lt;Parameters!$B$7,E188&gt;=Parameters!$B$7*(1-Parameters!$B$9)),1,0)</f>
        <v>0</v>
      </c>
      <c r="M188" s="9" t="n">
        <f aca="false">IF(AND(E188&lt;Parameters!$B$7,COUNTIFS($C$5:$C$634,C188,$B$5:$B$634,B188)&gt;1,SUMIFS($E$5:$E$634,$C$5:$C$634,C188,$B$5:$B$634,B188)&gt;=Parameters!$B$7),1,0)</f>
        <v>0</v>
      </c>
      <c r="N188" s="9" t="n">
        <f aca="false">IF(AND(E188&gt;=Parameters!$B$7,F188&lt;&gt;Parameters!$B$8),1,0)</f>
        <v>0</v>
      </c>
      <c r="O188" s="9" t="n">
        <f aca="false">INDEX(Vendor_Benford!$N$6:$N$50,MATCH(C188,Vendor_Benford!$A$6:$A$50,0))</f>
        <v>0</v>
      </c>
      <c r="P188" s="9" t="n">
        <f aca="false">INDEX(Vendor_Benford!$M$6:$M$50,MATCH(C188,Vendor_Benford!$A$6:$A$50,0))</f>
        <v>0</v>
      </c>
      <c r="Q188" s="9" t="n">
        <f aca="false">I188*Parameters!$B$28+J188*Parameters!$B$29+K188*Parameters!$B$30+L188*Parameters!$B$31+M188*Parameters!$B$32+N188*Parameters!$B$33+O188*Parameters!$B$34+P188*Parameters!$B$35</f>
        <v>0</v>
      </c>
      <c r="R188" s="0" t="str">
        <f aca="false">IF(Q188&gt;=Parameters!$B$24,"High","")</f>
        <v/>
      </c>
    </row>
    <row r="189" customFormat="false" ht="15" hidden="false" customHeight="false" outlineLevel="0" collapsed="false">
      <c r="A189" s="10" t="s">
        <v>683</v>
      </c>
      <c r="B189" s="8" t="n">
        <v>45768</v>
      </c>
      <c r="C189" s="10" t="s">
        <v>221</v>
      </c>
      <c r="D189" s="10" t="s">
        <v>684</v>
      </c>
      <c r="E189" s="12" t="n">
        <v>52858.09</v>
      </c>
      <c r="F189" s="10" t="s">
        <v>40</v>
      </c>
      <c r="G189" s="9" t="n">
        <f aca="false">VALUE(LEFT(TEXT(E189,"0.00"),1))</f>
        <v>5</v>
      </c>
      <c r="H189" s="0" t="str">
        <f aca="false">UPPER(SUBSTITUTE(SUBSTITUTE(SUBSTITUTE(D189," ",""),"/",""),".",""))</f>
        <v>INV38010</v>
      </c>
      <c r="I189" s="9" t="n">
        <f aca="false">IF(COUNTIFS($C$5:C189,C189,$H$5:H189,H189,$E$5:E189,E189)&gt;1,1,0)</f>
        <v>0</v>
      </c>
      <c r="J189" s="9" t="n">
        <f aca="false">IF(AND(I189=0,COUNTIFS($C$5:$C$634,C189,$E$5:$E$634,E189,$B$5:$B$634,"&gt;="&amp;(B189-Parameters!$B$12),$B$5:$B$634,"&lt;="&amp;(B189+Parameters!$B$12),$H$5:$H$634,"&lt;&gt;"&amp;H189)&gt;0),1,0)</f>
        <v>0</v>
      </c>
      <c r="K189" s="9" t="n">
        <f aca="false">IF(AND(E189&gt;=Parameters!$B$11,ROUND(MOD(ROUND(E189,2),Parameters!$B$10),2)=0),1,0)</f>
        <v>0</v>
      </c>
      <c r="L189" s="9" t="n">
        <f aca="false">IF(AND(E189&lt;Parameters!$B$7,E189&gt;=Parameters!$B$7*(1-Parameters!$B$9)),1,0)</f>
        <v>0</v>
      </c>
      <c r="M189" s="9" t="n">
        <f aca="false">IF(AND(E189&lt;Parameters!$B$7,COUNTIFS($C$5:$C$634,C189,$B$5:$B$634,B189)&gt;1,SUMIFS($E$5:$E$634,$C$5:$C$634,C189,$B$5:$B$634,B189)&gt;=Parameters!$B$7),1,0)</f>
        <v>0</v>
      </c>
      <c r="N189" s="9" t="n">
        <f aca="false">IF(AND(E189&gt;=Parameters!$B$7,F189&lt;&gt;Parameters!$B$8),1,0)</f>
        <v>0</v>
      </c>
      <c r="O189" s="9" t="n">
        <f aca="false">INDEX(Vendor_Benford!$N$6:$N$50,MATCH(C189,Vendor_Benford!$A$6:$A$50,0))</f>
        <v>1</v>
      </c>
      <c r="P189" s="9" t="n">
        <f aca="false">INDEX(Vendor_Benford!$M$6:$M$50,MATCH(C189,Vendor_Benford!$A$6:$A$50,0))</f>
        <v>0</v>
      </c>
      <c r="Q189" s="9" t="n">
        <f aca="false">I189*Parameters!$B$28+J189*Parameters!$B$29+K189*Parameters!$B$30+L189*Parameters!$B$31+M189*Parameters!$B$32+N189*Parameters!$B$33+O189*Parameters!$B$34+P189*Parameters!$B$35</f>
        <v>5</v>
      </c>
      <c r="R189" s="0" t="str">
        <f aca="false">IF(Q189&gt;=Parameters!$B$24,"High","")</f>
        <v>High</v>
      </c>
    </row>
    <row r="190" customFormat="false" ht="15" hidden="false" customHeight="false" outlineLevel="0" collapsed="false">
      <c r="A190" s="10" t="s">
        <v>685</v>
      </c>
      <c r="B190" s="8" t="n">
        <v>45769</v>
      </c>
      <c r="C190" s="10" t="s">
        <v>233</v>
      </c>
      <c r="D190" s="10" t="s">
        <v>686</v>
      </c>
      <c r="E190" s="12" t="n">
        <v>27262.49</v>
      </c>
      <c r="F190" s="10" t="s">
        <v>40</v>
      </c>
      <c r="G190" s="9" t="n">
        <f aca="false">VALUE(LEFT(TEXT(E190,"0.00"),1))</f>
        <v>2</v>
      </c>
      <c r="H190" s="0" t="str">
        <f aca="false">UPPER(SUBSTITUTE(SUBSTITUTE(SUBSTITUTE(D190," ",""),"/",""),".",""))</f>
        <v>INV42008</v>
      </c>
      <c r="I190" s="9" t="n">
        <f aca="false">IF(COUNTIFS($C$5:C190,C190,$H$5:H190,H190,$E$5:E190,E190)&gt;1,1,0)</f>
        <v>0</v>
      </c>
      <c r="J190" s="9" t="n">
        <f aca="false">IF(AND(I190=0,COUNTIFS($C$5:$C$634,C190,$E$5:$E$634,E190,$B$5:$B$634,"&gt;="&amp;(B190-Parameters!$B$12),$B$5:$B$634,"&lt;="&amp;(B190+Parameters!$B$12),$H$5:$H$634,"&lt;&gt;"&amp;H190)&gt;0),1,0)</f>
        <v>0</v>
      </c>
      <c r="K190" s="9" t="n">
        <f aca="false">IF(AND(E190&gt;=Parameters!$B$11,ROUND(MOD(ROUND(E190,2),Parameters!$B$10),2)=0),1,0)</f>
        <v>0</v>
      </c>
      <c r="L190" s="9" t="n">
        <f aca="false">IF(AND(E190&lt;Parameters!$B$7,E190&gt;=Parameters!$B$7*(1-Parameters!$B$9)),1,0)</f>
        <v>0</v>
      </c>
      <c r="M190" s="9" t="n">
        <f aca="false">IF(AND(E190&lt;Parameters!$B$7,COUNTIFS($C$5:$C$634,C190,$B$5:$B$634,B190)&gt;1,SUMIFS($E$5:$E$634,$C$5:$C$634,C190,$B$5:$B$634,B190)&gt;=Parameters!$B$7),1,0)</f>
        <v>0</v>
      </c>
      <c r="N190" s="9" t="n">
        <f aca="false">IF(AND(E190&gt;=Parameters!$B$7,F190&lt;&gt;Parameters!$B$8),1,0)</f>
        <v>0</v>
      </c>
      <c r="O190" s="9" t="n">
        <f aca="false">INDEX(Vendor_Benford!$N$6:$N$50,MATCH(C190,Vendor_Benford!$A$6:$A$50,0))</f>
        <v>0</v>
      </c>
      <c r="P190" s="9" t="n">
        <f aca="false">INDEX(Vendor_Benford!$M$6:$M$50,MATCH(C190,Vendor_Benford!$A$6:$A$50,0))</f>
        <v>0</v>
      </c>
      <c r="Q190" s="9" t="n">
        <f aca="false">I190*Parameters!$B$28+J190*Parameters!$B$29+K190*Parameters!$B$30+L190*Parameters!$B$31+M190*Parameters!$B$32+N190*Parameters!$B$33+O190*Parameters!$B$34+P190*Parameters!$B$35</f>
        <v>0</v>
      </c>
      <c r="R190" s="0" t="str">
        <f aca="false">IF(Q190&gt;=Parameters!$B$24,"High","")</f>
        <v/>
      </c>
    </row>
    <row r="191" customFormat="false" ht="15" hidden="false" customHeight="false" outlineLevel="0" collapsed="false">
      <c r="A191" s="10" t="s">
        <v>687</v>
      </c>
      <c r="B191" s="8" t="n">
        <v>45770</v>
      </c>
      <c r="C191" s="10" t="s">
        <v>143</v>
      </c>
      <c r="D191" s="10" t="s">
        <v>688</v>
      </c>
      <c r="E191" s="12" t="n">
        <v>90283.44</v>
      </c>
      <c r="F191" s="10" t="s">
        <v>40</v>
      </c>
      <c r="G191" s="9" t="n">
        <f aca="false">VALUE(LEFT(TEXT(E191,"0.00"),1))</f>
        <v>9</v>
      </c>
      <c r="H191" s="0" t="str">
        <f aca="false">UPPER(SUBSTITUTE(SUBSTITUTE(SUBSTITUTE(D191," ",""),"/",""),".",""))</f>
        <v>INV12002</v>
      </c>
      <c r="I191" s="9" t="n">
        <f aca="false">IF(COUNTIFS($C$5:C191,C191,$H$5:H191,H191,$E$5:E191,E191)&gt;1,1,0)</f>
        <v>0</v>
      </c>
      <c r="J191" s="9" t="n">
        <f aca="false">IF(AND(I191=0,COUNTIFS($C$5:$C$634,C191,$E$5:$E$634,E191,$B$5:$B$634,"&gt;="&amp;(B191-Parameters!$B$12),$B$5:$B$634,"&lt;="&amp;(B191+Parameters!$B$12),$H$5:$H$634,"&lt;&gt;"&amp;H191)&gt;0),1,0)</f>
        <v>0</v>
      </c>
      <c r="K191" s="9" t="n">
        <f aca="false">IF(AND(E191&gt;=Parameters!$B$11,ROUND(MOD(ROUND(E191,2),Parameters!$B$10),2)=0),1,0)</f>
        <v>0</v>
      </c>
      <c r="L191" s="9" t="n">
        <f aca="false">IF(AND(E191&lt;Parameters!$B$7,E191&gt;=Parameters!$B$7*(1-Parameters!$B$9)),1,0)</f>
        <v>0</v>
      </c>
      <c r="M191" s="9" t="n">
        <f aca="false">IF(AND(E191&lt;Parameters!$B$7,COUNTIFS($C$5:$C$634,C191,$B$5:$B$634,B191)&gt;1,SUMIFS($E$5:$E$634,$C$5:$C$634,C191,$B$5:$B$634,B191)&gt;=Parameters!$B$7),1,0)</f>
        <v>0</v>
      </c>
      <c r="N191" s="9" t="n">
        <f aca="false">IF(AND(E191&gt;=Parameters!$B$7,F191&lt;&gt;Parameters!$B$8),1,0)</f>
        <v>0</v>
      </c>
      <c r="O191" s="9" t="n">
        <f aca="false">INDEX(Vendor_Benford!$N$6:$N$50,MATCH(C191,Vendor_Benford!$A$6:$A$50,0))</f>
        <v>0</v>
      </c>
      <c r="P191" s="9" t="n">
        <f aca="false">INDEX(Vendor_Benford!$M$6:$M$50,MATCH(C191,Vendor_Benford!$A$6:$A$50,0))</f>
        <v>0</v>
      </c>
      <c r="Q191" s="9" t="n">
        <f aca="false">I191*Parameters!$B$28+J191*Parameters!$B$29+K191*Parameters!$B$30+L191*Parameters!$B$31+M191*Parameters!$B$32+N191*Parameters!$B$33+O191*Parameters!$B$34+P191*Parameters!$B$35</f>
        <v>0</v>
      </c>
      <c r="R191" s="0" t="str">
        <f aca="false">IF(Q191&gt;=Parameters!$B$24,"High","")</f>
        <v/>
      </c>
    </row>
    <row r="192" customFormat="false" ht="15" hidden="false" customHeight="false" outlineLevel="0" collapsed="false">
      <c r="A192" s="10" t="s">
        <v>689</v>
      </c>
      <c r="B192" s="8" t="n">
        <v>45770</v>
      </c>
      <c r="C192" s="10" t="s">
        <v>146</v>
      </c>
      <c r="D192" s="10" t="s">
        <v>690</v>
      </c>
      <c r="E192" s="12" t="n">
        <v>576.86</v>
      </c>
      <c r="F192" s="10" t="s">
        <v>347</v>
      </c>
      <c r="G192" s="9" t="n">
        <f aca="false">VALUE(LEFT(TEXT(E192,"0.00"),1))</f>
        <v>5</v>
      </c>
      <c r="H192" s="0" t="str">
        <f aca="false">UPPER(SUBSTITUTE(SUBSTITUTE(SUBSTITUTE(D192," ",""),"/",""),".",""))</f>
        <v>INV13007</v>
      </c>
      <c r="I192" s="9" t="n">
        <f aca="false">IF(COUNTIFS($C$5:C192,C192,$H$5:H192,H192,$E$5:E192,E192)&gt;1,1,0)</f>
        <v>0</v>
      </c>
      <c r="J192" s="9" t="n">
        <f aca="false">IF(AND(I192=0,COUNTIFS($C$5:$C$634,C192,$E$5:$E$634,E192,$B$5:$B$634,"&gt;="&amp;(B192-Parameters!$B$12),$B$5:$B$634,"&lt;="&amp;(B192+Parameters!$B$12),$H$5:$H$634,"&lt;&gt;"&amp;H192)&gt;0),1,0)</f>
        <v>0</v>
      </c>
      <c r="K192" s="9" t="n">
        <f aca="false">IF(AND(E192&gt;=Parameters!$B$11,ROUND(MOD(ROUND(E192,2),Parameters!$B$10),2)=0),1,0)</f>
        <v>0</v>
      </c>
      <c r="L192" s="9" t="n">
        <f aca="false">IF(AND(E192&lt;Parameters!$B$7,E192&gt;=Parameters!$B$7*(1-Parameters!$B$9)),1,0)</f>
        <v>0</v>
      </c>
      <c r="M192" s="9" t="n">
        <f aca="false">IF(AND(E192&lt;Parameters!$B$7,COUNTIFS($C$5:$C$634,C192,$B$5:$B$634,B192)&gt;1,SUMIFS($E$5:$E$634,$C$5:$C$634,C192,$B$5:$B$634,B192)&gt;=Parameters!$B$7),1,0)</f>
        <v>0</v>
      </c>
      <c r="N192" s="9" t="n">
        <f aca="false">IF(AND(E192&gt;=Parameters!$B$7,F192&lt;&gt;Parameters!$B$8),1,0)</f>
        <v>0</v>
      </c>
      <c r="O192" s="9" t="n">
        <f aca="false">INDEX(Vendor_Benford!$N$6:$N$50,MATCH(C192,Vendor_Benford!$A$6:$A$50,0))</f>
        <v>0</v>
      </c>
      <c r="P192" s="9" t="n">
        <f aca="false">INDEX(Vendor_Benford!$M$6:$M$50,MATCH(C192,Vendor_Benford!$A$6:$A$50,0))</f>
        <v>0</v>
      </c>
      <c r="Q192" s="9" t="n">
        <f aca="false">I192*Parameters!$B$28+J192*Parameters!$B$29+K192*Parameters!$B$30+L192*Parameters!$B$31+M192*Parameters!$B$32+N192*Parameters!$B$33+O192*Parameters!$B$34+P192*Parameters!$B$35</f>
        <v>0</v>
      </c>
      <c r="R192" s="0" t="str">
        <f aca="false">IF(Q192&gt;=Parameters!$B$24,"High","")</f>
        <v/>
      </c>
    </row>
    <row r="193" customFormat="false" ht="15" hidden="false" customHeight="false" outlineLevel="0" collapsed="false">
      <c r="A193" s="10" t="s">
        <v>691</v>
      </c>
      <c r="B193" s="8" t="n">
        <v>45770</v>
      </c>
      <c r="C193" s="10" t="s">
        <v>164</v>
      </c>
      <c r="D193" s="10" t="s">
        <v>692</v>
      </c>
      <c r="E193" s="12" t="n">
        <v>124.89</v>
      </c>
      <c r="F193" s="10" t="s">
        <v>347</v>
      </c>
      <c r="G193" s="9" t="n">
        <f aca="false">VALUE(LEFT(TEXT(E193,"0.00"),1))</f>
        <v>1</v>
      </c>
      <c r="H193" s="0" t="str">
        <f aca="false">UPPER(SUBSTITUTE(SUBSTITUTE(SUBSTITUTE(D193," ",""),"/",""),".",""))</f>
        <v>INV19001</v>
      </c>
      <c r="I193" s="9" t="n">
        <f aca="false">IF(COUNTIFS($C$5:C193,C193,$H$5:H193,H193,$E$5:E193,E193)&gt;1,1,0)</f>
        <v>0</v>
      </c>
      <c r="J193" s="9" t="n">
        <f aca="false">IF(AND(I193=0,COUNTIFS($C$5:$C$634,C193,$E$5:$E$634,E193,$B$5:$B$634,"&gt;="&amp;(B193-Parameters!$B$12),$B$5:$B$634,"&lt;="&amp;(B193+Parameters!$B$12),$H$5:$H$634,"&lt;&gt;"&amp;H193)&gt;0),1,0)</f>
        <v>0</v>
      </c>
      <c r="K193" s="9" t="n">
        <f aca="false">IF(AND(E193&gt;=Parameters!$B$11,ROUND(MOD(ROUND(E193,2),Parameters!$B$10),2)=0),1,0)</f>
        <v>0</v>
      </c>
      <c r="L193" s="9" t="n">
        <f aca="false">IF(AND(E193&lt;Parameters!$B$7,E193&gt;=Parameters!$B$7*(1-Parameters!$B$9)),1,0)</f>
        <v>0</v>
      </c>
      <c r="M193" s="9" t="n">
        <f aca="false">IF(AND(E193&lt;Parameters!$B$7,COUNTIFS($C$5:$C$634,C193,$B$5:$B$634,B193)&gt;1,SUMIFS($E$5:$E$634,$C$5:$C$634,C193,$B$5:$B$634,B193)&gt;=Parameters!$B$7),1,0)</f>
        <v>0</v>
      </c>
      <c r="N193" s="9" t="n">
        <f aca="false">IF(AND(E193&gt;=Parameters!$B$7,F193&lt;&gt;Parameters!$B$8),1,0)</f>
        <v>0</v>
      </c>
      <c r="O193" s="9" t="n">
        <f aca="false">INDEX(Vendor_Benford!$N$6:$N$50,MATCH(C193,Vendor_Benford!$A$6:$A$50,0))</f>
        <v>0</v>
      </c>
      <c r="P193" s="9" t="n">
        <f aca="false">INDEX(Vendor_Benford!$M$6:$M$50,MATCH(C193,Vendor_Benford!$A$6:$A$50,0))</f>
        <v>0</v>
      </c>
      <c r="Q193" s="9" t="n">
        <f aca="false">I193*Parameters!$B$28+J193*Parameters!$B$29+K193*Parameters!$B$30+L193*Parameters!$B$31+M193*Parameters!$B$32+N193*Parameters!$B$33+O193*Parameters!$B$34+P193*Parameters!$B$35</f>
        <v>0</v>
      </c>
      <c r="R193" s="0" t="str">
        <f aca="false">IF(Q193&gt;=Parameters!$B$24,"High","")</f>
        <v/>
      </c>
    </row>
    <row r="194" customFormat="false" ht="15" hidden="false" customHeight="false" outlineLevel="0" collapsed="false">
      <c r="A194" s="10" t="s">
        <v>693</v>
      </c>
      <c r="B194" s="8" t="n">
        <v>45770</v>
      </c>
      <c r="C194" s="10" t="s">
        <v>188</v>
      </c>
      <c r="D194" s="10" t="s">
        <v>694</v>
      </c>
      <c r="E194" s="12" t="n">
        <v>508.65</v>
      </c>
      <c r="F194" s="10" t="s">
        <v>347</v>
      </c>
      <c r="G194" s="9" t="n">
        <f aca="false">VALUE(LEFT(TEXT(E194,"0.00"),1))</f>
        <v>5</v>
      </c>
      <c r="H194" s="0" t="str">
        <f aca="false">UPPER(SUBSTITUTE(SUBSTITUTE(SUBSTITUTE(D194," ",""),"/",""),".",""))</f>
        <v>INV27004</v>
      </c>
      <c r="I194" s="9" t="n">
        <f aca="false">IF(COUNTIFS($C$5:C194,C194,$H$5:H194,H194,$E$5:E194,E194)&gt;1,1,0)</f>
        <v>0</v>
      </c>
      <c r="J194" s="9" t="n">
        <f aca="false">IF(AND(I194=0,COUNTIFS($C$5:$C$634,C194,$E$5:$E$634,E194,$B$5:$B$634,"&gt;="&amp;(B194-Parameters!$B$12),$B$5:$B$634,"&lt;="&amp;(B194+Parameters!$B$12),$H$5:$H$634,"&lt;&gt;"&amp;H194)&gt;0),1,0)</f>
        <v>0</v>
      </c>
      <c r="K194" s="9" t="n">
        <f aca="false">IF(AND(E194&gt;=Parameters!$B$11,ROUND(MOD(ROUND(E194,2),Parameters!$B$10),2)=0),1,0)</f>
        <v>0</v>
      </c>
      <c r="L194" s="9" t="n">
        <f aca="false">IF(AND(E194&lt;Parameters!$B$7,E194&gt;=Parameters!$B$7*(1-Parameters!$B$9)),1,0)</f>
        <v>0</v>
      </c>
      <c r="M194" s="9" t="n">
        <f aca="false">IF(AND(E194&lt;Parameters!$B$7,COUNTIFS($C$5:$C$634,C194,$B$5:$B$634,B194)&gt;1,SUMIFS($E$5:$E$634,$C$5:$C$634,C194,$B$5:$B$634,B194)&gt;=Parameters!$B$7),1,0)</f>
        <v>0</v>
      </c>
      <c r="N194" s="9" t="n">
        <f aca="false">IF(AND(E194&gt;=Parameters!$B$7,F194&lt;&gt;Parameters!$B$8),1,0)</f>
        <v>0</v>
      </c>
      <c r="O194" s="9" t="n">
        <f aca="false">INDEX(Vendor_Benford!$N$6:$N$50,MATCH(C194,Vendor_Benford!$A$6:$A$50,0))</f>
        <v>0</v>
      </c>
      <c r="P194" s="9" t="n">
        <f aca="false">INDEX(Vendor_Benford!$M$6:$M$50,MATCH(C194,Vendor_Benford!$A$6:$A$50,0))</f>
        <v>0</v>
      </c>
      <c r="Q194" s="9" t="n">
        <f aca="false">I194*Parameters!$B$28+J194*Parameters!$B$29+K194*Parameters!$B$30+L194*Parameters!$B$31+M194*Parameters!$B$32+N194*Parameters!$B$33+O194*Parameters!$B$34+P194*Parameters!$B$35</f>
        <v>0</v>
      </c>
      <c r="R194" s="0" t="str">
        <f aca="false">IF(Q194&gt;=Parameters!$B$24,"High","")</f>
        <v/>
      </c>
    </row>
    <row r="195" customFormat="false" ht="15" hidden="false" customHeight="false" outlineLevel="0" collapsed="false">
      <c r="A195" s="10" t="s">
        <v>695</v>
      </c>
      <c r="B195" s="8" t="n">
        <v>45770</v>
      </c>
      <c r="C195" s="10" t="s">
        <v>200</v>
      </c>
      <c r="D195" s="10" t="s">
        <v>696</v>
      </c>
      <c r="E195" s="12" t="n">
        <v>4809.03</v>
      </c>
      <c r="F195" s="10" t="s">
        <v>347</v>
      </c>
      <c r="G195" s="9" t="n">
        <f aca="false">VALUE(LEFT(TEXT(E195,"0.00"),1))</f>
        <v>4</v>
      </c>
      <c r="H195" s="0" t="str">
        <f aca="false">UPPER(SUBSTITUTE(SUBSTITUTE(SUBSTITUTE(D195," ",""),"/",""),".",""))</f>
        <v>INV31036</v>
      </c>
      <c r="I195" s="9" t="n">
        <f aca="false">IF(COUNTIFS($C$5:C195,C195,$H$5:H195,H195,$E$5:E195,E195)&gt;1,1,0)</f>
        <v>0</v>
      </c>
      <c r="J195" s="9" t="n">
        <f aca="false">IF(AND(I195=0,COUNTIFS($C$5:$C$634,C195,$E$5:$E$634,E195,$B$5:$B$634,"&gt;="&amp;(B195-Parameters!$B$12),$B$5:$B$634,"&lt;="&amp;(B195+Parameters!$B$12),$H$5:$H$634,"&lt;&gt;"&amp;H195)&gt;0),1,0)</f>
        <v>0</v>
      </c>
      <c r="K195" s="9" t="n">
        <f aca="false">IF(AND(E195&gt;=Parameters!$B$11,ROUND(MOD(ROUND(E195,2),Parameters!$B$10),2)=0),1,0)</f>
        <v>0</v>
      </c>
      <c r="L195" s="9" t="n">
        <f aca="false">IF(AND(E195&lt;Parameters!$B$7,E195&gt;=Parameters!$B$7*(1-Parameters!$B$9)),1,0)</f>
        <v>1</v>
      </c>
      <c r="M195" s="9" t="n">
        <f aca="false">IF(AND(E195&lt;Parameters!$B$7,COUNTIFS($C$5:$C$634,C195,$B$5:$B$634,B195)&gt;1,SUMIFS($E$5:$E$634,$C$5:$C$634,C195,$B$5:$B$634,B195)&gt;=Parameters!$B$7),1,0)</f>
        <v>0</v>
      </c>
      <c r="N195" s="9" t="n">
        <f aca="false">IF(AND(E195&gt;=Parameters!$B$7,F195&lt;&gt;Parameters!$B$8),1,0)</f>
        <v>0</v>
      </c>
      <c r="O195" s="9" t="n">
        <f aca="false">INDEX(Vendor_Benford!$N$6:$N$50,MATCH(C195,Vendor_Benford!$A$6:$A$50,0))</f>
        <v>0</v>
      </c>
      <c r="P195" s="9" t="n">
        <f aca="false">INDEX(Vendor_Benford!$M$6:$M$50,MATCH(C195,Vendor_Benford!$A$6:$A$50,0))</f>
        <v>1</v>
      </c>
      <c r="Q195" s="9" t="n">
        <f aca="false">I195*Parameters!$B$28+J195*Parameters!$B$29+K195*Parameters!$B$30+L195*Parameters!$B$31+M195*Parameters!$B$32+N195*Parameters!$B$33+O195*Parameters!$B$34+P195*Parameters!$B$35</f>
        <v>4</v>
      </c>
      <c r="R195" s="0" t="str">
        <f aca="false">IF(Q195&gt;=Parameters!$B$24,"High","")</f>
        <v/>
      </c>
    </row>
    <row r="196" customFormat="false" ht="15" hidden="false" customHeight="false" outlineLevel="0" collapsed="false">
      <c r="A196" s="10" t="s">
        <v>697</v>
      </c>
      <c r="B196" s="8" t="n">
        <v>45770</v>
      </c>
      <c r="C196" s="10" t="s">
        <v>218</v>
      </c>
      <c r="D196" s="10" t="s">
        <v>698</v>
      </c>
      <c r="E196" s="12" t="n">
        <v>2370.72</v>
      </c>
      <c r="F196" s="10" t="s">
        <v>347</v>
      </c>
      <c r="G196" s="9" t="n">
        <f aca="false">VALUE(LEFT(TEXT(E196,"0.00"),1))</f>
        <v>2</v>
      </c>
      <c r="H196" s="0" t="str">
        <f aca="false">UPPER(SUBSTITUTE(SUBSTITUTE(SUBSTITUTE(D196," ",""),"/",""),".",""))</f>
        <v>INV37005</v>
      </c>
      <c r="I196" s="9" t="n">
        <f aca="false">IF(COUNTIFS($C$5:C196,C196,$H$5:H196,H196,$E$5:E196,E196)&gt;1,1,0)</f>
        <v>0</v>
      </c>
      <c r="J196" s="9" t="n">
        <f aca="false">IF(AND(I196=0,COUNTIFS($C$5:$C$634,C196,$E$5:$E$634,E196,$B$5:$B$634,"&gt;="&amp;(B196-Parameters!$B$12),$B$5:$B$634,"&lt;="&amp;(B196+Parameters!$B$12),$H$5:$H$634,"&lt;&gt;"&amp;H196)&gt;0),1,0)</f>
        <v>0</v>
      </c>
      <c r="K196" s="9" t="n">
        <f aca="false">IF(AND(E196&gt;=Parameters!$B$11,ROUND(MOD(ROUND(E196,2),Parameters!$B$10),2)=0),1,0)</f>
        <v>0</v>
      </c>
      <c r="L196" s="9" t="n">
        <f aca="false">IF(AND(E196&lt;Parameters!$B$7,E196&gt;=Parameters!$B$7*(1-Parameters!$B$9)),1,0)</f>
        <v>0</v>
      </c>
      <c r="M196" s="9" t="n">
        <f aca="false">IF(AND(E196&lt;Parameters!$B$7,COUNTIFS($C$5:$C$634,C196,$B$5:$B$634,B196)&gt;1,SUMIFS($E$5:$E$634,$C$5:$C$634,C196,$B$5:$B$634,B196)&gt;=Parameters!$B$7),1,0)</f>
        <v>0</v>
      </c>
      <c r="N196" s="9" t="n">
        <f aca="false">IF(AND(E196&gt;=Parameters!$B$7,F196&lt;&gt;Parameters!$B$8),1,0)</f>
        <v>0</v>
      </c>
      <c r="O196" s="9" t="n">
        <f aca="false">INDEX(Vendor_Benford!$N$6:$N$50,MATCH(C196,Vendor_Benford!$A$6:$A$50,0))</f>
        <v>0</v>
      </c>
      <c r="P196" s="9" t="n">
        <f aca="false">INDEX(Vendor_Benford!$M$6:$M$50,MATCH(C196,Vendor_Benford!$A$6:$A$50,0))</f>
        <v>0</v>
      </c>
      <c r="Q196" s="9" t="n">
        <f aca="false">I196*Parameters!$B$28+J196*Parameters!$B$29+K196*Parameters!$B$30+L196*Parameters!$B$31+M196*Parameters!$B$32+N196*Parameters!$B$33+O196*Parameters!$B$34+P196*Parameters!$B$35</f>
        <v>0</v>
      </c>
      <c r="R196" s="0" t="str">
        <f aca="false">IF(Q196&gt;=Parameters!$B$24,"High","")</f>
        <v/>
      </c>
    </row>
    <row r="197" customFormat="false" ht="15" hidden="false" customHeight="false" outlineLevel="0" collapsed="false">
      <c r="A197" s="10" t="s">
        <v>699</v>
      </c>
      <c r="B197" s="8" t="n">
        <v>45771</v>
      </c>
      <c r="C197" s="10" t="s">
        <v>116</v>
      </c>
      <c r="D197" s="10" t="s">
        <v>700</v>
      </c>
      <c r="E197" s="12" t="n">
        <v>162.79</v>
      </c>
      <c r="F197" s="10" t="s">
        <v>347</v>
      </c>
      <c r="G197" s="9" t="n">
        <f aca="false">VALUE(LEFT(TEXT(E197,"0.00"),1))</f>
        <v>1</v>
      </c>
      <c r="H197" s="0" t="str">
        <f aca="false">UPPER(SUBSTITUTE(SUBSTITUTE(SUBSTITUTE(D197," ",""),"/",""),".",""))</f>
        <v>INV3003</v>
      </c>
      <c r="I197" s="9" t="n">
        <f aca="false">IF(COUNTIFS($C$5:C197,C197,$H$5:H197,H197,$E$5:E197,E197)&gt;1,1,0)</f>
        <v>0</v>
      </c>
      <c r="J197" s="9" t="n">
        <f aca="false">IF(AND(I197=0,COUNTIFS($C$5:$C$634,C197,$E$5:$E$634,E197,$B$5:$B$634,"&gt;="&amp;(B197-Parameters!$B$12),$B$5:$B$634,"&lt;="&amp;(B197+Parameters!$B$12),$H$5:$H$634,"&lt;&gt;"&amp;H197)&gt;0),1,0)</f>
        <v>0</v>
      </c>
      <c r="K197" s="9" t="n">
        <f aca="false">IF(AND(E197&gt;=Parameters!$B$11,ROUND(MOD(ROUND(E197,2),Parameters!$B$10),2)=0),1,0)</f>
        <v>0</v>
      </c>
      <c r="L197" s="9" t="n">
        <f aca="false">IF(AND(E197&lt;Parameters!$B$7,E197&gt;=Parameters!$B$7*(1-Parameters!$B$9)),1,0)</f>
        <v>0</v>
      </c>
      <c r="M197" s="9" t="n">
        <f aca="false">IF(AND(E197&lt;Parameters!$B$7,COUNTIFS($C$5:$C$634,C197,$B$5:$B$634,B197)&gt;1,SUMIFS($E$5:$E$634,$C$5:$C$634,C197,$B$5:$B$634,B197)&gt;=Parameters!$B$7),1,0)</f>
        <v>0</v>
      </c>
      <c r="N197" s="9" t="n">
        <f aca="false">IF(AND(E197&gt;=Parameters!$B$7,F197&lt;&gt;Parameters!$B$8),1,0)</f>
        <v>0</v>
      </c>
      <c r="O197" s="9" t="n">
        <f aca="false">INDEX(Vendor_Benford!$N$6:$N$50,MATCH(C197,Vendor_Benford!$A$6:$A$50,0))</f>
        <v>0</v>
      </c>
      <c r="P197" s="9" t="n">
        <f aca="false">INDEX(Vendor_Benford!$M$6:$M$50,MATCH(C197,Vendor_Benford!$A$6:$A$50,0))</f>
        <v>0</v>
      </c>
      <c r="Q197" s="9" t="n">
        <f aca="false">I197*Parameters!$B$28+J197*Parameters!$B$29+K197*Parameters!$B$30+L197*Parameters!$B$31+M197*Parameters!$B$32+N197*Parameters!$B$33+O197*Parameters!$B$34+P197*Parameters!$B$35</f>
        <v>0</v>
      </c>
      <c r="R197" s="0" t="str">
        <f aca="false">IF(Q197&gt;=Parameters!$B$24,"High","")</f>
        <v/>
      </c>
    </row>
    <row r="198" customFormat="false" ht="15" hidden="false" customHeight="false" outlineLevel="0" collapsed="false">
      <c r="A198" s="10" t="s">
        <v>701</v>
      </c>
      <c r="B198" s="8" t="n">
        <v>45771</v>
      </c>
      <c r="C198" s="10" t="s">
        <v>164</v>
      </c>
      <c r="D198" s="10" t="s">
        <v>702</v>
      </c>
      <c r="E198" s="12" t="n">
        <v>668.03</v>
      </c>
      <c r="F198" s="10" t="s">
        <v>347</v>
      </c>
      <c r="G198" s="9" t="n">
        <f aca="false">VALUE(LEFT(TEXT(E198,"0.00"),1))</f>
        <v>6</v>
      </c>
      <c r="H198" s="0" t="str">
        <f aca="false">UPPER(SUBSTITUTE(SUBSTITUTE(SUBSTITUTE(D198," ",""),"/",""),".",""))</f>
        <v>INV19006</v>
      </c>
      <c r="I198" s="9" t="n">
        <f aca="false">IF(COUNTIFS($C$5:C198,C198,$H$5:H198,H198,$E$5:E198,E198)&gt;1,1,0)</f>
        <v>0</v>
      </c>
      <c r="J198" s="9" t="n">
        <f aca="false">IF(AND(I198=0,COUNTIFS($C$5:$C$634,C198,$E$5:$E$634,E198,$B$5:$B$634,"&gt;="&amp;(B198-Parameters!$B$12),$B$5:$B$634,"&lt;="&amp;(B198+Parameters!$B$12),$H$5:$H$634,"&lt;&gt;"&amp;H198)&gt;0),1,0)</f>
        <v>0</v>
      </c>
      <c r="K198" s="9" t="n">
        <f aca="false">IF(AND(E198&gt;=Parameters!$B$11,ROUND(MOD(ROUND(E198,2),Parameters!$B$10),2)=0),1,0)</f>
        <v>0</v>
      </c>
      <c r="L198" s="9" t="n">
        <f aca="false">IF(AND(E198&lt;Parameters!$B$7,E198&gt;=Parameters!$B$7*(1-Parameters!$B$9)),1,0)</f>
        <v>0</v>
      </c>
      <c r="M198" s="9" t="n">
        <f aca="false">IF(AND(E198&lt;Parameters!$B$7,COUNTIFS($C$5:$C$634,C198,$B$5:$B$634,B198)&gt;1,SUMIFS($E$5:$E$634,$C$5:$C$634,C198,$B$5:$B$634,B198)&gt;=Parameters!$B$7),1,0)</f>
        <v>0</v>
      </c>
      <c r="N198" s="9" t="n">
        <f aca="false">IF(AND(E198&gt;=Parameters!$B$7,F198&lt;&gt;Parameters!$B$8),1,0)</f>
        <v>0</v>
      </c>
      <c r="O198" s="9" t="n">
        <f aca="false">INDEX(Vendor_Benford!$N$6:$N$50,MATCH(C198,Vendor_Benford!$A$6:$A$50,0))</f>
        <v>0</v>
      </c>
      <c r="P198" s="9" t="n">
        <f aca="false">INDEX(Vendor_Benford!$M$6:$M$50,MATCH(C198,Vendor_Benford!$A$6:$A$50,0))</f>
        <v>0</v>
      </c>
      <c r="Q198" s="9" t="n">
        <f aca="false">I198*Parameters!$B$28+J198*Parameters!$B$29+K198*Parameters!$B$30+L198*Parameters!$B$31+M198*Parameters!$B$32+N198*Parameters!$B$33+O198*Parameters!$B$34+P198*Parameters!$B$35</f>
        <v>0</v>
      </c>
      <c r="R198" s="0" t="str">
        <f aca="false">IF(Q198&gt;=Parameters!$B$24,"High","")</f>
        <v/>
      </c>
    </row>
    <row r="199" customFormat="false" ht="15" hidden="false" customHeight="false" outlineLevel="0" collapsed="false">
      <c r="A199" s="10" t="s">
        <v>703</v>
      </c>
      <c r="B199" s="8" t="n">
        <v>45771</v>
      </c>
      <c r="C199" s="10" t="s">
        <v>200</v>
      </c>
      <c r="D199" s="10" t="s">
        <v>704</v>
      </c>
      <c r="E199" s="12" t="n">
        <v>4754.27</v>
      </c>
      <c r="F199" s="10" t="s">
        <v>347</v>
      </c>
      <c r="G199" s="9" t="n">
        <f aca="false">VALUE(LEFT(TEXT(E199,"0.00"),1))</f>
        <v>4</v>
      </c>
      <c r="H199" s="0" t="str">
        <f aca="false">UPPER(SUBSTITUTE(SUBSTITUTE(SUBSTITUTE(D199," ",""),"/",""),".",""))</f>
        <v>INV31032</v>
      </c>
      <c r="I199" s="9" t="n">
        <f aca="false">IF(COUNTIFS($C$5:C199,C199,$H$5:H199,H199,$E$5:E199,E199)&gt;1,1,0)</f>
        <v>0</v>
      </c>
      <c r="J199" s="9" t="n">
        <f aca="false">IF(AND(I199=0,COUNTIFS($C$5:$C$634,C199,$E$5:$E$634,E199,$B$5:$B$634,"&gt;="&amp;(B199-Parameters!$B$12),$B$5:$B$634,"&lt;="&amp;(B199+Parameters!$B$12),$H$5:$H$634,"&lt;&gt;"&amp;H199)&gt;0),1,0)</f>
        <v>0</v>
      </c>
      <c r="K199" s="9" t="n">
        <f aca="false">IF(AND(E199&gt;=Parameters!$B$11,ROUND(MOD(ROUND(E199,2),Parameters!$B$10),2)=0),1,0)</f>
        <v>0</v>
      </c>
      <c r="L199" s="9" t="n">
        <f aca="false">IF(AND(E199&lt;Parameters!$B$7,E199&gt;=Parameters!$B$7*(1-Parameters!$B$9)),1,0)</f>
        <v>1</v>
      </c>
      <c r="M199" s="9" t="n">
        <f aca="false">IF(AND(E199&lt;Parameters!$B$7,COUNTIFS($C$5:$C$634,C199,$B$5:$B$634,B199)&gt;1,SUMIFS($E$5:$E$634,$C$5:$C$634,C199,$B$5:$B$634,B199)&gt;=Parameters!$B$7),1,0)</f>
        <v>1</v>
      </c>
      <c r="N199" s="9" t="n">
        <f aca="false">IF(AND(E199&gt;=Parameters!$B$7,F199&lt;&gt;Parameters!$B$8),1,0)</f>
        <v>0</v>
      </c>
      <c r="O199" s="9" t="n">
        <f aca="false">INDEX(Vendor_Benford!$N$6:$N$50,MATCH(C199,Vendor_Benford!$A$6:$A$50,0))</f>
        <v>0</v>
      </c>
      <c r="P199" s="9" t="n">
        <f aca="false">INDEX(Vendor_Benford!$M$6:$M$50,MATCH(C199,Vendor_Benford!$A$6:$A$50,0))</f>
        <v>1</v>
      </c>
      <c r="Q199" s="9" t="n">
        <f aca="false">I199*Parameters!$B$28+J199*Parameters!$B$29+K199*Parameters!$B$30+L199*Parameters!$B$31+M199*Parameters!$B$32+N199*Parameters!$B$33+O199*Parameters!$B$34+P199*Parameters!$B$35</f>
        <v>7</v>
      </c>
      <c r="R199" s="0" t="str">
        <f aca="false">IF(Q199&gt;=Parameters!$B$24,"High","")</f>
        <v>High</v>
      </c>
    </row>
    <row r="200" customFormat="false" ht="15" hidden="false" customHeight="false" outlineLevel="0" collapsed="false">
      <c r="A200" s="10" t="s">
        <v>705</v>
      </c>
      <c r="B200" s="8" t="n">
        <v>45771</v>
      </c>
      <c r="C200" s="10" t="s">
        <v>200</v>
      </c>
      <c r="D200" s="10" t="s">
        <v>706</v>
      </c>
      <c r="E200" s="12" t="n">
        <v>4869.87</v>
      </c>
      <c r="F200" s="10" t="s">
        <v>347</v>
      </c>
      <c r="G200" s="9" t="n">
        <f aca="false">VALUE(LEFT(TEXT(E200,"0.00"),1))</f>
        <v>4</v>
      </c>
      <c r="H200" s="0" t="str">
        <f aca="false">UPPER(SUBSTITUTE(SUBSTITUTE(SUBSTITUTE(D200," ",""),"/",""),".",""))</f>
        <v>INV31040</v>
      </c>
      <c r="I200" s="9" t="n">
        <f aca="false">IF(COUNTIFS($C$5:C200,C200,$H$5:H200,H200,$E$5:E200,E200)&gt;1,1,0)</f>
        <v>0</v>
      </c>
      <c r="J200" s="9" t="n">
        <f aca="false">IF(AND(I200=0,COUNTIFS($C$5:$C$634,C200,$E$5:$E$634,E200,$B$5:$B$634,"&gt;="&amp;(B200-Parameters!$B$12),$B$5:$B$634,"&lt;="&amp;(B200+Parameters!$B$12),$H$5:$H$634,"&lt;&gt;"&amp;H200)&gt;0),1,0)</f>
        <v>0</v>
      </c>
      <c r="K200" s="9" t="n">
        <f aca="false">IF(AND(E200&gt;=Parameters!$B$11,ROUND(MOD(ROUND(E200,2),Parameters!$B$10),2)=0),1,0)</f>
        <v>0</v>
      </c>
      <c r="L200" s="9" t="n">
        <f aca="false">IF(AND(E200&lt;Parameters!$B$7,E200&gt;=Parameters!$B$7*(1-Parameters!$B$9)),1,0)</f>
        <v>1</v>
      </c>
      <c r="M200" s="9" t="n">
        <f aca="false">IF(AND(E200&lt;Parameters!$B$7,COUNTIFS($C$5:$C$634,C200,$B$5:$B$634,B200)&gt;1,SUMIFS($E$5:$E$634,$C$5:$C$634,C200,$B$5:$B$634,B200)&gt;=Parameters!$B$7),1,0)</f>
        <v>1</v>
      </c>
      <c r="N200" s="9" t="n">
        <f aca="false">IF(AND(E200&gt;=Parameters!$B$7,F200&lt;&gt;Parameters!$B$8),1,0)</f>
        <v>0</v>
      </c>
      <c r="O200" s="9" t="n">
        <f aca="false">INDEX(Vendor_Benford!$N$6:$N$50,MATCH(C200,Vendor_Benford!$A$6:$A$50,0))</f>
        <v>0</v>
      </c>
      <c r="P200" s="9" t="n">
        <f aca="false">INDEX(Vendor_Benford!$M$6:$M$50,MATCH(C200,Vendor_Benford!$A$6:$A$50,0))</f>
        <v>1</v>
      </c>
      <c r="Q200" s="9" t="n">
        <f aca="false">I200*Parameters!$B$28+J200*Parameters!$B$29+K200*Parameters!$B$30+L200*Parameters!$B$31+M200*Parameters!$B$32+N200*Parameters!$B$33+O200*Parameters!$B$34+P200*Parameters!$B$35</f>
        <v>7</v>
      </c>
      <c r="R200" s="0" t="str">
        <f aca="false">IF(Q200&gt;=Parameters!$B$24,"High","")</f>
        <v>High</v>
      </c>
    </row>
    <row r="201" customFormat="false" ht="15" hidden="false" customHeight="false" outlineLevel="0" collapsed="false">
      <c r="A201" s="10" t="s">
        <v>707</v>
      </c>
      <c r="B201" s="8" t="n">
        <v>45772</v>
      </c>
      <c r="C201" s="10" t="s">
        <v>212</v>
      </c>
      <c r="D201" s="10" t="s">
        <v>708</v>
      </c>
      <c r="E201" s="12" t="n">
        <v>575.9</v>
      </c>
      <c r="F201" s="10" t="s">
        <v>40</v>
      </c>
      <c r="G201" s="9" t="n">
        <f aca="false">VALUE(LEFT(TEXT(E201,"0.00"),1))</f>
        <v>5</v>
      </c>
      <c r="H201" s="0" t="str">
        <f aca="false">UPPER(SUBSTITUTE(SUBSTITUTE(SUBSTITUTE(D201," ",""),"/",""),".",""))</f>
        <v>INV35012</v>
      </c>
      <c r="I201" s="9" t="n">
        <f aca="false">IF(COUNTIFS($C$5:C201,C201,$H$5:H201,H201,$E$5:E201,E201)&gt;1,1,0)</f>
        <v>0</v>
      </c>
      <c r="J201" s="9" t="n">
        <f aca="false">IF(AND(I201=0,COUNTIFS($C$5:$C$634,C201,$E$5:$E$634,E201,$B$5:$B$634,"&gt;="&amp;(B201-Parameters!$B$12),$B$5:$B$634,"&lt;="&amp;(B201+Parameters!$B$12),$H$5:$H$634,"&lt;&gt;"&amp;H201)&gt;0),1,0)</f>
        <v>0</v>
      </c>
      <c r="K201" s="9" t="n">
        <f aca="false">IF(AND(E201&gt;=Parameters!$B$11,ROUND(MOD(ROUND(E201,2),Parameters!$B$10),2)=0),1,0)</f>
        <v>0</v>
      </c>
      <c r="L201" s="9" t="n">
        <f aca="false">IF(AND(E201&lt;Parameters!$B$7,E201&gt;=Parameters!$B$7*(1-Parameters!$B$9)),1,0)</f>
        <v>0</v>
      </c>
      <c r="M201" s="9" t="n">
        <f aca="false">IF(AND(E201&lt;Parameters!$B$7,COUNTIFS($C$5:$C$634,C201,$B$5:$B$634,B201)&gt;1,SUMIFS($E$5:$E$634,$C$5:$C$634,C201,$B$5:$B$634,B201)&gt;=Parameters!$B$7),1,0)</f>
        <v>0</v>
      </c>
      <c r="N201" s="9" t="n">
        <f aca="false">IF(AND(E201&gt;=Parameters!$B$7,F201&lt;&gt;Parameters!$B$8),1,0)</f>
        <v>0</v>
      </c>
      <c r="O201" s="9" t="n">
        <f aca="false">INDEX(Vendor_Benford!$N$6:$N$50,MATCH(C201,Vendor_Benford!$A$6:$A$50,0))</f>
        <v>0</v>
      </c>
      <c r="P201" s="9" t="n">
        <f aca="false">INDEX(Vendor_Benford!$M$6:$M$50,MATCH(C201,Vendor_Benford!$A$6:$A$50,0))</f>
        <v>0</v>
      </c>
      <c r="Q201" s="9" t="n">
        <f aca="false">I201*Parameters!$B$28+J201*Parameters!$B$29+K201*Parameters!$B$30+L201*Parameters!$B$31+M201*Parameters!$B$32+N201*Parameters!$B$33+O201*Parameters!$B$34+P201*Parameters!$B$35</f>
        <v>0</v>
      </c>
      <c r="R201" s="0" t="str">
        <f aca="false">IF(Q201&gt;=Parameters!$B$24,"High","")</f>
        <v/>
      </c>
    </row>
    <row r="202" customFormat="false" ht="15" hidden="false" customHeight="false" outlineLevel="0" collapsed="false">
      <c r="A202" s="10" t="s">
        <v>709</v>
      </c>
      <c r="B202" s="8" t="n">
        <v>45772</v>
      </c>
      <c r="C202" s="10" t="s">
        <v>230</v>
      </c>
      <c r="D202" s="10" t="s">
        <v>710</v>
      </c>
      <c r="E202" s="12" t="n">
        <v>31000</v>
      </c>
      <c r="F202" s="10" t="s">
        <v>40</v>
      </c>
      <c r="G202" s="9" t="n">
        <f aca="false">VALUE(LEFT(TEXT(E202,"0.00"),1))</f>
        <v>3</v>
      </c>
      <c r="H202" s="0" t="str">
        <f aca="false">UPPER(SUBSTITUTE(SUBSTITUTE(SUBSTITUTE(D202," ",""),"/",""),".",""))</f>
        <v>INV41002</v>
      </c>
      <c r="I202" s="9" t="n">
        <f aca="false">IF(COUNTIFS($C$5:C202,C202,$H$5:H202,H202,$E$5:E202,E202)&gt;1,1,0)</f>
        <v>0</v>
      </c>
      <c r="J202" s="9" t="n">
        <f aca="false">IF(AND(I202=0,COUNTIFS($C$5:$C$634,C202,$E$5:$E$634,E202,$B$5:$B$634,"&gt;="&amp;(B202-Parameters!$B$12),$B$5:$B$634,"&lt;="&amp;(B202+Parameters!$B$12),$H$5:$H$634,"&lt;&gt;"&amp;H202)&gt;0),1,0)</f>
        <v>0</v>
      </c>
      <c r="K202" s="9" t="n">
        <f aca="false">IF(AND(E202&gt;=Parameters!$B$11,ROUND(MOD(ROUND(E202,2),Parameters!$B$10),2)=0),1,0)</f>
        <v>1</v>
      </c>
      <c r="L202" s="9" t="n">
        <f aca="false">IF(AND(E202&lt;Parameters!$B$7,E202&gt;=Parameters!$B$7*(1-Parameters!$B$9)),1,0)</f>
        <v>0</v>
      </c>
      <c r="M202" s="9" t="n">
        <f aca="false">IF(AND(E202&lt;Parameters!$B$7,COUNTIFS($C$5:$C$634,C202,$B$5:$B$634,B202)&gt;1,SUMIFS($E$5:$E$634,$C$5:$C$634,C202,$B$5:$B$634,B202)&gt;=Parameters!$B$7),1,0)</f>
        <v>0</v>
      </c>
      <c r="N202" s="9" t="n">
        <f aca="false">IF(AND(E202&gt;=Parameters!$B$7,F202&lt;&gt;Parameters!$B$8),1,0)</f>
        <v>0</v>
      </c>
      <c r="O202" s="9" t="n">
        <f aca="false">INDEX(Vendor_Benford!$N$6:$N$50,MATCH(C202,Vendor_Benford!$A$6:$A$50,0))</f>
        <v>0</v>
      </c>
      <c r="P202" s="9" t="n">
        <f aca="false">INDEX(Vendor_Benford!$M$6:$M$50,MATCH(C202,Vendor_Benford!$A$6:$A$50,0))</f>
        <v>0</v>
      </c>
      <c r="Q202" s="9" t="n">
        <f aca="false">I202*Parameters!$B$28+J202*Parameters!$B$29+K202*Parameters!$B$30+L202*Parameters!$B$31+M202*Parameters!$B$32+N202*Parameters!$B$33+O202*Parameters!$B$34+P202*Parameters!$B$35</f>
        <v>2</v>
      </c>
      <c r="R202" s="0" t="str">
        <f aca="false">IF(Q202&gt;=Parameters!$B$24,"High","")</f>
        <v/>
      </c>
    </row>
    <row r="203" customFormat="false" ht="15" hidden="false" customHeight="false" outlineLevel="0" collapsed="false">
      <c r="A203" s="10" t="s">
        <v>711</v>
      </c>
      <c r="B203" s="8" t="n">
        <v>45775</v>
      </c>
      <c r="C203" s="10" t="s">
        <v>173</v>
      </c>
      <c r="D203" s="10" t="s">
        <v>712</v>
      </c>
      <c r="E203" s="12" t="n">
        <v>10391.56</v>
      </c>
      <c r="F203" s="10" t="s">
        <v>40</v>
      </c>
      <c r="G203" s="9" t="n">
        <f aca="false">VALUE(LEFT(TEXT(E203,"0.00"),1))</f>
        <v>1</v>
      </c>
      <c r="H203" s="0" t="str">
        <f aca="false">UPPER(SUBSTITUTE(SUBSTITUTE(SUBSTITUTE(D203," ",""),"/",""),".",""))</f>
        <v>INV22019</v>
      </c>
      <c r="I203" s="9" t="n">
        <f aca="false">IF(COUNTIFS($C$5:C203,C203,$H$5:H203,H203,$E$5:E203,E203)&gt;1,1,0)</f>
        <v>0</v>
      </c>
      <c r="J203" s="9" t="n">
        <f aca="false">IF(AND(I203=0,COUNTIFS($C$5:$C$634,C203,$E$5:$E$634,E203,$B$5:$B$634,"&gt;="&amp;(B203-Parameters!$B$12),$B$5:$B$634,"&lt;="&amp;(B203+Parameters!$B$12),$H$5:$H$634,"&lt;&gt;"&amp;H203)&gt;0),1,0)</f>
        <v>0</v>
      </c>
      <c r="K203" s="9" t="n">
        <f aca="false">IF(AND(E203&gt;=Parameters!$B$11,ROUND(MOD(ROUND(E203,2),Parameters!$B$10),2)=0),1,0)</f>
        <v>0</v>
      </c>
      <c r="L203" s="9" t="n">
        <f aca="false">IF(AND(E203&lt;Parameters!$B$7,E203&gt;=Parameters!$B$7*(1-Parameters!$B$9)),1,0)</f>
        <v>0</v>
      </c>
      <c r="M203" s="9" t="n">
        <f aca="false">IF(AND(E203&lt;Parameters!$B$7,COUNTIFS($C$5:$C$634,C203,$B$5:$B$634,B203)&gt;1,SUMIFS($E$5:$E$634,$C$5:$C$634,C203,$B$5:$B$634,B203)&gt;=Parameters!$B$7),1,0)</f>
        <v>0</v>
      </c>
      <c r="N203" s="9" t="n">
        <f aca="false">IF(AND(E203&gt;=Parameters!$B$7,F203&lt;&gt;Parameters!$B$8),1,0)</f>
        <v>0</v>
      </c>
      <c r="O203" s="9" t="n">
        <f aca="false">INDEX(Vendor_Benford!$N$6:$N$50,MATCH(C203,Vendor_Benford!$A$6:$A$50,0))</f>
        <v>0</v>
      </c>
      <c r="P203" s="9" t="n">
        <f aca="false">INDEX(Vendor_Benford!$M$6:$M$50,MATCH(C203,Vendor_Benford!$A$6:$A$50,0))</f>
        <v>0</v>
      </c>
      <c r="Q203" s="9" t="n">
        <f aca="false">I203*Parameters!$B$28+J203*Parameters!$B$29+K203*Parameters!$B$30+L203*Parameters!$B$31+M203*Parameters!$B$32+N203*Parameters!$B$33+O203*Parameters!$B$34+P203*Parameters!$B$35</f>
        <v>0</v>
      </c>
      <c r="R203" s="0" t="str">
        <f aca="false">IF(Q203&gt;=Parameters!$B$24,"High","")</f>
        <v/>
      </c>
    </row>
    <row r="204" customFormat="false" ht="15" hidden="false" customHeight="false" outlineLevel="0" collapsed="false">
      <c r="A204" s="10" t="s">
        <v>713</v>
      </c>
      <c r="B204" s="8" t="n">
        <v>45776</v>
      </c>
      <c r="C204" s="10" t="s">
        <v>131</v>
      </c>
      <c r="D204" s="10" t="s">
        <v>714</v>
      </c>
      <c r="E204" s="12" t="n">
        <v>1276.29</v>
      </c>
      <c r="F204" s="10" t="s">
        <v>347</v>
      </c>
      <c r="G204" s="9" t="n">
        <f aca="false">VALUE(LEFT(TEXT(E204,"0.00"),1))</f>
        <v>1</v>
      </c>
      <c r="H204" s="0" t="str">
        <f aca="false">UPPER(SUBSTITUTE(SUBSTITUTE(SUBSTITUTE(D204," ",""),"/",""),".",""))</f>
        <v>INV8006</v>
      </c>
      <c r="I204" s="9" t="n">
        <f aca="false">IF(COUNTIFS($C$5:C204,C204,$H$5:H204,H204,$E$5:E204,E204)&gt;1,1,0)</f>
        <v>0</v>
      </c>
      <c r="J204" s="9" t="n">
        <f aca="false">IF(AND(I204=0,COUNTIFS($C$5:$C$634,C204,$E$5:$E$634,E204,$B$5:$B$634,"&gt;="&amp;(B204-Parameters!$B$12),$B$5:$B$634,"&lt;="&amp;(B204+Parameters!$B$12),$H$5:$H$634,"&lt;&gt;"&amp;H204)&gt;0),1,0)</f>
        <v>0</v>
      </c>
      <c r="K204" s="9" t="n">
        <f aca="false">IF(AND(E204&gt;=Parameters!$B$11,ROUND(MOD(ROUND(E204,2),Parameters!$B$10),2)=0),1,0)</f>
        <v>0</v>
      </c>
      <c r="L204" s="9" t="n">
        <f aca="false">IF(AND(E204&lt;Parameters!$B$7,E204&gt;=Parameters!$B$7*(1-Parameters!$B$9)),1,0)</f>
        <v>0</v>
      </c>
      <c r="M204" s="9" t="n">
        <f aca="false">IF(AND(E204&lt;Parameters!$B$7,COUNTIFS($C$5:$C$634,C204,$B$5:$B$634,B204)&gt;1,SUMIFS($E$5:$E$634,$C$5:$C$634,C204,$B$5:$B$634,B204)&gt;=Parameters!$B$7),1,0)</f>
        <v>0</v>
      </c>
      <c r="N204" s="9" t="n">
        <f aca="false">IF(AND(E204&gt;=Parameters!$B$7,F204&lt;&gt;Parameters!$B$8),1,0)</f>
        <v>0</v>
      </c>
      <c r="O204" s="9" t="n">
        <f aca="false">INDEX(Vendor_Benford!$N$6:$N$50,MATCH(C204,Vendor_Benford!$A$6:$A$50,0))</f>
        <v>0</v>
      </c>
      <c r="P204" s="9" t="n">
        <f aca="false">INDEX(Vendor_Benford!$M$6:$M$50,MATCH(C204,Vendor_Benford!$A$6:$A$50,0))</f>
        <v>0</v>
      </c>
      <c r="Q204" s="9" t="n">
        <f aca="false">I204*Parameters!$B$28+J204*Parameters!$B$29+K204*Parameters!$B$30+L204*Parameters!$B$31+M204*Parameters!$B$32+N204*Parameters!$B$33+O204*Parameters!$B$34+P204*Parameters!$B$35</f>
        <v>0</v>
      </c>
      <c r="R204" s="0" t="str">
        <f aca="false">IF(Q204&gt;=Parameters!$B$24,"High","")</f>
        <v/>
      </c>
    </row>
    <row r="205" customFormat="false" ht="15" hidden="false" customHeight="false" outlineLevel="0" collapsed="false">
      <c r="A205" s="10" t="s">
        <v>715</v>
      </c>
      <c r="B205" s="8" t="n">
        <v>45776</v>
      </c>
      <c r="C205" s="10" t="s">
        <v>167</v>
      </c>
      <c r="D205" s="10" t="s">
        <v>716</v>
      </c>
      <c r="E205" s="12" t="n">
        <v>297.97</v>
      </c>
      <c r="F205" s="10" t="s">
        <v>347</v>
      </c>
      <c r="G205" s="9" t="n">
        <f aca="false">VALUE(LEFT(TEXT(E205,"0.00"),1))</f>
        <v>2</v>
      </c>
      <c r="H205" s="0" t="str">
        <f aca="false">UPPER(SUBSTITUTE(SUBSTITUTE(SUBSTITUTE(D205," ",""),"/",""),".",""))</f>
        <v>INV20002</v>
      </c>
      <c r="I205" s="9" t="n">
        <f aca="false">IF(COUNTIFS($C$5:C205,C205,$H$5:H205,H205,$E$5:E205,E205)&gt;1,1,0)</f>
        <v>0</v>
      </c>
      <c r="J205" s="9" t="n">
        <f aca="false">IF(AND(I205=0,COUNTIFS($C$5:$C$634,C205,$E$5:$E$634,E205,$B$5:$B$634,"&gt;="&amp;(B205-Parameters!$B$12),$B$5:$B$634,"&lt;="&amp;(B205+Parameters!$B$12),$H$5:$H$634,"&lt;&gt;"&amp;H205)&gt;0),1,0)</f>
        <v>0</v>
      </c>
      <c r="K205" s="9" t="n">
        <f aca="false">IF(AND(E205&gt;=Parameters!$B$11,ROUND(MOD(ROUND(E205,2),Parameters!$B$10),2)=0),1,0)</f>
        <v>0</v>
      </c>
      <c r="L205" s="9" t="n">
        <f aca="false">IF(AND(E205&lt;Parameters!$B$7,E205&gt;=Parameters!$B$7*(1-Parameters!$B$9)),1,0)</f>
        <v>0</v>
      </c>
      <c r="M205" s="9" t="n">
        <f aca="false">IF(AND(E205&lt;Parameters!$B$7,COUNTIFS($C$5:$C$634,C205,$B$5:$B$634,B205)&gt;1,SUMIFS($E$5:$E$634,$C$5:$C$634,C205,$B$5:$B$634,B205)&gt;=Parameters!$B$7),1,0)</f>
        <v>0</v>
      </c>
      <c r="N205" s="9" t="n">
        <f aca="false">IF(AND(E205&gt;=Parameters!$B$7,F205&lt;&gt;Parameters!$B$8),1,0)</f>
        <v>0</v>
      </c>
      <c r="O205" s="9" t="n">
        <f aca="false">INDEX(Vendor_Benford!$N$6:$N$50,MATCH(C205,Vendor_Benford!$A$6:$A$50,0))</f>
        <v>0</v>
      </c>
      <c r="P205" s="9" t="n">
        <f aca="false">INDEX(Vendor_Benford!$M$6:$M$50,MATCH(C205,Vendor_Benford!$A$6:$A$50,0))</f>
        <v>0</v>
      </c>
      <c r="Q205" s="9" t="n">
        <f aca="false">I205*Parameters!$B$28+J205*Parameters!$B$29+K205*Parameters!$B$30+L205*Parameters!$B$31+M205*Parameters!$B$32+N205*Parameters!$B$33+O205*Parameters!$B$34+P205*Parameters!$B$35</f>
        <v>0</v>
      </c>
      <c r="R205" s="0" t="str">
        <f aca="false">IF(Q205&gt;=Parameters!$B$24,"High","")</f>
        <v/>
      </c>
    </row>
    <row r="206" customFormat="false" ht="15" hidden="false" customHeight="false" outlineLevel="0" collapsed="false">
      <c r="A206" s="10" t="s">
        <v>717</v>
      </c>
      <c r="B206" s="8" t="n">
        <v>45777</v>
      </c>
      <c r="C206" s="10" t="s">
        <v>143</v>
      </c>
      <c r="D206" s="10" t="s">
        <v>718</v>
      </c>
      <c r="E206" s="12" t="n">
        <v>48000</v>
      </c>
      <c r="F206" s="10" t="s">
        <v>40</v>
      </c>
      <c r="G206" s="9" t="n">
        <f aca="false">VALUE(LEFT(TEXT(E206,"0.00"),1))</f>
        <v>4</v>
      </c>
      <c r="H206" s="0" t="str">
        <f aca="false">UPPER(SUBSTITUTE(SUBSTITUTE(SUBSTITUTE(D206," ",""),"/",""),".",""))</f>
        <v>INV12022</v>
      </c>
      <c r="I206" s="9" t="n">
        <f aca="false">IF(COUNTIFS($C$5:C206,C206,$H$5:H206,H206,$E$5:E206,E206)&gt;1,1,0)</f>
        <v>0</v>
      </c>
      <c r="J206" s="9" t="n">
        <f aca="false">IF(AND(I206=0,COUNTIFS($C$5:$C$634,C206,$E$5:$E$634,E206,$B$5:$B$634,"&gt;="&amp;(B206-Parameters!$B$12),$B$5:$B$634,"&lt;="&amp;(B206+Parameters!$B$12),$H$5:$H$634,"&lt;&gt;"&amp;H206)&gt;0),1,0)</f>
        <v>0</v>
      </c>
      <c r="K206" s="9" t="n">
        <f aca="false">IF(AND(E206&gt;=Parameters!$B$11,ROUND(MOD(ROUND(E206,2),Parameters!$B$10),2)=0),1,0)</f>
        <v>1</v>
      </c>
      <c r="L206" s="9" t="n">
        <f aca="false">IF(AND(E206&lt;Parameters!$B$7,E206&gt;=Parameters!$B$7*(1-Parameters!$B$9)),1,0)</f>
        <v>0</v>
      </c>
      <c r="M206" s="9" t="n">
        <f aca="false">IF(AND(E206&lt;Parameters!$B$7,COUNTIFS($C$5:$C$634,C206,$B$5:$B$634,B206)&gt;1,SUMIFS($E$5:$E$634,$C$5:$C$634,C206,$B$5:$B$634,B206)&gt;=Parameters!$B$7),1,0)</f>
        <v>0</v>
      </c>
      <c r="N206" s="9" t="n">
        <f aca="false">IF(AND(E206&gt;=Parameters!$B$7,F206&lt;&gt;Parameters!$B$8),1,0)</f>
        <v>0</v>
      </c>
      <c r="O206" s="9" t="n">
        <f aca="false">INDEX(Vendor_Benford!$N$6:$N$50,MATCH(C206,Vendor_Benford!$A$6:$A$50,0))</f>
        <v>0</v>
      </c>
      <c r="P206" s="9" t="n">
        <f aca="false">INDEX(Vendor_Benford!$M$6:$M$50,MATCH(C206,Vendor_Benford!$A$6:$A$50,0))</f>
        <v>0</v>
      </c>
      <c r="Q206" s="9" t="n">
        <f aca="false">I206*Parameters!$B$28+J206*Parameters!$B$29+K206*Parameters!$B$30+L206*Parameters!$B$31+M206*Parameters!$B$32+N206*Parameters!$B$33+O206*Parameters!$B$34+P206*Parameters!$B$35</f>
        <v>2</v>
      </c>
      <c r="R206" s="0" t="str">
        <f aca="false">IF(Q206&gt;=Parameters!$B$24,"High","")</f>
        <v/>
      </c>
    </row>
    <row r="207" customFormat="false" ht="15" hidden="false" customHeight="false" outlineLevel="0" collapsed="false">
      <c r="A207" s="10" t="s">
        <v>719</v>
      </c>
      <c r="B207" s="8" t="n">
        <v>45777</v>
      </c>
      <c r="C207" s="10" t="s">
        <v>206</v>
      </c>
      <c r="D207" s="10" t="s">
        <v>720</v>
      </c>
      <c r="E207" s="12" t="n">
        <v>19128.48</v>
      </c>
      <c r="F207" s="10" t="s">
        <v>40</v>
      </c>
      <c r="G207" s="9" t="n">
        <f aca="false">VALUE(LEFT(TEXT(E207,"0.00"),1))</f>
        <v>1</v>
      </c>
      <c r="H207" s="0" t="str">
        <f aca="false">UPPER(SUBSTITUTE(SUBSTITUTE(SUBSTITUTE(D207," ",""),"/",""),".",""))</f>
        <v>INV33013</v>
      </c>
      <c r="I207" s="9" t="n">
        <f aca="false">IF(COUNTIFS($C$5:C207,C207,$H$5:H207,H207,$E$5:E207,E207)&gt;1,1,0)</f>
        <v>0</v>
      </c>
      <c r="J207" s="9" t="n">
        <f aca="false">IF(AND(I207=0,COUNTIFS($C$5:$C$634,C207,$E$5:$E$634,E207,$B$5:$B$634,"&gt;="&amp;(B207-Parameters!$B$12),$B$5:$B$634,"&lt;="&amp;(B207+Parameters!$B$12),$H$5:$H$634,"&lt;&gt;"&amp;H207)&gt;0),1,0)</f>
        <v>0</v>
      </c>
      <c r="K207" s="9" t="n">
        <f aca="false">IF(AND(E207&gt;=Parameters!$B$11,ROUND(MOD(ROUND(E207,2),Parameters!$B$10),2)=0),1,0)</f>
        <v>0</v>
      </c>
      <c r="L207" s="9" t="n">
        <f aca="false">IF(AND(E207&lt;Parameters!$B$7,E207&gt;=Parameters!$B$7*(1-Parameters!$B$9)),1,0)</f>
        <v>0</v>
      </c>
      <c r="M207" s="9" t="n">
        <f aca="false">IF(AND(E207&lt;Parameters!$B$7,COUNTIFS($C$5:$C$634,C207,$B$5:$B$634,B207)&gt;1,SUMIFS($E$5:$E$634,$C$5:$C$634,C207,$B$5:$B$634,B207)&gt;=Parameters!$B$7),1,0)</f>
        <v>0</v>
      </c>
      <c r="N207" s="9" t="n">
        <f aca="false">IF(AND(E207&gt;=Parameters!$B$7,F207&lt;&gt;Parameters!$B$8),1,0)</f>
        <v>0</v>
      </c>
      <c r="O207" s="9" t="n">
        <f aca="false">INDEX(Vendor_Benford!$N$6:$N$50,MATCH(C207,Vendor_Benford!$A$6:$A$50,0))</f>
        <v>0</v>
      </c>
      <c r="P207" s="9" t="n">
        <f aca="false">INDEX(Vendor_Benford!$M$6:$M$50,MATCH(C207,Vendor_Benford!$A$6:$A$50,0))</f>
        <v>0</v>
      </c>
      <c r="Q207" s="9" t="n">
        <f aca="false">I207*Parameters!$B$28+J207*Parameters!$B$29+K207*Parameters!$B$30+L207*Parameters!$B$31+M207*Parameters!$B$32+N207*Parameters!$B$33+O207*Parameters!$B$34+P207*Parameters!$B$35</f>
        <v>0</v>
      </c>
      <c r="R207" s="0" t="str">
        <f aca="false">IF(Q207&gt;=Parameters!$B$24,"High","")</f>
        <v/>
      </c>
    </row>
    <row r="208" customFormat="false" ht="15" hidden="false" customHeight="false" outlineLevel="0" collapsed="false">
      <c r="A208" s="10" t="s">
        <v>721</v>
      </c>
      <c r="B208" s="8" t="n">
        <v>45778</v>
      </c>
      <c r="C208" s="10" t="s">
        <v>116</v>
      </c>
      <c r="D208" s="10" t="s">
        <v>722</v>
      </c>
      <c r="E208" s="12" t="n">
        <v>13633.48</v>
      </c>
      <c r="F208" s="10" t="s">
        <v>40</v>
      </c>
      <c r="G208" s="9" t="n">
        <f aca="false">VALUE(LEFT(TEXT(E208,"0.00"),1))</f>
        <v>1</v>
      </c>
      <c r="H208" s="0" t="str">
        <f aca="false">UPPER(SUBSTITUTE(SUBSTITUTE(SUBSTITUTE(D208," ",""),"/",""),".",""))</f>
        <v>INV3001</v>
      </c>
      <c r="I208" s="9" t="n">
        <f aca="false">IF(COUNTIFS($C$5:C208,C208,$H$5:H208,H208,$E$5:E208,E208)&gt;1,1,0)</f>
        <v>0</v>
      </c>
      <c r="J208" s="9" t="n">
        <f aca="false">IF(AND(I208=0,COUNTIFS($C$5:$C$634,C208,$E$5:$E$634,E208,$B$5:$B$634,"&gt;="&amp;(B208-Parameters!$B$12),$B$5:$B$634,"&lt;="&amp;(B208+Parameters!$B$12),$H$5:$H$634,"&lt;&gt;"&amp;H208)&gt;0),1,0)</f>
        <v>0</v>
      </c>
      <c r="K208" s="9" t="n">
        <f aca="false">IF(AND(E208&gt;=Parameters!$B$11,ROUND(MOD(ROUND(E208,2),Parameters!$B$10),2)=0),1,0)</f>
        <v>0</v>
      </c>
      <c r="L208" s="9" t="n">
        <f aca="false">IF(AND(E208&lt;Parameters!$B$7,E208&gt;=Parameters!$B$7*(1-Parameters!$B$9)),1,0)</f>
        <v>0</v>
      </c>
      <c r="M208" s="9" t="n">
        <f aca="false">IF(AND(E208&lt;Parameters!$B$7,COUNTIFS($C$5:$C$634,C208,$B$5:$B$634,B208)&gt;1,SUMIFS($E$5:$E$634,$C$5:$C$634,C208,$B$5:$B$634,B208)&gt;=Parameters!$B$7),1,0)</f>
        <v>0</v>
      </c>
      <c r="N208" s="9" t="n">
        <f aca="false">IF(AND(E208&gt;=Parameters!$B$7,F208&lt;&gt;Parameters!$B$8),1,0)</f>
        <v>0</v>
      </c>
      <c r="O208" s="9" t="n">
        <f aca="false">INDEX(Vendor_Benford!$N$6:$N$50,MATCH(C208,Vendor_Benford!$A$6:$A$50,0))</f>
        <v>0</v>
      </c>
      <c r="P208" s="9" t="n">
        <f aca="false">INDEX(Vendor_Benford!$M$6:$M$50,MATCH(C208,Vendor_Benford!$A$6:$A$50,0))</f>
        <v>0</v>
      </c>
      <c r="Q208" s="9" t="n">
        <f aca="false">I208*Parameters!$B$28+J208*Parameters!$B$29+K208*Parameters!$B$30+L208*Parameters!$B$31+M208*Parameters!$B$32+N208*Parameters!$B$33+O208*Parameters!$B$34+P208*Parameters!$B$35</f>
        <v>0</v>
      </c>
      <c r="R208" s="0" t="str">
        <f aca="false">IF(Q208&gt;=Parameters!$B$24,"High","")</f>
        <v/>
      </c>
    </row>
    <row r="209" customFormat="false" ht="15" hidden="false" customHeight="false" outlineLevel="0" collapsed="false">
      <c r="A209" s="10" t="s">
        <v>723</v>
      </c>
      <c r="B209" s="8" t="n">
        <v>45778</v>
      </c>
      <c r="C209" s="10" t="s">
        <v>128</v>
      </c>
      <c r="D209" s="10" t="s">
        <v>724</v>
      </c>
      <c r="E209" s="12" t="n">
        <v>6981.25</v>
      </c>
      <c r="F209" s="10" t="s">
        <v>40</v>
      </c>
      <c r="G209" s="9" t="n">
        <f aca="false">VALUE(LEFT(TEXT(E209,"0.00"),1))</f>
        <v>6</v>
      </c>
      <c r="H209" s="0" t="str">
        <f aca="false">UPPER(SUBSTITUTE(SUBSTITUTE(SUBSTITUTE(D209," ",""),"/",""),".",""))</f>
        <v>INV7008</v>
      </c>
      <c r="I209" s="9" t="n">
        <f aca="false">IF(COUNTIFS($C$5:C209,C209,$H$5:H209,H209,$E$5:E209,E209)&gt;1,1,0)</f>
        <v>0</v>
      </c>
      <c r="J209" s="9" t="n">
        <f aca="false">IF(AND(I209=0,COUNTIFS($C$5:$C$634,C209,$E$5:$E$634,E209,$B$5:$B$634,"&gt;="&amp;(B209-Parameters!$B$12),$B$5:$B$634,"&lt;="&amp;(B209+Parameters!$B$12),$H$5:$H$634,"&lt;&gt;"&amp;H209)&gt;0),1,0)</f>
        <v>0</v>
      </c>
      <c r="K209" s="9" t="n">
        <f aca="false">IF(AND(E209&gt;=Parameters!$B$11,ROUND(MOD(ROUND(E209,2),Parameters!$B$10),2)=0),1,0)</f>
        <v>0</v>
      </c>
      <c r="L209" s="9" t="n">
        <f aca="false">IF(AND(E209&lt;Parameters!$B$7,E209&gt;=Parameters!$B$7*(1-Parameters!$B$9)),1,0)</f>
        <v>0</v>
      </c>
      <c r="M209" s="9" t="n">
        <f aca="false">IF(AND(E209&lt;Parameters!$B$7,COUNTIFS($C$5:$C$634,C209,$B$5:$B$634,B209)&gt;1,SUMIFS($E$5:$E$634,$C$5:$C$634,C209,$B$5:$B$634,B209)&gt;=Parameters!$B$7),1,0)</f>
        <v>0</v>
      </c>
      <c r="N209" s="9" t="n">
        <f aca="false">IF(AND(E209&gt;=Parameters!$B$7,F209&lt;&gt;Parameters!$B$8),1,0)</f>
        <v>0</v>
      </c>
      <c r="O209" s="9" t="n">
        <f aca="false">INDEX(Vendor_Benford!$N$6:$N$50,MATCH(C209,Vendor_Benford!$A$6:$A$50,0))</f>
        <v>0</v>
      </c>
      <c r="P209" s="9" t="n">
        <f aca="false">INDEX(Vendor_Benford!$M$6:$M$50,MATCH(C209,Vendor_Benford!$A$6:$A$50,0))</f>
        <v>0</v>
      </c>
      <c r="Q209" s="9" t="n">
        <f aca="false">I209*Parameters!$B$28+J209*Parameters!$B$29+K209*Parameters!$B$30+L209*Parameters!$B$31+M209*Parameters!$B$32+N209*Parameters!$B$33+O209*Parameters!$B$34+P209*Parameters!$B$35</f>
        <v>0</v>
      </c>
      <c r="R209" s="0" t="str">
        <f aca="false">IF(Q209&gt;=Parameters!$B$24,"High","")</f>
        <v/>
      </c>
    </row>
    <row r="210" customFormat="false" ht="15" hidden="false" customHeight="false" outlineLevel="0" collapsed="false">
      <c r="A210" s="10" t="s">
        <v>725</v>
      </c>
      <c r="B210" s="8" t="n">
        <v>45778</v>
      </c>
      <c r="C210" s="10" t="s">
        <v>152</v>
      </c>
      <c r="D210" s="10" t="s">
        <v>726</v>
      </c>
      <c r="E210" s="12" t="n">
        <v>15573.54</v>
      </c>
      <c r="F210" s="10" t="s">
        <v>40</v>
      </c>
      <c r="G210" s="9" t="n">
        <f aca="false">VALUE(LEFT(TEXT(E210,"0.00"),1))</f>
        <v>1</v>
      </c>
      <c r="H210" s="0" t="str">
        <f aca="false">UPPER(SUBSTITUTE(SUBSTITUTE(SUBSTITUTE(D210," ",""),"/",""),".",""))</f>
        <v>INV15017</v>
      </c>
      <c r="I210" s="9" t="n">
        <f aca="false">IF(COUNTIFS($C$5:C210,C210,$H$5:H210,H210,$E$5:E210,E210)&gt;1,1,0)</f>
        <v>0</v>
      </c>
      <c r="J210" s="9" t="n">
        <f aca="false">IF(AND(I210=0,COUNTIFS($C$5:$C$634,C210,$E$5:$E$634,E210,$B$5:$B$634,"&gt;="&amp;(B210-Parameters!$B$12),$B$5:$B$634,"&lt;="&amp;(B210+Parameters!$B$12),$H$5:$H$634,"&lt;&gt;"&amp;H210)&gt;0),1,0)</f>
        <v>0</v>
      </c>
      <c r="K210" s="9" t="n">
        <f aca="false">IF(AND(E210&gt;=Parameters!$B$11,ROUND(MOD(ROUND(E210,2),Parameters!$B$10),2)=0),1,0)</f>
        <v>0</v>
      </c>
      <c r="L210" s="9" t="n">
        <f aca="false">IF(AND(E210&lt;Parameters!$B$7,E210&gt;=Parameters!$B$7*(1-Parameters!$B$9)),1,0)</f>
        <v>0</v>
      </c>
      <c r="M210" s="9" t="n">
        <f aca="false">IF(AND(E210&lt;Parameters!$B$7,COUNTIFS($C$5:$C$634,C210,$B$5:$B$634,B210)&gt;1,SUMIFS($E$5:$E$634,$C$5:$C$634,C210,$B$5:$B$634,B210)&gt;=Parameters!$B$7),1,0)</f>
        <v>0</v>
      </c>
      <c r="N210" s="9" t="n">
        <f aca="false">IF(AND(E210&gt;=Parameters!$B$7,F210&lt;&gt;Parameters!$B$8),1,0)</f>
        <v>0</v>
      </c>
      <c r="O210" s="9" t="n">
        <f aca="false">INDEX(Vendor_Benford!$N$6:$N$50,MATCH(C210,Vendor_Benford!$A$6:$A$50,0))</f>
        <v>0</v>
      </c>
      <c r="P210" s="9" t="n">
        <f aca="false">INDEX(Vendor_Benford!$M$6:$M$50,MATCH(C210,Vendor_Benford!$A$6:$A$50,0))</f>
        <v>0</v>
      </c>
      <c r="Q210" s="9" t="n">
        <f aca="false">I210*Parameters!$B$28+J210*Parameters!$B$29+K210*Parameters!$B$30+L210*Parameters!$B$31+M210*Parameters!$B$32+N210*Parameters!$B$33+O210*Parameters!$B$34+P210*Parameters!$B$35</f>
        <v>0</v>
      </c>
      <c r="R210" s="0" t="str">
        <f aca="false">IF(Q210&gt;=Parameters!$B$24,"High","")</f>
        <v/>
      </c>
    </row>
    <row r="211" customFormat="false" ht="15" hidden="false" customHeight="false" outlineLevel="0" collapsed="false">
      <c r="A211" s="10" t="s">
        <v>727</v>
      </c>
      <c r="B211" s="8" t="n">
        <v>45778</v>
      </c>
      <c r="C211" s="10" t="s">
        <v>161</v>
      </c>
      <c r="D211" s="10" t="s">
        <v>728</v>
      </c>
      <c r="E211" s="12" t="n">
        <v>5840.15</v>
      </c>
      <c r="F211" s="10" t="s">
        <v>40</v>
      </c>
      <c r="G211" s="9" t="n">
        <f aca="false">VALUE(LEFT(TEXT(E211,"0.00"),1))</f>
        <v>5</v>
      </c>
      <c r="H211" s="0" t="str">
        <f aca="false">UPPER(SUBSTITUTE(SUBSTITUTE(SUBSTITUTE(D211," ",""),"/",""),".",""))</f>
        <v>INV18003</v>
      </c>
      <c r="I211" s="9" t="n">
        <f aca="false">IF(COUNTIFS($C$5:C211,C211,$H$5:H211,H211,$E$5:E211,E211)&gt;1,1,0)</f>
        <v>0</v>
      </c>
      <c r="J211" s="9" t="n">
        <f aca="false">IF(AND(I211=0,COUNTIFS($C$5:$C$634,C211,$E$5:$E$634,E211,$B$5:$B$634,"&gt;="&amp;(B211-Parameters!$B$12),$B$5:$B$634,"&lt;="&amp;(B211+Parameters!$B$12),$H$5:$H$634,"&lt;&gt;"&amp;H211)&gt;0),1,0)</f>
        <v>0</v>
      </c>
      <c r="K211" s="9" t="n">
        <f aca="false">IF(AND(E211&gt;=Parameters!$B$11,ROUND(MOD(ROUND(E211,2),Parameters!$B$10),2)=0),1,0)</f>
        <v>0</v>
      </c>
      <c r="L211" s="9" t="n">
        <f aca="false">IF(AND(E211&lt;Parameters!$B$7,E211&gt;=Parameters!$B$7*(1-Parameters!$B$9)),1,0)</f>
        <v>0</v>
      </c>
      <c r="M211" s="9" t="n">
        <f aca="false">IF(AND(E211&lt;Parameters!$B$7,COUNTIFS($C$5:$C$634,C211,$B$5:$B$634,B211)&gt;1,SUMIFS($E$5:$E$634,$C$5:$C$634,C211,$B$5:$B$634,B211)&gt;=Parameters!$B$7),1,0)</f>
        <v>0</v>
      </c>
      <c r="N211" s="9" t="n">
        <f aca="false">IF(AND(E211&gt;=Parameters!$B$7,F211&lt;&gt;Parameters!$B$8),1,0)</f>
        <v>0</v>
      </c>
      <c r="O211" s="9" t="n">
        <f aca="false">INDEX(Vendor_Benford!$N$6:$N$50,MATCH(C211,Vendor_Benford!$A$6:$A$50,0))</f>
        <v>0</v>
      </c>
      <c r="P211" s="9" t="n">
        <f aca="false">INDEX(Vendor_Benford!$M$6:$M$50,MATCH(C211,Vendor_Benford!$A$6:$A$50,0))</f>
        <v>0</v>
      </c>
      <c r="Q211" s="9" t="n">
        <f aca="false">I211*Parameters!$B$28+J211*Parameters!$B$29+K211*Parameters!$B$30+L211*Parameters!$B$31+M211*Parameters!$B$32+N211*Parameters!$B$33+O211*Parameters!$B$34+P211*Parameters!$B$35</f>
        <v>0</v>
      </c>
      <c r="R211" s="0" t="str">
        <f aca="false">IF(Q211&gt;=Parameters!$B$24,"High","")</f>
        <v/>
      </c>
    </row>
    <row r="212" customFormat="false" ht="15" hidden="false" customHeight="false" outlineLevel="0" collapsed="false">
      <c r="A212" s="10" t="s">
        <v>729</v>
      </c>
      <c r="B212" s="8" t="n">
        <v>45778</v>
      </c>
      <c r="C212" s="10" t="s">
        <v>173</v>
      </c>
      <c r="D212" s="10" t="s">
        <v>730</v>
      </c>
      <c r="E212" s="12" t="n">
        <v>839.81</v>
      </c>
      <c r="F212" s="10" t="s">
        <v>40</v>
      </c>
      <c r="G212" s="9" t="n">
        <f aca="false">VALUE(LEFT(TEXT(E212,"0.00"),1))</f>
        <v>8</v>
      </c>
      <c r="H212" s="0" t="str">
        <f aca="false">UPPER(SUBSTITUTE(SUBSTITUTE(SUBSTITUTE(D212," ",""),"/",""),".",""))</f>
        <v>INV22014</v>
      </c>
      <c r="I212" s="9" t="n">
        <f aca="false">IF(COUNTIFS($C$5:C212,C212,$H$5:H212,H212,$E$5:E212,E212)&gt;1,1,0)</f>
        <v>0</v>
      </c>
      <c r="J212" s="9" t="n">
        <f aca="false">IF(AND(I212=0,COUNTIFS($C$5:$C$634,C212,$E$5:$E$634,E212,$B$5:$B$634,"&gt;="&amp;(B212-Parameters!$B$12),$B$5:$B$634,"&lt;="&amp;(B212+Parameters!$B$12),$H$5:$H$634,"&lt;&gt;"&amp;H212)&gt;0),1,0)</f>
        <v>0</v>
      </c>
      <c r="K212" s="9" t="n">
        <f aca="false">IF(AND(E212&gt;=Parameters!$B$11,ROUND(MOD(ROUND(E212,2),Parameters!$B$10),2)=0),1,0)</f>
        <v>0</v>
      </c>
      <c r="L212" s="9" t="n">
        <f aca="false">IF(AND(E212&lt;Parameters!$B$7,E212&gt;=Parameters!$B$7*(1-Parameters!$B$9)),1,0)</f>
        <v>0</v>
      </c>
      <c r="M212" s="9" t="n">
        <f aca="false">IF(AND(E212&lt;Parameters!$B$7,COUNTIFS($C$5:$C$634,C212,$B$5:$B$634,B212)&gt;1,SUMIFS($E$5:$E$634,$C$5:$C$634,C212,$B$5:$B$634,B212)&gt;=Parameters!$B$7),1,0)</f>
        <v>0</v>
      </c>
      <c r="N212" s="9" t="n">
        <f aca="false">IF(AND(E212&gt;=Parameters!$B$7,F212&lt;&gt;Parameters!$B$8),1,0)</f>
        <v>0</v>
      </c>
      <c r="O212" s="9" t="n">
        <f aca="false">INDEX(Vendor_Benford!$N$6:$N$50,MATCH(C212,Vendor_Benford!$A$6:$A$50,0))</f>
        <v>0</v>
      </c>
      <c r="P212" s="9" t="n">
        <f aca="false">INDEX(Vendor_Benford!$M$6:$M$50,MATCH(C212,Vendor_Benford!$A$6:$A$50,0))</f>
        <v>0</v>
      </c>
      <c r="Q212" s="9" t="n">
        <f aca="false">I212*Parameters!$B$28+J212*Parameters!$B$29+K212*Parameters!$B$30+L212*Parameters!$B$31+M212*Parameters!$B$32+N212*Parameters!$B$33+O212*Parameters!$B$34+P212*Parameters!$B$35</f>
        <v>0</v>
      </c>
      <c r="R212" s="0" t="str">
        <f aca="false">IF(Q212&gt;=Parameters!$B$24,"High","")</f>
        <v/>
      </c>
    </row>
    <row r="213" customFormat="false" ht="15" hidden="false" customHeight="false" outlineLevel="0" collapsed="false">
      <c r="A213" s="10" t="s">
        <v>731</v>
      </c>
      <c r="B213" s="8" t="n">
        <v>45778</v>
      </c>
      <c r="C213" s="10" t="s">
        <v>203</v>
      </c>
      <c r="D213" s="10" t="s">
        <v>732</v>
      </c>
      <c r="E213" s="12" t="n">
        <v>20713.54</v>
      </c>
      <c r="F213" s="10" t="s">
        <v>40</v>
      </c>
      <c r="G213" s="9" t="n">
        <f aca="false">VALUE(LEFT(TEXT(E213,"0.00"),1))</f>
        <v>2</v>
      </c>
      <c r="H213" s="0" t="str">
        <f aca="false">UPPER(SUBSTITUTE(SUBSTITUTE(SUBSTITUTE(D213," ",""),"/",""),".",""))</f>
        <v>INV32008</v>
      </c>
      <c r="I213" s="9" t="n">
        <f aca="false">IF(COUNTIFS($C$5:C213,C213,$H$5:H213,H213,$E$5:E213,E213)&gt;1,1,0)</f>
        <v>0</v>
      </c>
      <c r="J213" s="9" t="n">
        <f aca="false">IF(AND(I213=0,COUNTIFS($C$5:$C$634,C213,$E$5:$E$634,E213,$B$5:$B$634,"&gt;="&amp;(B213-Parameters!$B$12),$B$5:$B$634,"&lt;="&amp;(B213+Parameters!$B$12),$H$5:$H$634,"&lt;&gt;"&amp;H213)&gt;0),1,0)</f>
        <v>0</v>
      </c>
      <c r="K213" s="9" t="n">
        <f aca="false">IF(AND(E213&gt;=Parameters!$B$11,ROUND(MOD(ROUND(E213,2),Parameters!$B$10),2)=0),1,0)</f>
        <v>0</v>
      </c>
      <c r="L213" s="9" t="n">
        <f aca="false">IF(AND(E213&lt;Parameters!$B$7,E213&gt;=Parameters!$B$7*(1-Parameters!$B$9)),1,0)</f>
        <v>0</v>
      </c>
      <c r="M213" s="9" t="n">
        <f aca="false">IF(AND(E213&lt;Parameters!$B$7,COUNTIFS($C$5:$C$634,C213,$B$5:$B$634,B213)&gt;1,SUMIFS($E$5:$E$634,$C$5:$C$634,C213,$B$5:$B$634,B213)&gt;=Parameters!$B$7),1,0)</f>
        <v>0</v>
      </c>
      <c r="N213" s="9" t="n">
        <f aca="false">IF(AND(E213&gt;=Parameters!$B$7,F213&lt;&gt;Parameters!$B$8),1,0)</f>
        <v>0</v>
      </c>
      <c r="O213" s="9" t="n">
        <f aca="false">INDEX(Vendor_Benford!$N$6:$N$50,MATCH(C213,Vendor_Benford!$A$6:$A$50,0))</f>
        <v>0</v>
      </c>
      <c r="P213" s="9" t="n">
        <f aca="false">INDEX(Vendor_Benford!$M$6:$M$50,MATCH(C213,Vendor_Benford!$A$6:$A$50,0))</f>
        <v>0</v>
      </c>
      <c r="Q213" s="9" t="n">
        <f aca="false">I213*Parameters!$B$28+J213*Parameters!$B$29+K213*Parameters!$B$30+L213*Parameters!$B$31+M213*Parameters!$B$32+N213*Parameters!$B$33+O213*Parameters!$B$34+P213*Parameters!$B$35</f>
        <v>0</v>
      </c>
      <c r="R213" s="0" t="str">
        <f aca="false">IF(Q213&gt;=Parameters!$B$24,"High","")</f>
        <v/>
      </c>
    </row>
    <row r="214" customFormat="false" ht="15" hidden="false" customHeight="false" outlineLevel="0" collapsed="false">
      <c r="A214" s="10" t="s">
        <v>733</v>
      </c>
      <c r="B214" s="8" t="n">
        <v>45778</v>
      </c>
      <c r="C214" s="10" t="s">
        <v>236</v>
      </c>
      <c r="D214" s="10" t="s">
        <v>734</v>
      </c>
      <c r="E214" s="12" t="n">
        <v>115.9</v>
      </c>
      <c r="F214" s="10" t="s">
        <v>347</v>
      </c>
      <c r="G214" s="9" t="n">
        <f aca="false">VALUE(LEFT(TEXT(E214,"0.00"),1))</f>
        <v>1</v>
      </c>
      <c r="H214" s="0" t="str">
        <f aca="false">UPPER(SUBSTITUTE(SUBSTITUTE(SUBSTITUTE(D214," ",""),"/",""),".",""))</f>
        <v>INV43001</v>
      </c>
      <c r="I214" s="9" t="n">
        <f aca="false">IF(COUNTIFS($C$5:C214,C214,$H$5:H214,H214,$E$5:E214,E214)&gt;1,1,0)</f>
        <v>0</v>
      </c>
      <c r="J214" s="9" t="n">
        <f aca="false">IF(AND(I214=0,COUNTIFS($C$5:$C$634,C214,$E$5:$E$634,E214,$B$5:$B$634,"&gt;="&amp;(B214-Parameters!$B$12),$B$5:$B$634,"&lt;="&amp;(B214+Parameters!$B$12),$H$5:$H$634,"&lt;&gt;"&amp;H214)&gt;0),1,0)</f>
        <v>0</v>
      </c>
      <c r="K214" s="9" t="n">
        <f aca="false">IF(AND(E214&gt;=Parameters!$B$11,ROUND(MOD(ROUND(E214,2),Parameters!$B$10),2)=0),1,0)</f>
        <v>0</v>
      </c>
      <c r="L214" s="9" t="n">
        <f aca="false">IF(AND(E214&lt;Parameters!$B$7,E214&gt;=Parameters!$B$7*(1-Parameters!$B$9)),1,0)</f>
        <v>0</v>
      </c>
      <c r="M214" s="9" t="n">
        <f aca="false">IF(AND(E214&lt;Parameters!$B$7,COUNTIFS($C$5:$C$634,C214,$B$5:$B$634,B214)&gt;1,SUMIFS($E$5:$E$634,$C$5:$C$634,C214,$B$5:$B$634,B214)&gt;=Parameters!$B$7),1,0)</f>
        <v>0</v>
      </c>
      <c r="N214" s="9" t="n">
        <f aca="false">IF(AND(E214&gt;=Parameters!$B$7,F214&lt;&gt;Parameters!$B$8),1,0)</f>
        <v>0</v>
      </c>
      <c r="O214" s="9" t="n">
        <f aca="false">INDEX(Vendor_Benford!$N$6:$N$50,MATCH(C214,Vendor_Benford!$A$6:$A$50,0))</f>
        <v>0</v>
      </c>
      <c r="P214" s="9" t="n">
        <f aca="false">INDEX(Vendor_Benford!$M$6:$M$50,MATCH(C214,Vendor_Benford!$A$6:$A$50,0))</f>
        <v>0</v>
      </c>
      <c r="Q214" s="9" t="n">
        <f aca="false">I214*Parameters!$B$28+J214*Parameters!$B$29+K214*Parameters!$B$30+L214*Parameters!$B$31+M214*Parameters!$B$32+N214*Parameters!$B$33+O214*Parameters!$B$34+P214*Parameters!$B$35</f>
        <v>0</v>
      </c>
      <c r="R214" s="0" t="str">
        <f aca="false">IF(Q214&gt;=Parameters!$B$24,"High","")</f>
        <v/>
      </c>
    </row>
    <row r="215" customFormat="false" ht="15" hidden="false" customHeight="false" outlineLevel="0" collapsed="false">
      <c r="A215" s="10" t="s">
        <v>735</v>
      </c>
      <c r="B215" s="8" t="n">
        <v>45779</v>
      </c>
      <c r="C215" s="10" t="s">
        <v>155</v>
      </c>
      <c r="D215" s="10" t="s">
        <v>736</v>
      </c>
      <c r="E215" s="12" t="n">
        <v>418.33</v>
      </c>
      <c r="F215" s="10" t="s">
        <v>347</v>
      </c>
      <c r="G215" s="9" t="n">
        <f aca="false">VALUE(LEFT(TEXT(E215,"0.00"),1))</f>
        <v>4</v>
      </c>
      <c r="H215" s="0" t="str">
        <f aca="false">UPPER(SUBSTITUTE(SUBSTITUTE(SUBSTITUTE(D215," ",""),"/",""),".",""))</f>
        <v>INV16011</v>
      </c>
      <c r="I215" s="9" t="n">
        <f aca="false">IF(COUNTIFS($C$5:C215,C215,$H$5:H215,H215,$E$5:E215,E215)&gt;1,1,0)</f>
        <v>0</v>
      </c>
      <c r="J215" s="9" t="n">
        <f aca="false">IF(AND(I215=0,COUNTIFS($C$5:$C$634,C215,$E$5:$E$634,E215,$B$5:$B$634,"&gt;="&amp;(B215-Parameters!$B$12),$B$5:$B$634,"&lt;="&amp;(B215+Parameters!$B$12),$H$5:$H$634,"&lt;&gt;"&amp;H215)&gt;0),1,0)</f>
        <v>0</v>
      </c>
      <c r="K215" s="9" t="n">
        <f aca="false">IF(AND(E215&gt;=Parameters!$B$11,ROUND(MOD(ROUND(E215,2),Parameters!$B$10),2)=0),1,0)</f>
        <v>0</v>
      </c>
      <c r="L215" s="9" t="n">
        <f aca="false">IF(AND(E215&lt;Parameters!$B$7,E215&gt;=Parameters!$B$7*(1-Parameters!$B$9)),1,0)</f>
        <v>0</v>
      </c>
      <c r="M215" s="9" t="n">
        <f aca="false">IF(AND(E215&lt;Parameters!$B$7,COUNTIFS($C$5:$C$634,C215,$B$5:$B$634,B215)&gt;1,SUMIFS($E$5:$E$634,$C$5:$C$634,C215,$B$5:$B$634,B215)&gt;=Parameters!$B$7),1,0)</f>
        <v>0</v>
      </c>
      <c r="N215" s="9" t="n">
        <f aca="false">IF(AND(E215&gt;=Parameters!$B$7,F215&lt;&gt;Parameters!$B$8),1,0)</f>
        <v>0</v>
      </c>
      <c r="O215" s="9" t="n">
        <f aca="false">INDEX(Vendor_Benford!$N$6:$N$50,MATCH(C215,Vendor_Benford!$A$6:$A$50,0))</f>
        <v>0</v>
      </c>
      <c r="P215" s="9" t="n">
        <f aca="false">INDEX(Vendor_Benford!$M$6:$M$50,MATCH(C215,Vendor_Benford!$A$6:$A$50,0))</f>
        <v>0</v>
      </c>
      <c r="Q215" s="9" t="n">
        <f aca="false">I215*Parameters!$B$28+J215*Parameters!$B$29+K215*Parameters!$B$30+L215*Parameters!$B$31+M215*Parameters!$B$32+N215*Parameters!$B$33+O215*Parameters!$B$34+P215*Parameters!$B$35</f>
        <v>0</v>
      </c>
      <c r="R215" s="0" t="str">
        <f aca="false">IF(Q215&gt;=Parameters!$B$24,"High","")</f>
        <v/>
      </c>
    </row>
    <row r="216" customFormat="false" ht="15" hidden="false" customHeight="false" outlineLevel="0" collapsed="false">
      <c r="A216" s="10" t="s">
        <v>737</v>
      </c>
      <c r="B216" s="8" t="n">
        <v>45779</v>
      </c>
      <c r="C216" s="10" t="s">
        <v>203</v>
      </c>
      <c r="D216" s="10" t="s">
        <v>738</v>
      </c>
      <c r="E216" s="12" t="n">
        <v>1097.76</v>
      </c>
      <c r="F216" s="10" t="s">
        <v>347</v>
      </c>
      <c r="G216" s="9" t="n">
        <f aca="false">VALUE(LEFT(TEXT(E216,"0.00"),1))</f>
        <v>1</v>
      </c>
      <c r="H216" s="0" t="str">
        <f aca="false">UPPER(SUBSTITUTE(SUBSTITUTE(SUBSTITUTE(D216," ",""),"/",""),".",""))</f>
        <v>INV32011</v>
      </c>
      <c r="I216" s="9" t="n">
        <f aca="false">IF(COUNTIFS($C$5:C216,C216,$H$5:H216,H216,$E$5:E216,E216)&gt;1,1,0)</f>
        <v>0</v>
      </c>
      <c r="J216" s="9" t="n">
        <f aca="false">IF(AND(I216=0,COUNTIFS($C$5:$C$634,C216,$E$5:$E$634,E216,$B$5:$B$634,"&gt;="&amp;(B216-Parameters!$B$12),$B$5:$B$634,"&lt;="&amp;(B216+Parameters!$B$12),$H$5:$H$634,"&lt;&gt;"&amp;H216)&gt;0),1,0)</f>
        <v>0</v>
      </c>
      <c r="K216" s="9" t="n">
        <f aca="false">IF(AND(E216&gt;=Parameters!$B$11,ROUND(MOD(ROUND(E216,2),Parameters!$B$10),2)=0),1,0)</f>
        <v>0</v>
      </c>
      <c r="L216" s="9" t="n">
        <f aca="false">IF(AND(E216&lt;Parameters!$B$7,E216&gt;=Parameters!$B$7*(1-Parameters!$B$9)),1,0)</f>
        <v>0</v>
      </c>
      <c r="M216" s="9" t="n">
        <f aca="false">IF(AND(E216&lt;Parameters!$B$7,COUNTIFS($C$5:$C$634,C216,$B$5:$B$634,B216)&gt;1,SUMIFS($E$5:$E$634,$C$5:$C$634,C216,$B$5:$B$634,B216)&gt;=Parameters!$B$7),1,0)</f>
        <v>0</v>
      </c>
      <c r="N216" s="9" t="n">
        <f aca="false">IF(AND(E216&gt;=Parameters!$B$7,F216&lt;&gt;Parameters!$B$8),1,0)</f>
        <v>0</v>
      </c>
      <c r="O216" s="9" t="n">
        <f aca="false">INDEX(Vendor_Benford!$N$6:$N$50,MATCH(C216,Vendor_Benford!$A$6:$A$50,0))</f>
        <v>0</v>
      </c>
      <c r="P216" s="9" t="n">
        <f aca="false">INDEX(Vendor_Benford!$M$6:$M$50,MATCH(C216,Vendor_Benford!$A$6:$A$50,0))</f>
        <v>0</v>
      </c>
      <c r="Q216" s="9" t="n">
        <f aca="false">I216*Parameters!$B$28+J216*Parameters!$B$29+K216*Parameters!$B$30+L216*Parameters!$B$31+M216*Parameters!$B$32+N216*Parameters!$B$33+O216*Parameters!$B$34+P216*Parameters!$B$35</f>
        <v>0</v>
      </c>
      <c r="R216" s="0" t="str">
        <f aca="false">IF(Q216&gt;=Parameters!$B$24,"High","")</f>
        <v/>
      </c>
    </row>
    <row r="217" customFormat="false" ht="15" hidden="false" customHeight="false" outlineLevel="0" collapsed="false">
      <c r="A217" s="10" t="s">
        <v>739</v>
      </c>
      <c r="B217" s="8" t="n">
        <v>45782</v>
      </c>
      <c r="C217" s="10" t="s">
        <v>110</v>
      </c>
      <c r="D217" s="10" t="s">
        <v>740</v>
      </c>
      <c r="E217" s="12" t="n">
        <v>85000</v>
      </c>
      <c r="F217" s="10" t="s">
        <v>40</v>
      </c>
      <c r="G217" s="9" t="n">
        <f aca="false">VALUE(LEFT(TEXT(E217,"0.00"),1))</f>
        <v>8</v>
      </c>
      <c r="H217" s="0" t="str">
        <f aca="false">UPPER(SUBSTITUTE(SUBSTITUTE(SUBSTITUTE(D217," ",""),"/",""),".",""))</f>
        <v>RENT2505</v>
      </c>
      <c r="I217" s="9" t="n">
        <f aca="false">IF(COUNTIFS($C$5:C217,C217,$H$5:H217,H217,$E$5:E217,E217)&gt;1,1,0)</f>
        <v>0</v>
      </c>
      <c r="J217" s="9" t="n">
        <f aca="false">IF(AND(I217=0,COUNTIFS($C$5:$C$634,C217,$E$5:$E$634,E217,$B$5:$B$634,"&gt;="&amp;(B217-Parameters!$B$12),$B$5:$B$634,"&lt;="&amp;(B217+Parameters!$B$12),$H$5:$H$634,"&lt;&gt;"&amp;H217)&gt;0),1,0)</f>
        <v>1</v>
      </c>
      <c r="K217" s="9" t="n">
        <f aca="false">IF(AND(E217&gt;=Parameters!$B$11,ROUND(MOD(ROUND(E217,2),Parameters!$B$10),2)=0),1,0)</f>
        <v>1</v>
      </c>
      <c r="L217" s="9" t="n">
        <f aca="false">IF(AND(E217&lt;Parameters!$B$7,E217&gt;=Parameters!$B$7*(1-Parameters!$B$9)),1,0)</f>
        <v>0</v>
      </c>
      <c r="M217" s="9" t="n">
        <f aca="false">IF(AND(E217&lt;Parameters!$B$7,COUNTIFS($C$5:$C$634,C217,$B$5:$B$634,B217)&gt;1,SUMIFS($E$5:$E$634,$C$5:$C$634,C217,$B$5:$B$634,B217)&gt;=Parameters!$B$7),1,0)</f>
        <v>0</v>
      </c>
      <c r="N217" s="9" t="n">
        <f aca="false">IF(AND(E217&gt;=Parameters!$B$7,F217&lt;&gt;Parameters!$B$8),1,0)</f>
        <v>0</v>
      </c>
      <c r="O217" s="9" t="n">
        <f aca="false">INDEX(Vendor_Benford!$N$6:$N$50,MATCH(C217,Vendor_Benford!$A$6:$A$50,0))</f>
        <v>0</v>
      </c>
      <c r="P217" s="9" t="n">
        <f aca="false">INDEX(Vendor_Benford!$M$6:$M$50,MATCH(C217,Vendor_Benford!$A$6:$A$50,0))</f>
        <v>0</v>
      </c>
      <c r="Q217" s="9" t="n">
        <f aca="false">I217*Parameters!$B$28+J217*Parameters!$B$29+K217*Parameters!$B$30+L217*Parameters!$B$31+M217*Parameters!$B$32+N217*Parameters!$B$33+O217*Parameters!$B$34+P217*Parameters!$B$35</f>
        <v>5</v>
      </c>
      <c r="R217" s="0" t="str">
        <f aca="false">IF(Q217&gt;=Parameters!$B$24,"High","")</f>
        <v>High</v>
      </c>
    </row>
    <row r="218" customFormat="false" ht="15" hidden="false" customHeight="false" outlineLevel="0" collapsed="false">
      <c r="A218" s="10" t="s">
        <v>741</v>
      </c>
      <c r="B218" s="8" t="n">
        <v>45782</v>
      </c>
      <c r="C218" s="10" t="s">
        <v>122</v>
      </c>
      <c r="D218" s="10" t="s">
        <v>742</v>
      </c>
      <c r="E218" s="12" t="n">
        <v>39294.69</v>
      </c>
      <c r="F218" s="10" t="s">
        <v>40</v>
      </c>
      <c r="G218" s="9" t="n">
        <f aca="false">VALUE(LEFT(TEXT(E218,"0.00"),1))</f>
        <v>3</v>
      </c>
      <c r="H218" s="0" t="str">
        <f aca="false">UPPER(SUBSTITUTE(SUBSTITUTE(SUBSTITUTE(D218," ",""),"/",""),".",""))</f>
        <v>INV5002</v>
      </c>
      <c r="I218" s="9" t="n">
        <f aca="false">IF(COUNTIFS($C$5:C218,C218,$H$5:H218,H218,$E$5:E218,E218)&gt;1,1,0)</f>
        <v>0</v>
      </c>
      <c r="J218" s="9" t="n">
        <f aca="false">IF(AND(I218=0,COUNTIFS($C$5:$C$634,C218,$E$5:$E$634,E218,$B$5:$B$634,"&gt;="&amp;(B218-Parameters!$B$12),$B$5:$B$634,"&lt;="&amp;(B218+Parameters!$B$12),$H$5:$H$634,"&lt;&gt;"&amp;H218)&gt;0),1,0)</f>
        <v>0</v>
      </c>
      <c r="K218" s="9" t="n">
        <f aca="false">IF(AND(E218&gt;=Parameters!$B$11,ROUND(MOD(ROUND(E218,2),Parameters!$B$10),2)=0),1,0)</f>
        <v>0</v>
      </c>
      <c r="L218" s="9" t="n">
        <f aca="false">IF(AND(E218&lt;Parameters!$B$7,E218&gt;=Parameters!$B$7*(1-Parameters!$B$9)),1,0)</f>
        <v>0</v>
      </c>
      <c r="M218" s="9" t="n">
        <f aca="false">IF(AND(E218&lt;Parameters!$B$7,COUNTIFS($C$5:$C$634,C218,$B$5:$B$634,B218)&gt;1,SUMIFS($E$5:$E$634,$C$5:$C$634,C218,$B$5:$B$634,B218)&gt;=Parameters!$B$7),1,0)</f>
        <v>0</v>
      </c>
      <c r="N218" s="9" t="n">
        <f aca="false">IF(AND(E218&gt;=Parameters!$B$7,F218&lt;&gt;Parameters!$B$8),1,0)</f>
        <v>0</v>
      </c>
      <c r="O218" s="9" t="n">
        <f aca="false">INDEX(Vendor_Benford!$N$6:$N$50,MATCH(C218,Vendor_Benford!$A$6:$A$50,0))</f>
        <v>0</v>
      </c>
      <c r="P218" s="9" t="n">
        <f aca="false">INDEX(Vendor_Benford!$M$6:$M$50,MATCH(C218,Vendor_Benford!$A$6:$A$50,0))</f>
        <v>0</v>
      </c>
      <c r="Q218" s="9" t="n">
        <f aca="false">I218*Parameters!$B$28+J218*Parameters!$B$29+K218*Parameters!$B$30+L218*Parameters!$B$31+M218*Parameters!$B$32+N218*Parameters!$B$33+O218*Parameters!$B$34+P218*Parameters!$B$35</f>
        <v>0</v>
      </c>
      <c r="R218" s="0" t="str">
        <f aca="false">IF(Q218&gt;=Parameters!$B$24,"High","")</f>
        <v/>
      </c>
    </row>
    <row r="219" customFormat="false" ht="15" hidden="false" customHeight="false" outlineLevel="0" collapsed="false">
      <c r="A219" s="10" t="s">
        <v>743</v>
      </c>
      <c r="B219" s="8" t="n">
        <v>45782</v>
      </c>
      <c r="C219" s="10" t="s">
        <v>218</v>
      </c>
      <c r="D219" s="10" t="s">
        <v>744</v>
      </c>
      <c r="E219" s="12" t="n">
        <v>47903.23</v>
      </c>
      <c r="F219" s="10" t="s">
        <v>40</v>
      </c>
      <c r="G219" s="9" t="n">
        <f aca="false">VALUE(LEFT(TEXT(E219,"0.00"),1))</f>
        <v>4</v>
      </c>
      <c r="H219" s="0" t="str">
        <f aca="false">UPPER(SUBSTITUTE(SUBSTITUTE(SUBSTITUTE(D219," ",""),"/",""),".",""))</f>
        <v>INV37007</v>
      </c>
      <c r="I219" s="9" t="n">
        <f aca="false">IF(COUNTIFS($C$5:C219,C219,$H$5:H219,H219,$E$5:E219,E219)&gt;1,1,0)</f>
        <v>0</v>
      </c>
      <c r="J219" s="9" t="n">
        <f aca="false">IF(AND(I219=0,COUNTIFS($C$5:$C$634,C219,$E$5:$E$634,E219,$B$5:$B$634,"&gt;="&amp;(B219-Parameters!$B$12),$B$5:$B$634,"&lt;="&amp;(B219+Parameters!$B$12),$H$5:$H$634,"&lt;&gt;"&amp;H219)&gt;0),1,0)</f>
        <v>0</v>
      </c>
      <c r="K219" s="9" t="n">
        <f aca="false">IF(AND(E219&gt;=Parameters!$B$11,ROUND(MOD(ROUND(E219,2),Parameters!$B$10),2)=0),1,0)</f>
        <v>0</v>
      </c>
      <c r="L219" s="9" t="n">
        <f aca="false">IF(AND(E219&lt;Parameters!$B$7,E219&gt;=Parameters!$B$7*(1-Parameters!$B$9)),1,0)</f>
        <v>0</v>
      </c>
      <c r="M219" s="9" t="n">
        <f aca="false">IF(AND(E219&lt;Parameters!$B$7,COUNTIFS($C$5:$C$634,C219,$B$5:$B$634,B219)&gt;1,SUMIFS($E$5:$E$634,$C$5:$C$634,C219,$B$5:$B$634,B219)&gt;=Parameters!$B$7),1,0)</f>
        <v>0</v>
      </c>
      <c r="N219" s="9" t="n">
        <f aca="false">IF(AND(E219&gt;=Parameters!$B$7,F219&lt;&gt;Parameters!$B$8),1,0)</f>
        <v>0</v>
      </c>
      <c r="O219" s="9" t="n">
        <f aca="false">INDEX(Vendor_Benford!$N$6:$N$50,MATCH(C219,Vendor_Benford!$A$6:$A$50,0))</f>
        <v>0</v>
      </c>
      <c r="P219" s="9" t="n">
        <f aca="false">INDEX(Vendor_Benford!$M$6:$M$50,MATCH(C219,Vendor_Benford!$A$6:$A$50,0))</f>
        <v>0</v>
      </c>
      <c r="Q219" s="9" t="n">
        <f aca="false">I219*Parameters!$B$28+J219*Parameters!$B$29+K219*Parameters!$B$30+L219*Parameters!$B$31+M219*Parameters!$B$32+N219*Parameters!$B$33+O219*Parameters!$B$34+P219*Parameters!$B$35</f>
        <v>0</v>
      </c>
      <c r="R219" s="0" t="str">
        <f aca="false">IF(Q219&gt;=Parameters!$B$24,"High","")</f>
        <v/>
      </c>
    </row>
    <row r="220" customFormat="false" ht="15" hidden="false" customHeight="false" outlineLevel="0" collapsed="false">
      <c r="A220" s="10" t="s">
        <v>745</v>
      </c>
      <c r="B220" s="8" t="n">
        <v>45782</v>
      </c>
      <c r="C220" s="10" t="s">
        <v>221</v>
      </c>
      <c r="D220" s="10" t="s">
        <v>746</v>
      </c>
      <c r="E220" s="12" t="n">
        <v>14074.18</v>
      </c>
      <c r="F220" s="10" t="s">
        <v>40</v>
      </c>
      <c r="G220" s="9" t="n">
        <f aca="false">VALUE(LEFT(TEXT(E220,"0.00"),1))</f>
        <v>1</v>
      </c>
      <c r="H220" s="0" t="str">
        <f aca="false">UPPER(SUBSTITUTE(SUBSTITUTE(SUBSTITUTE(D220," ",""),"/",""),".",""))</f>
        <v>INV38002</v>
      </c>
      <c r="I220" s="9" t="n">
        <f aca="false">IF(COUNTIFS($C$5:C220,C220,$H$5:H220,H220,$E$5:E220,E220)&gt;1,1,0)</f>
        <v>0</v>
      </c>
      <c r="J220" s="9" t="n">
        <f aca="false">IF(AND(I220=0,COUNTIFS($C$5:$C$634,C220,$E$5:$E$634,E220,$B$5:$B$634,"&gt;="&amp;(B220-Parameters!$B$12),$B$5:$B$634,"&lt;="&amp;(B220+Parameters!$B$12),$H$5:$H$634,"&lt;&gt;"&amp;H220)&gt;0),1,0)</f>
        <v>0</v>
      </c>
      <c r="K220" s="9" t="n">
        <f aca="false">IF(AND(E220&gt;=Parameters!$B$11,ROUND(MOD(ROUND(E220,2),Parameters!$B$10),2)=0),1,0)</f>
        <v>0</v>
      </c>
      <c r="L220" s="9" t="n">
        <f aca="false">IF(AND(E220&lt;Parameters!$B$7,E220&gt;=Parameters!$B$7*(1-Parameters!$B$9)),1,0)</f>
        <v>0</v>
      </c>
      <c r="M220" s="9" t="n">
        <f aca="false">IF(AND(E220&lt;Parameters!$B$7,COUNTIFS($C$5:$C$634,C220,$B$5:$B$634,B220)&gt;1,SUMIFS($E$5:$E$634,$C$5:$C$634,C220,$B$5:$B$634,B220)&gt;=Parameters!$B$7),1,0)</f>
        <v>0</v>
      </c>
      <c r="N220" s="9" t="n">
        <f aca="false">IF(AND(E220&gt;=Parameters!$B$7,F220&lt;&gt;Parameters!$B$8),1,0)</f>
        <v>0</v>
      </c>
      <c r="O220" s="9" t="n">
        <f aca="false">INDEX(Vendor_Benford!$N$6:$N$50,MATCH(C220,Vendor_Benford!$A$6:$A$50,0))</f>
        <v>1</v>
      </c>
      <c r="P220" s="9" t="n">
        <f aca="false">INDEX(Vendor_Benford!$M$6:$M$50,MATCH(C220,Vendor_Benford!$A$6:$A$50,0))</f>
        <v>0</v>
      </c>
      <c r="Q220" s="9" t="n">
        <f aca="false">I220*Parameters!$B$28+J220*Parameters!$B$29+K220*Parameters!$B$30+L220*Parameters!$B$31+M220*Parameters!$B$32+N220*Parameters!$B$33+O220*Parameters!$B$34+P220*Parameters!$B$35</f>
        <v>5</v>
      </c>
      <c r="R220" s="0" t="str">
        <f aca="false">IF(Q220&gt;=Parameters!$B$24,"High","")</f>
        <v>High</v>
      </c>
    </row>
    <row r="221" customFormat="false" ht="15" hidden="false" customHeight="false" outlineLevel="0" collapsed="false">
      <c r="A221" s="10" t="s">
        <v>747</v>
      </c>
      <c r="B221" s="8" t="n">
        <v>45783</v>
      </c>
      <c r="C221" s="10" t="s">
        <v>152</v>
      </c>
      <c r="D221" s="10" t="s">
        <v>748</v>
      </c>
      <c r="E221" s="12" t="n">
        <v>6013.03</v>
      </c>
      <c r="F221" s="10" t="s">
        <v>40</v>
      </c>
      <c r="G221" s="9" t="n">
        <f aca="false">VALUE(LEFT(TEXT(E221,"0.00"),1))</f>
        <v>6</v>
      </c>
      <c r="H221" s="0" t="str">
        <f aca="false">UPPER(SUBSTITUTE(SUBSTITUTE(SUBSTITUTE(D221," ",""),"/",""),".",""))</f>
        <v>INV15007</v>
      </c>
      <c r="I221" s="9" t="n">
        <f aca="false">IF(COUNTIFS($C$5:C221,C221,$H$5:H221,H221,$E$5:E221,E221)&gt;1,1,0)</f>
        <v>0</v>
      </c>
      <c r="J221" s="9" t="n">
        <f aca="false">IF(AND(I221=0,COUNTIFS($C$5:$C$634,C221,$E$5:$E$634,E221,$B$5:$B$634,"&gt;="&amp;(B221-Parameters!$B$12),$B$5:$B$634,"&lt;="&amp;(B221+Parameters!$B$12),$H$5:$H$634,"&lt;&gt;"&amp;H221)&gt;0),1,0)</f>
        <v>0</v>
      </c>
      <c r="K221" s="9" t="n">
        <f aca="false">IF(AND(E221&gt;=Parameters!$B$11,ROUND(MOD(ROUND(E221,2),Parameters!$B$10),2)=0),1,0)</f>
        <v>0</v>
      </c>
      <c r="L221" s="9" t="n">
        <f aca="false">IF(AND(E221&lt;Parameters!$B$7,E221&gt;=Parameters!$B$7*(1-Parameters!$B$9)),1,0)</f>
        <v>0</v>
      </c>
      <c r="M221" s="9" t="n">
        <f aca="false">IF(AND(E221&lt;Parameters!$B$7,COUNTIFS($C$5:$C$634,C221,$B$5:$B$634,B221)&gt;1,SUMIFS($E$5:$E$634,$C$5:$C$634,C221,$B$5:$B$634,B221)&gt;=Parameters!$B$7),1,0)</f>
        <v>0</v>
      </c>
      <c r="N221" s="9" t="n">
        <f aca="false">IF(AND(E221&gt;=Parameters!$B$7,F221&lt;&gt;Parameters!$B$8),1,0)</f>
        <v>0</v>
      </c>
      <c r="O221" s="9" t="n">
        <f aca="false">INDEX(Vendor_Benford!$N$6:$N$50,MATCH(C221,Vendor_Benford!$A$6:$A$50,0))</f>
        <v>0</v>
      </c>
      <c r="P221" s="9" t="n">
        <f aca="false">INDEX(Vendor_Benford!$M$6:$M$50,MATCH(C221,Vendor_Benford!$A$6:$A$50,0))</f>
        <v>0</v>
      </c>
      <c r="Q221" s="9" t="n">
        <f aca="false">I221*Parameters!$B$28+J221*Parameters!$B$29+K221*Parameters!$B$30+L221*Parameters!$B$31+M221*Parameters!$B$32+N221*Parameters!$B$33+O221*Parameters!$B$34+P221*Parameters!$B$35</f>
        <v>0</v>
      </c>
      <c r="R221" s="0" t="str">
        <f aca="false">IF(Q221&gt;=Parameters!$B$24,"High","")</f>
        <v/>
      </c>
    </row>
    <row r="222" customFormat="false" ht="15" hidden="false" customHeight="false" outlineLevel="0" collapsed="false">
      <c r="A222" s="10" t="s">
        <v>749</v>
      </c>
      <c r="B222" s="8" t="n">
        <v>45783</v>
      </c>
      <c r="C222" s="10" t="s">
        <v>155</v>
      </c>
      <c r="D222" s="10" t="s">
        <v>750</v>
      </c>
      <c r="E222" s="12" t="n">
        <v>12762.98</v>
      </c>
      <c r="F222" s="10" t="s">
        <v>40</v>
      </c>
      <c r="G222" s="9" t="n">
        <f aca="false">VALUE(LEFT(TEXT(E222,"0.00"),1))</f>
        <v>1</v>
      </c>
      <c r="H222" s="0" t="str">
        <f aca="false">UPPER(SUBSTITUTE(SUBSTITUTE(SUBSTITUTE(D222," ",""),"/",""),".",""))</f>
        <v>INV16019</v>
      </c>
      <c r="I222" s="9" t="n">
        <f aca="false">IF(COUNTIFS($C$5:C222,C222,$H$5:H222,H222,$E$5:E222,E222)&gt;1,1,0)</f>
        <v>0</v>
      </c>
      <c r="J222" s="9" t="n">
        <f aca="false">IF(AND(I222=0,COUNTIFS($C$5:$C$634,C222,$E$5:$E$634,E222,$B$5:$B$634,"&gt;="&amp;(B222-Parameters!$B$12),$B$5:$B$634,"&lt;="&amp;(B222+Parameters!$B$12),$H$5:$H$634,"&lt;&gt;"&amp;H222)&gt;0),1,0)</f>
        <v>0</v>
      </c>
      <c r="K222" s="9" t="n">
        <f aca="false">IF(AND(E222&gt;=Parameters!$B$11,ROUND(MOD(ROUND(E222,2),Parameters!$B$10),2)=0),1,0)</f>
        <v>0</v>
      </c>
      <c r="L222" s="9" t="n">
        <f aca="false">IF(AND(E222&lt;Parameters!$B$7,E222&gt;=Parameters!$B$7*(1-Parameters!$B$9)),1,0)</f>
        <v>0</v>
      </c>
      <c r="M222" s="9" t="n">
        <f aca="false">IF(AND(E222&lt;Parameters!$B$7,COUNTIFS($C$5:$C$634,C222,$B$5:$B$634,B222)&gt;1,SUMIFS($E$5:$E$634,$C$5:$C$634,C222,$B$5:$B$634,B222)&gt;=Parameters!$B$7),1,0)</f>
        <v>0</v>
      </c>
      <c r="N222" s="9" t="n">
        <f aca="false">IF(AND(E222&gt;=Parameters!$B$7,F222&lt;&gt;Parameters!$B$8),1,0)</f>
        <v>0</v>
      </c>
      <c r="O222" s="9" t="n">
        <f aca="false">INDEX(Vendor_Benford!$N$6:$N$50,MATCH(C222,Vendor_Benford!$A$6:$A$50,0))</f>
        <v>0</v>
      </c>
      <c r="P222" s="9" t="n">
        <f aca="false">INDEX(Vendor_Benford!$M$6:$M$50,MATCH(C222,Vendor_Benford!$A$6:$A$50,0))</f>
        <v>0</v>
      </c>
      <c r="Q222" s="9" t="n">
        <f aca="false">I222*Parameters!$B$28+J222*Parameters!$B$29+K222*Parameters!$B$30+L222*Parameters!$B$31+M222*Parameters!$B$32+N222*Parameters!$B$33+O222*Parameters!$B$34+P222*Parameters!$B$35</f>
        <v>0</v>
      </c>
      <c r="R222" s="0" t="str">
        <f aca="false">IF(Q222&gt;=Parameters!$B$24,"High","")</f>
        <v/>
      </c>
    </row>
    <row r="223" customFormat="false" ht="15" hidden="false" customHeight="false" outlineLevel="0" collapsed="false">
      <c r="A223" s="10" t="s">
        <v>751</v>
      </c>
      <c r="B223" s="8" t="n">
        <v>45783</v>
      </c>
      <c r="C223" s="10" t="s">
        <v>161</v>
      </c>
      <c r="D223" s="10" t="s">
        <v>752</v>
      </c>
      <c r="E223" s="12" t="n">
        <v>35797.62</v>
      </c>
      <c r="F223" s="10" t="s">
        <v>40</v>
      </c>
      <c r="G223" s="9" t="n">
        <f aca="false">VALUE(LEFT(TEXT(E223,"0.00"),1))</f>
        <v>3</v>
      </c>
      <c r="H223" s="0" t="str">
        <f aca="false">UPPER(SUBSTITUTE(SUBSTITUTE(SUBSTITUTE(D223," ",""),"/",""),".",""))</f>
        <v>INV18016</v>
      </c>
      <c r="I223" s="9" t="n">
        <f aca="false">IF(COUNTIFS($C$5:C223,C223,$H$5:H223,H223,$E$5:E223,E223)&gt;1,1,0)</f>
        <v>0</v>
      </c>
      <c r="J223" s="9" t="n">
        <f aca="false">IF(AND(I223=0,COUNTIFS($C$5:$C$634,C223,$E$5:$E$634,E223,$B$5:$B$634,"&gt;="&amp;(B223-Parameters!$B$12),$B$5:$B$634,"&lt;="&amp;(B223+Parameters!$B$12),$H$5:$H$634,"&lt;&gt;"&amp;H223)&gt;0),1,0)</f>
        <v>0</v>
      </c>
      <c r="K223" s="9" t="n">
        <f aca="false">IF(AND(E223&gt;=Parameters!$B$11,ROUND(MOD(ROUND(E223,2),Parameters!$B$10),2)=0),1,0)</f>
        <v>0</v>
      </c>
      <c r="L223" s="9" t="n">
        <f aca="false">IF(AND(E223&lt;Parameters!$B$7,E223&gt;=Parameters!$B$7*(1-Parameters!$B$9)),1,0)</f>
        <v>0</v>
      </c>
      <c r="M223" s="9" t="n">
        <f aca="false">IF(AND(E223&lt;Parameters!$B$7,COUNTIFS($C$5:$C$634,C223,$B$5:$B$634,B223)&gt;1,SUMIFS($E$5:$E$634,$C$5:$C$634,C223,$B$5:$B$634,B223)&gt;=Parameters!$B$7),1,0)</f>
        <v>0</v>
      </c>
      <c r="N223" s="9" t="n">
        <f aca="false">IF(AND(E223&gt;=Parameters!$B$7,F223&lt;&gt;Parameters!$B$8),1,0)</f>
        <v>0</v>
      </c>
      <c r="O223" s="9" t="n">
        <f aca="false">INDEX(Vendor_Benford!$N$6:$N$50,MATCH(C223,Vendor_Benford!$A$6:$A$50,0))</f>
        <v>0</v>
      </c>
      <c r="P223" s="9" t="n">
        <f aca="false">INDEX(Vendor_Benford!$M$6:$M$50,MATCH(C223,Vendor_Benford!$A$6:$A$50,0))</f>
        <v>0</v>
      </c>
      <c r="Q223" s="9" t="n">
        <f aca="false">I223*Parameters!$B$28+J223*Parameters!$B$29+K223*Parameters!$B$30+L223*Parameters!$B$31+M223*Parameters!$B$32+N223*Parameters!$B$33+O223*Parameters!$B$34+P223*Parameters!$B$35</f>
        <v>0</v>
      </c>
      <c r="R223" s="0" t="str">
        <f aca="false">IF(Q223&gt;=Parameters!$B$24,"High","")</f>
        <v/>
      </c>
    </row>
    <row r="224" customFormat="false" ht="15" hidden="false" customHeight="false" outlineLevel="0" collapsed="false">
      <c r="A224" s="10" t="s">
        <v>753</v>
      </c>
      <c r="B224" s="8" t="n">
        <v>45783</v>
      </c>
      <c r="C224" s="10" t="s">
        <v>200</v>
      </c>
      <c r="D224" s="10" t="s">
        <v>754</v>
      </c>
      <c r="E224" s="12" t="n">
        <v>4956.6</v>
      </c>
      <c r="F224" s="10" t="s">
        <v>347</v>
      </c>
      <c r="G224" s="9" t="n">
        <f aca="false">VALUE(LEFT(TEXT(E224,"0.00"),1))</f>
        <v>4</v>
      </c>
      <c r="H224" s="0" t="str">
        <f aca="false">UPPER(SUBSTITUTE(SUBSTITUTE(SUBSTITUTE(D224," ",""),"/",""),".",""))</f>
        <v>INV31027</v>
      </c>
      <c r="I224" s="9" t="n">
        <f aca="false">IF(COUNTIFS($C$5:C224,C224,$H$5:H224,H224,$E$5:E224,E224)&gt;1,1,0)</f>
        <v>0</v>
      </c>
      <c r="J224" s="9" t="n">
        <f aca="false">IF(AND(I224=0,COUNTIFS($C$5:$C$634,C224,$E$5:$E$634,E224,$B$5:$B$634,"&gt;="&amp;(B224-Parameters!$B$12),$B$5:$B$634,"&lt;="&amp;(B224+Parameters!$B$12),$H$5:$H$634,"&lt;&gt;"&amp;H224)&gt;0),1,0)</f>
        <v>0</v>
      </c>
      <c r="K224" s="9" t="n">
        <f aca="false">IF(AND(E224&gt;=Parameters!$B$11,ROUND(MOD(ROUND(E224,2),Parameters!$B$10),2)=0),1,0)</f>
        <v>0</v>
      </c>
      <c r="L224" s="9" t="n">
        <f aca="false">IF(AND(E224&lt;Parameters!$B$7,E224&gt;=Parameters!$B$7*(1-Parameters!$B$9)),1,0)</f>
        <v>1</v>
      </c>
      <c r="M224" s="9" t="n">
        <f aca="false">IF(AND(E224&lt;Parameters!$B$7,COUNTIFS($C$5:$C$634,C224,$B$5:$B$634,B224)&gt;1,SUMIFS($E$5:$E$634,$C$5:$C$634,C224,$B$5:$B$634,B224)&gt;=Parameters!$B$7),1,0)</f>
        <v>0</v>
      </c>
      <c r="N224" s="9" t="n">
        <f aca="false">IF(AND(E224&gt;=Parameters!$B$7,F224&lt;&gt;Parameters!$B$8),1,0)</f>
        <v>0</v>
      </c>
      <c r="O224" s="9" t="n">
        <f aca="false">INDEX(Vendor_Benford!$N$6:$N$50,MATCH(C224,Vendor_Benford!$A$6:$A$50,0))</f>
        <v>0</v>
      </c>
      <c r="P224" s="9" t="n">
        <f aca="false">INDEX(Vendor_Benford!$M$6:$M$50,MATCH(C224,Vendor_Benford!$A$6:$A$50,0))</f>
        <v>1</v>
      </c>
      <c r="Q224" s="9" t="n">
        <f aca="false">I224*Parameters!$B$28+J224*Parameters!$B$29+K224*Parameters!$B$30+L224*Parameters!$B$31+M224*Parameters!$B$32+N224*Parameters!$B$33+O224*Parameters!$B$34+P224*Parameters!$B$35</f>
        <v>4</v>
      </c>
      <c r="R224" s="0" t="str">
        <f aca="false">IF(Q224&gt;=Parameters!$B$24,"High","")</f>
        <v/>
      </c>
    </row>
    <row r="225" customFormat="false" ht="15" hidden="false" customHeight="false" outlineLevel="0" collapsed="false">
      <c r="A225" s="10" t="s">
        <v>755</v>
      </c>
      <c r="B225" s="8" t="n">
        <v>45784</v>
      </c>
      <c r="C225" s="10" t="s">
        <v>218</v>
      </c>
      <c r="D225" s="10" t="s">
        <v>756</v>
      </c>
      <c r="E225" s="12" t="n">
        <v>3828.77</v>
      </c>
      <c r="F225" s="10" t="s">
        <v>347</v>
      </c>
      <c r="G225" s="9" t="n">
        <f aca="false">VALUE(LEFT(TEXT(E225,"0.00"),1))</f>
        <v>3</v>
      </c>
      <c r="H225" s="0" t="str">
        <f aca="false">UPPER(SUBSTITUTE(SUBSTITUTE(SUBSTITUTE(D225," ",""),"/",""),".",""))</f>
        <v>INV37004</v>
      </c>
      <c r="I225" s="9" t="n">
        <f aca="false">IF(COUNTIFS($C$5:C225,C225,$H$5:H225,H225,$E$5:E225,E225)&gt;1,1,0)</f>
        <v>0</v>
      </c>
      <c r="J225" s="9" t="n">
        <f aca="false">IF(AND(I225=0,COUNTIFS($C$5:$C$634,C225,$E$5:$E$634,E225,$B$5:$B$634,"&gt;="&amp;(B225-Parameters!$B$12),$B$5:$B$634,"&lt;="&amp;(B225+Parameters!$B$12),$H$5:$H$634,"&lt;&gt;"&amp;H225)&gt;0),1,0)</f>
        <v>0</v>
      </c>
      <c r="K225" s="9" t="n">
        <f aca="false">IF(AND(E225&gt;=Parameters!$B$11,ROUND(MOD(ROUND(E225,2),Parameters!$B$10),2)=0),1,0)</f>
        <v>0</v>
      </c>
      <c r="L225" s="9" t="n">
        <f aca="false">IF(AND(E225&lt;Parameters!$B$7,E225&gt;=Parameters!$B$7*(1-Parameters!$B$9)),1,0)</f>
        <v>0</v>
      </c>
      <c r="M225" s="9" t="n">
        <f aca="false">IF(AND(E225&lt;Parameters!$B$7,COUNTIFS($C$5:$C$634,C225,$B$5:$B$634,B225)&gt;1,SUMIFS($E$5:$E$634,$C$5:$C$634,C225,$B$5:$B$634,B225)&gt;=Parameters!$B$7),1,0)</f>
        <v>0</v>
      </c>
      <c r="N225" s="9" t="n">
        <f aca="false">IF(AND(E225&gt;=Parameters!$B$7,F225&lt;&gt;Parameters!$B$8),1,0)</f>
        <v>0</v>
      </c>
      <c r="O225" s="9" t="n">
        <f aca="false">INDEX(Vendor_Benford!$N$6:$N$50,MATCH(C225,Vendor_Benford!$A$6:$A$50,0))</f>
        <v>0</v>
      </c>
      <c r="P225" s="9" t="n">
        <f aca="false">INDEX(Vendor_Benford!$M$6:$M$50,MATCH(C225,Vendor_Benford!$A$6:$A$50,0))</f>
        <v>0</v>
      </c>
      <c r="Q225" s="9" t="n">
        <f aca="false">I225*Parameters!$B$28+J225*Parameters!$B$29+K225*Parameters!$B$30+L225*Parameters!$B$31+M225*Parameters!$B$32+N225*Parameters!$B$33+O225*Parameters!$B$34+P225*Parameters!$B$35</f>
        <v>0</v>
      </c>
      <c r="R225" s="0" t="str">
        <f aca="false">IF(Q225&gt;=Parameters!$B$24,"High","")</f>
        <v/>
      </c>
    </row>
    <row r="226" customFormat="false" ht="15" hidden="false" customHeight="false" outlineLevel="0" collapsed="false">
      <c r="A226" s="10" t="s">
        <v>757</v>
      </c>
      <c r="B226" s="8" t="n">
        <v>45785</v>
      </c>
      <c r="C226" s="10" t="s">
        <v>179</v>
      </c>
      <c r="D226" s="10" t="s">
        <v>758</v>
      </c>
      <c r="E226" s="12" t="n">
        <v>557.97</v>
      </c>
      <c r="F226" s="10" t="s">
        <v>347</v>
      </c>
      <c r="G226" s="9" t="n">
        <f aca="false">VALUE(LEFT(TEXT(E226,"0.00"),1))</f>
        <v>5</v>
      </c>
      <c r="H226" s="0" t="str">
        <f aca="false">UPPER(SUBSTITUTE(SUBSTITUTE(SUBSTITUTE(D226," ",""),"/",""),".",""))</f>
        <v>INV24005</v>
      </c>
      <c r="I226" s="9" t="n">
        <f aca="false">IF(COUNTIFS($C$5:C226,C226,$H$5:H226,H226,$E$5:E226,E226)&gt;1,1,0)</f>
        <v>0</v>
      </c>
      <c r="J226" s="9" t="n">
        <f aca="false">IF(AND(I226=0,COUNTIFS($C$5:$C$634,C226,$E$5:$E$634,E226,$B$5:$B$634,"&gt;="&amp;(B226-Parameters!$B$12),$B$5:$B$634,"&lt;="&amp;(B226+Parameters!$B$12),$H$5:$H$634,"&lt;&gt;"&amp;H226)&gt;0),1,0)</f>
        <v>0</v>
      </c>
      <c r="K226" s="9" t="n">
        <f aca="false">IF(AND(E226&gt;=Parameters!$B$11,ROUND(MOD(ROUND(E226,2),Parameters!$B$10),2)=0),1,0)</f>
        <v>0</v>
      </c>
      <c r="L226" s="9" t="n">
        <f aca="false">IF(AND(E226&lt;Parameters!$B$7,E226&gt;=Parameters!$B$7*(1-Parameters!$B$9)),1,0)</f>
        <v>0</v>
      </c>
      <c r="M226" s="9" t="n">
        <f aca="false">IF(AND(E226&lt;Parameters!$B$7,COUNTIFS($C$5:$C$634,C226,$B$5:$B$634,B226)&gt;1,SUMIFS($E$5:$E$634,$C$5:$C$634,C226,$B$5:$B$634,B226)&gt;=Parameters!$B$7),1,0)</f>
        <v>0</v>
      </c>
      <c r="N226" s="9" t="n">
        <f aca="false">IF(AND(E226&gt;=Parameters!$B$7,F226&lt;&gt;Parameters!$B$8),1,0)</f>
        <v>0</v>
      </c>
      <c r="O226" s="9" t="n">
        <f aca="false">INDEX(Vendor_Benford!$N$6:$N$50,MATCH(C226,Vendor_Benford!$A$6:$A$50,0))</f>
        <v>0</v>
      </c>
      <c r="P226" s="9" t="n">
        <f aca="false">INDEX(Vendor_Benford!$M$6:$M$50,MATCH(C226,Vendor_Benford!$A$6:$A$50,0))</f>
        <v>0</v>
      </c>
      <c r="Q226" s="9" t="n">
        <f aca="false">I226*Parameters!$B$28+J226*Parameters!$B$29+K226*Parameters!$B$30+L226*Parameters!$B$31+M226*Parameters!$B$32+N226*Parameters!$B$33+O226*Parameters!$B$34+P226*Parameters!$B$35</f>
        <v>0</v>
      </c>
      <c r="R226" s="0" t="str">
        <f aca="false">IF(Q226&gt;=Parameters!$B$24,"High","")</f>
        <v/>
      </c>
    </row>
    <row r="227" customFormat="false" ht="15" hidden="false" customHeight="false" outlineLevel="0" collapsed="false">
      <c r="A227" s="10" t="s">
        <v>759</v>
      </c>
      <c r="B227" s="8" t="n">
        <v>45785</v>
      </c>
      <c r="C227" s="10" t="s">
        <v>200</v>
      </c>
      <c r="D227" s="10" t="s">
        <v>760</v>
      </c>
      <c r="E227" s="12" t="n">
        <v>4883.64</v>
      </c>
      <c r="F227" s="10" t="s">
        <v>347</v>
      </c>
      <c r="G227" s="9" t="n">
        <f aca="false">VALUE(LEFT(TEXT(E227,"0.00"),1))</f>
        <v>4</v>
      </c>
      <c r="H227" s="0" t="str">
        <f aca="false">UPPER(SUBSTITUTE(SUBSTITUTE(SUBSTITUTE(D227," ",""),"/",""),".",""))</f>
        <v>INV31008</v>
      </c>
      <c r="I227" s="9" t="n">
        <f aca="false">IF(COUNTIFS($C$5:C227,C227,$H$5:H227,H227,$E$5:E227,E227)&gt;1,1,0)</f>
        <v>0</v>
      </c>
      <c r="J227" s="9" t="n">
        <f aca="false">IF(AND(I227=0,COUNTIFS($C$5:$C$634,C227,$E$5:$E$634,E227,$B$5:$B$634,"&gt;="&amp;(B227-Parameters!$B$12),$B$5:$B$634,"&lt;="&amp;(B227+Parameters!$B$12),$H$5:$H$634,"&lt;&gt;"&amp;H227)&gt;0),1,0)</f>
        <v>0</v>
      </c>
      <c r="K227" s="9" t="n">
        <f aca="false">IF(AND(E227&gt;=Parameters!$B$11,ROUND(MOD(ROUND(E227,2),Parameters!$B$10),2)=0),1,0)</f>
        <v>0</v>
      </c>
      <c r="L227" s="9" t="n">
        <f aca="false">IF(AND(E227&lt;Parameters!$B$7,E227&gt;=Parameters!$B$7*(1-Parameters!$B$9)),1,0)</f>
        <v>1</v>
      </c>
      <c r="M227" s="9" t="n">
        <f aca="false">IF(AND(E227&lt;Parameters!$B$7,COUNTIFS($C$5:$C$634,C227,$B$5:$B$634,B227)&gt;1,SUMIFS($E$5:$E$634,$C$5:$C$634,C227,$B$5:$B$634,B227)&gt;=Parameters!$B$7),1,0)</f>
        <v>0</v>
      </c>
      <c r="N227" s="9" t="n">
        <f aca="false">IF(AND(E227&gt;=Parameters!$B$7,F227&lt;&gt;Parameters!$B$8),1,0)</f>
        <v>0</v>
      </c>
      <c r="O227" s="9" t="n">
        <f aca="false">INDEX(Vendor_Benford!$N$6:$N$50,MATCH(C227,Vendor_Benford!$A$6:$A$50,0))</f>
        <v>0</v>
      </c>
      <c r="P227" s="9" t="n">
        <f aca="false">INDEX(Vendor_Benford!$M$6:$M$50,MATCH(C227,Vendor_Benford!$A$6:$A$50,0))</f>
        <v>1</v>
      </c>
      <c r="Q227" s="9" t="n">
        <f aca="false">I227*Parameters!$B$28+J227*Parameters!$B$29+K227*Parameters!$B$30+L227*Parameters!$B$31+M227*Parameters!$B$32+N227*Parameters!$B$33+O227*Parameters!$B$34+P227*Parameters!$B$35</f>
        <v>4</v>
      </c>
      <c r="R227" s="0" t="str">
        <f aca="false">IF(Q227&gt;=Parameters!$B$24,"High","")</f>
        <v/>
      </c>
    </row>
    <row r="228" customFormat="false" ht="15" hidden="false" customHeight="false" outlineLevel="0" collapsed="false">
      <c r="A228" s="10" t="s">
        <v>761</v>
      </c>
      <c r="B228" s="8" t="n">
        <v>45786</v>
      </c>
      <c r="C228" s="10" t="s">
        <v>143</v>
      </c>
      <c r="D228" s="10" t="s">
        <v>762</v>
      </c>
      <c r="E228" s="12" t="n">
        <v>38000</v>
      </c>
      <c r="F228" s="10" t="s">
        <v>40</v>
      </c>
      <c r="G228" s="9" t="n">
        <f aca="false">VALUE(LEFT(TEXT(E228,"0.00"),1))</f>
        <v>3</v>
      </c>
      <c r="H228" s="0" t="str">
        <f aca="false">UPPER(SUBSTITUTE(SUBSTITUTE(SUBSTITUTE(D228," ",""),"/",""),".",""))</f>
        <v>INV12023</v>
      </c>
      <c r="I228" s="9" t="n">
        <f aca="false">IF(COUNTIFS($C$5:C228,C228,$H$5:H228,H228,$E$5:E228,E228)&gt;1,1,0)</f>
        <v>0</v>
      </c>
      <c r="J228" s="9" t="n">
        <f aca="false">IF(AND(I228=0,COUNTIFS($C$5:$C$634,C228,$E$5:$E$634,E228,$B$5:$B$634,"&gt;="&amp;(B228-Parameters!$B$12),$B$5:$B$634,"&lt;="&amp;(B228+Parameters!$B$12),$H$5:$H$634,"&lt;&gt;"&amp;H228)&gt;0),1,0)</f>
        <v>0</v>
      </c>
      <c r="K228" s="9" t="n">
        <f aca="false">IF(AND(E228&gt;=Parameters!$B$11,ROUND(MOD(ROUND(E228,2),Parameters!$B$10),2)=0),1,0)</f>
        <v>1</v>
      </c>
      <c r="L228" s="9" t="n">
        <f aca="false">IF(AND(E228&lt;Parameters!$B$7,E228&gt;=Parameters!$B$7*(1-Parameters!$B$9)),1,0)</f>
        <v>0</v>
      </c>
      <c r="M228" s="9" t="n">
        <f aca="false">IF(AND(E228&lt;Parameters!$B$7,COUNTIFS($C$5:$C$634,C228,$B$5:$B$634,B228)&gt;1,SUMIFS($E$5:$E$634,$C$5:$C$634,C228,$B$5:$B$634,B228)&gt;=Parameters!$B$7),1,0)</f>
        <v>0</v>
      </c>
      <c r="N228" s="9" t="n">
        <f aca="false">IF(AND(E228&gt;=Parameters!$B$7,F228&lt;&gt;Parameters!$B$8),1,0)</f>
        <v>0</v>
      </c>
      <c r="O228" s="9" t="n">
        <f aca="false">INDEX(Vendor_Benford!$N$6:$N$50,MATCH(C228,Vendor_Benford!$A$6:$A$50,0))</f>
        <v>0</v>
      </c>
      <c r="P228" s="9" t="n">
        <f aca="false">INDEX(Vendor_Benford!$M$6:$M$50,MATCH(C228,Vendor_Benford!$A$6:$A$50,0))</f>
        <v>0</v>
      </c>
      <c r="Q228" s="9" t="n">
        <f aca="false">I228*Parameters!$B$28+J228*Parameters!$B$29+K228*Parameters!$B$30+L228*Parameters!$B$31+M228*Parameters!$B$32+N228*Parameters!$B$33+O228*Parameters!$B$34+P228*Parameters!$B$35</f>
        <v>2</v>
      </c>
      <c r="R228" s="0" t="str">
        <f aca="false">IF(Q228&gt;=Parameters!$B$24,"High","")</f>
        <v/>
      </c>
    </row>
    <row r="229" customFormat="false" ht="15" hidden="false" customHeight="false" outlineLevel="0" collapsed="false">
      <c r="A229" s="10" t="s">
        <v>763</v>
      </c>
      <c r="B229" s="8" t="n">
        <v>45786</v>
      </c>
      <c r="C229" s="10" t="s">
        <v>155</v>
      </c>
      <c r="D229" s="10" t="s">
        <v>764</v>
      </c>
      <c r="E229" s="12" t="n">
        <v>5502.42</v>
      </c>
      <c r="F229" s="10" t="s">
        <v>40</v>
      </c>
      <c r="G229" s="9" t="n">
        <f aca="false">VALUE(LEFT(TEXT(E229,"0.00"),1))</f>
        <v>5</v>
      </c>
      <c r="H229" s="0" t="str">
        <f aca="false">UPPER(SUBSTITUTE(SUBSTITUTE(SUBSTITUTE(D229," ",""),"/",""),".",""))</f>
        <v>INV16023</v>
      </c>
      <c r="I229" s="9" t="n">
        <f aca="false">IF(COUNTIFS($C$5:C229,C229,$H$5:H229,H229,$E$5:E229,E229)&gt;1,1,0)</f>
        <v>0</v>
      </c>
      <c r="J229" s="9" t="n">
        <f aca="false">IF(AND(I229=0,COUNTIFS($C$5:$C$634,C229,$E$5:$E$634,E229,$B$5:$B$634,"&gt;="&amp;(B229-Parameters!$B$12),$B$5:$B$634,"&lt;="&amp;(B229+Parameters!$B$12),$H$5:$H$634,"&lt;&gt;"&amp;H229)&gt;0),1,0)</f>
        <v>0</v>
      </c>
      <c r="K229" s="9" t="n">
        <f aca="false">IF(AND(E229&gt;=Parameters!$B$11,ROUND(MOD(ROUND(E229,2),Parameters!$B$10),2)=0),1,0)</f>
        <v>0</v>
      </c>
      <c r="L229" s="9" t="n">
        <f aca="false">IF(AND(E229&lt;Parameters!$B$7,E229&gt;=Parameters!$B$7*(1-Parameters!$B$9)),1,0)</f>
        <v>0</v>
      </c>
      <c r="M229" s="9" t="n">
        <f aca="false">IF(AND(E229&lt;Parameters!$B$7,COUNTIFS($C$5:$C$634,C229,$B$5:$B$634,B229)&gt;1,SUMIFS($E$5:$E$634,$C$5:$C$634,C229,$B$5:$B$634,B229)&gt;=Parameters!$B$7),1,0)</f>
        <v>0</v>
      </c>
      <c r="N229" s="9" t="n">
        <f aca="false">IF(AND(E229&gt;=Parameters!$B$7,F229&lt;&gt;Parameters!$B$8),1,0)</f>
        <v>0</v>
      </c>
      <c r="O229" s="9" t="n">
        <f aca="false">INDEX(Vendor_Benford!$N$6:$N$50,MATCH(C229,Vendor_Benford!$A$6:$A$50,0))</f>
        <v>0</v>
      </c>
      <c r="P229" s="9" t="n">
        <f aca="false">INDEX(Vendor_Benford!$M$6:$M$50,MATCH(C229,Vendor_Benford!$A$6:$A$50,0))</f>
        <v>0</v>
      </c>
      <c r="Q229" s="9" t="n">
        <f aca="false">I229*Parameters!$B$28+J229*Parameters!$B$29+K229*Parameters!$B$30+L229*Parameters!$B$31+M229*Parameters!$B$32+N229*Parameters!$B$33+O229*Parameters!$B$34+P229*Parameters!$B$35</f>
        <v>0</v>
      </c>
      <c r="R229" s="0" t="str">
        <f aca="false">IF(Q229&gt;=Parameters!$B$24,"High","")</f>
        <v/>
      </c>
    </row>
    <row r="230" customFormat="false" ht="15" hidden="false" customHeight="false" outlineLevel="0" collapsed="false">
      <c r="A230" s="10" t="s">
        <v>765</v>
      </c>
      <c r="B230" s="8" t="n">
        <v>45789</v>
      </c>
      <c r="C230" s="10" t="s">
        <v>140</v>
      </c>
      <c r="D230" s="10" t="s">
        <v>766</v>
      </c>
      <c r="E230" s="12" t="n">
        <v>88987.53</v>
      </c>
      <c r="F230" s="10" t="s">
        <v>40</v>
      </c>
      <c r="G230" s="9" t="n">
        <f aca="false">VALUE(LEFT(TEXT(E230,"0.00"),1))</f>
        <v>8</v>
      </c>
      <c r="H230" s="0" t="str">
        <f aca="false">UPPER(SUBSTITUTE(SUBSTITUTE(SUBSTITUTE(D230," ",""),"/",""),".",""))</f>
        <v>INV11012</v>
      </c>
      <c r="I230" s="9" t="n">
        <f aca="false">IF(COUNTIFS($C$5:C230,C230,$H$5:H230,H230,$E$5:E230,E230)&gt;1,1,0)</f>
        <v>0</v>
      </c>
      <c r="J230" s="9" t="n">
        <f aca="false">IF(AND(I230=0,COUNTIFS($C$5:$C$634,C230,$E$5:$E$634,E230,$B$5:$B$634,"&gt;="&amp;(B230-Parameters!$B$12),$B$5:$B$634,"&lt;="&amp;(B230+Parameters!$B$12),$H$5:$H$634,"&lt;&gt;"&amp;H230)&gt;0),1,0)</f>
        <v>0</v>
      </c>
      <c r="K230" s="9" t="n">
        <f aca="false">IF(AND(E230&gt;=Parameters!$B$11,ROUND(MOD(ROUND(E230,2),Parameters!$B$10),2)=0),1,0)</f>
        <v>0</v>
      </c>
      <c r="L230" s="9" t="n">
        <f aca="false">IF(AND(E230&lt;Parameters!$B$7,E230&gt;=Parameters!$B$7*(1-Parameters!$B$9)),1,0)</f>
        <v>0</v>
      </c>
      <c r="M230" s="9" t="n">
        <f aca="false">IF(AND(E230&lt;Parameters!$B$7,COUNTIFS($C$5:$C$634,C230,$B$5:$B$634,B230)&gt;1,SUMIFS($E$5:$E$634,$C$5:$C$634,C230,$B$5:$B$634,B230)&gt;=Parameters!$B$7),1,0)</f>
        <v>0</v>
      </c>
      <c r="N230" s="9" t="n">
        <f aca="false">IF(AND(E230&gt;=Parameters!$B$7,F230&lt;&gt;Parameters!$B$8),1,0)</f>
        <v>0</v>
      </c>
      <c r="O230" s="9" t="n">
        <f aca="false">INDEX(Vendor_Benford!$N$6:$N$50,MATCH(C230,Vendor_Benford!$A$6:$A$50,0))</f>
        <v>0</v>
      </c>
      <c r="P230" s="9" t="n">
        <f aca="false">INDEX(Vendor_Benford!$M$6:$M$50,MATCH(C230,Vendor_Benford!$A$6:$A$50,0))</f>
        <v>0</v>
      </c>
      <c r="Q230" s="9" t="n">
        <f aca="false">I230*Parameters!$B$28+J230*Parameters!$B$29+K230*Parameters!$B$30+L230*Parameters!$B$31+M230*Parameters!$B$32+N230*Parameters!$B$33+O230*Parameters!$B$34+P230*Parameters!$B$35</f>
        <v>0</v>
      </c>
      <c r="R230" s="0" t="str">
        <f aca="false">IF(Q230&gt;=Parameters!$B$24,"High","")</f>
        <v/>
      </c>
    </row>
    <row r="231" customFormat="false" ht="15" hidden="false" customHeight="false" outlineLevel="0" collapsed="false">
      <c r="A231" s="10" t="s">
        <v>767</v>
      </c>
      <c r="B231" s="8" t="n">
        <v>45789</v>
      </c>
      <c r="C231" s="10" t="s">
        <v>161</v>
      </c>
      <c r="D231" s="10" t="s">
        <v>768</v>
      </c>
      <c r="E231" s="12" t="n">
        <v>44405.22</v>
      </c>
      <c r="F231" s="10" t="s">
        <v>40</v>
      </c>
      <c r="G231" s="9" t="n">
        <f aca="false">VALUE(LEFT(TEXT(E231,"0.00"),1))</f>
        <v>4</v>
      </c>
      <c r="H231" s="0" t="str">
        <f aca="false">UPPER(SUBSTITUTE(SUBSTITUTE(SUBSTITUTE(D231," ",""),"/",""),".",""))</f>
        <v>INV18001</v>
      </c>
      <c r="I231" s="9" t="n">
        <f aca="false">IF(COUNTIFS($C$5:C231,C231,$H$5:H231,H231,$E$5:E231,E231)&gt;1,1,0)</f>
        <v>0</v>
      </c>
      <c r="J231" s="9" t="n">
        <f aca="false">IF(AND(I231=0,COUNTIFS($C$5:$C$634,C231,$E$5:$E$634,E231,$B$5:$B$634,"&gt;="&amp;(B231-Parameters!$B$12),$B$5:$B$634,"&lt;="&amp;(B231+Parameters!$B$12),$H$5:$H$634,"&lt;&gt;"&amp;H231)&gt;0),1,0)</f>
        <v>0</v>
      </c>
      <c r="K231" s="9" t="n">
        <f aca="false">IF(AND(E231&gt;=Parameters!$B$11,ROUND(MOD(ROUND(E231,2),Parameters!$B$10),2)=0),1,0)</f>
        <v>0</v>
      </c>
      <c r="L231" s="9" t="n">
        <f aca="false">IF(AND(E231&lt;Parameters!$B$7,E231&gt;=Parameters!$B$7*(1-Parameters!$B$9)),1,0)</f>
        <v>0</v>
      </c>
      <c r="M231" s="9" t="n">
        <f aca="false">IF(AND(E231&lt;Parameters!$B$7,COUNTIFS($C$5:$C$634,C231,$B$5:$B$634,B231)&gt;1,SUMIFS($E$5:$E$634,$C$5:$C$634,C231,$B$5:$B$634,B231)&gt;=Parameters!$B$7),1,0)</f>
        <v>0</v>
      </c>
      <c r="N231" s="9" t="n">
        <f aca="false">IF(AND(E231&gt;=Parameters!$B$7,F231&lt;&gt;Parameters!$B$8),1,0)</f>
        <v>0</v>
      </c>
      <c r="O231" s="9" t="n">
        <f aca="false">INDEX(Vendor_Benford!$N$6:$N$50,MATCH(C231,Vendor_Benford!$A$6:$A$50,0))</f>
        <v>0</v>
      </c>
      <c r="P231" s="9" t="n">
        <f aca="false">INDEX(Vendor_Benford!$M$6:$M$50,MATCH(C231,Vendor_Benford!$A$6:$A$50,0))</f>
        <v>0</v>
      </c>
      <c r="Q231" s="9" t="n">
        <f aca="false">I231*Parameters!$B$28+J231*Parameters!$B$29+K231*Parameters!$B$30+L231*Parameters!$B$31+M231*Parameters!$B$32+N231*Parameters!$B$33+O231*Parameters!$B$34+P231*Parameters!$B$35</f>
        <v>0</v>
      </c>
      <c r="R231" s="0" t="str">
        <f aca="false">IF(Q231&gt;=Parameters!$B$24,"High","")</f>
        <v/>
      </c>
    </row>
    <row r="232" customFormat="false" ht="15" hidden="false" customHeight="false" outlineLevel="0" collapsed="false">
      <c r="A232" s="10" t="s">
        <v>769</v>
      </c>
      <c r="B232" s="8" t="n">
        <v>45789</v>
      </c>
      <c r="C232" s="10" t="s">
        <v>161</v>
      </c>
      <c r="D232" s="10" t="s">
        <v>770</v>
      </c>
      <c r="E232" s="12" t="n">
        <v>2695.46</v>
      </c>
      <c r="F232" s="10" t="s">
        <v>347</v>
      </c>
      <c r="G232" s="9" t="n">
        <f aca="false">VALUE(LEFT(TEXT(E232,"0.00"),1))</f>
        <v>2</v>
      </c>
      <c r="H232" s="0" t="str">
        <f aca="false">UPPER(SUBSTITUTE(SUBSTITUTE(SUBSTITUTE(D232," ",""),"/",""),".",""))</f>
        <v>INV18006</v>
      </c>
      <c r="I232" s="9" t="n">
        <f aca="false">IF(COUNTIFS($C$5:C232,C232,$H$5:H232,H232,$E$5:E232,E232)&gt;1,1,0)</f>
        <v>0</v>
      </c>
      <c r="J232" s="9" t="n">
        <f aca="false">IF(AND(I232=0,COUNTIFS($C$5:$C$634,C232,$E$5:$E$634,E232,$B$5:$B$634,"&gt;="&amp;(B232-Parameters!$B$12),$B$5:$B$634,"&lt;="&amp;(B232+Parameters!$B$12),$H$5:$H$634,"&lt;&gt;"&amp;H232)&gt;0),1,0)</f>
        <v>0</v>
      </c>
      <c r="K232" s="9" t="n">
        <f aca="false">IF(AND(E232&gt;=Parameters!$B$11,ROUND(MOD(ROUND(E232,2),Parameters!$B$10),2)=0),1,0)</f>
        <v>0</v>
      </c>
      <c r="L232" s="9" t="n">
        <f aca="false">IF(AND(E232&lt;Parameters!$B$7,E232&gt;=Parameters!$B$7*(1-Parameters!$B$9)),1,0)</f>
        <v>0</v>
      </c>
      <c r="M232" s="9" t="n">
        <f aca="false">IF(AND(E232&lt;Parameters!$B$7,COUNTIFS($C$5:$C$634,C232,$B$5:$B$634,B232)&gt;1,SUMIFS($E$5:$E$634,$C$5:$C$634,C232,$B$5:$B$634,B232)&gt;=Parameters!$B$7),1,0)</f>
        <v>1</v>
      </c>
      <c r="N232" s="9" t="n">
        <f aca="false">IF(AND(E232&gt;=Parameters!$B$7,F232&lt;&gt;Parameters!$B$8),1,0)</f>
        <v>0</v>
      </c>
      <c r="O232" s="9" t="n">
        <f aca="false">INDEX(Vendor_Benford!$N$6:$N$50,MATCH(C232,Vendor_Benford!$A$6:$A$50,0))</f>
        <v>0</v>
      </c>
      <c r="P232" s="9" t="n">
        <f aca="false">INDEX(Vendor_Benford!$M$6:$M$50,MATCH(C232,Vendor_Benford!$A$6:$A$50,0))</f>
        <v>0</v>
      </c>
      <c r="Q232" s="9" t="n">
        <f aca="false">I232*Parameters!$B$28+J232*Parameters!$B$29+K232*Parameters!$B$30+L232*Parameters!$B$31+M232*Parameters!$B$32+N232*Parameters!$B$33+O232*Parameters!$B$34+P232*Parameters!$B$35</f>
        <v>3</v>
      </c>
      <c r="R232" s="0" t="str">
        <f aca="false">IF(Q232&gt;=Parameters!$B$24,"High","")</f>
        <v/>
      </c>
    </row>
    <row r="233" customFormat="false" ht="15" hidden="false" customHeight="false" outlineLevel="0" collapsed="false">
      <c r="A233" s="10" t="s">
        <v>771</v>
      </c>
      <c r="B233" s="8" t="n">
        <v>45789</v>
      </c>
      <c r="C233" s="10" t="s">
        <v>167</v>
      </c>
      <c r="D233" s="10" t="s">
        <v>772</v>
      </c>
      <c r="E233" s="12" t="n">
        <v>86485.48</v>
      </c>
      <c r="F233" s="10" t="s">
        <v>40</v>
      </c>
      <c r="G233" s="9" t="n">
        <f aca="false">VALUE(LEFT(TEXT(E233,"0.00"),1))</f>
        <v>8</v>
      </c>
      <c r="H233" s="0" t="str">
        <f aca="false">UPPER(SUBSTITUTE(SUBSTITUTE(SUBSTITUTE(D233," ",""),"/",""),".",""))</f>
        <v>INV20007</v>
      </c>
      <c r="I233" s="9" t="n">
        <f aca="false">IF(COUNTIFS($C$5:C233,C233,$H$5:H233,H233,$E$5:E233,E233)&gt;1,1,0)</f>
        <v>0</v>
      </c>
      <c r="J233" s="9" t="n">
        <f aca="false">IF(AND(I233=0,COUNTIFS($C$5:$C$634,C233,$E$5:$E$634,E233,$B$5:$B$634,"&gt;="&amp;(B233-Parameters!$B$12),$B$5:$B$634,"&lt;="&amp;(B233+Parameters!$B$12),$H$5:$H$634,"&lt;&gt;"&amp;H233)&gt;0),1,0)</f>
        <v>0</v>
      </c>
      <c r="K233" s="9" t="n">
        <f aca="false">IF(AND(E233&gt;=Parameters!$B$11,ROUND(MOD(ROUND(E233,2),Parameters!$B$10),2)=0),1,0)</f>
        <v>0</v>
      </c>
      <c r="L233" s="9" t="n">
        <f aca="false">IF(AND(E233&lt;Parameters!$B$7,E233&gt;=Parameters!$B$7*(1-Parameters!$B$9)),1,0)</f>
        <v>0</v>
      </c>
      <c r="M233" s="9" t="n">
        <f aca="false">IF(AND(E233&lt;Parameters!$B$7,COUNTIFS($C$5:$C$634,C233,$B$5:$B$634,B233)&gt;1,SUMIFS($E$5:$E$634,$C$5:$C$634,C233,$B$5:$B$634,B233)&gt;=Parameters!$B$7),1,0)</f>
        <v>0</v>
      </c>
      <c r="N233" s="9" t="n">
        <f aca="false">IF(AND(E233&gt;=Parameters!$B$7,F233&lt;&gt;Parameters!$B$8),1,0)</f>
        <v>0</v>
      </c>
      <c r="O233" s="9" t="n">
        <f aca="false">INDEX(Vendor_Benford!$N$6:$N$50,MATCH(C233,Vendor_Benford!$A$6:$A$50,0))</f>
        <v>0</v>
      </c>
      <c r="P233" s="9" t="n">
        <f aca="false">INDEX(Vendor_Benford!$M$6:$M$50,MATCH(C233,Vendor_Benford!$A$6:$A$50,0))</f>
        <v>0</v>
      </c>
      <c r="Q233" s="9" t="n">
        <f aca="false">I233*Parameters!$B$28+J233*Parameters!$B$29+K233*Parameters!$B$30+L233*Parameters!$B$31+M233*Parameters!$B$32+N233*Parameters!$B$33+O233*Parameters!$B$34+P233*Parameters!$B$35</f>
        <v>0</v>
      </c>
      <c r="R233" s="0" t="str">
        <f aca="false">IF(Q233&gt;=Parameters!$B$24,"High","")</f>
        <v/>
      </c>
    </row>
    <row r="234" customFormat="false" ht="15" hidden="false" customHeight="false" outlineLevel="0" collapsed="false">
      <c r="A234" s="10" t="s">
        <v>773</v>
      </c>
      <c r="B234" s="8" t="n">
        <v>45790</v>
      </c>
      <c r="C234" s="10" t="s">
        <v>152</v>
      </c>
      <c r="D234" s="10" t="s">
        <v>774</v>
      </c>
      <c r="E234" s="12" t="n">
        <v>42593.27</v>
      </c>
      <c r="F234" s="10" t="s">
        <v>40</v>
      </c>
      <c r="G234" s="9" t="n">
        <f aca="false">VALUE(LEFT(TEXT(E234,"0.00"),1))</f>
        <v>4</v>
      </c>
      <c r="H234" s="0" t="str">
        <f aca="false">UPPER(SUBSTITUTE(SUBSTITUTE(SUBSTITUTE(D234," ",""),"/",""),".",""))</f>
        <v>INV15006</v>
      </c>
      <c r="I234" s="9" t="n">
        <f aca="false">IF(COUNTIFS($C$5:C234,C234,$H$5:H234,H234,$E$5:E234,E234)&gt;1,1,0)</f>
        <v>0</v>
      </c>
      <c r="J234" s="9" t="n">
        <f aca="false">IF(AND(I234=0,COUNTIFS($C$5:$C$634,C234,$E$5:$E$634,E234,$B$5:$B$634,"&gt;="&amp;(B234-Parameters!$B$12),$B$5:$B$634,"&lt;="&amp;(B234+Parameters!$B$12),$H$5:$H$634,"&lt;&gt;"&amp;H234)&gt;0),1,0)</f>
        <v>0</v>
      </c>
      <c r="K234" s="9" t="n">
        <f aca="false">IF(AND(E234&gt;=Parameters!$B$11,ROUND(MOD(ROUND(E234,2),Parameters!$B$10),2)=0),1,0)</f>
        <v>0</v>
      </c>
      <c r="L234" s="9" t="n">
        <f aca="false">IF(AND(E234&lt;Parameters!$B$7,E234&gt;=Parameters!$B$7*(1-Parameters!$B$9)),1,0)</f>
        <v>0</v>
      </c>
      <c r="M234" s="9" t="n">
        <f aca="false">IF(AND(E234&lt;Parameters!$B$7,COUNTIFS($C$5:$C$634,C234,$B$5:$B$634,B234)&gt;1,SUMIFS($E$5:$E$634,$C$5:$C$634,C234,$B$5:$B$634,B234)&gt;=Parameters!$B$7),1,0)</f>
        <v>0</v>
      </c>
      <c r="N234" s="9" t="n">
        <f aca="false">IF(AND(E234&gt;=Parameters!$B$7,F234&lt;&gt;Parameters!$B$8),1,0)</f>
        <v>0</v>
      </c>
      <c r="O234" s="9" t="n">
        <f aca="false">INDEX(Vendor_Benford!$N$6:$N$50,MATCH(C234,Vendor_Benford!$A$6:$A$50,0))</f>
        <v>0</v>
      </c>
      <c r="P234" s="9" t="n">
        <f aca="false">INDEX(Vendor_Benford!$M$6:$M$50,MATCH(C234,Vendor_Benford!$A$6:$A$50,0))</f>
        <v>0</v>
      </c>
      <c r="Q234" s="9" t="n">
        <f aca="false">I234*Parameters!$B$28+J234*Parameters!$B$29+K234*Parameters!$B$30+L234*Parameters!$B$31+M234*Parameters!$B$32+N234*Parameters!$B$33+O234*Parameters!$B$34+P234*Parameters!$B$35</f>
        <v>0</v>
      </c>
      <c r="R234" s="0" t="str">
        <f aca="false">IF(Q234&gt;=Parameters!$B$24,"High","")</f>
        <v/>
      </c>
    </row>
    <row r="235" customFormat="false" ht="15" hidden="false" customHeight="false" outlineLevel="0" collapsed="false">
      <c r="A235" s="10" t="s">
        <v>775</v>
      </c>
      <c r="B235" s="8" t="n">
        <v>45790</v>
      </c>
      <c r="C235" s="10" t="s">
        <v>218</v>
      </c>
      <c r="D235" s="10" t="s">
        <v>776</v>
      </c>
      <c r="E235" s="12" t="n">
        <v>95106.47</v>
      </c>
      <c r="F235" s="10" t="s">
        <v>40</v>
      </c>
      <c r="G235" s="9" t="n">
        <f aca="false">VALUE(LEFT(TEXT(E235,"0.00"),1))</f>
        <v>9</v>
      </c>
      <c r="H235" s="0" t="str">
        <f aca="false">UPPER(SUBSTITUTE(SUBSTITUTE(SUBSTITUTE(D235," ",""),"/",""),".",""))</f>
        <v>INV37009</v>
      </c>
      <c r="I235" s="9" t="n">
        <f aca="false">IF(COUNTIFS($C$5:C235,C235,$H$5:H235,H235,$E$5:E235,E235)&gt;1,1,0)</f>
        <v>0</v>
      </c>
      <c r="J235" s="9" t="n">
        <f aca="false">IF(AND(I235=0,COUNTIFS($C$5:$C$634,C235,$E$5:$E$634,E235,$B$5:$B$634,"&gt;="&amp;(B235-Parameters!$B$12),$B$5:$B$634,"&lt;="&amp;(B235+Parameters!$B$12),$H$5:$H$634,"&lt;&gt;"&amp;H235)&gt;0),1,0)</f>
        <v>0</v>
      </c>
      <c r="K235" s="9" t="n">
        <f aca="false">IF(AND(E235&gt;=Parameters!$B$11,ROUND(MOD(ROUND(E235,2),Parameters!$B$10),2)=0),1,0)</f>
        <v>0</v>
      </c>
      <c r="L235" s="9" t="n">
        <f aca="false">IF(AND(E235&lt;Parameters!$B$7,E235&gt;=Parameters!$B$7*(1-Parameters!$B$9)),1,0)</f>
        <v>0</v>
      </c>
      <c r="M235" s="9" t="n">
        <f aca="false">IF(AND(E235&lt;Parameters!$B$7,COUNTIFS($C$5:$C$634,C235,$B$5:$B$634,B235)&gt;1,SUMIFS($E$5:$E$634,$C$5:$C$634,C235,$B$5:$B$634,B235)&gt;=Parameters!$B$7),1,0)</f>
        <v>0</v>
      </c>
      <c r="N235" s="9" t="n">
        <f aca="false">IF(AND(E235&gt;=Parameters!$B$7,F235&lt;&gt;Parameters!$B$8),1,0)</f>
        <v>0</v>
      </c>
      <c r="O235" s="9" t="n">
        <f aca="false">INDEX(Vendor_Benford!$N$6:$N$50,MATCH(C235,Vendor_Benford!$A$6:$A$50,0))</f>
        <v>0</v>
      </c>
      <c r="P235" s="9" t="n">
        <f aca="false">INDEX(Vendor_Benford!$M$6:$M$50,MATCH(C235,Vendor_Benford!$A$6:$A$50,0))</f>
        <v>0</v>
      </c>
      <c r="Q235" s="9" t="n">
        <f aca="false">I235*Parameters!$B$28+J235*Parameters!$B$29+K235*Parameters!$B$30+L235*Parameters!$B$31+M235*Parameters!$B$32+N235*Parameters!$B$33+O235*Parameters!$B$34+P235*Parameters!$B$35</f>
        <v>0</v>
      </c>
      <c r="R235" s="0" t="str">
        <f aca="false">IF(Q235&gt;=Parameters!$B$24,"High","")</f>
        <v/>
      </c>
    </row>
    <row r="236" customFormat="false" ht="15" hidden="false" customHeight="false" outlineLevel="0" collapsed="false">
      <c r="A236" s="10" t="s">
        <v>777</v>
      </c>
      <c r="B236" s="8" t="n">
        <v>45790</v>
      </c>
      <c r="C236" s="10" t="s">
        <v>239</v>
      </c>
      <c r="D236" s="10" t="s">
        <v>778</v>
      </c>
      <c r="E236" s="12" t="n">
        <v>90472.82</v>
      </c>
      <c r="F236" s="10" t="s">
        <v>40</v>
      </c>
      <c r="G236" s="9" t="n">
        <f aca="false">VALUE(LEFT(TEXT(E236,"0.00"),1))</f>
        <v>9</v>
      </c>
      <c r="H236" s="0" t="str">
        <f aca="false">UPPER(SUBSTITUTE(SUBSTITUTE(SUBSTITUTE(D236," ",""),"/",""),".",""))</f>
        <v>INV44007</v>
      </c>
      <c r="I236" s="9" t="n">
        <f aca="false">IF(COUNTIFS($C$5:C236,C236,$H$5:H236,H236,$E$5:E236,E236)&gt;1,1,0)</f>
        <v>0</v>
      </c>
      <c r="J236" s="9" t="n">
        <f aca="false">IF(AND(I236=0,COUNTIFS($C$5:$C$634,C236,$E$5:$E$634,E236,$B$5:$B$634,"&gt;="&amp;(B236-Parameters!$B$12),$B$5:$B$634,"&lt;="&amp;(B236+Parameters!$B$12),$H$5:$H$634,"&lt;&gt;"&amp;H236)&gt;0),1,0)</f>
        <v>0</v>
      </c>
      <c r="K236" s="9" t="n">
        <f aca="false">IF(AND(E236&gt;=Parameters!$B$11,ROUND(MOD(ROUND(E236,2),Parameters!$B$10),2)=0),1,0)</f>
        <v>0</v>
      </c>
      <c r="L236" s="9" t="n">
        <f aca="false">IF(AND(E236&lt;Parameters!$B$7,E236&gt;=Parameters!$B$7*(1-Parameters!$B$9)),1,0)</f>
        <v>0</v>
      </c>
      <c r="M236" s="9" t="n">
        <f aca="false">IF(AND(E236&lt;Parameters!$B$7,COUNTIFS($C$5:$C$634,C236,$B$5:$B$634,B236)&gt;1,SUMIFS($E$5:$E$634,$C$5:$C$634,C236,$B$5:$B$634,B236)&gt;=Parameters!$B$7),1,0)</f>
        <v>0</v>
      </c>
      <c r="N236" s="9" t="n">
        <f aca="false">IF(AND(E236&gt;=Parameters!$B$7,F236&lt;&gt;Parameters!$B$8),1,0)</f>
        <v>0</v>
      </c>
      <c r="O236" s="9" t="n">
        <f aca="false">INDEX(Vendor_Benford!$N$6:$N$50,MATCH(C236,Vendor_Benford!$A$6:$A$50,0))</f>
        <v>0</v>
      </c>
      <c r="P236" s="9" t="n">
        <f aca="false">INDEX(Vendor_Benford!$M$6:$M$50,MATCH(C236,Vendor_Benford!$A$6:$A$50,0))</f>
        <v>0</v>
      </c>
      <c r="Q236" s="9" t="n">
        <f aca="false">I236*Parameters!$B$28+J236*Parameters!$B$29+K236*Parameters!$B$30+L236*Parameters!$B$31+M236*Parameters!$B$32+N236*Parameters!$B$33+O236*Parameters!$B$34+P236*Parameters!$B$35</f>
        <v>0</v>
      </c>
      <c r="R236" s="0" t="str">
        <f aca="false">IF(Q236&gt;=Parameters!$B$24,"High","")</f>
        <v/>
      </c>
    </row>
    <row r="237" customFormat="false" ht="15" hidden="false" customHeight="false" outlineLevel="0" collapsed="false">
      <c r="A237" s="10" t="s">
        <v>779</v>
      </c>
      <c r="B237" s="8" t="n">
        <v>45793</v>
      </c>
      <c r="C237" s="10" t="s">
        <v>113</v>
      </c>
      <c r="D237" s="10" t="s">
        <v>780</v>
      </c>
      <c r="E237" s="12" t="n">
        <v>4900</v>
      </c>
      <c r="F237" s="10" t="s">
        <v>347</v>
      </c>
      <c r="G237" s="9" t="n">
        <f aca="false">VALUE(LEFT(TEXT(E237,"0.00"),1))</f>
        <v>4</v>
      </c>
      <c r="H237" s="0" t="str">
        <f aca="false">UPPER(SUBSTITUTE(SUBSTITUTE(SUBSTITUTE(D237," ",""),"/",""),".",""))</f>
        <v>LIC2505</v>
      </c>
      <c r="I237" s="9" t="n">
        <f aca="false">IF(COUNTIFS($C$5:C237,C237,$H$5:H237,H237,$E$5:E237,E237)&gt;1,1,0)</f>
        <v>0</v>
      </c>
      <c r="J237" s="9" t="n">
        <f aca="false">IF(AND(I237=0,COUNTIFS($C$5:$C$634,C237,$E$5:$E$634,E237,$B$5:$B$634,"&gt;="&amp;(B237-Parameters!$B$12),$B$5:$B$634,"&lt;="&amp;(B237+Parameters!$B$12),$H$5:$H$634,"&lt;&gt;"&amp;H237)&gt;0),1,0)</f>
        <v>1</v>
      </c>
      <c r="K237" s="9" t="n">
        <f aca="false">IF(AND(E237&gt;=Parameters!$B$11,ROUND(MOD(ROUND(E237,2),Parameters!$B$10),2)=0),1,0)</f>
        <v>0</v>
      </c>
      <c r="L237" s="9" t="n">
        <f aca="false">IF(AND(E237&lt;Parameters!$B$7,E237&gt;=Parameters!$B$7*(1-Parameters!$B$9)),1,0)</f>
        <v>1</v>
      </c>
      <c r="M237" s="9" t="n">
        <f aca="false">IF(AND(E237&lt;Parameters!$B$7,COUNTIFS($C$5:$C$634,C237,$B$5:$B$634,B237)&gt;1,SUMIFS($E$5:$E$634,$C$5:$C$634,C237,$B$5:$B$634,B237)&gt;=Parameters!$B$7),1,0)</f>
        <v>0</v>
      </c>
      <c r="N237" s="9" t="n">
        <f aca="false">IF(AND(E237&gt;=Parameters!$B$7,F237&lt;&gt;Parameters!$B$8),1,0)</f>
        <v>0</v>
      </c>
      <c r="O237" s="9" t="n">
        <f aca="false">INDEX(Vendor_Benford!$N$6:$N$50,MATCH(C237,Vendor_Benford!$A$6:$A$50,0))</f>
        <v>0</v>
      </c>
      <c r="P237" s="9" t="n">
        <f aca="false">INDEX(Vendor_Benford!$M$6:$M$50,MATCH(C237,Vendor_Benford!$A$6:$A$50,0))</f>
        <v>0</v>
      </c>
      <c r="Q237" s="9" t="n">
        <f aca="false">I237*Parameters!$B$28+J237*Parameters!$B$29+K237*Parameters!$B$30+L237*Parameters!$B$31+M237*Parameters!$B$32+N237*Parameters!$B$33+O237*Parameters!$B$34+P237*Parameters!$B$35</f>
        <v>5</v>
      </c>
      <c r="R237" s="0" t="str">
        <f aca="false">IF(Q237&gt;=Parameters!$B$24,"High","")</f>
        <v>High</v>
      </c>
    </row>
    <row r="238" customFormat="false" ht="15" hidden="false" customHeight="false" outlineLevel="0" collapsed="false">
      <c r="A238" s="10" t="s">
        <v>781</v>
      </c>
      <c r="B238" s="8" t="n">
        <v>45793</v>
      </c>
      <c r="C238" s="10" t="s">
        <v>116</v>
      </c>
      <c r="D238" s="10" t="s">
        <v>782</v>
      </c>
      <c r="E238" s="12" t="n">
        <v>3022.31</v>
      </c>
      <c r="F238" s="10" t="s">
        <v>347</v>
      </c>
      <c r="G238" s="9" t="n">
        <f aca="false">VALUE(LEFT(TEXT(E238,"0.00"),1))</f>
        <v>3</v>
      </c>
      <c r="H238" s="0" t="str">
        <f aca="false">UPPER(SUBSTITUTE(SUBSTITUTE(SUBSTITUTE(D238," ",""),"/",""),".",""))</f>
        <v>INV3015</v>
      </c>
      <c r="I238" s="9" t="n">
        <f aca="false">IF(COUNTIFS($C$5:C238,C238,$H$5:H238,H238,$E$5:E238,E238)&gt;1,1,0)</f>
        <v>0</v>
      </c>
      <c r="J238" s="9" t="n">
        <f aca="false">IF(AND(I238=0,COUNTIFS($C$5:$C$634,C238,$E$5:$E$634,E238,$B$5:$B$634,"&gt;="&amp;(B238-Parameters!$B$12),$B$5:$B$634,"&lt;="&amp;(B238+Parameters!$B$12),$H$5:$H$634,"&lt;&gt;"&amp;H238)&gt;0),1,0)</f>
        <v>0</v>
      </c>
      <c r="K238" s="9" t="n">
        <f aca="false">IF(AND(E238&gt;=Parameters!$B$11,ROUND(MOD(ROUND(E238,2),Parameters!$B$10),2)=0),1,0)</f>
        <v>0</v>
      </c>
      <c r="L238" s="9" t="n">
        <f aca="false">IF(AND(E238&lt;Parameters!$B$7,E238&gt;=Parameters!$B$7*(1-Parameters!$B$9)),1,0)</f>
        <v>0</v>
      </c>
      <c r="M238" s="9" t="n">
        <f aca="false">IF(AND(E238&lt;Parameters!$B$7,COUNTIFS($C$5:$C$634,C238,$B$5:$B$634,B238)&gt;1,SUMIFS($E$5:$E$634,$C$5:$C$634,C238,$B$5:$B$634,B238)&gt;=Parameters!$B$7),1,0)</f>
        <v>1</v>
      </c>
      <c r="N238" s="9" t="n">
        <f aca="false">IF(AND(E238&gt;=Parameters!$B$7,F238&lt;&gt;Parameters!$B$8),1,0)</f>
        <v>0</v>
      </c>
      <c r="O238" s="9" t="n">
        <f aca="false">INDEX(Vendor_Benford!$N$6:$N$50,MATCH(C238,Vendor_Benford!$A$6:$A$50,0))</f>
        <v>0</v>
      </c>
      <c r="P238" s="9" t="n">
        <f aca="false">INDEX(Vendor_Benford!$M$6:$M$50,MATCH(C238,Vendor_Benford!$A$6:$A$50,0))</f>
        <v>0</v>
      </c>
      <c r="Q238" s="9" t="n">
        <f aca="false">I238*Parameters!$B$28+J238*Parameters!$B$29+K238*Parameters!$B$30+L238*Parameters!$B$31+M238*Parameters!$B$32+N238*Parameters!$B$33+O238*Parameters!$B$34+P238*Parameters!$B$35</f>
        <v>3</v>
      </c>
      <c r="R238" s="0" t="str">
        <f aca="false">IF(Q238&gt;=Parameters!$B$24,"High","")</f>
        <v/>
      </c>
    </row>
    <row r="239" customFormat="false" ht="15" hidden="false" customHeight="false" outlineLevel="0" collapsed="false">
      <c r="A239" s="10" t="s">
        <v>783</v>
      </c>
      <c r="B239" s="8" t="n">
        <v>45793</v>
      </c>
      <c r="C239" s="10" t="s">
        <v>116</v>
      </c>
      <c r="D239" s="10" t="s">
        <v>784</v>
      </c>
      <c r="E239" s="12" t="n">
        <v>3257.49</v>
      </c>
      <c r="F239" s="10" t="s">
        <v>347</v>
      </c>
      <c r="G239" s="9" t="n">
        <f aca="false">VALUE(LEFT(TEXT(E239,"0.00"),1))</f>
        <v>3</v>
      </c>
      <c r="H239" s="0" t="str">
        <f aca="false">UPPER(SUBSTITUTE(SUBSTITUTE(SUBSTITUTE(D239," ",""),"/",""),".",""))</f>
        <v>INV3016</v>
      </c>
      <c r="I239" s="9" t="n">
        <f aca="false">IF(COUNTIFS($C$5:C239,C239,$H$5:H239,H239,$E$5:E239,E239)&gt;1,1,0)</f>
        <v>0</v>
      </c>
      <c r="J239" s="9" t="n">
        <f aca="false">IF(AND(I239=0,COUNTIFS($C$5:$C$634,C239,$E$5:$E$634,E239,$B$5:$B$634,"&gt;="&amp;(B239-Parameters!$B$12),$B$5:$B$634,"&lt;="&amp;(B239+Parameters!$B$12),$H$5:$H$634,"&lt;&gt;"&amp;H239)&gt;0),1,0)</f>
        <v>0</v>
      </c>
      <c r="K239" s="9" t="n">
        <f aca="false">IF(AND(E239&gt;=Parameters!$B$11,ROUND(MOD(ROUND(E239,2),Parameters!$B$10),2)=0),1,0)</f>
        <v>0</v>
      </c>
      <c r="L239" s="9" t="n">
        <f aca="false">IF(AND(E239&lt;Parameters!$B$7,E239&gt;=Parameters!$B$7*(1-Parameters!$B$9)),1,0)</f>
        <v>0</v>
      </c>
      <c r="M239" s="9" t="n">
        <f aca="false">IF(AND(E239&lt;Parameters!$B$7,COUNTIFS($C$5:$C$634,C239,$B$5:$B$634,B239)&gt;1,SUMIFS($E$5:$E$634,$C$5:$C$634,C239,$B$5:$B$634,B239)&gt;=Parameters!$B$7),1,0)</f>
        <v>1</v>
      </c>
      <c r="N239" s="9" t="n">
        <f aca="false">IF(AND(E239&gt;=Parameters!$B$7,F239&lt;&gt;Parameters!$B$8),1,0)</f>
        <v>0</v>
      </c>
      <c r="O239" s="9" t="n">
        <f aca="false">INDEX(Vendor_Benford!$N$6:$N$50,MATCH(C239,Vendor_Benford!$A$6:$A$50,0))</f>
        <v>0</v>
      </c>
      <c r="P239" s="9" t="n">
        <f aca="false">INDEX(Vendor_Benford!$M$6:$M$50,MATCH(C239,Vendor_Benford!$A$6:$A$50,0))</f>
        <v>0</v>
      </c>
      <c r="Q239" s="9" t="n">
        <f aca="false">I239*Parameters!$B$28+J239*Parameters!$B$29+K239*Parameters!$B$30+L239*Parameters!$B$31+M239*Parameters!$B$32+N239*Parameters!$B$33+O239*Parameters!$B$34+P239*Parameters!$B$35</f>
        <v>3</v>
      </c>
      <c r="R239" s="0" t="str">
        <f aca="false">IF(Q239&gt;=Parameters!$B$24,"High","")</f>
        <v/>
      </c>
    </row>
    <row r="240" customFormat="false" ht="15" hidden="false" customHeight="false" outlineLevel="0" collapsed="false">
      <c r="A240" s="10" t="s">
        <v>785</v>
      </c>
      <c r="B240" s="8" t="n">
        <v>45793</v>
      </c>
      <c r="C240" s="10" t="s">
        <v>152</v>
      </c>
      <c r="D240" s="10" t="s">
        <v>786</v>
      </c>
      <c r="E240" s="12" t="n">
        <v>22540.5</v>
      </c>
      <c r="F240" s="10" t="s">
        <v>40</v>
      </c>
      <c r="G240" s="9" t="n">
        <f aca="false">VALUE(LEFT(TEXT(E240,"0.00"),1))</f>
        <v>2</v>
      </c>
      <c r="H240" s="0" t="str">
        <f aca="false">UPPER(SUBSTITUTE(SUBSTITUTE(SUBSTITUTE(D240," ",""),"/",""),".",""))</f>
        <v>INV15003</v>
      </c>
      <c r="I240" s="9" t="n">
        <f aca="false">IF(COUNTIFS($C$5:C240,C240,$H$5:H240,H240,$E$5:E240,E240)&gt;1,1,0)</f>
        <v>0</v>
      </c>
      <c r="J240" s="9" t="n">
        <f aca="false">IF(AND(I240=0,COUNTIFS($C$5:$C$634,C240,$E$5:$E$634,E240,$B$5:$B$634,"&gt;="&amp;(B240-Parameters!$B$12),$B$5:$B$634,"&lt;="&amp;(B240+Parameters!$B$12),$H$5:$H$634,"&lt;&gt;"&amp;H240)&gt;0),1,0)</f>
        <v>0</v>
      </c>
      <c r="K240" s="9" t="n">
        <f aca="false">IF(AND(E240&gt;=Parameters!$B$11,ROUND(MOD(ROUND(E240,2),Parameters!$B$10),2)=0),1,0)</f>
        <v>0</v>
      </c>
      <c r="L240" s="9" t="n">
        <f aca="false">IF(AND(E240&lt;Parameters!$B$7,E240&gt;=Parameters!$B$7*(1-Parameters!$B$9)),1,0)</f>
        <v>0</v>
      </c>
      <c r="M240" s="9" t="n">
        <f aca="false">IF(AND(E240&lt;Parameters!$B$7,COUNTIFS($C$5:$C$634,C240,$B$5:$B$634,B240)&gt;1,SUMIFS($E$5:$E$634,$C$5:$C$634,C240,$B$5:$B$634,B240)&gt;=Parameters!$B$7),1,0)</f>
        <v>0</v>
      </c>
      <c r="N240" s="9" t="n">
        <f aca="false">IF(AND(E240&gt;=Parameters!$B$7,F240&lt;&gt;Parameters!$B$8),1,0)</f>
        <v>0</v>
      </c>
      <c r="O240" s="9" t="n">
        <f aca="false">INDEX(Vendor_Benford!$N$6:$N$50,MATCH(C240,Vendor_Benford!$A$6:$A$50,0))</f>
        <v>0</v>
      </c>
      <c r="P240" s="9" t="n">
        <f aca="false">INDEX(Vendor_Benford!$M$6:$M$50,MATCH(C240,Vendor_Benford!$A$6:$A$50,0))</f>
        <v>0</v>
      </c>
      <c r="Q240" s="9" t="n">
        <f aca="false">I240*Parameters!$B$28+J240*Parameters!$B$29+K240*Parameters!$B$30+L240*Parameters!$B$31+M240*Parameters!$B$32+N240*Parameters!$B$33+O240*Parameters!$B$34+P240*Parameters!$B$35</f>
        <v>0</v>
      </c>
      <c r="R240" s="0" t="str">
        <f aca="false">IF(Q240&gt;=Parameters!$B$24,"High","")</f>
        <v/>
      </c>
    </row>
    <row r="241" customFormat="false" ht="15" hidden="false" customHeight="false" outlineLevel="0" collapsed="false">
      <c r="A241" s="10" t="s">
        <v>787</v>
      </c>
      <c r="B241" s="8" t="n">
        <v>45796</v>
      </c>
      <c r="C241" s="10" t="s">
        <v>134</v>
      </c>
      <c r="D241" s="10" t="s">
        <v>788</v>
      </c>
      <c r="E241" s="12" t="n">
        <v>170.97</v>
      </c>
      <c r="F241" s="10" t="s">
        <v>40</v>
      </c>
      <c r="G241" s="9" t="n">
        <f aca="false">VALUE(LEFT(TEXT(E241,"0.00"),1))</f>
        <v>1</v>
      </c>
      <c r="H241" s="0" t="str">
        <f aca="false">UPPER(SUBSTITUTE(SUBSTITUTE(SUBSTITUTE(D241," ",""),"/",""),".",""))</f>
        <v>INV9025</v>
      </c>
      <c r="I241" s="9" t="n">
        <f aca="false">IF(COUNTIFS($C$5:C241,C241,$H$5:H241,H241,$E$5:E241,E241)&gt;1,1,0)</f>
        <v>0</v>
      </c>
      <c r="J241" s="9" t="n">
        <f aca="false">IF(AND(I241=0,COUNTIFS($C$5:$C$634,C241,$E$5:$E$634,E241,$B$5:$B$634,"&gt;="&amp;(B241-Parameters!$B$12),$B$5:$B$634,"&lt;="&amp;(B241+Parameters!$B$12),$H$5:$H$634,"&lt;&gt;"&amp;H241)&gt;0),1,0)</f>
        <v>0</v>
      </c>
      <c r="K241" s="9" t="n">
        <f aca="false">IF(AND(E241&gt;=Parameters!$B$11,ROUND(MOD(ROUND(E241,2),Parameters!$B$10),2)=0),1,0)</f>
        <v>0</v>
      </c>
      <c r="L241" s="9" t="n">
        <f aca="false">IF(AND(E241&lt;Parameters!$B$7,E241&gt;=Parameters!$B$7*(1-Parameters!$B$9)),1,0)</f>
        <v>0</v>
      </c>
      <c r="M241" s="9" t="n">
        <f aca="false">IF(AND(E241&lt;Parameters!$B$7,COUNTIFS($C$5:$C$634,C241,$B$5:$B$634,B241)&gt;1,SUMIFS($E$5:$E$634,$C$5:$C$634,C241,$B$5:$B$634,B241)&gt;=Parameters!$B$7),1,0)</f>
        <v>0</v>
      </c>
      <c r="N241" s="9" t="n">
        <f aca="false">IF(AND(E241&gt;=Parameters!$B$7,F241&lt;&gt;Parameters!$B$8),1,0)</f>
        <v>0</v>
      </c>
      <c r="O241" s="9" t="n">
        <f aca="false">INDEX(Vendor_Benford!$N$6:$N$50,MATCH(C241,Vendor_Benford!$A$6:$A$50,0))</f>
        <v>0</v>
      </c>
      <c r="P241" s="9" t="n">
        <f aca="false">INDEX(Vendor_Benford!$M$6:$M$50,MATCH(C241,Vendor_Benford!$A$6:$A$50,0))</f>
        <v>0</v>
      </c>
      <c r="Q241" s="9" t="n">
        <f aca="false">I241*Parameters!$B$28+J241*Parameters!$B$29+K241*Parameters!$B$30+L241*Parameters!$B$31+M241*Parameters!$B$32+N241*Parameters!$B$33+O241*Parameters!$B$34+P241*Parameters!$B$35</f>
        <v>0</v>
      </c>
      <c r="R241" s="0" t="str">
        <f aca="false">IF(Q241&gt;=Parameters!$B$24,"High","")</f>
        <v/>
      </c>
    </row>
    <row r="242" customFormat="false" ht="15" hidden="false" customHeight="false" outlineLevel="0" collapsed="false">
      <c r="A242" s="10" t="s">
        <v>789</v>
      </c>
      <c r="B242" s="8" t="n">
        <v>45796</v>
      </c>
      <c r="C242" s="10" t="s">
        <v>140</v>
      </c>
      <c r="D242" s="10" t="s">
        <v>790</v>
      </c>
      <c r="E242" s="12" t="n">
        <v>225.86</v>
      </c>
      <c r="F242" s="10" t="s">
        <v>40</v>
      </c>
      <c r="G242" s="9" t="n">
        <f aca="false">VALUE(LEFT(TEXT(E242,"0.00"),1))</f>
        <v>2</v>
      </c>
      <c r="H242" s="0" t="str">
        <f aca="false">UPPER(SUBSTITUTE(SUBSTITUTE(SUBSTITUTE(D242," ",""),"/",""),".",""))</f>
        <v>INV11015</v>
      </c>
      <c r="I242" s="9" t="n">
        <f aca="false">IF(COUNTIFS($C$5:C242,C242,$H$5:H242,H242,$E$5:E242,E242)&gt;1,1,0)</f>
        <v>0</v>
      </c>
      <c r="J242" s="9" t="n">
        <f aca="false">IF(AND(I242=0,COUNTIFS($C$5:$C$634,C242,$E$5:$E$634,E242,$B$5:$B$634,"&gt;="&amp;(B242-Parameters!$B$12),$B$5:$B$634,"&lt;="&amp;(B242+Parameters!$B$12),$H$5:$H$634,"&lt;&gt;"&amp;H242)&gt;0),1,0)</f>
        <v>0</v>
      </c>
      <c r="K242" s="9" t="n">
        <f aca="false">IF(AND(E242&gt;=Parameters!$B$11,ROUND(MOD(ROUND(E242,2),Parameters!$B$10),2)=0),1,0)</f>
        <v>0</v>
      </c>
      <c r="L242" s="9" t="n">
        <f aca="false">IF(AND(E242&lt;Parameters!$B$7,E242&gt;=Parameters!$B$7*(1-Parameters!$B$9)),1,0)</f>
        <v>0</v>
      </c>
      <c r="M242" s="9" t="n">
        <f aca="false">IF(AND(E242&lt;Parameters!$B$7,COUNTIFS($C$5:$C$634,C242,$B$5:$B$634,B242)&gt;1,SUMIFS($E$5:$E$634,$C$5:$C$634,C242,$B$5:$B$634,B242)&gt;=Parameters!$B$7),1,0)</f>
        <v>0</v>
      </c>
      <c r="N242" s="9" t="n">
        <f aca="false">IF(AND(E242&gt;=Parameters!$B$7,F242&lt;&gt;Parameters!$B$8),1,0)</f>
        <v>0</v>
      </c>
      <c r="O242" s="9" t="n">
        <f aca="false">INDEX(Vendor_Benford!$N$6:$N$50,MATCH(C242,Vendor_Benford!$A$6:$A$50,0))</f>
        <v>0</v>
      </c>
      <c r="P242" s="9" t="n">
        <f aca="false">INDEX(Vendor_Benford!$M$6:$M$50,MATCH(C242,Vendor_Benford!$A$6:$A$50,0))</f>
        <v>0</v>
      </c>
      <c r="Q242" s="9" t="n">
        <f aca="false">I242*Parameters!$B$28+J242*Parameters!$B$29+K242*Parameters!$B$30+L242*Parameters!$B$31+M242*Parameters!$B$32+N242*Parameters!$B$33+O242*Parameters!$B$34+P242*Parameters!$B$35</f>
        <v>0</v>
      </c>
      <c r="R242" s="0" t="str">
        <f aca="false">IF(Q242&gt;=Parameters!$B$24,"High","")</f>
        <v/>
      </c>
    </row>
    <row r="243" customFormat="false" ht="15" hidden="false" customHeight="false" outlineLevel="0" collapsed="false">
      <c r="A243" s="10" t="s">
        <v>791</v>
      </c>
      <c r="B243" s="8" t="n">
        <v>45797</v>
      </c>
      <c r="C243" s="10" t="s">
        <v>161</v>
      </c>
      <c r="D243" s="10" t="s">
        <v>792</v>
      </c>
      <c r="E243" s="12" t="n">
        <v>51283.19</v>
      </c>
      <c r="F243" s="10" t="s">
        <v>40</v>
      </c>
      <c r="G243" s="9" t="n">
        <f aca="false">VALUE(LEFT(TEXT(E243,"0.00"),1))</f>
        <v>5</v>
      </c>
      <c r="H243" s="0" t="str">
        <f aca="false">UPPER(SUBSTITUTE(SUBSTITUTE(SUBSTITUTE(D243," ",""),"/",""),".",""))</f>
        <v>INV18002</v>
      </c>
      <c r="I243" s="9" t="n">
        <f aca="false">IF(COUNTIFS($C$5:C243,C243,$H$5:H243,H243,$E$5:E243,E243)&gt;1,1,0)</f>
        <v>0</v>
      </c>
      <c r="J243" s="9" t="n">
        <f aca="false">IF(AND(I243=0,COUNTIFS($C$5:$C$634,C243,$E$5:$E$634,E243,$B$5:$B$634,"&gt;="&amp;(B243-Parameters!$B$12),$B$5:$B$634,"&lt;="&amp;(B243+Parameters!$B$12),$H$5:$H$634,"&lt;&gt;"&amp;H243)&gt;0),1,0)</f>
        <v>0</v>
      </c>
      <c r="K243" s="9" t="n">
        <f aca="false">IF(AND(E243&gt;=Parameters!$B$11,ROUND(MOD(ROUND(E243,2),Parameters!$B$10),2)=0),1,0)</f>
        <v>0</v>
      </c>
      <c r="L243" s="9" t="n">
        <f aca="false">IF(AND(E243&lt;Parameters!$B$7,E243&gt;=Parameters!$B$7*(1-Parameters!$B$9)),1,0)</f>
        <v>0</v>
      </c>
      <c r="M243" s="9" t="n">
        <f aca="false">IF(AND(E243&lt;Parameters!$B$7,COUNTIFS($C$5:$C$634,C243,$B$5:$B$634,B243)&gt;1,SUMIFS($E$5:$E$634,$C$5:$C$634,C243,$B$5:$B$634,B243)&gt;=Parameters!$B$7),1,0)</f>
        <v>0</v>
      </c>
      <c r="N243" s="9" t="n">
        <f aca="false">IF(AND(E243&gt;=Parameters!$B$7,F243&lt;&gt;Parameters!$B$8),1,0)</f>
        <v>0</v>
      </c>
      <c r="O243" s="9" t="n">
        <f aca="false">INDEX(Vendor_Benford!$N$6:$N$50,MATCH(C243,Vendor_Benford!$A$6:$A$50,0))</f>
        <v>0</v>
      </c>
      <c r="P243" s="9" t="n">
        <f aca="false">INDEX(Vendor_Benford!$M$6:$M$50,MATCH(C243,Vendor_Benford!$A$6:$A$50,0))</f>
        <v>0</v>
      </c>
      <c r="Q243" s="9" t="n">
        <f aca="false">I243*Parameters!$B$28+J243*Parameters!$B$29+K243*Parameters!$B$30+L243*Parameters!$B$31+M243*Parameters!$B$32+N243*Parameters!$B$33+O243*Parameters!$B$34+P243*Parameters!$B$35</f>
        <v>0</v>
      </c>
      <c r="R243" s="0" t="str">
        <f aca="false">IF(Q243&gt;=Parameters!$B$24,"High","")</f>
        <v/>
      </c>
    </row>
    <row r="244" customFormat="false" ht="15" hidden="false" customHeight="false" outlineLevel="0" collapsed="false">
      <c r="A244" s="10" t="s">
        <v>793</v>
      </c>
      <c r="B244" s="8" t="n">
        <v>45798</v>
      </c>
      <c r="C244" s="10" t="s">
        <v>119</v>
      </c>
      <c r="D244" s="10" t="s">
        <v>794</v>
      </c>
      <c r="E244" s="12" t="n">
        <v>44536.01</v>
      </c>
      <c r="F244" s="10" t="s">
        <v>40</v>
      </c>
      <c r="G244" s="9" t="n">
        <f aca="false">VALUE(LEFT(TEXT(E244,"0.00"),1))</f>
        <v>4</v>
      </c>
      <c r="H244" s="0" t="str">
        <f aca="false">UPPER(SUBSTITUTE(SUBSTITUTE(SUBSTITUTE(D244," ",""),"/",""),".",""))</f>
        <v>INV4004</v>
      </c>
      <c r="I244" s="9" t="n">
        <f aca="false">IF(COUNTIFS($C$5:C244,C244,$H$5:H244,H244,$E$5:E244,E244)&gt;1,1,0)</f>
        <v>0</v>
      </c>
      <c r="J244" s="9" t="n">
        <f aca="false">IF(AND(I244=0,COUNTIFS($C$5:$C$634,C244,$E$5:$E$634,E244,$B$5:$B$634,"&gt;="&amp;(B244-Parameters!$B$12),$B$5:$B$634,"&lt;="&amp;(B244+Parameters!$B$12),$H$5:$H$634,"&lt;&gt;"&amp;H244)&gt;0),1,0)</f>
        <v>0</v>
      </c>
      <c r="K244" s="9" t="n">
        <f aca="false">IF(AND(E244&gt;=Parameters!$B$11,ROUND(MOD(ROUND(E244,2),Parameters!$B$10),2)=0),1,0)</f>
        <v>0</v>
      </c>
      <c r="L244" s="9" t="n">
        <f aca="false">IF(AND(E244&lt;Parameters!$B$7,E244&gt;=Parameters!$B$7*(1-Parameters!$B$9)),1,0)</f>
        <v>0</v>
      </c>
      <c r="M244" s="9" t="n">
        <f aca="false">IF(AND(E244&lt;Parameters!$B$7,COUNTIFS($C$5:$C$634,C244,$B$5:$B$634,B244)&gt;1,SUMIFS($E$5:$E$634,$C$5:$C$634,C244,$B$5:$B$634,B244)&gt;=Parameters!$B$7),1,0)</f>
        <v>0</v>
      </c>
      <c r="N244" s="9" t="n">
        <f aca="false">IF(AND(E244&gt;=Parameters!$B$7,F244&lt;&gt;Parameters!$B$8),1,0)</f>
        <v>0</v>
      </c>
      <c r="O244" s="9" t="n">
        <f aca="false">INDEX(Vendor_Benford!$N$6:$N$50,MATCH(C244,Vendor_Benford!$A$6:$A$50,0))</f>
        <v>0</v>
      </c>
      <c r="P244" s="9" t="n">
        <f aca="false">INDEX(Vendor_Benford!$M$6:$M$50,MATCH(C244,Vendor_Benford!$A$6:$A$50,0))</f>
        <v>0</v>
      </c>
      <c r="Q244" s="9" t="n">
        <f aca="false">I244*Parameters!$B$28+J244*Parameters!$B$29+K244*Parameters!$B$30+L244*Parameters!$B$31+M244*Parameters!$B$32+N244*Parameters!$B$33+O244*Parameters!$B$34+P244*Parameters!$B$35</f>
        <v>0</v>
      </c>
      <c r="R244" s="0" t="str">
        <f aca="false">IF(Q244&gt;=Parameters!$B$24,"High","")</f>
        <v/>
      </c>
    </row>
    <row r="245" customFormat="false" ht="15" hidden="false" customHeight="false" outlineLevel="0" collapsed="false">
      <c r="A245" s="10" t="s">
        <v>795</v>
      </c>
      <c r="B245" s="8" t="n">
        <v>45798</v>
      </c>
      <c r="C245" s="10" t="s">
        <v>152</v>
      </c>
      <c r="D245" s="10" t="s">
        <v>796</v>
      </c>
      <c r="E245" s="12" t="n">
        <v>200.22</v>
      </c>
      <c r="F245" s="10" t="s">
        <v>347</v>
      </c>
      <c r="G245" s="9" t="n">
        <f aca="false">VALUE(LEFT(TEXT(E245,"0.00"),1))</f>
        <v>2</v>
      </c>
      <c r="H245" s="0" t="str">
        <f aca="false">UPPER(SUBSTITUTE(SUBSTITUTE(SUBSTITUTE(D245," ",""),"/",""),".",""))</f>
        <v>INV15012</v>
      </c>
      <c r="I245" s="9" t="n">
        <f aca="false">IF(COUNTIFS($C$5:C245,C245,$H$5:H245,H245,$E$5:E245,E245)&gt;1,1,0)</f>
        <v>0</v>
      </c>
      <c r="J245" s="9" t="n">
        <f aca="false">IF(AND(I245=0,COUNTIFS($C$5:$C$634,C245,$E$5:$E$634,E245,$B$5:$B$634,"&gt;="&amp;(B245-Parameters!$B$12),$B$5:$B$634,"&lt;="&amp;(B245+Parameters!$B$12),$H$5:$H$634,"&lt;&gt;"&amp;H245)&gt;0),1,0)</f>
        <v>0</v>
      </c>
      <c r="K245" s="9" t="n">
        <f aca="false">IF(AND(E245&gt;=Parameters!$B$11,ROUND(MOD(ROUND(E245,2),Parameters!$B$10),2)=0),1,0)</f>
        <v>0</v>
      </c>
      <c r="L245" s="9" t="n">
        <f aca="false">IF(AND(E245&lt;Parameters!$B$7,E245&gt;=Parameters!$B$7*(1-Parameters!$B$9)),1,0)</f>
        <v>0</v>
      </c>
      <c r="M245" s="9" t="n">
        <f aca="false">IF(AND(E245&lt;Parameters!$B$7,COUNTIFS($C$5:$C$634,C245,$B$5:$B$634,B245)&gt;1,SUMIFS($E$5:$E$634,$C$5:$C$634,C245,$B$5:$B$634,B245)&gt;=Parameters!$B$7),1,0)</f>
        <v>0</v>
      </c>
      <c r="N245" s="9" t="n">
        <f aca="false">IF(AND(E245&gt;=Parameters!$B$7,F245&lt;&gt;Parameters!$B$8),1,0)</f>
        <v>0</v>
      </c>
      <c r="O245" s="9" t="n">
        <f aca="false">INDEX(Vendor_Benford!$N$6:$N$50,MATCH(C245,Vendor_Benford!$A$6:$A$50,0))</f>
        <v>0</v>
      </c>
      <c r="P245" s="9" t="n">
        <f aca="false">INDEX(Vendor_Benford!$M$6:$M$50,MATCH(C245,Vendor_Benford!$A$6:$A$50,0))</f>
        <v>0</v>
      </c>
      <c r="Q245" s="9" t="n">
        <f aca="false">I245*Parameters!$B$28+J245*Parameters!$B$29+K245*Parameters!$B$30+L245*Parameters!$B$31+M245*Parameters!$B$32+N245*Parameters!$B$33+O245*Parameters!$B$34+P245*Parameters!$B$35</f>
        <v>0</v>
      </c>
      <c r="R245" s="0" t="str">
        <f aca="false">IF(Q245&gt;=Parameters!$B$24,"High","")</f>
        <v/>
      </c>
    </row>
    <row r="246" customFormat="false" ht="15" hidden="false" customHeight="false" outlineLevel="0" collapsed="false">
      <c r="A246" s="10" t="s">
        <v>797</v>
      </c>
      <c r="B246" s="8" t="n">
        <v>45798</v>
      </c>
      <c r="C246" s="10" t="s">
        <v>182</v>
      </c>
      <c r="D246" s="10" t="s">
        <v>798</v>
      </c>
      <c r="E246" s="12" t="n">
        <v>3127.32</v>
      </c>
      <c r="F246" s="10" t="s">
        <v>347</v>
      </c>
      <c r="G246" s="9" t="n">
        <f aca="false">VALUE(LEFT(TEXT(E246,"0.00"),1))</f>
        <v>3</v>
      </c>
      <c r="H246" s="0" t="str">
        <f aca="false">UPPER(SUBSTITUTE(SUBSTITUTE(SUBSTITUTE(D246," ",""),"/",""),".",""))</f>
        <v>INV25006</v>
      </c>
      <c r="I246" s="9" t="n">
        <f aca="false">IF(COUNTIFS($C$5:C246,C246,$H$5:H246,H246,$E$5:E246,E246)&gt;1,1,0)</f>
        <v>0</v>
      </c>
      <c r="J246" s="9" t="n">
        <f aca="false">IF(AND(I246=0,COUNTIFS($C$5:$C$634,C246,$E$5:$E$634,E246,$B$5:$B$634,"&gt;="&amp;(B246-Parameters!$B$12),$B$5:$B$634,"&lt;="&amp;(B246+Parameters!$B$12),$H$5:$H$634,"&lt;&gt;"&amp;H246)&gt;0),1,0)</f>
        <v>0</v>
      </c>
      <c r="K246" s="9" t="n">
        <f aca="false">IF(AND(E246&gt;=Parameters!$B$11,ROUND(MOD(ROUND(E246,2),Parameters!$B$10),2)=0),1,0)</f>
        <v>0</v>
      </c>
      <c r="L246" s="9" t="n">
        <f aca="false">IF(AND(E246&lt;Parameters!$B$7,E246&gt;=Parameters!$B$7*(1-Parameters!$B$9)),1,0)</f>
        <v>0</v>
      </c>
      <c r="M246" s="9" t="n">
        <f aca="false">IF(AND(E246&lt;Parameters!$B$7,COUNTIFS($C$5:$C$634,C246,$B$5:$B$634,B246)&gt;1,SUMIFS($E$5:$E$634,$C$5:$C$634,C246,$B$5:$B$634,B246)&gt;=Parameters!$B$7),1,0)</f>
        <v>0</v>
      </c>
      <c r="N246" s="9" t="n">
        <f aca="false">IF(AND(E246&gt;=Parameters!$B$7,F246&lt;&gt;Parameters!$B$8),1,0)</f>
        <v>0</v>
      </c>
      <c r="O246" s="9" t="n">
        <f aca="false">INDEX(Vendor_Benford!$N$6:$N$50,MATCH(C246,Vendor_Benford!$A$6:$A$50,0))</f>
        <v>0</v>
      </c>
      <c r="P246" s="9" t="n">
        <f aca="false">INDEX(Vendor_Benford!$M$6:$M$50,MATCH(C246,Vendor_Benford!$A$6:$A$50,0))</f>
        <v>0</v>
      </c>
      <c r="Q246" s="9" t="n">
        <f aca="false">I246*Parameters!$B$28+J246*Parameters!$B$29+K246*Parameters!$B$30+L246*Parameters!$B$31+M246*Parameters!$B$32+N246*Parameters!$B$33+O246*Parameters!$B$34+P246*Parameters!$B$35</f>
        <v>0</v>
      </c>
      <c r="R246" s="0" t="str">
        <f aca="false">IF(Q246&gt;=Parameters!$B$24,"High","")</f>
        <v/>
      </c>
    </row>
    <row r="247" customFormat="false" ht="15" hidden="false" customHeight="false" outlineLevel="0" collapsed="false">
      <c r="A247" s="10" t="s">
        <v>799</v>
      </c>
      <c r="B247" s="8" t="n">
        <v>45798</v>
      </c>
      <c r="C247" s="10" t="s">
        <v>200</v>
      </c>
      <c r="D247" s="10" t="s">
        <v>800</v>
      </c>
      <c r="E247" s="12" t="n">
        <v>4857.07</v>
      </c>
      <c r="F247" s="10" t="s">
        <v>347</v>
      </c>
      <c r="G247" s="9" t="n">
        <f aca="false">VALUE(LEFT(TEXT(E247,"0.00"),1))</f>
        <v>4</v>
      </c>
      <c r="H247" s="0" t="str">
        <f aca="false">UPPER(SUBSTITUTE(SUBSTITUTE(SUBSTITUTE(D247," ",""),"/",""),".",""))</f>
        <v>INV31031</v>
      </c>
      <c r="I247" s="9" t="n">
        <f aca="false">IF(COUNTIFS($C$5:C247,C247,$H$5:H247,H247,$E$5:E247,E247)&gt;1,1,0)</f>
        <v>0</v>
      </c>
      <c r="J247" s="9" t="n">
        <f aca="false">IF(AND(I247=0,COUNTIFS($C$5:$C$634,C247,$E$5:$E$634,E247,$B$5:$B$634,"&gt;="&amp;(B247-Parameters!$B$12),$B$5:$B$634,"&lt;="&amp;(B247+Parameters!$B$12),$H$5:$H$634,"&lt;&gt;"&amp;H247)&gt;0),1,0)</f>
        <v>0</v>
      </c>
      <c r="K247" s="9" t="n">
        <f aca="false">IF(AND(E247&gt;=Parameters!$B$11,ROUND(MOD(ROUND(E247,2),Parameters!$B$10),2)=0),1,0)</f>
        <v>0</v>
      </c>
      <c r="L247" s="9" t="n">
        <f aca="false">IF(AND(E247&lt;Parameters!$B$7,E247&gt;=Parameters!$B$7*(1-Parameters!$B$9)),1,0)</f>
        <v>1</v>
      </c>
      <c r="M247" s="9" t="n">
        <f aca="false">IF(AND(E247&lt;Parameters!$B$7,COUNTIFS($C$5:$C$634,C247,$B$5:$B$634,B247)&gt;1,SUMIFS($E$5:$E$634,$C$5:$C$634,C247,$B$5:$B$634,B247)&gt;=Parameters!$B$7),1,0)</f>
        <v>0</v>
      </c>
      <c r="N247" s="9" t="n">
        <f aca="false">IF(AND(E247&gt;=Parameters!$B$7,F247&lt;&gt;Parameters!$B$8),1,0)</f>
        <v>0</v>
      </c>
      <c r="O247" s="9" t="n">
        <f aca="false">INDEX(Vendor_Benford!$N$6:$N$50,MATCH(C247,Vendor_Benford!$A$6:$A$50,0))</f>
        <v>0</v>
      </c>
      <c r="P247" s="9" t="n">
        <f aca="false">INDEX(Vendor_Benford!$M$6:$M$50,MATCH(C247,Vendor_Benford!$A$6:$A$50,0))</f>
        <v>1</v>
      </c>
      <c r="Q247" s="9" t="n">
        <f aca="false">I247*Parameters!$B$28+J247*Parameters!$B$29+K247*Parameters!$B$30+L247*Parameters!$B$31+M247*Parameters!$B$32+N247*Parameters!$B$33+O247*Parameters!$B$34+P247*Parameters!$B$35</f>
        <v>4</v>
      </c>
      <c r="R247" s="0" t="str">
        <f aca="false">IF(Q247&gt;=Parameters!$B$24,"High","")</f>
        <v/>
      </c>
    </row>
    <row r="248" customFormat="false" ht="15" hidden="false" customHeight="false" outlineLevel="0" collapsed="false">
      <c r="A248" s="10" t="s">
        <v>801</v>
      </c>
      <c r="B248" s="8" t="n">
        <v>45799</v>
      </c>
      <c r="C248" s="10" t="s">
        <v>197</v>
      </c>
      <c r="D248" s="10" t="s">
        <v>802</v>
      </c>
      <c r="E248" s="12" t="n">
        <v>246.98</v>
      </c>
      <c r="F248" s="10" t="s">
        <v>347</v>
      </c>
      <c r="G248" s="9" t="n">
        <f aca="false">VALUE(LEFT(TEXT(E248,"0.00"),1))</f>
        <v>2</v>
      </c>
      <c r="H248" s="0" t="str">
        <f aca="false">UPPER(SUBSTITUTE(SUBSTITUTE(SUBSTITUTE(D248," ",""),"/",""),".",""))</f>
        <v>INV30002</v>
      </c>
      <c r="I248" s="9" t="n">
        <f aca="false">IF(COUNTIFS($C$5:C248,C248,$H$5:H248,H248,$E$5:E248,E248)&gt;1,1,0)</f>
        <v>0</v>
      </c>
      <c r="J248" s="9" t="n">
        <f aca="false">IF(AND(I248=0,COUNTIFS($C$5:$C$634,C248,$E$5:$E$634,E248,$B$5:$B$634,"&gt;="&amp;(B248-Parameters!$B$12),$B$5:$B$634,"&lt;="&amp;(B248+Parameters!$B$12),$H$5:$H$634,"&lt;&gt;"&amp;H248)&gt;0),1,0)</f>
        <v>0</v>
      </c>
      <c r="K248" s="9" t="n">
        <f aca="false">IF(AND(E248&gt;=Parameters!$B$11,ROUND(MOD(ROUND(E248,2),Parameters!$B$10),2)=0),1,0)</f>
        <v>0</v>
      </c>
      <c r="L248" s="9" t="n">
        <f aca="false">IF(AND(E248&lt;Parameters!$B$7,E248&gt;=Parameters!$B$7*(1-Parameters!$B$9)),1,0)</f>
        <v>0</v>
      </c>
      <c r="M248" s="9" t="n">
        <f aca="false">IF(AND(E248&lt;Parameters!$B$7,COUNTIFS($C$5:$C$634,C248,$B$5:$B$634,B248)&gt;1,SUMIFS($E$5:$E$634,$C$5:$C$634,C248,$B$5:$B$634,B248)&gt;=Parameters!$B$7),1,0)</f>
        <v>0</v>
      </c>
      <c r="N248" s="9" t="n">
        <f aca="false">IF(AND(E248&gt;=Parameters!$B$7,F248&lt;&gt;Parameters!$B$8),1,0)</f>
        <v>0</v>
      </c>
      <c r="O248" s="9" t="n">
        <f aca="false">INDEX(Vendor_Benford!$N$6:$N$50,MATCH(C248,Vendor_Benford!$A$6:$A$50,0))</f>
        <v>0</v>
      </c>
      <c r="P248" s="9" t="n">
        <f aca="false">INDEX(Vendor_Benford!$M$6:$M$50,MATCH(C248,Vendor_Benford!$A$6:$A$50,0))</f>
        <v>0</v>
      </c>
      <c r="Q248" s="9" t="n">
        <f aca="false">I248*Parameters!$B$28+J248*Parameters!$B$29+K248*Parameters!$B$30+L248*Parameters!$B$31+M248*Parameters!$B$32+N248*Parameters!$B$33+O248*Parameters!$B$34+P248*Parameters!$B$35</f>
        <v>0</v>
      </c>
      <c r="R248" s="0" t="str">
        <f aca="false">IF(Q248&gt;=Parameters!$B$24,"High","")</f>
        <v/>
      </c>
    </row>
    <row r="249" customFormat="false" ht="15" hidden="false" customHeight="false" outlineLevel="0" collapsed="false">
      <c r="A249" s="10" t="s">
        <v>803</v>
      </c>
      <c r="B249" s="8" t="n">
        <v>45800</v>
      </c>
      <c r="C249" s="10" t="s">
        <v>158</v>
      </c>
      <c r="D249" s="10" t="s">
        <v>804</v>
      </c>
      <c r="E249" s="12" t="n">
        <v>10922.98</v>
      </c>
      <c r="F249" s="10" t="s">
        <v>40</v>
      </c>
      <c r="G249" s="9" t="n">
        <f aca="false">VALUE(LEFT(TEXT(E249,"0.00"),1))</f>
        <v>1</v>
      </c>
      <c r="H249" s="0" t="str">
        <f aca="false">UPPER(SUBSTITUTE(SUBSTITUTE(SUBSTITUTE(D249," ",""),"/",""),".",""))</f>
        <v>INV17003</v>
      </c>
      <c r="I249" s="9" t="n">
        <f aca="false">IF(COUNTIFS($C$5:C249,C249,$H$5:H249,H249,$E$5:E249,E249)&gt;1,1,0)</f>
        <v>0</v>
      </c>
      <c r="J249" s="9" t="n">
        <f aca="false">IF(AND(I249=0,COUNTIFS($C$5:$C$634,C249,$E$5:$E$634,E249,$B$5:$B$634,"&gt;="&amp;(B249-Parameters!$B$12),$B$5:$B$634,"&lt;="&amp;(B249+Parameters!$B$12),$H$5:$H$634,"&lt;&gt;"&amp;H249)&gt;0),1,0)</f>
        <v>0</v>
      </c>
      <c r="K249" s="9" t="n">
        <f aca="false">IF(AND(E249&gt;=Parameters!$B$11,ROUND(MOD(ROUND(E249,2),Parameters!$B$10),2)=0),1,0)</f>
        <v>0</v>
      </c>
      <c r="L249" s="9" t="n">
        <f aca="false">IF(AND(E249&lt;Parameters!$B$7,E249&gt;=Parameters!$B$7*(1-Parameters!$B$9)),1,0)</f>
        <v>0</v>
      </c>
      <c r="M249" s="9" t="n">
        <f aca="false">IF(AND(E249&lt;Parameters!$B$7,COUNTIFS($C$5:$C$634,C249,$B$5:$B$634,B249)&gt;1,SUMIFS($E$5:$E$634,$C$5:$C$634,C249,$B$5:$B$634,B249)&gt;=Parameters!$B$7),1,0)</f>
        <v>0</v>
      </c>
      <c r="N249" s="9" t="n">
        <f aca="false">IF(AND(E249&gt;=Parameters!$B$7,F249&lt;&gt;Parameters!$B$8),1,0)</f>
        <v>0</v>
      </c>
      <c r="O249" s="9" t="n">
        <f aca="false">INDEX(Vendor_Benford!$N$6:$N$50,MATCH(C249,Vendor_Benford!$A$6:$A$50,0))</f>
        <v>0</v>
      </c>
      <c r="P249" s="9" t="n">
        <f aca="false">INDEX(Vendor_Benford!$M$6:$M$50,MATCH(C249,Vendor_Benford!$A$6:$A$50,0))</f>
        <v>0</v>
      </c>
      <c r="Q249" s="9" t="n">
        <f aca="false">I249*Parameters!$B$28+J249*Parameters!$B$29+K249*Parameters!$B$30+L249*Parameters!$B$31+M249*Parameters!$B$32+N249*Parameters!$B$33+O249*Parameters!$B$34+P249*Parameters!$B$35</f>
        <v>0</v>
      </c>
      <c r="R249" s="0" t="str">
        <f aca="false">IF(Q249&gt;=Parameters!$B$24,"High","")</f>
        <v/>
      </c>
    </row>
    <row r="250" customFormat="false" ht="15" hidden="false" customHeight="false" outlineLevel="0" collapsed="false">
      <c r="A250" s="10" t="s">
        <v>805</v>
      </c>
      <c r="B250" s="8" t="n">
        <v>45800</v>
      </c>
      <c r="C250" s="10" t="s">
        <v>224</v>
      </c>
      <c r="D250" s="10" t="s">
        <v>806</v>
      </c>
      <c r="E250" s="12" t="n">
        <v>79388.49</v>
      </c>
      <c r="F250" s="10" t="s">
        <v>40</v>
      </c>
      <c r="G250" s="9" t="n">
        <f aca="false">VALUE(LEFT(TEXT(E250,"0.00"),1))</f>
        <v>7</v>
      </c>
      <c r="H250" s="0" t="str">
        <f aca="false">UPPER(SUBSTITUTE(SUBSTITUTE(SUBSTITUTE(D250," ",""),"/",""),".",""))</f>
        <v>INV39002</v>
      </c>
      <c r="I250" s="9" t="n">
        <f aca="false">IF(COUNTIFS($C$5:C250,C250,$H$5:H250,H250,$E$5:E250,E250)&gt;1,1,0)</f>
        <v>0</v>
      </c>
      <c r="J250" s="9" t="n">
        <f aca="false">IF(AND(I250=0,COUNTIFS($C$5:$C$634,C250,$E$5:$E$634,E250,$B$5:$B$634,"&gt;="&amp;(B250-Parameters!$B$12),$B$5:$B$634,"&lt;="&amp;(B250+Parameters!$B$12),$H$5:$H$634,"&lt;&gt;"&amp;H250)&gt;0),1,0)</f>
        <v>0</v>
      </c>
      <c r="K250" s="9" t="n">
        <f aca="false">IF(AND(E250&gt;=Parameters!$B$11,ROUND(MOD(ROUND(E250,2),Parameters!$B$10),2)=0),1,0)</f>
        <v>0</v>
      </c>
      <c r="L250" s="9" t="n">
        <f aca="false">IF(AND(E250&lt;Parameters!$B$7,E250&gt;=Parameters!$B$7*(1-Parameters!$B$9)),1,0)</f>
        <v>0</v>
      </c>
      <c r="M250" s="9" t="n">
        <f aca="false">IF(AND(E250&lt;Parameters!$B$7,COUNTIFS($C$5:$C$634,C250,$B$5:$B$634,B250)&gt;1,SUMIFS($E$5:$E$634,$C$5:$C$634,C250,$B$5:$B$634,B250)&gt;=Parameters!$B$7),1,0)</f>
        <v>0</v>
      </c>
      <c r="N250" s="9" t="n">
        <f aca="false">IF(AND(E250&gt;=Parameters!$B$7,F250&lt;&gt;Parameters!$B$8),1,0)</f>
        <v>0</v>
      </c>
      <c r="O250" s="9" t="n">
        <f aca="false">INDEX(Vendor_Benford!$N$6:$N$50,MATCH(C250,Vendor_Benford!$A$6:$A$50,0))</f>
        <v>0</v>
      </c>
      <c r="P250" s="9" t="n">
        <f aca="false">INDEX(Vendor_Benford!$M$6:$M$50,MATCH(C250,Vendor_Benford!$A$6:$A$50,0))</f>
        <v>0</v>
      </c>
      <c r="Q250" s="9" t="n">
        <f aca="false">I250*Parameters!$B$28+J250*Parameters!$B$29+K250*Parameters!$B$30+L250*Parameters!$B$31+M250*Parameters!$B$32+N250*Parameters!$B$33+O250*Parameters!$B$34+P250*Parameters!$B$35</f>
        <v>0</v>
      </c>
      <c r="R250" s="0" t="str">
        <f aca="false">IF(Q250&gt;=Parameters!$B$24,"High","")</f>
        <v/>
      </c>
    </row>
    <row r="251" customFormat="false" ht="15" hidden="false" customHeight="false" outlineLevel="0" collapsed="false">
      <c r="A251" s="10" t="s">
        <v>807</v>
      </c>
      <c r="B251" s="8" t="n">
        <v>45803</v>
      </c>
      <c r="C251" s="10" t="s">
        <v>137</v>
      </c>
      <c r="D251" s="10" t="s">
        <v>808</v>
      </c>
      <c r="E251" s="12" t="n">
        <v>420.68</v>
      </c>
      <c r="F251" s="10" t="s">
        <v>347</v>
      </c>
      <c r="G251" s="9" t="n">
        <f aca="false">VALUE(LEFT(TEXT(E251,"0.00"),1))</f>
        <v>4</v>
      </c>
      <c r="H251" s="0" t="str">
        <f aca="false">UPPER(SUBSTITUTE(SUBSTITUTE(SUBSTITUTE(D251," ",""),"/",""),".",""))</f>
        <v>INV10001</v>
      </c>
      <c r="I251" s="9" t="n">
        <f aca="false">IF(COUNTIFS($C$5:C251,C251,$H$5:H251,H251,$E$5:E251,E251)&gt;1,1,0)</f>
        <v>0</v>
      </c>
      <c r="J251" s="9" t="n">
        <f aca="false">IF(AND(I251=0,COUNTIFS($C$5:$C$634,C251,$E$5:$E$634,E251,$B$5:$B$634,"&gt;="&amp;(B251-Parameters!$B$12),$B$5:$B$634,"&lt;="&amp;(B251+Parameters!$B$12),$H$5:$H$634,"&lt;&gt;"&amp;H251)&gt;0),1,0)</f>
        <v>0</v>
      </c>
      <c r="K251" s="9" t="n">
        <f aca="false">IF(AND(E251&gt;=Parameters!$B$11,ROUND(MOD(ROUND(E251,2),Parameters!$B$10),2)=0),1,0)</f>
        <v>0</v>
      </c>
      <c r="L251" s="9" t="n">
        <f aca="false">IF(AND(E251&lt;Parameters!$B$7,E251&gt;=Parameters!$B$7*(1-Parameters!$B$9)),1,0)</f>
        <v>0</v>
      </c>
      <c r="M251" s="9" t="n">
        <f aca="false">IF(AND(E251&lt;Parameters!$B$7,COUNTIFS($C$5:$C$634,C251,$B$5:$B$634,B251)&gt;1,SUMIFS($E$5:$E$634,$C$5:$C$634,C251,$B$5:$B$634,B251)&gt;=Parameters!$B$7),1,0)</f>
        <v>0</v>
      </c>
      <c r="N251" s="9" t="n">
        <f aca="false">IF(AND(E251&gt;=Parameters!$B$7,F251&lt;&gt;Parameters!$B$8),1,0)</f>
        <v>0</v>
      </c>
      <c r="O251" s="9" t="n">
        <f aca="false">INDEX(Vendor_Benford!$N$6:$N$50,MATCH(C251,Vendor_Benford!$A$6:$A$50,0))</f>
        <v>0</v>
      </c>
      <c r="P251" s="9" t="n">
        <f aca="false">INDEX(Vendor_Benford!$M$6:$M$50,MATCH(C251,Vendor_Benford!$A$6:$A$50,0))</f>
        <v>0</v>
      </c>
      <c r="Q251" s="9" t="n">
        <f aca="false">I251*Parameters!$B$28+J251*Parameters!$B$29+K251*Parameters!$B$30+L251*Parameters!$B$31+M251*Parameters!$B$32+N251*Parameters!$B$33+O251*Parameters!$B$34+P251*Parameters!$B$35</f>
        <v>0</v>
      </c>
      <c r="R251" s="0" t="str">
        <f aca="false">IF(Q251&gt;=Parameters!$B$24,"High","")</f>
        <v/>
      </c>
    </row>
    <row r="252" customFormat="false" ht="15" hidden="false" customHeight="false" outlineLevel="0" collapsed="false">
      <c r="A252" s="10" t="s">
        <v>809</v>
      </c>
      <c r="B252" s="8" t="n">
        <v>45803</v>
      </c>
      <c r="C252" s="10" t="s">
        <v>200</v>
      </c>
      <c r="D252" s="10" t="s">
        <v>810</v>
      </c>
      <c r="E252" s="12" t="n">
        <v>4876.85</v>
      </c>
      <c r="F252" s="10" t="s">
        <v>347</v>
      </c>
      <c r="G252" s="9" t="n">
        <f aca="false">VALUE(LEFT(TEXT(E252,"0.00"),1))</f>
        <v>4</v>
      </c>
      <c r="H252" s="0" t="str">
        <f aca="false">UPPER(SUBSTITUTE(SUBSTITUTE(SUBSTITUTE(D252," ",""),"/",""),".",""))</f>
        <v>INV31012</v>
      </c>
      <c r="I252" s="9" t="n">
        <f aca="false">IF(COUNTIFS($C$5:C252,C252,$H$5:H252,H252,$E$5:E252,E252)&gt;1,1,0)</f>
        <v>0</v>
      </c>
      <c r="J252" s="9" t="n">
        <f aca="false">IF(AND(I252=0,COUNTIFS($C$5:$C$634,C252,$E$5:$E$634,E252,$B$5:$B$634,"&gt;="&amp;(B252-Parameters!$B$12),$B$5:$B$634,"&lt;="&amp;(B252+Parameters!$B$12),$H$5:$H$634,"&lt;&gt;"&amp;H252)&gt;0),1,0)</f>
        <v>0</v>
      </c>
      <c r="K252" s="9" t="n">
        <f aca="false">IF(AND(E252&gt;=Parameters!$B$11,ROUND(MOD(ROUND(E252,2),Parameters!$B$10),2)=0),1,0)</f>
        <v>0</v>
      </c>
      <c r="L252" s="9" t="n">
        <f aca="false">IF(AND(E252&lt;Parameters!$B$7,E252&gt;=Parameters!$B$7*(1-Parameters!$B$9)),1,0)</f>
        <v>1</v>
      </c>
      <c r="M252" s="9" t="n">
        <f aca="false">IF(AND(E252&lt;Parameters!$B$7,COUNTIFS($C$5:$C$634,C252,$B$5:$B$634,B252)&gt;1,SUMIFS($E$5:$E$634,$C$5:$C$634,C252,$B$5:$B$634,B252)&gt;=Parameters!$B$7),1,0)</f>
        <v>0</v>
      </c>
      <c r="N252" s="9" t="n">
        <f aca="false">IF(AND(E252&gt;=Parameters!$B$7,F252&lt;&gt;Parameters!$B$8),1,0)</f>
        <v>0</v>
      </c>
      <c r="O252" s="9" t="n">
        <f aca="false">INDEX(Vendor_Benford!$N$6:$N$50,MATCH(C252,Vendor_Benford!$A$6:$A$50,0))</f>
        <v>0</v>
      </c>
      <c r="P252" s="9" t="n">
        <f aca="false">INDEX(Vendor_Benford!$M$6:$M$50,MATCH(C252,Vendor_Benford!$A$6:$A$50,0))</f>
        <v>1</v>
      </c>
      <c r="Q252" s="9" t="n">
        <f aca="false">I252*Parameters!$B$28+J252*Parameters!$B$29+K252*Parameters!$B$30+L252*Parameters!$B$31+M252*Parameters!$B$32+N252*Parameters!$B$33+O252*Parameters!$B$34+P252*Parameters!$B$35</f>
        <v>4</v>
      </c>
      <c r="R252" s="0" t="str">
        <f aca="false">IF(Q252&gt;=Parameters!$B$24,"High","")</f>
        <v/>
      </c>
    </row>
    <row r="253" customFormat="false" ht="15" hidden="false" customHeight="false" outlineLevel="0" collapsed="false">
      <c r="A253" s="10" t="s">
        <v>811</v>
      </c>
      <c r="B253" s="8" t="n">
        <v>45804</v>
      </c>
      <c r="C253" s="10" t="s">
        <v>173</v>
      </c>
      <c r="D253" s="10" t="s">
        <v>812</v>
      </c>
      <c r="E253" s="12" t="n">
        <v>468.65</v>
      </c>
      <c r="F253" s="10" t="s">
        <v>40</v>
      </c>
      <c r="G253" s="9" t="n">
        <f aca="false">VALUE(LEFT(TEXT(E253,"0.00"),1))</f>
        <v>4</v>
      </c>
      <c r="H253" s="0" t="str">
        <f aca="false">UPPER(SUBSTITUTE(SUBSTITUTE(SUBSTITUTE(D253," ",""),"/",""),".",""))</f>
        <v>INV22011</v>
      </c>
      <c r="I253" s="9" t="n">
        <f aca="false">IF(COUNTIFS($C$5:C253,C253,$H$5:H253,H253,$E$5:E253,E253)&gt;1,1,0)</f>
        <v>0</v>
      </c>
      <c r="J253" s="9" t="n">
        <f aca="false">IF(AND(I253=0,COUNTIFS($C$5:$C$634,C253,$E$5:$E$634,E253,$B$5:$B$634,"&gt;="&amp;(B253-Parameters!$B$12),$B$5:$B$634,"&lt;="&amp;(B253+Parameters!$B$12),$H$5:$H$634,"&lt;&gt;"&amp;H253)&gt;0),1,0)</f>
        <v>0</v>
      </c>
      <c r="K253" s="9" t="n">
        <f aca="false">IF(AND(E253&gt;=Parameters!$B$11,ROUND(MOD(ROUND(E253,2),Parameters!$B$10),2)=0),1,0)</f>
        <v>0</v>
      </c>
      <c r="L253" s="9" t="n">
        <f aca="false">IF(AND(E253&lt;Parameters!$B$7,E253&gt;=Parameters!$B$7*(1-Parameters!$B$9)),1,0)</f>
        <v>0</v>
      </c>
      <c r="M253" s="9" t="n">
        <f aca="false">IF(AND(E253&lt;Parameters!$B$7,COUNTIFS($C$5:$C$634,C253,$B$5:$B$634,B253)&gt;1,SUMIFS($E$5:$E$634,$C$5:$C$634,C253,$B$5:$B$634,B253)&gt;=Parameters!$B$7),1,0)</f>
        <v>0</v>
      </c>
      <c r="N253" s="9" t="n">
        <f aca="false">IF(AND(E253&gt;=Parameters!$B$7,F253&lt;&gt;Parameters!$B$8),1,0)</f>
        <v>0</v>
      </c>
      <c r="O253" s="9" t="n">
        <f aca="false">INDEX(Vendor_Benford!$N$6:$N$50,MATCH(C253,Vendor_Benford!$A$6:$A$50,0))</f>
        <v>0</v>
      </c>
      <c r="P253" s="9" t="n">
        <f aca="false">INDEX(Vendor_Benford!$M$6:$M$50,MATCH(C253,Vendor_Benford!$A$6:$A$50,0))</f>
        <v>0</v>
      </c>
      <c r="Q253" s="9" t="n">
        <f aca="false">I253*Parameters!$B$28+J253*Parameters!$B$29+K253*Parameters!$B$30+L253*Parameters!$B$31+M253*Parameters!$B$32+N253*Parameters!$B$33+O253*Parameters!$B$34+P253*Parameters!$B$35</f>
        <v>0</v>
      </c>
      <c r="R253" s="0" t="str">
        <f aca="false">IF(Q253&gt;=Parameters!$B$24,"High","")</f>
        <v/>
      </c>
    </row>
    <row r="254" customFormat="false" ht="15" hidden="false" customHeight="false" outlineLevel="0" collapsed="false">
      <c r="A254" s="10" t="s">
        <v>813</v>
      </c>
      <c r="B254" s="8" t="n">
        <v>45804</v>
      </c>
      <c r="C254" s="10" t="s">
        <v>182</v>
      </c>
      <c r="D254" s="10" t="s">
        <v>814</v>
      </c>
      <c r="E254" s="12" t="n">
        <v>327.48</v>
      </c>
      <c r="F254" s="10" t="s">
        <v>40</v>
      </c>
      <c r="G254" s="9" t="n">
        <f aca="false">VALUE(LEFT(TEXT(E254,"0.00"),1))</f>
        <v>3</v>
      </c>
      <c r="H254" s="0" t="str">
        <f aca="false">UPPER(SUBSTITUTE(SUBSTITUTE(SUBSTITUTE(D254," ",""),"/",""),".",""))</f>
        <v>INV25004</v>
      </c>
      <c r="I254" s="9" t="n">
        <f aca="false">IF(COUNTIFS($C$5:C254,C254,$H$5:H254,H254,$E$5:E254,E254)&gt;1,1,0)</f>
        <v>0</v>
      </c>
      <c r="J254" s="9" t="n">
        <f aca="false">IF(AND(I254=0,COUNTIFS($C$5:$C$634,C254,$E$5:$E$634,E254,$B$5:$B$634,"&gt;="&amp;(B254-Parameters!$B$12),$B$5:$B$634,"&lt;="&amp;(B254+Parameters!$B$12),$H$5:$H$634,"&lt;&gt;"&amp;H254)&gt;0),1,0)</f>
        <v>0</v>
      </c>
      <c r="K254" s="9" t="n">
        <f aca="false">IF(AND(E254&gt;=Parameters!$B$11,ROUND(MOD(ROUND(E254,2),Parameters!$B$10),2)=0),1,0)</f>
        <v>0</v>
      </c>
      <c r="L254" s="9" t="n">
        <f aca="false">IF(AND(E254&lt;Parameters!$B$7,E254&gt;=Parameters!$B$7*(1-Parameters!$B$9)),1,0)</f>
        <v>0</v>
      </c>
      <c r="M254" s="9" t="n">
        <f aca="false">IF(AND(E254&lt;Parameters!$B$7,COUNTIFS($C$5:$C$634,C254,$B$5:$B$634,B254)&gt;1,SUMIFS($E$5:$E$634,$C$5:$C$634,C254,$B$5:$B$634,B254)&gt;=Parameters!$B$7),1,0)</f>
        <v>0</v>
      </c>
      <c r="N254" s="9" t="n">
        <f aca="false">IF(AND(E254&gt;=Parameters!$B$7,F254&lt;&gt;Parameters!$B$8),1,0)</f>
        <v>0</v>
      </c>
      <c r="O254" s="9" t="n">
        <f aca="false">INDEX(Vendor_Benford!$N$6:$N$50,MATCH(C254,Vendor_Benford!$A$6:$A$50,0))</f>
        <v>0</v>
      </c>
      <c r="P254" s="9" t="n">
        <f aca="false">INDEX(Vendor_Benford!$M$6:$M$50,MATCH(C254,Vendor_Benford!$A$6:$A$50,0))</f>
        <v>0</v>
      </c>
      <c r="Q254" s="9" t="n">
        <f aca="false">I254*Parameters!$B$28+J254*Parameters!$B$29+K254*Parameters!$B$30+L254*Parameters!$B$31+M254*Parameters!$B$32+N254*Parameters!$B$33+O254*Parameters!$B$34+P254*Parameters!$B$35</f>
        <v>0</v>
      </c>
      <c r="R254" s="0" t="str">
        <f aca="false">IF(Q254&gt;=Parameters!$B$24,"High","")</f>
        <v/>
      </c>
    </row>
    <row r="255" customFormat="false" ht="15" hidden="false" customHeight="false" outlineLevel="0" collapsed="false">
      <c r="A255" s="10" t="s">
        <v>815</v>
      </c>
      <c r="B255" s="8" t="n">
        <v>45804</v>
      </c>
      <c r="C255" s="10" t="s">
        <v>206</v>
      </c>
      <c r="D255" s="10" t="s">
        <v>816</v>
      </c>
      <c r="E255" s="12" t="n">
        <v>47803.76</v>
      </c>
      <c r="F255" s="10" t="s">
        <v>40</v>
      </c>
      <c r="G255" s="9" t="n">
        <f aca="false">VALUE(LEFT(TEXT(E255,"0.00"),1))</f>
        <v>4</v>
      </c>
      <c r="H255" s="0" t="str">
        <f aca="false">UPPER(SUBSTITUTE(SUBSTITUTE(SUBSTITUTE(D255," ",""),"/",""),".",""))</f>
        <v>INV33002</v>
      </c>
      <c r="I255" s="9" t="n">
        <f aca="false">IF(COUNTIFS($C$5:C255,C255,$H$5:H255,H255,$E$5:E255,E255)&gt;1,1,0)</f>
        <v>0</v>
      </c>
      <c r="J255" s="9" t="n">
        <f aca="false">IF(AND(I255=0,COUNTIFS($C$5:$C$634,C255,$E$5:$E$634,E255,$B$5:$B$634,"&gt;="&amp;(B255-Parameters!$B$12),$B$5:$B$634,"&lt;="&amp;(B255+Parameters!$B$12),$H$5:$H$634,"&lt;&gt;"&amp;H255)&gt;0),1,0)</f>
        <v>0</v>
      </c>
      <c r="K255" s="9" t="n">
        <f aca="false">IF(AND(E255&gt;=Parameters!$B$11,ROUND(MOD(ROUND(E255,2),Parameters!$B$10),2)=0),1,0)</f>
        <v>0</v>
      </c>
      <c r="L255" s="9" t="n">
        <f aca="false">IF(AND(E255&lt;Parameters!$B$7,E255&gt;=Parameters!$B$7*(1-Parameters!$B$9)),1,0)</f>
        <v>0</v>
      </c>
      <c r="M255" s="9" t="n">
        <f aca="false">IF(AND(E255&lt;Parameters!$B$7,COUNTIFS($C$5:$C$634,C255,$B$5:$B$634,B255)&gt;1,SUMIFS($E$5:$E$634,$C$5:$C$634,C255,$B$5:$B$634,B255)&gt;=Parameters!$B$7),1,0)</f>
        <v>0</v>
      </c>
      <c r="N255" s="9" t="n">
        <f aca="false">IF(AND(E255&gt;=Parameters!$B$7,F255&lt;&gt;Parameters!$B$8),1,0)</f>
        <v>0</v>
      </c>
      <c r="O255" s="9" t="n">
        <f aca="false">INDEX(Vendor_Benford!$N$6:$N$50,MATCH(C255,Vendor_Benford!$A$6:$A$50,0))</f>
        <v>0</v>
      </c>
      <c r="P255" s="9" t="n">
        <f aca="false">INDEX(Vendor_Benford!$M$6:$M$50,MATCH(C255,Vendor_Benford!$A$6:$A$50,0))</f>
        <v>0</v>
      </c>
      <c r="Q255" s="9" t="n">
        <f aca="false">I255*Parameters!$B$28+J255*Parameters!$B$29+K255*Parameters!$B$30+L255*Parameters!$B$31+M255*Parameters!$B$32+N255*Parameters!$B$33+O255*Parameters!$B$34+P255*Parameters!$B$35</f>
        <v>0</v>
      </c>
      <c r="R255" s="0" t="str">
        <f aca="false">IF(Q255&gt;=Parameters!$B$24,"High","")</f>
        <v/>
      </c>
    </row>
    <row r="256" customFormat="false" ht="15" hidden="false" customHeight="false" outlineLevel="0" collapsed="false">
      <c r="A256" s="10" t="s">
        <v>817</v>
      </c>
      <c r="B256" s="8" t="n">
        <v>45804</v>
      </c>
      <c r="C256" s="10" t="s">
        <v>218</v>
      </c>
      <c r="D256" s="10" t="s">
        <v>818</v>
      </c>
      <c r="E256" s="12" t="n">
        <v>597.3</v>
      </c>
      <c r="F256" s="10" t="s">
        <v>347</v>
      </c>
      <c r="G256" s="9" t="n">
        <f aca="false">VALUE(LEFT(TEXT(E256,"0.00"),1))</f>
        <v>5</v>
      </c>
      <c r="H256" s="0" t="str">
        <f aca="false">UPPER(SUBSTITUTE(SUBSTITUTE(SUBSTITUTE(D256," ",""),"/",""),".",""))</f>
        <v>INV37001</v>
      </c>
      <c r="I256" s="9" t="n">
        <f aca="false">IF(COUNTIFS($C$5:C256,C256,$H$5:H256,H256,$E$5:E256,E256)&gt;1,1,0)</f>
        <v>0</v>
      </c>
      <c r="J256" s="9" t="n">
        <f aca="false">IF(AND(I256=0,COUNTIFS($C$5:$C$634,C256,$E$5:$E$634,E256,$B$5:$B$634,"&gt;="&amp;(B256-Parameters!$B$12),$B$5:$B$634,"&lt;="&amp;(B256+Parameters!$B$12),$H$5:$H$634,"&lt;&gt;"&amp;H256)&gt;0),1,0)</f>
        <v>0</v>
      </c>
      <c r="K256" s="9" t="n">
        <f aca="false">IF(AND(E256&gt;=Parameters!$B$11,ROUND(MOD(ROUND(E256,2),Parameters!$B$10),2)=0),1,0)</f>
        <v>0</v>
      </c>
      <c r="L256" s="9" t="n">
        <f aca="false">IF(AND(E256&lt;Parameters!$B$7,E256&gt;=Parameters!$B$7*(1-Parameters!$B$9)),1,0)</f>
        <v>0</v>
      </c>
      <c r="M256" s="9" t="n">
        <f aca="false">IF(AND(E256&lt;Parameters!$B$7,COUNTIFS($C$5:$C$634,C256,$B$5:$B$634,B256)&gt;1,SUMIFS($E$5:$E$634,$C$5:$C$634,C256,$B$5:$B$634,B256)&gt;=Parameters!$B$7),1,0)</f>
        <v>0</v>
      </c>
      <c r="N256" s="9" t="n">
        <f aca="false">IF(AND(E256&gt;=Parameters!$B$7,F256&lt;&gt;Parameters!$B$8),1,0)</f>
        <v>0</v>
      </c>
      <c r="O256" s="9" t="n">
        <f aca="false">INDEX(Vendor_Benford!$N$6:$N$50,MATCH(C256,Vendor_Benford!$A$6:$A$50,0))</f>
        <v>0</v>
      </c>
      <c r="P256" s="9" t="n">
        <f aca="false">INDEX(Vendor_Benford!$M$6:$M$50,MATCH(C256,Vendor_Benford!$A$6:$A$50,0))</f>
        <v>0</v>
      </c>
      <c r="Q256" s="9" t="n">
        <f aca="false">I256*Parameters!$B$28+J256*Parameters!$B$29+K256*Parameters!$B$30+L256*Parameters!$B$31+M256*Parameters!$B$32+N256*Parameters!$B$33+O256*Parameters!$B$34+P256*Parameters!$B$35</f>
        <v>0</v>
      </c>
      <c r="R256" s="0" t="str">
        <f aca="false">IF(Q256&gt;=Parameters!$B$24,"High","")</f>
        <v/>
      </c>
    </row>
    <row r="257" customFormat="false" ht="15" hidden="false" customHeight="false" outlineLevel="0" collapsed="false">
      <c r="A257" s="10" t="s">
        <v>819</v>
      </c>
      <c r="B257" s="8" t="n">
        <v>45805</v>
      </c>
      <c r="C257" s="10" t="s">
        <v>137</v>
      </c>
      <c r="D257" s="10" t="s">
        <v>820</v>
      </c>
      <c r="E257" s="12" t="n">
        <v>221.77</v>
      </c>
      <c r="F257" s="10" t="s">
        <v>40</v>
      </c>
      <c r="G257" s="9" t="n">
        <f aca="false">VALUE(LEFT(TEXT(E257,"0.00"),1))</f>
        <v>2</v>
      </c>
      <c r="H257" s="0" t="str">
        <f aca="false">UPPER(SUBSTITUTE(SUBSTITUTE(SUBSTITUTE(D257," ",""),"/",""),".",""))</f>
        <v>INV10003</v>
      </c>
      <c r="I257" s="9" t="n">
        <f aca="false">IF(COUNTIFS($C$5:C257,C257,$H$5:H257,H257,$E$5:E257,E257)&gt;1,1,0)</f>
        <v>0</v>
      </c>
      <c r="J257" s="9" t="n">
        <f aca="false">IF(AND(I257=0,COUNTIFS($C$5:$C$634,C257,$E$5:$E$634,E257,$B$5:$B$634,"&gt;="&amp;(B257-Parameters!$B$12),$B$5:$B$634,"&lt;="&amp;(B257+Parameters!$B$12),$H$5:$H$634,"&lt;&gt;"&amp;H257)&gt;0),1,0)</f>
        <v>0</v>
      </c>
      <c r="K257" s="9" t="n">
        <f aca="false">IF(AND(E257&gt;=Parameters!$B$11,ROUND(MOD(ROUND(E257,2),Parameters!$B$10),2)=0),1,0)</f>
        <v>0</v>
      </c>
      <c r="L257" s="9" t="n">
        <f aca="false">IF(AND(E257&lt;Parameters!$B$7,E257&gt;=Parameters!$B$7*(1-Parameters!$B$9)),1,0)</f>
        <v>0</v>
      </c>
      <c r="M257" s="9" t="n">
        <f aca="false">IF(AND(E257&lt;Parameters!$B$7,COUNTIFS($C$5:$C$634,C257,$B$5:$B$634,B257)&gt;1,SUMIFS($E$5:$E$634,$C$5:$C$634,C257,$B$5:$B$634,B257)&gt;=Parameters!$B$7),1,0)</f>
        <v>0</v>
      </c>
      <c r="N257" s="9" t="n">
        <f aca="false">IF(AND(E257&gt;=Parameters!$B$7,F257&lt;&gt;Parameters!$B$8),1,0)</f>
        <v>0</v>
      </c>
      <c r="O257" s="9" t="n">
        <f aca="false">INDEX(Vendor_Benford!$N$6:$N$50,MATCH(C257,Vendor_Benford!$A$6:$A$50,0))</f>
        <v>0</v>
      </c>
      <c r="P257" s="9" t="n">
        <f aca="false">INDEX(Vendor_Benford!$M$6:$M$50,MATCH(C257,Vendor_Benford!$A$6:$A$50,0))</f>
        <v>0</v>
      </c>
      <c r="Q257" s="9" t="n">
        <f aca="false">I257*Parameters!$B$28+J257*Parameters!$B$29+K257*Parameters!$B$30+L257*Parameters!$B$31+M257*Parameters!$B$32+N257*Parameters!$B$33+O257*Parameters!$B$34+P257*Parameters!$B$35</f>
        <v>0</v>
      </c>
      <c r="R257" s="0" t="str">
        <f aca="false">IF(Q257&gt;=Parameters!$B$24,"High","")</f>
        <v/>
      </c>
    </row>
    <row r="258" customFormat="false" ht="15" hidden="false" customHeight="false" outlineLevel="0" collapsed="false">
      <c r="A258" s="10" t="s">
        <v>821</v>
      </c>
      <c r="B258" s="8" t="n">
        <v>45805</v>
      </c>
      <c r="C258" s="10" t="s">
        <v>140</v>
      </c>
      <c r="D258" s="10" t="s">
        <v>822</v>
      </c>
      <c r="E258" s="12" t="n">
        <v>28778.45</v>
      </c>
      <c r="F258" s="10" t="s">
        <v>40</v>
      </c>
      <c r="G258" s="9" t="n">
        <f aca="false">VALUE(LEFT(TEXT(E258,"0.00"),1))</f>
        <v>2</v>
      </c>
      <c r="H258" s="0" t="str">
        <f aca="false">UPPER(SUBSTITUTE(SUBSTITUTE(SUBSTITUTE(D258," ",""),"/",""),".",""))</f>
        <v>INV11016</v>
      </c>
      <c r="I258" s="9" t="n">
        <f aca="false">IF(COUNTIFS($C$5:C258,C258,$H$5:H258,H258,$E$5:E258,E258)&gt;1,1,0)</f>
        <v>0</v>
      </c>
      <c r="J258" s="9" t="n">
        <f aca="false">IF(AND(I258=0,COUNTIFS($C$5:$C$634,C258,$E$5:$E$634,E258,$B$5:$B$634,"&gt;="&amp;(B258-Parameters!$B$12),$B$5:$B$634,"&lt;="&amp;(B258+Parameters!$B$12),$H$5:$H$634,"&lt;&gt;"&amp;H258)&gt;0),1,0)</f>
        <v>0</v>
      </c>
      <c r="K258" s="9" t="n">
        <f aca="false">IF(AND(E258&gt;=Parameters!$B$11,ROUND(MOD(ROUND(E258,2),Parameters!$B$10),2)=0),1,0)</f>
        <v>0</v>
      </c>
      <c r="L258" s="9" t="n">
        <f aca="false">IF(AND(E258&lt;Parameters!$B$7,E258&gt;=Parameters!$B$7*(1-Parameters!$B$9)),1,0)</f>
        <v>0</v>
      </c>
      <c r="M258" s="9" t="n">
        <f aca="false">IF(AND(E258&lt;Parameters!$B$7,COUNTIFS($C$5:$C$634,C258,$B$5:$B$634,B258)&gt;1,SUMIFS($E$5:$E$634,$C$5:$C$634,C258,$B$5:$B$634,B258)&gt;=Parameters!$B$7),1,0)</f>
        <v>0</v>
      </c>
      <c r="N258" s="9" t="n">
        <f aca="false">IF(AND(E258&gt;=Parameters!$B$7,F258&lt;&gt;Parameters!$B$8),1,0)</f>
        <v>0</v>
      </c>
      <c r="O258" s="9" t="n">
        <f aca="false">INDEX(Vendor_Benford!$N$6:$N$50,MATCH(C258,Vendor_Benford!$A$6:$A$50,0))</f>
        <v>0</v>
      </c>
      <c r="P258" s="9" t="n">
        <f aca="false">INDEX(Vendor_Benford!$M$6:$M$50,MATCH(C258,Vendor_Benford!$A$6:$A$50,0))</f>
        <v>0</v>
      </c>
      <c r="Q258" s="9" t="n">
        <f aca="false">I258*Parameters!$B$28+J258*Parameters!$B$29+K258*Parameters!$B$30+L258*Parameters!$B$31+M258*Parameters!$B$32+N258*Parameters!$B$33+O258*Parameters!$B$34+P258*Parameters!$B$35</f>
        <v>0</v>
      </c>
      <c r="R258" s="0" t="str">
        <f aca="false">IF(Q258&gt;=Parameters!$B$24,"High","")</f>
        <v/>
      </c>
    </row>
    <row r="259" customFormat="false" ht="15" hidden="false" customHeight="false" outlineLevel="0" collapsed="false">
      <c r="A259" s="10" t="s">
        <v>823</v>
      </c>
      <c r="B259" s="8" t="n">
        <v>45805</v>
      </c>
      <c r="C259" s="10" t="s">
        <v>212</v>
      </c>
      <c r="D259" s="10" t="s">
        <v>824</v>
      </c>
      <c r="E259" s="12" t="n">
        <v>12909.65</v>
      </c>
      <c r="F259" s="10" t="s">
        <v>40</v>
      </c>
      <c r="G259" s="9" t="n">
        <f aca="false">VALUE(LEFT(TEXT(E259,"0.00"),1))</f>
        <v>1</v>
      </c>
      <c r="H259" s="0" t="str">
        <f aca="false">UPPER(SUBSTITUTE(SUBSTITUTE(SUBSTITUTE(D259," ",""),"/",""),".",""))</f>
        <v>INV35006</v>
      </c>
      <c r="I259" s="9" t="n">
        <f aca="false">IF(COUNTIFS($C$5:C259,C259,$H$5:H259,H259,$E$5:E259,E259)&gt;1,1,0)</f>
        <v>0</v>
      </c>
      <c r="J259" s="9" t="n">
        <f aca="false">IF(AND(I259=0,COUNTIFS($C$5:$C$634,C259,$E$5:$E$634,E259,$B$5:$B$634,"&gt;="&amp;(B259-Parameters!$B$12),$B$5:$B$634,"&lt;="&amp;(B259+Parameters!$B$12),$H$5:$H$634,"&lt;&gt;"&amp;H259)&gt;0),1,0)</f>
        <v>0</v>
      </c>
      <c r="K259" s="9" t="n">
        <f aca="false">IF(AND(E259&gt;=Parameters!$B$11,ROUND(MOD(ROUND(E259,2),Parameters!$B$10),2)=0),1,0)</f>
        <v>0</v>
      </c>
      <c r="L259" s="9" t="n">
        <f aca="false">IF(AND(E259&lt;Parameters!$B$7,E259&gt;=Parameters!$B$7*(1-Parameters!$B$9)),1,0)</f>
        <v>0</v>
      </c>
      <c r="M259" s="9" t="n">
        <f aca="false">IF(AND(E259&lt;Parameters!$B$7,COUNTIFS($C$5:$C$634,C259,$B$5:$B$634,B259)&gt;1,SUMIFS($E$5:$E$634,$C$5:$C$634,C259,$B$5:$B$634,B259)&gt;=Parameters!$B$7),1,0)</f>
        <v>0</v>
      </c>
      <c r="N259" s="9" t="n">
        <f aca="false">IF(AND(E259&gt;=Parameters!$B$7,F259&lt;&gt;Parameters!$B$8),1,0)</f>
        <v>0</v>
      </c>
      <c r="O259" s="9" t="n">
        <f aca="false">INDEX(Vendor_Benford!$N$6:$N$50,MATCH(C259,Vendor_Benford!$A$6:$A$50,0))</f>
        <v>0</v>
      </c>
      <c r="P259" s="9" t="n">
        <f aca="false">INDEX(Vendor_Benford!$M$6:$M$50,MATCH(C259,Vendor_Benford!$A$6:$A$50,0))</f>
        <v>0</v>
      </c>
      <c r="Q259" s="9" t="n">
        <f aca="false">I259*Parameters!$B$28+J259*Parameters!$B$29+K259*Parameters!$B$30+L259*Parameters!$B$31+M259*Parameters!$B$32+N259*Parameters!$B$33+O259*Parameters!$B$34+P259*Parameters!$B$35</f>
        <v>0</v>
      </c>
      <c r="R259" s="0" t="str">
        <f aca="false">IF(Q259&gt;=Parameters!$B$24,"High","")</f>
        <v/>
      </c>
    </row>
    <row r="260" customFormat="false" ht="15" hidden="false" customHeight="false" outlineLevel="0" collapsed="false">
      <c r="A260" s="10" t="s">
        <v>825</v>
      </c>
      <c r="B260" s="8" t="n">
        <v>45806</v>
      </c>
      <c r="C260" s="10" t="s">
        <v>227</v>
      </c>
      <c r="D260" s="10" t="s">
        <v>826</v>
      </c>
      <c r="E260" s="12" t="n">
        <v>23406.28</v>
      </c>
      <c r="F260" s="10" t="s">
        <v>40</v>
      </c>
      <c r="G260" s="9" t="n">
        <f aca="false">VALUE(LEFT(TEXT(E260,"0.00"),1))</f>
        <v>2</v>
      </c>
      <c r="H260" s="0" t="str">
        <f aca="false">UPPER(SUBSTITUTE(SUBSTITUTE(SUBSTITUTE(D260," ",""),"/",""),".",""))</f>
        <v>INV40003</v>
      </c>
      <c r="I260" s="9" t="n">
        <f aca="false">IF(COUNTIFS($C$5:C260,C260,$H$5:H260,H260,$E$5:E260,E260)&gt;1,1,0)</f>
        <v>0</v>
      </c>
      <c r="J260" s="9" t="n">
        <f aca="false">IF(AND(I260=0,COUNTIFS($C$5:$C$634,C260,$E$5:$E$634,E260,$B$5:$B$634,"&gt;="&amp;(B260-Parameters!$B$12),$B$5:$B$634,"&lt;="&amp;(B260+Parameters!$B$12),$H$5:$H$634,"&lt;&gt;"&amp;H260)&gt;0),1,0)</f>
        <v>0</v>
      </c>
      <c r="K260" s="9" t="n">
        <f aca="false">IF(AND(E260&gt;=Parameters!$B$11,ROUND(MOD(ROUND(E260,2),Parameters!$B$10),2)=0),1,0)</f>
        <v>0</v>
      </c>
      <c r="L260" s="9" t="n">
        <f aca="false">IF(AND(E260&lt;Parameters!$B$7,E260&gt;=Parameters!$B$7*(1-Parameters!$B$9)),1,0)</f>
        <v>0</v>
      </c>
      <c r="M260" s="9" t="n">
        <f aca="false">IF(AND(E260&lt;Parameters!$B$7,COUNTIFS($C$5:$C$634,C260,$B$5:$B$634,B260)&gt;1,SUMIFS($E$5:$E$634,$C$5:$C$634,C260,$B$5:$B$634,B260)&gt;=Parameters!$B$7),1,0)</f>
        <v>0</v>
      </c>
      <c r="N260" s="9" t="n">
        <f aca="false">IF(AND(E260&gt;=Parameters!$B$7,F260&lt;&gt;Parameters!$B$8),1,0)</f>
        <v>0</v>
      </c>
      <c r="O260" s="9" t="n">
        <f aca="false">INDEX(Vendor_Benford!$N$6:$N$50,MATCH(C260,Vendor_Benford!$A$6:$A$50,0))</f>
        <v>0</v>
      </c>
      <c r="P260" s="9" t="n">
        <f aca="false">INDEX(Vendor_Benford!$M$6:$M$50,MATCH(C260,Vendor_Benford!$A$6:$A$50,0))</f>
        <v>0</v>
      </c>
      <c r="Q260" s="9" t="n">
        <f aca="false">I260*Parameters!$B$28+J260*Parameters!$B$29+K260*Parameters!$B$30+L260*Parameters!$B$31+M260*Parameters!$B$32+N260*Parameters!$B$33+O260*Parameters!$B$34+P260*Parameters!$B$35</f>
        <v>0</v>
      </c>
      <c r="R260" s="0" t="str">
        <f aca="false">IF(Q260&gt;=Parameters!$B$24,"High","")</f>
        <v/>
      </c>
    </row>
    <row r="261" customFormat="false" ht="15" hidden="false" customHeight="false" outlineLevel="0" collapsed="false">
      <c r="A261" s="10" t="s">
        <v>827</v>
      </c>
      <c r="B261" s="8" t="n">
        <v>45806</v>
      </c>
      <c r="C261" s="10" t="s">
        <v>233</v>
      </c>
      <c r="D261" s="10" t="s">
        <v>828</v>
      </c>
      <c r="E261" s="12" t="n">
        <v>714.04</v>
      </c>
      <c r="F261" s="10" t="s">
        <v>347</v>
      </c>
      <c r="G261" s="9" t="n">
        <f aca="false">VALUE(LEFT(TEXT(E261,"0.00"),1))</f>
        <v>7</v>
      </c>
      <c r="H261" s="0" t="str">
        <f aca="false">UPPER(SUBSTITUTE(SUBSTITUTE(SUBSTITUTE(D261," ",""),"/",""),".",""))</f>
        <v>INV42002</v>
      </c>
      <c r="I261" s="9" t="n">
        <f aca="false">IF(COUNTIFS($C$5:C261,C261,$H$5:H261,H261,$E$5:E261,E261)&gt;1,1,0)</f>
        <v>0</v>
      </c>
      <c r="J261" s="9" t="n">
        <f aca="false">IF(AND(I261=0,COUNTIFS($C$5:$C$634,C261,$E$5:$E$634,E261,$B$5:$B$634,"&gt;="&amp;(B261-Parameters!$B$12),$B$5:$B$634,"&lt;="&amp;(B261+Parameters!$B$12),$H$5:$H$634,"&lt;&gt;"&amp;H261)&gt;0),1,0)</f>
        <v>0</v>
      </c>
      <c r="K261" s="9" t="n">
        <f aca="false">IF(AND(E261&gt;=Parameters!$B$11,ROUND(MOD(ROUND(E261,2),Parameters!$B$10),2)=0),1,0)</f>
        <v>0</v>
      </c>
      <c r="L261" s="9" t="n">
        <f aca="false">IF(AND(E261&lt;Parameters!$B$7,E261&gt;=Parameters!$B$7*(1-Parameters!$B$9)),1,0)</f>
        <v>0</v>
      </c>
      <c r="M261" s="9" t="n">
        <f aca="false">IF(AND(E261&lt;Parameters!$B$7,COUNTIFS($C$5:$C$634,C261,$B$5:$B$634,B261)&gt;1,SUMIFS($E$5:$E$634,$C$5:$C$634,C261,$B$5:$B$634,B261)&gt;=Parameters!$B$7),1,0)</f>
        <v>0</v>
      </c>
      <c r="N261" s="9" t="n">
        <f aca="false">IF(AND(E261&gt;=Parameters!$B$7,F261&lt;&gt;Parameters!$B$8),1,0)</f>
        <v>0</v>
      </c>
      <c r="O261" s="9" t="n">
        <f aca="false">INDEX(Vendor_Benford!$N$6:$N$50,MATCH(C261,Vendor_Benford!$A$6:$A$50,0))</f>
        <v>0</v>
      </c>
      <c r="P261" s="9" t="n">
        <f aca="false">INDEX(Vendor_Benford!$M$6:$M$50,MATCH(C261,Vendor_Benford!$A$6:$A$50,0))</f>
        <v>0</v>
      </c>
      <c r="Q261" s="9" t="n">
        <f aca="false">I261*Parameters!$B$28+J261*Parameters!$B$29+K261*Parameters!$B$30+L261*Parameters!$B$31+M261*Parameters!$B$32+N261*Parameters!$B$33+O261*Parameters!$B$34+P261*Parameters!$B$35</f>
        <v>0</v>
      </c>
      <c r="R261" s="0" t="str">
        <f aca="false">IF(Q261&gt;=Parameters!$B$24,"High","")</f>
        <v/>
      </c>
    </row>
    <row r="262" customFormat="false" ht="15" hidden="false" customHeight="false" outlineLevel="0" collapsed="false">
      <c r="A262" s="10" t="s">
        <v>829</v>
      </c>
      <c r="B262" s="8" t="n">
        <v>45810</v>
      </c>
      <c r="C262" s="10" t="s">
        <v>131</v>
      </c>
      <c r="D262" s="10" t="s">
        <v>830</v>
      </c>
      <c r="E262" s="12" t="n">
        <v>114.84</v>
      </c>
      <c r="F262" s="10" t="s">
        <v>347</v>
      </c>
      <c r="G262" s="9" t="n">
        <f aca="false">VALUE(LEFT(TEXT(E262,"0.00"),1))</f>
        <v>1</v>
      </c>
      <c r="H262" s="0" t="str">
        <f aca="false">UPPER(SUBSTITUTE(SUBSTITUTE(SUBSTITUTE(D262," ",""),"/",""),".",""))</f>
        <v>INV8008</v>
      </c>
      <c r="I262" s="9" t="n">
        <f aca="false">IF(COUNTIFS($C$5:C262,C262,$H$5:H262,H262,$E$5:E262,E262)&gt;1,1,0)</f>
        <v>0</v>
      </c>
      <c r="J262" s="9" t="n">
        <f aca="false">IF(AND(I262=0,COUNTIFS($C$5:$C$634,C262,$E$5:$E$634,E262,$B$5:$B$634,"&gt;="&amp;(B262-Parameters!$B$12),$B$5:$B$634,"&lt;="&amp;(B262+Parameters!$B$12),$H$5:$H$634,"&lt;&gt;"&amp;H262)&gt;0),1,0)</f>
        <v>0</v>
      </c>
      <c r="K262" s="9" t="n">
        <f aca="false">IF(AND(E262&gt;=Parameters!$B$11,ROUND(MOD(ROUND(E262,2),Parameters!$B$10),2)=0),1,0)</f>
        <v>0</v>
      </c>
      <c r="L262" s="9" t="n">
        <f aca="false">IF(AND(E262&lt;Parameters!$B$7,E262&gt;=Parameters!$B$7*(1-Parameters!$B$9)),1,0)</f>
        <v>0</v>
      </c>
      <c r="M262" s="9" t="n">
        <f aca="false">IF(AND(E262&lt;Parameters!$B$7,COUNTIFS($C$5:$C$634,C262,$B$5:$B$634,B262)&gt;1,SUMIFS($E$5:$E$634,$C$5:$C$634,C262,$B$5:$B$634,B262)&gt;=Parameters!$B$7),1,0)</f>
        <v>0</v>
      </c>
      <c r="N262" s="9" t="n">
        <f aca="false">IF(AND(E262&gt;=Parameters!$B$7,F262&lt;&gt;Parameters!$B$8),1,0)</f>
        <v>0</v>
      </c>
      <c r="O262" s="9" t="n">
        <f aca="false">INDEX(Vendor_Benford!$N$6:$N$50,MATCH(C262,Vendor_Benford!$A$6:$A$50,0))</f>
        <v>0</v>
      </c>
      <c r="P262" s="9" t="n">
        <f aca="false">INDEX(Vendor_Benford!$M$6:$M$50,MATCH(C262,Vendor_Benford!$A$6:$A$50,0))</f>
        <v>0</v>
      </c>
      <c r="Q262" s="9" t="n">
        <f aca="false">I262*Parameters!$B$28+J262*Parameters!$B$29+K262*Parameters!$B$30+L262*Parameters!$B$31+M262*Parameters!$B$32+N262*Parameters!$B$33+O262*Parameters!$B$34+P262*Parameters!$B$35</f>
        <v>0</v>
      </c>
      <c r="R262" s="0" t="str">
        <f aca="false">IF(Q262&gt;=Parameters!$B$24,"High","")</f>
        <v/>
      </c>
    </row>
    <row r="263" customFormat="false" ht="15" hidden="false" customHeight="false" outlineLevel="0" collapsed="false">
      <c r="A263" s="10" t="s">
        <v>831</v>
      </c>
      <c r="B263" s="8" t="n">
        <v>45811</v>
      </c>
      <c r="C263" s="10" t="s">
        <v>146</v>
      </c>
      <c r="D263" s="10" t="s">
        <v>832</v>
      </c>
      <c r="E263" s="12" t="n">
        <v>3624.86</v>
      </c>
      <c r="F263" s="10" t="s">
        <v>40</v>
      </c>
      <c r="G263" s="9" t="n">
        <f aca="false">VALUE(LEFT(TEXT(E263,"0.00"),1))</f>
        <v>3</v>
      </c>
      <c r="H263" s="0" t="str">
        <f aca="false">UPPER(SUBSTITUTE(SUBSTITUTE(SUBSTITUTE(D263," ",""),"/",""),".",""))</f>
        <v>INV13001</v>
      </c>
      <c r="I263" s="9" t="n">
        <f aca="false">IF(COUNTIFS($C$5:C263,C263,$H$5:H263,H263,$E$5:E263,E263)&gt;1,1,0)</f>
        <v>0</v>
      </c>
      <c r="J263" s="9" t="n">
        <f aca="false">IF(AND(I263=0,COUNTIFS($C$5:$C$634,C263,$E$5:$E$634,E263,$B$5:$B$634,"&gt;="&amp;(B263-Parameters!$B$12),$B$5:$B$634,"&lt;="&amp;(B263+Parameters!$B$12),$H$5:$H$634,"&lt;&gt;"&amp;H263)&gt;0),1,0)</f>
        <v>0</v>
      </c>
      <c r="K263" s="9" t="n">
        <f aca="false">IF(AND(E263&gt;=Parameters!$B$11,ROUND(MOD(ROUND(E263,2),Parameters!$B$10),2)=0),1,0)</f>
        <v>0</v>
      </c>
      <c r="L263" s="9" t="n">
        <f aca="false">IF(AND(E263&lt;Parameters!$B$7,E263&gt;=Parameters!$B$7*(1-Parameters!$B$9)),1,0)</f>
        <v>0</v>
      </c>
      <c r="M263" s="9" t="n">
        <f aca="false">IF(AND(E263&lt;Parameters!$B$7,COUNTIFS($C$5:$C$634,C263,$B$5:$B$634,B263)&gt;1,SUMIFS($E$5:$E$634,$C$5:$C$634,C263,$B$5:$B$634,B263)&gt;=Parameters!$B$7),1,0)</f>
        <v>0</v>
      </c>
      <c r="N263" s="9" t="n">
        <f aca="false">IF(AND(E263&gt;=Parameters!$B$7,F263&lt;&gt;Parameters!$B$8),1,0)</f>
        <v>0</v>
      </c>
      <c r="O263" s="9" t="n">
        <f aca="false">INDEX(Vendor_Benford!$N$6:$N$50,MATCH(C263,Vendor_Benford!$A$6:$A$50,0))</f>
        <v>0</v>
      </c>
      <c r="P263" s="9" t="n">
        <f aca="false">INDEX(Vendor_Benford!$M$6:$M$50,MATCH(C263,Vendor_Benford!$A$6:$A$50,0))</f>
        <v>0</v>
      </c>
      <c r="Q263" s="9" t="n">
        <f aca="false">I263*Parameters!$B$28+J263*Parameters!$B$29+K263*Parameters!$B$30+L263*Parameters!$B$31+M263*Parameters!$B$32+N263*Parameters!$B$33+O263*Parameters!$B$34+P263*Parameters!$B$35</f>
        <v>0</v>
      </c>
      <c r="R263" s="0" t="str">
        <f aca="false">IF(Q263&gt;=Parameters!$B$24,"High","")</f>
        <v/>
      </c>
    </row>
    <row r="264" customFormat="false" ht="15" hidden="false" customHeight="false" outlineLevel="0" collapsed="false">
      <c r="A264" s="10" t="s">
        <v>833</v>
      </c>
      <c r="B264" s="8" t="n">
        <v>45811</v>
      </c>
      <c r="C264" s="10" t="s">
        <v>173</v>
      </c>
      <c r="D264" s="10" t="s">
        <v>834</v>
      </c>
      <c r="E264" s="12" t="n">
        <v>882.56</v>
      </c>
      <c r="F264" s="10" t="s">
        <v>347</v>
      </c>
      <c r="G264" s="9" t="n">
        <f aca="false">VALUE(LEFT(TEXT(E264,"0.00"),1))</f>
        <v>8</v>
      </c>
      <c r="H264" s="0" t="str">
        <f aca="false">UPPER(SUBSTITUTE(SUBSTITUTE(SUBSTITUTE(D264," ",""),"/",""),".",""))</f>
        <v>INV22007</v>
      </c>
      <c r="I264" s="9" t="n">
        <f aca="false">IF(COUNTIFS($C$5:C264,C264,$H$5:H264,H264,$E$5:E264,E264)&gt;1,1,0)</f>
        <v>0</v>
      </c>
      <c r="J264" s="9" t="n">
        <f aca="false">IF(AND(I264=0,COUNTIFS($C$5:$C$634,C264,$E$5:$E$634,E264,$B$5:$B$634,"&gt;="&amp;(B264-Parameters!$B$12),$B$5:$B$634,"&lt;="&amp;(B264+Parameters!$B$12),$H$5:$H$634,"&lt;&gt;"&amp;H264)&gt;0),1,0)</f>
        <v>0</v>
      </c>
      <c r="K264" s="9" t="n">
        <f aca="false">IF(AND(E264&gt;=Parameters!$B$11,ROUND(MOD(ROUND(E264,2),Parameters!$B$10),2)=0),1,0)</f>
        <v>0</v>
      </c>
      <c r="L264" s="9" t="n">
        <f aca="false">IF(AND(E264&lt;Parameters!$B$7,E264&gt;=Parameters!$B$7*(1-Parameters!$B$9)),1,0)</f>
        <v>0</v>
      </c>
      <c r="M264" s="9" t="n">
        <f aca="false">IF(AND(E264&lt;Parameters!$B$7,COUNTIFS($C$5:$C$634,C264,$B$5:$B$634,B264)&gt;1,SUMIFS($E$5:$E$634,$C$5:$C$634,C264,$B$5:$B$634,B264)&gt;=Parameters!$B$7),1,0)</f>
        <v>0</v>
      </c>
      <c r="N264" s="9" t="n">
        <f aca="false">IF(AND(E264&gt;=Parameters!$B$7,F264&lt;&gt;Parameters!$B$8),1,0)</f>
        <v>0</v>
      </c>
      <c r="O264" s="9" t="n">
        <f aca="false">INDEX(Vendor_Benford!$N$6:$N$50,MATCH(C264,Vendor_Benford!$A$6:$A$50,0))</f>
        <v>0</v>
      </c>
      <c r="P264" s="9" t="n">
        <f aca="false">INDEX(Vendor_Benford!$M$6:$M$50,MATCH(C264,Vendor_Benford!$A$6:$A$50,0))</f>
        <v>0</v>
      </c>
      <c r="Q264" s="9" t="n">
        <f aca="false">I264*Parameters!$B$28+J264*Parameters!$B$29+K264*Parameters!$B$30+L264*Parameters!$B$31+M264*Parameters!$B$32+N264*Parameters!$B$33+O264*Parameters!$B$34+P264*Parameters!$B$35</f>
        <v>0</v>
      </c>
      <c r="R264" s="0" t="str">
        <f aca="false">IF(Q264&gt;=Parameters!$B$24,"High","")</f>
        <v/>
      </c>
    </row>
    <row r="265" customFormat="false" ht="15" hidden="false" customHeight="false" outlineLevel="0" collapsed="false">
      <c r="A265" s="10" t="s">
        <v>835</v>
      </c>
      <c r="B265" s="8" t="n">
        <v>45811</v>
      </c>
      <c r="C265" s="10" t="s">
        <v>233</v>
      </c>
      <c r="D265" s="10" t="s">
        <v>836</v>
      </c>
      <c r="E265" s="12" t="n">
        <v>876.42</v>
      </c>
      <c r="F265" s="10" t="s">
        <v>40</v>
      </c>
      <c r="G265" s="9" t="n">
        <f aca="false">VALUE(LEFT(TEXT(E265,"0.00"),1))</f>
        <v>8</v>
      </c>
      <c r="H265" s="0" t="str">
        <f aca="false">UPPER(SUBSTITUTE(SUBSTITUTE(SUBSTITUTE(D265," ",""),"/",""),".",""))</f>
        <v>INV42011</v>
      </c>
      <c r="I265" s="9" t="n">
        <f aca="false">IF(COUNTIFS($C$5:C265,C265,$H$5:H265,H265,$E$5:E265,E265)&gt;1,1,0)</f>
        <v>0</v>
      </c>
      <c r="J265" s="9" t="n">
        <f aca="false">IF(AND(I265=0,COUNTIFS($C$5:$C$634,C265,$E$5:$E$634,E265,$B$5:$B$634,"&gt;="&amp;(B265-Parameters!$B$12),$B$5:$B$634,"&lt;="&amp;(B265+Parameters!$B$12),$H$5:$H$634,"&lt;&gt;"&amp;H265)&gt;0),1,0)</f>
        <v>0</v>
      </c>
      <c r="K265" s="9" t="n">
        <f aca="false">IF(AND(E265&gt;=Parameters!$B$11,ROUND(MOD(ROUND(E265,2),Parameters!$B$10),2)=0),1,0)</f>
        <v>0</v>
      </c>
      <c r="L265" s="9" t="n">
        <f aca="false">IF(AND(E265&lt;Parameters!$B$7,E265&gt;=Parameters!$B$7*(1-Parameters!$B$9)),1,0)</f>
        <v>0</v>
      </c>
      <c r="M265" s="9" t="n">
        <f aca="false">IF(AND(E265&lt;Parameters!$B$7,COUNTIFS($C$5:$C$634,C265,$B$5:$B$634,B265)&gt;1,SUMIFS($E$5:$E$634,$C$5:$C$634,C265,$B$5:$B$634,B265)&gt;=Parameters!$B$7),1,0)</f>
        <v>0</v>
      </c>
      <c r="N265" s="9" t="n">
        <f aca="false">IF(AND(E265&gt;=Parameters!$B$7,F265&lt;&gt;Parameters!$B$8),1,0)</f>
        <v>0</v>
      </c>
      <c r="O265" s="9" t="n">
        <f aca="false">INDEX(Vendor_Benford!$N$6:$N$50,MATCH(C265,Vendor_Benford!$A$6:$A$50,0))</f>
        <v>0</v>
      </c>
      <c r="P265" s="9" t="n">
        <f aca="false">INDEX(Vendor_Benford!$M$6:$M$50,MATCH(C265,Vendor_Benford!$A$6:$A$50,0))</f>
        <v>0</v>
      </c>
      <c r="Q265" s="9" t="n">
        <f aca="false">I265*Parameters!$B$28+J265*Parameters!$B$29+K265*Parameters!$B$30+L265*Parameters!$B$31+M265*Parameters!$B$32+N265*Parameters!$B$33+O265*Parameters!$B$34+P265*Parameters!$B$35</f>
        <v>0</v>
      </c>
      <c r="R265" s="0" t="str">
        <f aca="false">IF(Q265&gt;=Parameters!$B$24,"High","")</f>
        <v/>
      </c>
    </row>
    <row r="266" customFormat="false" ht="15" hidden="false" customHeight="false" outlineLevel="0" collapsed="false">
      <c r="A266" s="10" t="s">
        <v>837</v>
      </c>
      <c r="B266" s="8" t="n">
        <v>45812</v>
      </c>
      <c r="C266" s="10" t="s">
        <v>110</v>
      </c>
      <c r="D266" s="10" t="s">
        <v>838</v>
      </c>
      <c r="E266" s="12" t="n">
        <v>85000</v>
      </c>
      <c r="F266" s="10" t="s">
        <v>40</v>
      </c>
      <c r="G266" s="9" t="n">
        <f aca="false">VALUE(LEFT(TEXT(E266,"0.00"),1))</f>
        <v>8</v>
      </c>
      <c r="H266" s="0" t="str">
        <f aca="false">UPPER(SUBSTITUTE(SUBSTITUTE(SUBSTITUTE(D266," ",""),"/",""),".",""))</f>
        <v>RENT2506</v>
      </c>
      <c r="I266" s="9" t="n">
        <f aca="false">IF(COUNTIFS($C$5:C266,C266,$H$5:H266,H266,$E$5:E266,E266)&gt;1,1,0)</f>
        <v>0</v>
      </c>
      <c r="J266" s="9" t="n">
        <f aca="false">IF(AND(I266=0,COUNTIFS($C$5:$C$634,C266,$E$5:$E$634,E266,$B$5:$B$634,"&gt;="&amp;(B266-Parameters!$B$12),$B$5:$B$634,"&lt;="&amp;(B266+Parameters!$B$12),$H$5:$H$634,"&lt;&gt;"&amp;H266)&gt;0),1,0)</f>
        <v>1</v>
      </c>
      <c r="K266" s="9" t="n">
        <f aca="false">IF(AND(E266&gt;=Parameters!$B$11,ROUND(MOD(ROUND(E266,2),Parameters!$B$10),2)=0),1,0)</f>
        <v>1</v>
      </c>
      <c r="L266" s="9" t="n">
        <f aca="false">IF(AND(E266&lt;Parameters!$B$7,E266&gt;=Parameters!$B$7*(1-Parameters!$B$9)),1,0)</f>
        <v>0</v>
      </c>
      <c r="M266" s="9" t="n">
        <f aca="false">IF(AND(E266&lt;Parameters!$B$7,COUNTIFS($C$5:$C$634,C266,$B$5:$B$634,B266)&gt;1,SUMIFS($E$5:$E$634,$C$5:$C$634,C266,$B$5:$B$634,B266)&gt;=Parameters!$B$7),1,0)</f>
        <v>0</v>
      </c>
      <c r="N266" s="9" t="n">
        <f aca="false">IF(AND(E266&gt;=Parameters!$B$7,F266&lt;&gt;Parameters!$B$8),1,0)</f>
        <v>0</v>
      </c>
      <c r="O266" s="9" t="n">
        <f aca="false">INDEX(Vendor_Benford!$N$6:$N$50,MATCH(C266,Vendor_Benford!$A$6:$A$50,0))</f>
        <v>0</v>
      </c>
      <c r="P266" s="9" t="n">
        <f aca="false">INDEX(Vendor_Benford!$M$6:$M$50,MATCH(C266,Vendor_Benford!$A$6:$A$50,0))</f>
        <v>0</v>
      </c>
      <c r="Q266" s="9" t="n">
        <f aca="false">I266*Parameters!$B$28+J266*Parameters!$B$29+K266*Parameters!$B$30+L266*Parameters!$B$31+M266*Parameters!$B$32+N266*Parameters!$B$33+O266*Parameters!$B$34+P266*Parameters!$B$35</f>
        <v>5</v>
      </c>
      <c r="R266" s="0" t="str">
        <f aca="false">IF(Q266&gt;=Parameters!$B$24,"High","")</f>
        <v>High</v>
      </c>
    </row>
    <row r="267" customFormat="false" ht="15" hidden="false" customHeight="false" outlineLevel="0" collapsed="false">
      <c r="A267" s="10" t="s">
        <v>839</v>
      </c>
      <c r="B267" s="8" t="n">
        <v>45812</v>
      </c>
      <c r="C267" s="10" t="s">
        <v>128</v>
      </c>
      <c r="D267" s="10" t="s">
        <v>840</v>
      </c>
      <c r="E267" s="12" t="n">
        <v>1857.31</v>
      </c>
      <c r="F267" s="10" t="s">
        <v>347</v>
      </c>
      <c r="G267" s="9" t="n">
        <f aca="false">VALUE(LEFT(TEXT(E267,"0.00"),1))</f>
        <v>1</v>
      </c>
      <c r="H267" s="0" t="str">
        <f aca="false">UPPER(SUBSTITUTE(SUBSTITUTE(SUBSTITUTE(D267," ",""),"/",""),".",""))</f>
        <v>INV7003</v>
      </c>
      <c r="I267" s="9" t="n">
        <f aca="false">IF(COUNTIFS($C$5:C267,C267,$H$5:H267,H267,$E$5:E267,E267)&gt;1,1,0)</f>
        <v>0</v>
      </c>
      <c r="J267" s="9" t="n">
        <f aca="false">IF(AND(I267=0,COUNTIFS($C$5:$C$634,C267,$E$5:$E$634,E267,$B$5:$B$634,"&gt;="&amp;(B267-Parameters!$B$12),$B$5:$B$634,"&lt;="&amp;(B267+Parameters!$B$12),$H$5:$H$634,"&lt;&gt;"&amp;H267)&gt;0),1,0)</f>
        <v>1</v>
      </c>
      <c r="K267" s="9" t="n">
        <f aca="false">IF(AND(E267&gt;=Parameters!$B$11,ROUND(MOD(ROUND(E267,2),Parameters!$B$10),2)=0),1,0)</f>
        <v>0</v>
      </c>
      <c r="L267" s="9" t="n">
        <f aca="false">IF(AND(E267&lt;Parameters!$B$7,E267&gt;=Parameters!$B$7*(1-Parameters!$B$9)),1,0)</f>
        <v>0</v>
      </c>
      <c r="M267" s="9" t="n">
        <f aca="false">IF(AND(E267&lt;Parameters!$B$7,COUNTIFS($C$5:$C$634,C267,$B$5:$B$634,B267)&gt;1,SUMIFS($E$5:$E$634,$C$5:$C$634,C267,$B$5:$B$634,B267)&gt;=Parameters!$B$7),1,0)</f>
        <v>0</v>
      </c>
      <c r="N267" s="9" t="n">
        <f aca="false">IF(AND(E267&gt;=Parameters!$B$7,F267&lt;&gt;Parameters!$B$8),1,0)</f>
        <v>0</v>
      </c>
      <c r="O267" s="9" t="n">
        <f aca="false">INDEX(Vendor_Benford!$N$6:$N$50,MATCH(C267,Vendor_Benford!$A$6:$A$50,0))</f>
        <v>0</v>
      </c>
      <c r="P267" s="9" t="n">
        <f aca="false">INDEX(Vendor_Benford!$M$6:$M$50,MATCH(C267,Vendor_Benford!$A$6:$A$50,0))</f>
        <v>0</v>
      </c>
      <c r="Q267" s="9" t="n">
        <f aca="false">I267*Parameters!$B$28+J267*Parameters!$B$29+K267*Parameters!$B$30+L267*Parameters!$B$31+M267*Parameters!$B$32+N267*Parameters!$B$33+O267*Parameters!$B$34+P267*Parameters!$B$35</f>
        <v>3</v>
      </c>
      <c r="R267" s="0" t="str">
        <f aca="false">IF(Q267&gt;=Parameters!$B$24,"High","")</f>
        <v/>
      </c>
    </row>
    <row r="268" customFormat="false" ht="15" hidden="false" customHeight="false" outlineLevel="0" collapsed="false">
      <c r="A268" s="10" t="s">
        <v>841</v>
      </c>
      <c r="B268" s="8" t="n">
        <v>45812</v>
      </c>
      <c r="C268" s="10" t="s">
        <v>197</v>
      </c>
      <c r="D268" s="10" t="s">
        <v>842</v>
      </c>
      <c r="E268" s="12" t="n">
        <v>291.46</v>
      </c>
      <c r="F268" s="10" t="s">
        <v>40</v>
      </c>
      <c r="G268" s="9" t="n">
        <f aca="false">VALUE(LEFT(TEXT(E268,"0.00"),1))</f>
        <v>2</v>
      </c>
      <c r="H268" s="0" t="str">
        <f aca="false">UPPER(SUBSTITUTE(SUBSTITUTE(SUBSTITUTE(D268," ",""),"/",""),".",""))</f>
        <v>INV30004</v>
      </c>
      <c r="I268" s="9" t="n">
        <f aca="false">IF(COUNTIFS($C$5:C268,C268,$H$5:H268,H268,$E$5:E268,E268)&gt;1,1,0)</f>
        <v>0</v>
      </c>
      <c r="J268" s="9" t="n">
        <f aca="false">IF(AND(I268=0,COUNTIFS($C$5:$C$634,C268,$E$5:$E$634,E268,$B$5:$B$634,"&gt;="&amp;(B268-Parameters!$B$12),$B$5:$B$634,"&lt;="&amp;(B268+Parameters!$B$12),$H$5:$H$634,"&lt;&gt;"&amp;H268)&gt;0),1,0)</f>
        <v>0</v>
      </c>
      <c r="K268" s="9" t="n">
        <f aca="false">IF(AND(E268&gt;=Parameters!$B$11,ROUND(MOD(ROUND(E268,2),Parameters!$B$10),2)=0),1,0)</f>
        <v>0</v>
      </c>
      <c r="L268" s="9" t="n">
        <f aca="false">IF(AND(E268&lt;Parameters!$B$7,E268&gt;=Parameters!$B$7*(1-Parameters!$B$9)),1,0)</f>
        <v>0</v>
      </c>
      <c r="M268" s="9" t="n">
        <f aca="false">IF(AND(E268&lt;Parameters!$B$7,COUNTIFS($C$5:$C$634,C268,$B$5:$B$634,B268)&gt;1,SUMIFS($E$5:$E$634,$C$5:$C$634,C268,$B$5:$B$634,B268)&gt;=Parameters!$B$7),1,0)</f>
        <v>0</v>
      </c>
      <c r="N268" s="9" t="n">
        <f aca="false">IF(AND(E268&gt;=Parameters!$B$7,F268&lt;&gt;Parameters!$B$8),1,0)</f>
        <v>0</v>
      </c>
      <c r="O268" s="9" t="n">
        <f aca="false">INDEX(Vendor_Benford!$N$6:$N$50,MATCH(C268,Vendor_Benford!$A$6:$A$50,0))</f>
        <v>0</v>
      </c>
      <c r="P268" s="9" t="n">
        <f aca="false">INDEX(Vendor_Benford!$M$6:$M$50,MATCH(C268,Vendor_Benford!$A$6:$A$50,0))</f>
        <v>0</v>
      </c>
      <c r="Q268" s="9" t="n">
        <f aca="false">I268*Parameters!$B$28+J268*Parameters!$B$29+K268*Parameters!$B$30+L268*Parameters!$B$31+M268*Parameters!$B$32+N268*Parameters!$B$33+O268*Parameters!$B$34+P268*Parameters!$B$35</f>
        <v>0</v>
      </c>
      <c r="R268" s="0" t="str">
        <f aca="false">IF(Q268&gt;=Parameters!$B$24,"High","")</f>
        <v/>
      </c>
    </row>
    <row r="269" customFormat="false" ht="15" hidden="false" customHeight="false" outlineLevel="0" collapsed="false">
      <c r="A269" s="10" t="s">
        <v>843</v>
      </c>
      <c r="B269" s="8" t="n">
        <v>45812</v>
      </c>
      <c r="C269" s="10" t="s">
        <v>200</v>
      </c>
      <c r="D269" s="10" t="s">
        <v>844</v>
      </c>
      <c r="E269" s="12" t="n">
        <v>4761.61</v>
      </c>
      <c r="F269" s="10" t="s">
        <v>347</v>
      </c>
      <c r="G269" s="9" t="n">
        <f aca="false">VALUE(LEFT(TEXT(E269,"0.00"),1))</f>
        <v>4</v>
      </c>
      <c r="H269" s="0" t="str">
        <f aca="false">UPPER(SUBSTITUTE(SUBSTITUTE(SUBSTITUTE(D269," ",""),"/",""),".",""))</f>
        <v>INV31016</v>
      </c>
      <c r="I269" s="9" t="n">
        <f aca="false">IF(COUNTIFS($C$5:C269,C269,$H$5:H269,H269,$E$5:E269,E269)&gt;1,1,0)</f>
        <v>0</v>
      </c>
      <c r="J269" s="9" t="n">
        <f aca="false">IF(AND(I269=0,COUNTIFS($C$5:$C$634,C269,$E$5:$E$634,E269,$B$5:$B$634,"&gt;="&amp;(B269-Parameters!$B$12),$B$5:$B$634,"&lt;="&amp;(B269+Parameters!$B$12),$H$5:$H$634,"&lt;&gt;"&amp;H269)&gt;0),1,0)</f>
        <v>0</v>
      </c>
      <c r="K269" s="9" t="n">
        <f aca="false">IF(AND(E269&gt;=Parameters!$B$11,ROUND(MOD(ROUND(E269,2),Parameters!$B$10),2)=0),1,0)</f>
        <v>0</v>
      </c>
      <c r="L269" s="9" t="n">
        <f aca="false">IF(AND(E269&lt;Parameters!$B$7,E269&gt;=Parameters!$B$7*(1-Parameters!$B$9)),1,0)</f>
        <v>1</v>
      </c>
      <c r="M269" s="9" t="n">
        <f aca="false">IF(AND(E269&lt;Parameters!$B$7,COUNTIFS($C$5:$C$634,C269,$B$5:$B$634,B269)&gt;1,SUMIFS($E$5:$E$634,$C$5:$C$634,C269,$B$5:$B$634,B269)&gt;=Parameters!$B$7),1,0)</f>
        <v>0</v>
      </c>
      <c r="N269" s="9" t="n">
        <f aca="false">IF(AND(E269&gt;=Parameters!$B$7,F269&lt;&gt;Parameters!$B$8),1,0)</f>
        <v>0</v>
      </c>
      <c r="O269" s="9" t="n">
        <f aca="false">INDEX(Vendor_Benford!$N$6:$N$50,MATCH(C269,Vendor_Benford!$A$6:$A$50,0))</f>
        <v>0</v>
      </c>
      <c r="P269" s="9" t="n">
        <f aca="false">INDEX(Vendor_Benford!$M$6:$M$50,MATCH(C269,Vendor_Benford!$A$6:$A$50,0))</f>
        <v>1</v>
      </c>
      <c r="Q269" s="9" t="n">
        <f aca="false">I269*Parameters!$B$28+J269*Parameters!$B$29+K269*Parameters!$B$30+L269*Parameters!$B$31+M269*Parameters!$B$32+N269*Parameters!$B$33+O269*Parameters!$B$34+P269*Parameters!$B$35</f>
        <v>4</v>
      </c>
      <c r="R269" s="0" t="str">
        <f aca="false">IF(Q269&gt;=Parameters!$B$24,"High","")</f>
        <v/>
      </c>
    </row>
    <row r="270" customFormat="false" ht="15" hidden="false" customHeight="false" outlineLevel="0" collapsed="false">
      <c r="A270" s="10" t="s">
        <v>845</v>
      </c>
      <c r="B270" s="8" t="n">
        <v>45812</v>
      </c>
      <c r="C270" s="10" t="s">
        <v>209</v>
      </c>
      <c r="D270" s="10" t="s">
        <v>846</v>
      </c>
      <c r="E270" s="12" t="n">
        <v>34750.39</v>
      </c>
      <c r="F270" s="10" t="s">
        <v>40</v>
      </c>
      <c r="G270" s="9" t="n">
        <f aca="false">VALUE(LEFT(TEXT(E270,"0.00"),1))</f>
        <v>3</v>
      </c>
      <c r="H270" s="0" t="str">
        <f aca="false">UPPER(SUBSTITUTE(SUBSTITUTE(SUBSTITUTE(D270," ",""),"/",""),".",""))</f>
        <v>INV34007</v>
      </c>
      <c r="I270" s="9" t="n">
        <f aca="false">IF(COUNTIFS($C$5:C270,C270,$H$5:H270,H270,$E$5:E270,E270)&gt;1,1,0)</f>
        <v>0</v>
      </c>
      <c r="J270" s="9" t="n">
        <f aca="false">IF(AND(I270=0,COUNTIFS($C$5:$C$634,C270,$E$5:$E$634,E270,$B$5:$B$634,"&gt;="&amp;(B270-Parameters!$B$12),$B$5:$B$634,"&lt;="&amp;(B270+Parameters!$B$12),$H$5:$H$634,"&lt;&gt;"&amp;H270)&gt;0),1,0)</f>
        <v>0</v>
      </c>
      <c r="K270" s="9" t="n">
        <f aca="false">IF(AND(E270&gt;=Parameters!$B$11,ROUND(MOD(ROUND(E270,2),Parameters!$B$10),2)=0),1,0)</f>
        <v>0</v>
      </c>
      <c r="L270" s="9" t="n">
        <f aca="false">IF(AND(E270&lt;Parameters!$B$7,E270&gt;=Parameters!$B$7*(1-Parameters!$B$9)),1,0)</f>
        <v>0</v>
      </c>
      <c r="M270" s="9" t="n">
        <f aca="false">IF(AND(E270&lt;Parameters!$B$7,COUNTIFS($C$5:$C$634,C270,$B$5:$B$634,B270)&gt;1,SUMIFS($E$5:$E$634,$C$5:$C$634,C270,$B$5:$B$634,B270)&gt;=Parameters!$B$7),1,0)</f>
        <v>0</v>
      </c>
      <c r="N270" s="9" t="n">
        <f aca="false">IF(AND(E270&gt;=Parameters!$B$7,F270&lt;&gt;Parameters!$B$8),1,0)</f>
        <v>0</v>
      </c>
      <c r="O270" s="9" t="n">
        <f aca="false">INDEX(Vendor_Benford!$N$6:$N$50,MATCH(C270,Vendor_Benford!$A$6:$A$50,0))</f>
        <v>0</v>
      </c>
      <c r="P270" s="9" t="n">
        <f aca="false">INDEX(Vendor_Benford!$M$6:$M$50,MATCH(C270,Vendor_Benford!$A$6:$A$50,0))</f>
        <v>0</v>
      </c>
      <c r="Q270" s="9" t="n">
        <f aca="false">I270*Parameters!$B$28+J270*Parameters!$B$29+K270*Parameters!$B$30+L270*Parameters!$B$31+M270*Parameters!$B$32+N270*Parameters!$B$33+O270*Parameters!$B$34+P270*Parameters!$B$35</f>
        <v>0</v>
      </c>
      <c r="R270" s="0" t="str">
        <f aca="false">IF(Q270&gt;=Parameters!$B$24,"High","")</f>
        <v/>
      </c>
    </row>
    <row r="271" customFormat="false" ht="15" hidden="false" customHeight="false" outlineLevel="0" collapsed="false">
      <c r="A271" s="10" t="s">
        <v>847</v>
      </c>
      <c r="B271" s="8" t="n">
        <v>45813</v>
      </c>
      <c r="C271" s="10" t="s">
        <v>200</v>
      </c>
      <c r="D271" s="10" t="s">
        <v>848</v>
      </c>
      <c r="E271" s="12" t="n">
        <v>4828.32</v>
      </c>
      <c r="F271" s="10" t="s">
        <v>347</v>
      </c>
      <c r="G271" s="9" t="n">
        <f aca="false">VALUE(LEFT(TEXT(E271,"0.00"),1))</f>
        <v>4</v>
      </c>
      <c r="H271" s="0" t="str">
        <f aca="false">UPPER(SUBSTITUTE(SUBSTITUTE(SUBSTITUTE(D271," ",""),"/",""),".",""))</f>
        <v>INV31037</v>
      </c>
      <c r="I271" s="9" t="n">
        <f aca="false">IF(COUNTIFS($C$5:C271,C271,$H$5:H271,H271,$E$5:E271,E271)&gt;1,1,0)</f>
        <v>0</v>
      </c>
      <c r="J271" s="9" t="n">
        <f aca="false">IF(AND(I271=0,COUNTIFS($C$5:$C$634,C271,$E$5:$E$634,E271,$B$5:$B$634,"&gt;="&amp;(B271-Parameters!$B$12),$B$5:$B$634,"&lt;="&amp;(B271+Parameters!$B$12),$H$5:$H$634,"&lt;&gt;"&amp;H271)&gt;0),1,0)</f>
        <v>0</v>
      </c>
      <c r="K271" s="9" t="n">
        <f aca="false">IF(AND(E271&gt;=Parameters!$B$11,ROUND(MOD(ROUND(E271,2),Parameters!$B$10),2)=0),1,0)</f>
        <v>0</v>
      </c>
      <c r="L271" s="9" t="n">
        <f aca="false">IF(AND(E271&lt;Parameters!$B$7,E271&gt;=Parameters!$B$7*(1-Parameters!$B$9)),1,0)</f>
        <v>1</v>
      </c>
      <c r="M271" s="9" t="n">
        <f aca="false">IF(AND(E271&lt;Parameters!$B$7,COUNTIFS($C$5:$C$634,C271,$B$5:$B$634,B271)&gt;1,SUMIFS($E$5:$E$634,$C$5:$C$634,C271,$B$5:$B$634,B271)&gt;=Parameters!$B$7),1,0)</f>
        <v>0</v>
      </c>
      <c r="N271" s="9" t="n">
        <f aca="false">IF(AND(E271&gt;=Parameters!$B$7,F271&lt;&gt;Parameters!$B$8),1,0)</f>
        <v>0</v>
      </c>
      <c r="O271" s="9" t="n">
        <f aca="false">INDEX(Vendor_Benford!$N$6:$N$50,MATCH(C271,Vendor_Benford!$A$6:$A$50,0))</f>
        <v>0</v>
      </c>
      <c r="P271" s="9" t="n">
        <f aca="false">INDEX(Vendor_Benford!$M$6:$M$50,MATCH(C271,Vendor_Benford!$A$6:$A$50,0))</f>
        <v>1</v>
      </c>
      <c r="Q271" s="9" t="n">
        <f aca="false">I271*Parameters!$B$28+J271*Parameters!$B$29+K271*Parameters!$B$30+L271*Parameters!$B$31+M271*Parameters!$B$32+N271*Parameters!$B$33+O271*Parameters!$B$34+P271*Parameters!$B$35</f>
        <v>4</v>
      </c>
      <c r="R271" s="0" t="str">
        <f aca="false">IF(Q271&gt;=Parameters!$B$24,"High","")</f>
        <v/>
      </c>
    </row>
    <row r="272" customFormat="false" ht="15" hidden="false" customHeight="false" outlineLevel="0" collapsed="false">
      <c r="A272" s="10" t="s">
        <v>849</v>
      </c>
      <c r="B272" s="8" t="n">
        <v>45813</v>
      </c>
      <c r="C272" s="10" t="s">
        <v>242</v>
      </c>
      <c r="D272" s="10" t="s">
        <v>850</v>
      </c>
      <c r="E272" s="12" t="n">
        <v>2885.4</v>
      </c>
      <c r="F272" s="10" t="s">
        <v>347</v>
      </c>
      <c r="G272" s="9" t="n">
        <f aca="false">VALUE(LEFT(TEXT(E272,"0.00"),1))</f>
        <v>2</v>
      </c>
      <c r="H272" s="0" t="str">
        <f aca="false">UPPER(SUBSTITUTE(SUBSTITUTE(SUBSTITUTE(D272," ",""),"/",""),".",""))</f>
        <v>INV45002</v>
      </c>
      <c r="I272" s="9" t="n">
        <f aca="false">IF(COUNTIFS($C$5:C272,C272,$H$5:H272,H272,$E$5:E272,E272)&gt;1,1,0)</f>
        <v>0</v>
      </c>
      <c r="J272" s="9" t="n">
        <f aca="false">IF(AND(I272=0,COUNTIFS($C$5:$C$634,C272,$E$5:$E$634,E272,$B$5:$B$634,"&gt;="&amp;(B272-Parameters!$B$12),$B$5:$B$634,"&lt;="&amp;(B272+Parameters!$B$12),$H$5:$H$634,"&lt;&gt;"&amp;H272)&gt;0),1,0)</f>
        <v>0</v>
      </c>
      <c r="K272" s="9" t="n">
        <f aca="false">IF(AND(E272&gt;=Parameters!$B$11,ROUND(MOD(ROUND(E272,2),Parameters!$B$10),2)=0),1,0)</f>
        <v>0</v>
      </c>
      <c r="L272" s="9" t="n">
        <f aca="false">IF(AND(E272&lt;Parameters!$B$7,E272&gt;=Parameters!$B$7*(1-Parameters!$B$9)),1,0)</f>
        <v>0</v>
      </c>
      <c r="M272" s="9" t="n">
        <f aca="false">IF(AND(E272&lt;Parameters!$B$7,COUNTIFS($C$5:$C$634,C272,$B$5:$B$634,B272)&gt;1,SUMIFS($E$5:$E$634,$C$5:$C$634,C272,$B$5:$B$634,B272)&gt;=Parameters!$B$7),1,0)</f>
        <v>0</v>
      </c>
      <c r="N272" s="9" t="n">
        <f aca="false">IF(AND(E272&gt;=Parameters!$B$7,F272&lt;&gt;Parameters!$B$8),1,0)</f>
        <v>0</v>
      </c>
      <c r="O272" s="9" t="n">
        <f aca="false">INDEX(Vendor_Benford!$N$6:$N$50,MATCH(C272,Vendor_Benford!$A$6:$A$50,0))</f>
        <v>0</v>
      </c>
      <c r="P272" s="9" t="n">
        <f aca="false">INDEX(Vendor_Benford!$M$6:$M$50,MATCH(C272,Vendor_Benford!$A$6:$A$50,0))</f>
        <v>0</v>
      </c>
      <c r="Q272" s="9" t="n">
        <f aca="false">I272*Parameters!$B$28+J272*Parameters!$B$29+K272*Parameters!$B$30+L272*Parameters!$B$31+M272*Parameters!$B$32+N272*Parameters!$B$33+O272*Parameters!$B$34+P272*Parameters!$B$35</f>
        <v>0</v>
      </c>
      <c r="R272" s="0" t="str">
        <f aca="false">IF(Q272&gt;=Parameters!$B$24,"High","")</f>
        <v/>
      </c>
    </row>
    <row r="273" customFormat="false" ht="15" hidden="false" customHeight="false" outlineLevel="0" collapsed="false">
      <c r="A273" s="10" t="s">
        <v>851</v>
      </c>
      <c r="B273" s="8" t="n">
        <v>45814</v>
      </c>
      <c r="C273" s="10" t="s">
        <v>119</v>
      </c>
      <c r="D273" s="10" t="s">
        <v>852</v>
      </c>
      <c r="E273" s="12" t="n">
        <v>18155.64</v>
      </c>
      <c r="F273" s="10" t="s">
        <v>40</v>
      </c>
      <c r="G273" s="9" t="n">
        <f aca="false">VALUE(LEFT(TEXT(E273,"0.00"),1))</f>
        <v>1</v>
      </c>
      <c r="H273" s="0" t="str">
        <f aca="false">UPPER(SUBSTITUTE(SUBSTITUTE(SUBSTITUTE(D273," ",""),"/",""),".",""))</f>
        <v>INV4005</v>
      </c>
      <c r="I273" s="9" t="n">
        <f aca="false">IF(COUNTIFS($C$5:C273,C273,$H$5:H273,H273,$E$5:E273,E273)&gt;1,1,0)</f>
        <v>0</v>
      </c>
      <c r="J273" s="9" t="n">
        <f aca="false">IF(AND(I273=0,COUNTIFS($C$5:$C$634,C273,$E$5:$E$634,E273,$B$5:$B$634,"&gt;="&amp;(B273-Parameters!$B$12),$B$5:$B$634,"&lt;="&amp;(B273+Parameters!$B$12),$H$5:$H$634,"&lt;&gt;"&amp;H273)&gt;0),1,0)</f>
        <v>0</v>
      </c>
      <c r="K273" s="9" t="n">
        <f aca="false">IF(AND(E273&gt;=Parameters!$B$11,ROUND(MOD(ROUND(E273,2),Parameters!$B$10),2)=0),1,0)</f>
        <v>0</v>
      </c>
      <c r="L273" s="9" t="n">
        <f aca="false">IF(AND(E273&lt;Parameters!$B$7,E273&gt;=Parameters!$B$7*(1-Parameters!$B$9)),1,0)</f>
        <v>0</v>
      </c>
      <c r="M273" s="9" t="n">
        <f aca="false">IF(AND(E273&lt;Parameters!$B$7,COUNTIFS($C$5:$C$634,C273,$B$5:$B$634,B273)&gt;1,SUMIFS($E$5:$E$634,$C$5:$C$634,C273,$B$5:$B$634,B273)&gt;=Parameters!$B$7),1,0)</f>
        <v>0</v>
      </c>
      <c r="N273" s="9" t="n">
        <f aca="false">IF(AND(E273&gt;=Parameters!$B$7,F273&lt;&gt;Parameters!$B$8),1,0)</f>
        <v>0</v>
      </c>
      <c r="O273" s="9" t="n">
        <f aca="false">INDEX(Vendor_Benford!$N$6:$N$50,MATCH(C273,Vendor_Benford!$A$6:$A$50,0))</f>
        <v>0</v>
      </c>
      <c r="P273" s="9" t="n">
        <f aca="false">INDEX(Vendor_Benford!$M$6:$M$50,MATCH(C273,Vendor_Benford!$A$6:$A$50,0))</f>
        <v>0</v>
      </c>
      <c r="Q273" s="9" t="n">
        <f aca="false">I273*Parameters!$B$28+J273*Parameters!$B$29+K273*Parameters!$B$30+L273*Parameters!$B$31+M273*Parameters!$B$32+N273*Parameters!$B$33+O273*Parameters!$B$34+P273*Parameters!$B$35</f>
        <v>0</v>
      </c>
      <c r="R273" s="0" t="str">
        <f aca="false">IF(Q273&gt;=Parameters!$B$24,"High","")</f>
        <v/>
      </c>
    </row>
    <row r="274" customFormat="false" ht="15" hidden="false" customHeight="false" outlineLevel="0" collapsed="false">
      <c r="A274" s="10" t="s">
        <v>853</v>
      </c>
      <c r="B274" s="8" t="n">
        <v>45814</v>
      </c>
      <c r="C274" s="10" t="s">
        <v>128</v>
      </c>
      <c r="D274" s="10" t="s">
        <v>854</v>
      </c>
      <c r="E274" s="12" t="n">
        <v>32195.05</v>
      </c>
      <c r="F274" s="10" t="s">
        <v>40</v>
      </c>
      <c r="G274" s="9" t="n">
        <f aca="false">VALUE(LEFT(TEXT(E274,"0.00"),1))</f>
        <v>3</v>
      </c>
      <c r="H274" s="0" t="str">
        <f aca="false">UPPER(SUBSTITUTE(SUBSTITUTE(SUBSTITUTE(D274," ",""),"/",""),".",""))</f>
        <v>INV7013</v>
      </c>
      <c r="I274" s="9" t="n">
        <f aca="false">IF(COUNTIFS($C$5:C274,C274,$H$5:H274,H274,$E$5:E274,E274)&gt;1,1,0)</f>
        <v>0</v>
      </c>
      <c r="J274" s="9" t="n">
        <f aca="false">IF(AND(I274=0,COUNTIFS($C$5:$C$634,C274,$E$5:$E$634,E274,$B$5:$B$634,"&gt;="&amp;(B274-Parameters!$B$12),$B$5:$B$634,"&lt;="&amp;(B274+Parameters!$B$12),$H$5:$H$634,"&lt;&gt;"&amp;H274)&gt;0),1,0)</f>
        <v>0</v>
      </c>
      <c r="K274" s="9" t="n">
        <f aca="false">IF(AND(E274&gt;=Parameters!$B$11,ROUND(MOD(ROUND(E274,2),Parameters!$B$10),2)=0),1,0)</f>
        <v>0</v>
      </c>
      <c r="L274" s="9" t="n">
        <f aca="false">IF(AND(E274&lt;Parameters!$B$7,E274&gt;=Parameters!$B$7*(1-Parameters!$B$9)),1,0)</f>
        <v>0</v>
      </c>
      <c r="M274" s="9" t="n">
        <f aca="false">IF(AND(E274&lt;Parameters!$B$7,COUNTIFS($C$5:$C$634,C274,$B$5:$B$634,B274)&gt;1,SUMIFS($E$5:$E$634,$C$5:$C$634,C274,$B$5:$B$634,B274)&gt;=Parameters!$B$7),1,0)</f>
        <v>0</v>
      </c>
      <c r="N274" s="9" t="n">
        <f aca="false">IF(AND(E274&gt;=Parameters!$B$7,F274&lt;&gt;Parameters!$B$8),1,0)</f>
        <v>0</v>
      </c>
      <c r="O274" s="9" t="n">
        <f aca="false">INDEX(Vendor_Benford!$N$6:$N$50,MATCH(C274,Vendor_Benford!$A$6:$A$50,0))</f>
        <v>0</v>
      </c>
      <c r="P274" s="9" t="n">
        <f aca="false">INDEX(Vendor_Benford!$M$6:$M$50,MATCH(C274,Vendor_Benford!$A$6:$A$50,0))</f>
        <v>0</v>
      </c>
      <c r="Q274" s="9" t="n">
        <f aca="false">I274*Parameters!$B$28+J274*Parameters!$B$29+K274*Parameters!$B$30+L274*Parameters!$B$31+M274*Parameters!$B$32+N274*Parameters!$B$33+O274*Parameters!$B$34+P274*Parameters!$B$35</f>
        <v>0</v>
      </c>
      <c r="R274" s="0" t="str">
        <f aca="false">IF(Q274&gt;=Parameters!$B$24,"High","")</f>
        <v/>
      </c>
    </row>
    <row r="275" customFormat="false" ht="15" hidden="false" customHeight="false" outlineLevel="0" collapsed="false">
      <c r="A275" s="10" t="s">
        <v>855</v>
      </c>
      <c r="B275" s="8" t="n">
        <v>45814</v>
      </c>
      <c r="C275" s="10" t="s">
        <v>212</v>
      </c>
      <c r="D275" s="10" t="s">
        <v>824</v>
      </c>
      <c r="E275" s="12" t="n">
        <v>12909.65</v>
      </c>
      <c r="F275" s="10" t="s">
        <v>40</v>
      </c>
      <c r="G275" s="9" t="n">
        <f aca="false">VALUE(LEFT(TEXT(E275,"0.00"),1))</f>
        <v>1</v>
      </c>
      <c r="H275" s="0" t="str">
        <f aca="false">UPPER(SUBSTITUTE(SUBSTITUTE(SUBSTITUTE(D275," ",""),"/",""),".",""))</f>
        <v>INV35006</v>
      </c>
      <c r="I275" s="9" t="n">
        <f aca="false">IF(COUNTIFS($C$5:C275,C275,$H$5:H275,H275,$E$5:E275,E275)&gt;1,1,0)</f>
        <v>1</v>
      </c>
      <c r="J275" s="9" t="n">
        <f aca="false">IF(AND(I275=0,COUNTIFS($C$5:$C$634,C275,$E$5:$E$634,E275,$B$5:$B$634,"&gt;="&amp;(B275-Parameters!$B$12),$B$5:$B$634,"&lt;="&amp;(B275+Parameters!$B$12),$H$5:$H$634,"&lt;&gt;"&amp;H275)&gt;0),1,0)</f>
        <v>0</v>
      </c>
      <c r="K275" s="9" t="n">
        <f aca="false">IF(AND(E275&gt;=Parameters!$B$11,ROUND(MOD(ROUND(E275,2),Parameters!$B$10),2)=0),1,0)</f>
        <v>0</v>
      </c>
      <c r="L275" s="9" t="n">
        <f aca="false">IF(AND(E275&lt;Parameters!$B$7,E275&gt;=Parameters!$B$7*(1-Parameters!$B$9)),1,0)</f>
        <v>0</v>
      </c>
      <c r="M275" s="9" t="n">
        <f aca="false">IF(AND(E275&lt;Parameters!$B$7,COUNTIFS($C$5:$C$634,C275,$B$5:$B$634,B275)&gt;1,SUMIFS($E$5:$E$634,$C$5:$C$634,C275,$B$5:$B$634,B275)&gt;=Parameters!$B$7),1,0)</f>
        <v>0</v>
      </c>
      <c r="N275" s="9" t="n">
        <f aca="false">IF(AND(E275&gt;=Parameters!$B$7,F275&lt;&gt;Parameters!$B$8),1,0)</f>
        <v>0</v>
      </c>
      <c r="O275" s="9" t="n">
        <f aca="false">INDEX(Vendor_Benford!$N$6:$N$50,MATCH(C275,Vendor_Benford!$A$6:$A$50,0))</f>
        <v>0</v>
      </c>
      <c r="P275" s="9" t="n">
        <f aca="false">INDEX(Vendor_Benford!$M$6:$M$50,MATCH(C275,Vendor_Benford!$A$6:$A$50,0))</f>
        <v>0</v>
      </c>
      <c r="Q275" s="9" t="n">
        <f aca="false">I275*Parameters!$B$28+J275*Parameters!$B$29+K275*Parameters!$B$30+L275*Parameters!$B$31+M275*Parameters!$B$32+N275*Parameters!$B$33+O275*Parameters!$B$34+P275*Parameters!$B$35</f>
        <v>5</v>
      </c>
      <c r="R275" s="0" t="str">
        <f aca="false">IF(Q275&gt;=Parameters!$B$24,"High","")</f>
        <v>High</v>
      </c>
    </row>
    <row r="276" customFormat="false" ht="15" hidden="false" customHeight="false" outlineLevel="0" collapsed="false">
      <c r="A276" s="10" t="s">
        <v>856</v>
      </c>
      <c r="B276" s="8" t="n">
        <v>45817</v>
      </c>
      <c r="C276" s="10" t="s">
        <v>128</v>
      </c>
      <c r="D276" s="10" t="s">
        <v>857</v>
      </c>
      <c r="E276" s="12" t="n">
        <v>1857.31</v>
      </c>
      <c r="F276" s="10" t="s">
        <v>347</v>
      </c>
      <c r="G276" s="9" t="n">
        <f aca="false">VALUE(LEFT(TEXT(E276,"0.00"),1))</f>
        <v>1</v>
      </c>
      <c r="H276" s="0" t="str">
        <f aca="false">UPPER(SUBSTITUTE(SUBSTITUTE(SUBSTITUTE(D276," ",""),"/",""),".",""))</f>
        <v>INV7016</v>
      </c>
      <c r="I276" s="9" t="n">
        <f aca="false">IF(COUNTIFS($C$5:C276,C276,$H$5:H276,H276,$E$5:E276,E276)&gt;1,1,0)</f>
        <v>0</v>
      </c>
      <c r="J276" s="9" t="n">
        <f aca="false">IF(AND(I276=0,COUNTIFS($C$5:$C$634,C276,$E$5:$E$634,E276,$B$5:$B$634,"&gt;="&amp;(B276-Parameters!$B$12),$B$5:$B$634,"&lt;="&amp;(B276+Parameters!$B$12),$H$5:$H$634,"&lt;&gt;"&amp;H276)&gt;0),1,0)</f>
        <v>1</v>
      </c>
      <c r="K276" s="9" t="n">
        <f aca="false">IF(AND(E276&gt;=Parameters!$B$11,ROUND(MOD(ROUND(E276,2),Parameters!$B$10),2)=0),1,0)</f>
        <v>0</v>
      </c>
      <c r="L276" s="9" t="n">
        <f aca="false">IF(AND(E276&lt;Parameters!$B$7,E276&gt;=Parameters!$B$7*(1-Parameters!$B$9)),1,0)</f>
        <v>0</v>
      </c>
      <c r="M276" s="9" t="n">
        <f aca="false">IF(AND(E276&lt;Parameters!$B$7,COUNTIFS($C$5:$C$634,C276,$B$5:$B$634,B276)&gt;1,SUMIFS($E$5:$E$634,$C$5:$C$634,C276,$B$5:$B$634,B276)&gt;=Parameters!$B$7),1,0)</f>
        <v>0</v>
      </c>
      <c r="N276" s="9" t="n">
        <f aca="false">IF(AND(E276&gt;=Parameters!$B$7,F276&lt;&gt;Parameters!$B$8),1,0)</f>
        <v>0</v>
      </c>
      <c r="O276" s="9" t="n">
        <f aca="false">INDEX(Vendor_Benford!$N$6:$N$50,MATCH(C276,Vendor_Benford!$A$6:$A$50,0))</f>
        <v>0</v>
      </c>
      <c r="P276" s="9" t="n">
        <f aca="false">INDEX(Vendor_Benford!$M$6:$M$50,MATCH(C276,Vendor_Benford!$A$6:$A$50,0))</f>
        <v>0</v>
      </c>
      <c r="Q276" s="9" t="n">
        <f aca="false">I276*Parameters!$B$28+J276*Parameters!$B$29+K276*Parameters!$B$30+L276*Parameters!$B$31+M276*Parameters!$B$32+N276*Parameters!$B$33+O276*Parameters!$B$34+P276*Parameters!$B$35</f>
        <v>3</v>
      </c>
      <c r="R276" s="0" t="str">
        <f aca="false">IF(Q276&gt;=Parameters!$B$24,"High","")</f>
        <v/>
      </c>
    </row>
    <row r="277" customFormat="false" ht="15" hidden="false" customHeight="false" outlineLevel="0" collapsed="false">
      <c r="A277" s="10" t="s">
        <v>858</v>
      </c>
      <c r="B277" s="8" t="n">
        <v>45817</v>
      </c>
      <c r="C277" s="10" t="s">
        <v>131</v>
      </c>
      <c r="D277" s="10" t="s">
        <v>859</v>
      </c>
      <c r="E277" s="12" t="n">
        <v>210.93</v>
      </c>
      <c r="F277" s="10" t="s">
        <v>347</v>
      </c>
      <c r="G277" s="9" t="n">
        <f aca="false">VALUE(LEFT(TEXT(E277,"0.00"),1))</f>
        <v>2</v>
      </c>
      <c r="H277" s="0" t="str">
        <f aca="false">UPPER(SUBSTITUTE(SUBSTITUTE(SUBSTITUTE(D277," ",""),"/",""),".",""))</f>
        <v>INV8005</v>
      </c>
      <c r="I277" s="9" t="n">
        <f aca="false">IF(COUNTIFS($C$5:C277,C277,$H$5:H277,H277,$E$5:E277,E277)&gt;1,1,0)</f>
        <v>0</v>
      </c>
      <c r="J277" s="9" t="n">
        <f aca="false">IF(AND(I277=0,COUNTIFS($C$5:$C$634,C277,$E$5:$E$634,E277,$B$5:$B$634,"&gt;="&amp;(B277-Parameters!$B$12),$B$5:$B$634,"&lt;="&amp;(B277+Parameters!$B$12),$H$5:$H$634,"&lt;&gt;"&amp;H277)&gt;0),1,0)</f>
        <v>0</v>
      </c>
      <c r="K277" s="9" t="n">
        <f aca="false">IF(AND(E277&gt;=Parameters!$B$11,ROUND(MOD(ROUND(E277,2),Parameters!$B$10),2)=0),1,0)</f>
        <v>0</v>
      </c>
      <c r="L277" s="9" t="n">
        <f aca="false">IF(AND(E277&lt;Parameters!$B$7,E277&gt;=Parameters!$B$7*(1-Parameters!$B$9)),1,0)</f>
        <v>0</v>
      </c>
      <c r="M277" s="9" t="n">
        <f aca="false">IF(AND(E277&lt;Parameters!$B$7,COUNTIFS($C$5:$C$634,C277,$B$5:$B$634,B277)&gt;1,SUMIFS($E$5:$E$634,$C$5:$C$634,C277,$B$5:$B$634,B277)&gt;=Parameters!$B$7),1,0)</f>
        <v>1</v>
      </c>
      <c r="N277" s="9" t="n">
        <f aca="false">IF(AND(E277&gt;=Parameters!$B$7,F277&lt;&gt;Parameters!$B$8),1,0)</f>
        <v>0</v>
      </c>
      <c r="O277" s="9" t="n">
        <f aca="false">INDEX(Vendor_Benford!$N$6:$N$50,MATCH(C277,Vendor_Benford!$A$6:$A$50,0))</f>
        <v>0</v>
      </c>
      <c r="P277" s="9" t="n">
        <f aca="false">INDEX(Vendor_Benford!$M$6:$M$50,MATCH(C277,Vendor_Benford!$A$6:$A$50,0))</f>
        <v>0</v>
      </c>
      <c r="Q277" s="9" t="n">
        <f aca="false">I277*Parameters!$B$28+J277*Parameters!$B$29+K277*Parameters!$B$30+L277*Parameters!$B$31+M277*Parameters!$B$32+N277*Parameters!$B$33+O277*Parameters!$B$34+P277*Parameters!$B$35</f>
        <v>3</v>
      </c>
      <c r="R277" s="0" t="str">
        <f aca="false">IF(Q277&gt;=Parameters!$B$24,"High","")</f>
        <v/>
      </c>
    </row>
    <row r="278" customFormat="false" ht="15" hidden="false" customHeight="false" outlineLevel="0" collapsed="false">
      <c r="A278" s="10" t="s">
        <v>860</v>
      </c>
      <c r="B278" s="8" t="n">
        <v>45817</v>
      </c>
      <c r="C278" s="10" t="s">
        <v>131</v>
      </c>
      <c r="D278" s="10" t="s">
        <v>861</v>
      </c>
      <c r="E278" s="12" t="n">
        <v>73711.08</v>
      </c>
      <c r="F278" s="10" t="s">
        <v>40</v>
      </c>
      <c r="G278" s="9" t="n">
        <f aca="false">VALUE(LEFT(TEXT(E278,"0.00"),1))</f>
        <v>7</v>
      </c>
      <c r="H278" s="0" t="str">
        <f aca="false">UPPER(SUBSTITUTE(SUBSTITUTE(SUBSTITUTE(D278," ",""),"/",""),".",""))</f>
        <v>INV8011</v>
      </c>
      <c r="I278" s="9" t="n">
        <f aca="false">IF(COUNTIFS($C$5:C278,C278,$H$5:H278,H278,$E$5:E278,E278)&gt;1,1,0)</f>
        <v>0</v>
      </c>
      <c r="J278" s="9" t="n">
        <f aca="false">IF(AND(I278=0,COUNTIFS($C$5:$C$634,C278,$E$5:$E$634,E278,$B$5:$B$634,"&gt;="&amp;(B278-Parameters!$B$12),$B$5:$B$634,"&lt;="&amp;(B278+Parameters!$B$12),$H$5:$H$634,"&lt;&gt;"&amp;H278)&gt;0),1,0)</f>
        <v>0</v>
      </c>
      <c r="K278" s="9" t="n">
        <f aca="false">IF(AND(E278&gt;=Parameters!$B$11,ROUND(MOD(ROUND(E278,2),Parameters!$B$10),2)=0),1,0)</f>
        <v>0</v>
      </c>
      <c r="L278" s="9" t="n">
        <f aca="false">IF(AND(E278&lt;Parameters!$B$7,E278&gt;=Parameters!$B$7*(1-Parameters!$B$9)),1,0)</f>
        <v>0</v>
      </c>
      <c r="M278" s="9" t="n">
        <f aca="false">IF(AND(E278&lt;Parameters!$B$7,COUNTIFS($C$5:$C$634,C278,$B$5:$B$634,B278)&gt;1,SUMIFS($E$5:$E$634,$C$5:$C$634,C278,$B$5:$B$634,B278)&gt;=Parameters!$B$7),1,0)</f>
        <v>0</v>
      </c>
      <c r="N278" s="9" t="n">
        <f aca="false">IF(AND(E278&gt;=Parameters!$B$7,F278&lt;&gt;Parameters!$B$8),1,0)</f>
        <v>0</v>
      </c>
      <c r="O278" s="9" t="n">
        <f aca="false">INDEX(Vendor_Benford!$N$6:$N$50,MATCH(C278,Vendor_Benford!$A$6:$A$50,0))</f>
        <v>0</v>
      </c>
      <c r="P278" s="9" t="n">
        <f aca="false">INDEX(Vendor_Benford!$M$6:$M$50,MATCH(C278,Vendor_Benford!$A$6:$A$50,0))</f>
        <v>0</v>
      </c>
      <c r="Q278" s="9" t="n">
        <f aca="false">I278*Parameters!$B$28+J278*Parameters!$B$29+K278*Parameters!$B$30+L278*Parameters!$B$31+M278*Parameters!$B$32+N278*Parameters!$B$33+O278*Parameters!$B$34+P278*Parameters!$B$35</f>
        <v>0</v>
      </c>
      <c r="R278" s="0" t="str">
        <f aca="false">IF(Q278&gt;=Parameters!$B$24,"High","")</f>
        <v/>
      </c>
    </row>
    <row r="279" customFormat="false" ht="15" hidden="false" customHeight="false" outlineLevel="0" collapsed="false">
      <c r="A279" s="10" t="s">
        <v>862</v>
      </c>
      <c r="B279" s="8" t="n">
        <v>45818</v>
      </c>
      <c r="C279" s="10" t="s">
        <v>122</v>
      </c>
      <c r="D279" s="10" t="s">
        <v>863</v>
      </c>
      <c r="E279" s="12" t="n">
        <v>23760.36</v>
      </c>
      <c r="F279" s="10" t="s">
        <v>347</v>
      </c>
      <c r="G279" s="9" t="n">
        <f aca="false">VALUE(LEFT(TEXT(E279,"0.00"),1))</f>
        <v>2</v>
      </c>
      <c r="H279" s="0" t="str">
        <f aca="false">UPPER(SUBSTITUTE(SUBSTITUTE(SUBSTITUTE(D279," ",""),"/",""),".",""))</f>
        <v>INV5018</v>
      </c>
      <c r="I279" s="9" t="n">
        <f aca="false">IF(COUNTIFS($C$5:C279,C279,$H$5:H279,H279,$E$5:E279,E279)&gt;1,1,0)</f>
        <v>0</v>
      </c>
      <c r="J279" s="9" t="n">
        <f aca="false">IF(AND(I279=0,COUNTIFS($C$5:$C$634,C279,$E$5:$E$634,E279,$B$5:$B$634,"&gt;="&amp;(B279-Parameters!$B$12),$B$5:$B$634,"&lt;="&amp;(B279+Parameters!$B$12),$H$5:$H$634,"&lt;&gt;"&amp;H279)&gt;0),1,0)</f>
        <v>0</v>
      </c>
      <c r="K279" s="9" t="n">
        <f aca="false">IF(AND(E279&gt;=Parameters!$B$11,ROUND(MOD(ROUND(E279,2),Parameters!$B$10),2)=0),1,0)</f>
        <v>0</v>
      </c>
      <c r="L279" s="9" t="n">
        <f aca="false">IF(AND(E279&lt;Parameters!$B$7,E279&gt;=Parameters!$B$7*(1-Parameters!$B$9)),1,0)</f>
        <v>0</v>
      </c>
      <c r="M279" s="9" t="n">
        <f aca="false">IF(AND(E279&lt;Parameters!$B$7,COUNTIFS($C$5:$C$634,C279,$B$5:$B$634,B279)&gt;1,SUMIFS($E$5:$E$634,$C$5:$C$634,C279,$B$5:$B$634,B279)&gt;=Parameters!$B$7),1,0)</f>
        <v>0</v>
      </c>
      <c r="N279" s="9" t="n">
        <f aca="false">IF(AND(E279&gt;=Parameters!$B$7,F279&lt;&gt;Parameters!$B$8),1,0)</f>
        <v>1</v>
      </c>
      <c r="O279" s="9" t="n">
        <f aca="false">INDEX(Vendor_Benford!$N$6:$N$50,MATCH(C279,Vendor_Benford!$A$6:$A$50,0))</f>
        <v>0</v>
      </c>
      <c r="P279" s="9" t="n">
        <f aca="false">INDEX(Vendor_Benford!$M$6:$M$50,MATCH(C279,Vendor_Benford!$A$6:$A$50,0))</f>
        <v>0</v>
      </c>
      <c r="Q279" s="9" t="n">
        <f aca="false">I279*Parameters!$B$28+J279*Parameters!$B$29+K279*Parameters!$B$30+L279*Parameters!$B$31+M279*Parameters!$B$32+N279*Parameters!$B$33+O279*Parameters!$B$34+P279*Parameters!$B$35</f>
        <v>4</v>
      </c>
      <c r="R279" s="0" t="str">
        <f aca="false">IF(Q279&gt;=Parameters!$B$24,"High","")</f>
        <v/>
      </c>
    </row>
    <row r="280" customFormat="false" ht="15" hidden="false" customHeight="false" outlineLevel="0" collapsed="false">
      <c r="A280" s="10" t="s">
        <v>864</v>
      </c>
      <c r="B280" s="8" t="n">
        <v>45818</v>
      </c>
      <c r="C280" s="10" t="s">
        <v>128</v>
      </c>
      <c r="D280" s="10" t="s">
        <v>865</v>
      </c>
      <c r="E280" s="12" t="n">
        <v>666.84</v>
      </c>
      <c r="F280" s="10" t="s">
        <v>347</v>
      </c>
      <c r="G280" s="9" t="n">
        <f aca="false">VALUE(LEFT(TEXT(E280,"0.00"),1))</f>
        <v>6</v>
      </c>
      <c r="H280" s="0" t="str">
        <f aca="false">UPPER(SUBSTITUTE(SUBSTITUTE(SUBSTITUTE(D280," ",""),"/",""),".",""))</f>
        <v>INV7004</v>
      </c>
      <c r="I280" s="9" t="n">
        <f aca="false">IF(COUNTIFS($C$5:C280,C280,$H$5:H280,H280,$E$5:E280,E280)&gt;1,1,0)</f>
        <v>0</v>
      </c>
      <c r="J280" s="9" t="n">
        <f aca="false">IF(AND(I280=0,COUNTIFS($C$5:$C$634,C280,$E$5:$E$634,E280,$B$5:$B$634,"&gt;="&amp;(B280-Parameters!$B$12),$B$5:$B$634,"&lt;="&amp;(B280+Parameters!$B$12),$H$5:$H$634,"&lt;&gt;"&amp;H280)&gt;0),1,0)</f>
        <v>0</v>
      </c>
      <c r="K280" s="9" t="n">
        <f aca="false">IF(AND(E280&gt;=Parameters!$B$11,ROUND(MOD(ROUND(E280,2),Parameters!$B$10),2)=0),1,0)</f>
        <v>0</v>
      </c>
      <c r="L280" s="9" t="n">
        <f aca="false">IF(AND(E280&lt;Parameters!$B$7,E280&gt;=Parameters!$B$7*(1-Parameters!$B$9)),1,0)</f>
        <v>0</v>
      </c>
      <c r="M280" s="9" t="n">
        <f aca="false">IF(AND(E280&lt;Parameters!$B$7,COUNTIFS($C$5:$C$634,C280,$B$5:$B$634,B280)&gt;1,SUMIFS($E$5:$E$634,$C$5:$C$634,C280,$B$5:$B$634,B280)&gt;=Parameters!$B$7),1,0)</f>
        <v>0</v>
      </c>
      <c r="N280" s="9" t="n">
        <f aca="false">IF(AND(E280&gt;=Parameters!$B$7,F280&lt;&gt;Parameters!$B$8),1,0)</f>
        <v>0</v>
      </c>
      <c r="O280" s="9" t="n">
        <f aca="false">INDEX(Vendor_Benford!$N$6:$N$50,MATCH(C280,Vendor_Benford!$A$6:$A$50,0))</f>
        <v>0</v>
      </c>
      <c r="P280" s="9" t="n">
        <f aca="false">INDEX(Vendor_Benford!$M$6:$M$50,MATCH(C280,Vendor_Benford!$A$6:$A$50,0))</f>
        <v>0</v>
      </c>
      <c r="Q280" s="9" t="n">
        <f aca="false">I280*Parameters!$B$28+J280*Parameters!$B$29+K280*Parameters!$B$30+L280*Parameters!$B$31+M280*Parameters!$B$32+N280*Parameters!$B$33+O280*Parameters!$B$34+P280*Parameters!$B$35</f>
        <v>0</v>
      </c>
      <c r="R280" s="0" t="str">
        <f aca="false">IF(Q280&gt;=Parameters!$B$24,"High","")</f>
        <v/>
      </c>
    </row>
    <row r="281" customFormat="false" ht="15" hidden="false" customHeight="false" outlineLevel="0" collapsed="false">
      <c r="A281" s="10" t="s">
        <v>866</v>
      </c>
      <c r="B281" s="8" t="n">
        <v>45819</v>
      </c>
      <c r="C281" s="10" t="s">
        <v>134</v>
      </c>
      <c r="D281" s="10" t="s">
        <v>867</v>
      </c>
      <c r="E281" s="12" t="n">
        <v>2335.82</v>
      </c>
      <c r="F281" s="10" t="s">
        <v>40</v>
      </c>
      <c r="G281" s="9" t="n">
        <f aca="false">VALUE(LEFT(TEXT(E281,"0.00"),1))</f>
        <v>2</v>
      </c>
      <c r="H281" s="0" t="str">
        <f aca="false">UPPER(SUBSTITUTE(SUBSTITUTE(SUBSTITUTE(D281," ",""),"/",""),".",""))</f>
        <v>INV9020</v>
      </c>
      <c r="I281" s="9" t="n">
        <f aca="false">IF(COUNTIFS($C$5:C281,C281,$H$5:H281,H281,$E$5:E281,E281)&gt;1,1,0)</f>
        <v>0</v>
      </c>
      <c r="J281" s="9" t="n">
        <f aca="false">IF(AND(I281=0,COUNTIFS($C$5:$C$634,C281,$E$5:$E$634,E281,$B$5:$B$634,"&gt;="&amp;(B281-Parameters!$B$12),$B$5:$B$634,"&lt;="&amp;(B281+Parameters!$B$12),$H$5:$H$634,"&lt;&gt;"&amp;H281)&gt;0),1,0)</f>
        <v>0</v>
      </c>
      <c r="K281" s="9" t="n">
        <f aca="false">IF(AND(E281&gt;=Parameters!$B$11,ROUND(MOD(ROUND(E281,2),Parameters!$B$10),2)=0),1,0)</f>
        <v>0</v>
      </c>
      <c r="L281" s="9" t="n">
        <f aca="false">IF(AND(E281&lt;Parameters!$B$7,E281&gt;=Parameters!$B$7*(1-Parameters!$B$9)),1,0)</f>
        <v>0</v>
      </c>
      <c r="M281" s="9" t="n">
        <f aca="false">IF(AND(E281&lt;Parameters!$B$7,COUNTIFS($C$5:$C$634,C281,$B$5:$B$634,B281)&gt;1,SUMIFS($E$5:$E$634,$C$5:$C$634,C281,$B$5:$B$634,B281)&gt;=Parameters!$B$7),1,0)</f>
        <v>0</v>
      </c>
      <c r="N281" s="9" t="n">
        <f aca="false">IF(AND(E281&gt;=Parameters!$B$7,F281&lt;&gt;Parameters!$B$8),1,0)</f>
        <v>0</v>
      </c>
      <c r="O281" s="9" t="n">
        <f aca="false">INDEX(Vendor_Benford!$N$6:$N$50,MATCH(C281,Vendor_Benford!$A$6:$A$50,0))</f>
        <v>0</v>
      </c>
      <c r="P281" s="9" t="n">
        <f aca="false">INDEX(Vendor_Benford!$M$6:$M$50,MATCH(C281,Vendor_Benford!$A$6:$A$50,0))</f>
        <v>0</v>
      </c>
      <c r="Q281" s="9" t="n">
        <f aca="false">I281*Parameters!$B$28+J281*Parameters!$B$29+K281*Parameters!$B$30+L281*Parameters!$B$31+M281*Parameters!$B$32+N281*Parameters!$B$33+O281*Parameters!$B$34+P281*Parameters!$B$35</f>
        <v>0</v>
      </c>
      <c r="R281" s="0" t="str">
        <f aca="false">IF(Q281&gt;=Parameters!$B$24,"High","")</f>
        <v/>
      </c>
    </row>
    <row r="282" customFormat="false" ht="15" hidden="false" customHeight="false" outlineLevel="0" collapsed="false">
      <c r="A282" s="10" t="s">
        <v>868</v>
      </c>
      <c r="B282" s="8" t="n">
        <v>45819</v>
      </c>
      <c r="C282" s="10" t="s">
        <v>242</v>
      </c>
      <c r="D282" s="10" t="s">
        <v>869</v>
      </c>
      <c r="E282" s="12" t="n">
        <v>18196.62</v>
      </c>
      <c r="F282" s="10" t="s">
        <v>40</v>
      </c>
      <c r="G282" s="9" t="n">
        <f aca="false">VALUE(LEFT(TEXT(E282,"0.00"),1))</f>
        <v>1</v>
      </c>
      <c r="H282" s="0" t="str">
        <f aca="false">UPPER(SUBSTITUTE(SUBSTITUTE(SUBSTITUTE(D282," ",""),"/",""),".",""))</f>
        <v>INV45001</v>
      </c>
      <c r="I282" s="9" t="n">
        <f aca="false">IF(COUNTIFS($C$5:C282,C282,$H$5:H282,H282,$E$5:E282,E282)&gt;1,1,0)</f>
        <v>0</v>
      </c>
      <c r="J282" s="9" t="n">
        <f aca="false">IF(AND(I282=0,COUNTIFS($C$5:$C$634,C282,$E$5:$E$634,E282,$B$5:$B$634,"&gt;="&amp;(B282-Parameters!$B$12),$B$5:$B$634,"&lt;="&amp;(B282+Parameters!$B$12),$H$5:$H$634,"&lt;&gt;"&amp;H282)&gt;0),1,0)</f>
        <v>0</v>
      </c>
      <c r="K282" s="9" t="n">
        <f aca="false">IF(AND(E282&gt;=Parameters!$B$11,ROUND(MOD(ROUND(E282,2),Parameters!$B$10),2)=0),1,0)</f>
        <v>0</v>
      </c>
      <c r="L282" s="9" t="n">
        <f aca="false">IF(AND(E282&lt;Parameters!$B$7,E282&gt;=Parameters!$B$7*(1-Parameters!$B$9)),1,0)</f>
        <v>0</v>
      </c>
      <c r="M282" s="9" t="n">
        <f aca="false">IF(AND(E282&lt;Parameters!$B$7,COUNTIFS($C$5:$C$634,C282,$B$5:$B$634,B282)&gt;1,SUMIFS($E$5:$E$634,$C$5:$C$634,C282,$B$5:$B$634,B282)&gt;=Parameters!$B$7),1,0)</f>
        <v>0</v>
      </c>
      <c r="N282" s="9" t="n">
        <f aca="false">IF(AND(E282&gt;=Parameters!$B$7,F282&lt;&gt;Parameters!$B$8),1,0)</f>
        <v>0</v>
      </c>
      <c r="O282" s="9" t="n">
        <f aca="false">INDEX(Vendor_Benford!$N$6:$N$50,MATCH(C282,Vendor_Benford!$A$6:$A$50,0))</f>
        <v>0</v>
      </c>
      <c r="P282" s="9" t="n">
        <f aca="false">INDEX(Vendor_Benford!$M$6:$M$50,MATCH(C282,Vendor_Benford!$A$6:$A$50,0))</f>
        <v>0</v>
      </c>
      <c r="Q282" s="9" t="n">
        <f aca="false">I282*Parameters!$B$28+J282*Parameters!$B$29+K282*Parameters!$B$30+L282*Parameters!$B$31+M282*Parameters!$B$32+N282*Parameters!$B$33+O282*Parameters!$B$34+P282*Parameters!$B$35</f>
        <v>0</v>
      </c>
      <c r="R282" s="0" t="str">
        <f aca="false">IF(Q282&gt;=Parameters!$B$24,"High","")</f>
        <v/>
      </c>
    </row>
    <row r="283" customFormat="false" ht="15" hidden="false" customHeight="false" outlineLevel="0" collapsed="false">
      <c r="A283" s="10" t="s">
        <v>870</v>
      </c>
      <c r="B283" s="8" t="n">
        <v>45820</v>
      </c>
      <c r="C283" s="10" t="s">
        <v>143</v>
      </c>
      <c r="D283" s="10" t="s">
        <v>871</v>
      </c>
      <c r="E283" s="12" t="n">
        <v>49580.93</v>
      </c>
      <c r="F283" s="10" t="s">
        <v>40</v>
      </c>
      <c r="G283" s="9" t="n">
        <f aca="false">VALUE(LEFT(TEXT(E283,"0.00"),1))</f>
        <v>4</v>
      </c>
      <c r="H283" s="0" t="str">
        <f aca="false">UPPER(SUBSTITUTE(SUBSTITUTE(SUBSTITUTE(D283," ",""),"/",""),".",""))</f>
        <v>INV12006</v>
      </c>
      <c r="I283" s="9" t="n">
        <f aca="false">IF(COUNTIFS($C$5:C283,C283,$H$5:H283,H283,$E$5:E283,E283)&gt;1,1,0)</f>
        <v>0</v>
      </c>
      <c r="J283" s="9" t="n">
        <f aca="false">IF(AND(I283=0,COUNTIFS($C$5:$C$634,C283,$E$5:$E$634,E283,$B$5:$B$634,"&gt;="&amp;(B283-Parameters!$B$12),$B$5:$B$634,"&lt;="&amp;(B283+Parameters!$B$12),$H$5:$H$634,"&lt;&gt;"&amp;H283)&gt;0),1,0)</f>
        <v>0</v>
      </c>
      <c r="K283" s="9" t="n">
        <f aca="false">IF(AND(E283&gt;=Parameters!$B$11,ROUND(MOD(ROUND(E283,2),Parameters!$B$10),2)=0),1,0)</f>
        <v>0</v>
      </c>
      <c r="L283" s="9" t="n">
        <f aca="false">IF(AND(E283&lt;Parameters!$B$7,E283&gt;=Parameters!$B$7*(1-Parameters!$B$9)),1,0)</f>
        <v>0</v>
      </c>
      <c r="M283" s="9" t="n">
        <f aca="false">IF(AND(E283&lt;Parameters!$B$7,COUNTIFS($C$5:$C$634,C283,$B$5:$B$634,B283)&gt;1,SUMIFS($E$5:$E$634,$C$5:$C$634,C283,$B$5:$B$634,B283)&gt;=Parameters!$B$7),1,0)</f>
        <v>0</v>
      </c>
      <c r="N283" s="9" t="n">
        <f aca="false">IF(AND(E283&gt;=Parameters!$B$7,F283&lt;&gt;Parameters!$B$8),1,0)</f>
        <v>0</v>
      </c>
      <c r="O283" s="9" t="n">
        <f aca="false">INDEX(Vendor_Benford!$N$6:$N$50,MATCH(C283,Vendor_Benford!$A$6:$A$50,0))</f>
        <v>0</v>
      </c>
      <c r="P283" s="9" t="n">
        <f aca="false">INDEX(Vendor_Benford!$M$6:$M$50,MATCH(C283,Vendor_Benford!$A$6:$A$50,0))</f>
        <v>0</v>
      </c>
      <c r="Q283" s="9" t="n">
        <f aca="false">I283*Parameters!$B$28+J283*Parameters!$B$29+K283*Parameters!$B$30+L283*Parameters!$B$31+M283*Parameters!$B$32+N283*Parameters!$B$33+O283*Parameters!$B$34+P283*Parameters!$B$35</f>
        <v>0</v>
      </c>
      <c r="R283" s="0" t="str">
        <f aca="false">IF(Q283&gt;=Parameters!$B$24,"High","")</f>
        <v/>
      </c>
    </row>
    <row r="284" customFormat="false" ht="15" hidden="false" customHeight="false" outlineLevel="0" collapsed="false">
      <c r="A284" s="10" t="s">
        <v>872</v>
      </c>
      <c r="B284" s="8" t="n">
        <v>45820</v>
      </c>
      <c r="C284" s="10" t="s">
        <v>149</v>
      </c>
      <c r="D284" s="10" t="s">
        <v>873</v>
      </c>
      <c r="E284" s="12" t="n">
        <v>10222.17</v>
      </c>
      <c r="F284" s="10" t="s">
        <v>40</v>
      </c>
      <c r="G284" s="9" t="n">
        <f aca="false">VALUE(LEFT(TEXT(E284,"0.00"),1))</f>
        <v>1</v>
      </c>
      <c r="H284" s="0" t="str">
        <f aca="false">UPPER(SUBSTITUTE(SUBSTITUTE(SUBSTITUTE(D284," ",""),"/",""),".",""))</f>
        <v>INV14002</v>
      </c>
      <c r="I284" s="9" t="n">
        <f aca="false">IF(COUNTIFS($C$5:C284,C284,$H$5:H284,H284,$E$5:E284,E284)&gt;1,1,0)</f>
        <v>0</v>
      </c>
      <c r="J284" s="9" t="n">
        <f aca="false">IF(AND(I284=0,COUNTIFS($C$5:$C$634,C284,$E$5:$E$634,E284,$B$5:$B$634,"&gt;="&amp;(B284-Parameters!$B$12),$B$5:$B$634,"&lt;="&amp;(B284+Parameters!$B$12),$H$5:$H$634,"&lt;&gt;"&amp;H284)&gt;0),1,0)</f>
        <v>0</v>
      </c>
      <c r="K284" s="9" t="n">
        <f aca="false">IF(AND(E284&gt;=Parameters!$B$11,ROUND(MOD(ROUND(E284,2),Parameters!$B$10),2)=0),1,0)</f>
        <v>0</v>
      </c>
      <c r="L284" s="9" t="n">
        <f aca="false">IF(AND(E284&lt;Parameters!$B$7,E284&gt;=Parameters!$B$7*(1-Parameters!$B$9)),1,0)</f>
        <v>0</v>
      </c>
      <c r="M284" s="9" t="n">
        <f aca="false">IF(AND(E284&lt;Parameters!$B$7,COUNTIFS($C$5:$C$634,C284,$B$5:$B$634,B284)&gt;1,SUMIFS($E$5:$E$634,$C$5:$C$634,C284,$B$5:$B$634,B284)&gt;=Parameters!$B$7),1,0)</f>
        <v>0</v>
      </c>
      <c r="N284" s="9" t="n">
        <f aca="false">IF(AND(E284&gt;=Parameters!$B$7,F284&lt;&gt;Parameters!$B$8),1,0)</f>
        <v>0</v>
      </c>
      <c r="O284" s="9" t="n">
        <f aca="false">INDEX(Vendor_Benford!$N$6:$N$50,MATCH(C284,Vendor_Benford!$A$6:$A$50,0))</f>
        <v>0</v>
      </c>
      <c r="P284" s="9" t="n">
        <f aca="false">INDEX(Vendor_Benford!$M$6:$M$50,MATCH(C284,Vendor_Benford!$A$6:$A$50,0))</f>
        <v>0</v>
      </c>
      <c r="Q284" s="9" t="n">
        <f aca="false">I284*Parameters!$B$28+J284*Parameters!$B$29+K284*Parameters!$B$30+L284*Parameters!$B$31+M284*Parameters!$B$32+N284*Parameters!$B$33+O284*Parameters!$B$34+P284*Parameters!$B$35</f>
        <v>0</v>
      </c>
      <c r="R284" s="0" t="str">
        <f aca="false">IF(Q284&gt;=Parameters!$B$24,"High","")</f>
        <v/>
      </c>
    </row>
    <row r="285" customFormat="false" ht="15" hidden="false" customHeight="false" outlineLevel="0" collapsed="false">
      <c r="A285" s="10" t="s">
        <v>874</v>
      </c>
      <c r="B285" s="8" t="n">
        <v>45820</v>
      </c>
      <c r="C285" s="10" t="s">
        <v>209</v>
      </c>
      <c r="D285" s="10" t="s">
        <v>875</v>
      </c>
      <c r="E285" s="12" t="n">
        <v>166.83</v>
      </c>
      <c r="F285" s="10" t="s">
        <v>347</v>
      </c>
      <c r="G285" s="9" t="n">
        <f aca="false">VALUE(LEFT(TEXT(E285,"0.00"),1))</f>
        <v>1</v>
      </c>
      <c r="H285" s="0" t="str">
        <f aca="false">UPPER(SUBSTITUTE(SUBSTITUTE(SUBSTITUTE(D285," ",""),"/",""),".",""))</f>
        <v>INV34014</v>
      </c>
      <c r="I285" s="9" t="n">
        <f aca="false">IF(COUNTIFS($C$5:C285,C285,$H$5:H285,H285,$E$5:E285,E285)&gt;1,1,0)</f>
        <v>0</v>
      </c>
      <c r="J285" s="9" t="n">
        <f aca="false">IF(AND(I285=0,COUNTIFS($C$5:$C$634,C285,$E$5:$E$634,E285,$B$5:$B$634,"&gt;="&amp;(B285-Parameters!$B$12),$B$5:$B$634,"&lt;="&amp;(B285+Parameters!$B$12),$H$5:$H$634,"&lt;&gt;"&amp;H285)&gt;0),1,0)</f>
        <v>0</v>
      </c>
      <c r="K285" s="9" t="n">
        <f aca="false">IF(AND(E285&gt;=Parameters!$B$11,ROUND(MOD(ROUND(E285,2),Parameters!$B$10),2)=0),1,0)</f>
        <v>0</v>
      </c>
      <c r="L285" s="9" t="n">
        <f aca="false">IF(AND(E285&lt;Parameters!$B$7,E285&gt;=Parameters!$B$7*(1-Parameters!$B$9)),1,0)</f>
        <v>0</v>
      </c>
      <c r="M285" s="9" t="n">
        <f aca="false">IF(AND(E285&lt;Parameters!$B$7,COUNTIFS($C$5:$C$634,C285,$B$5:$B$634,B285)&gt;1,SUMIFS($E$5:$E$634,$C$5:$C$634,C285,$B$5:$B$634,B285)&gt;=Parameters!$B$7),1,0)</f>
        <v>0</v>
      </c>
      <c r="N285" s="9" t="n">
        <f aca="false">IF(AND(E285&gt;=Parameters!$B$7,F285&lt;&gt;Parameters!$B$8),1,0)</f>
        <v>0</v>
      </c>
      <c r="O285" s="9" t="n">
        <f aca="false">INDEX(Vendor_Benford!$N$6:$N$50,MATCH(C285,Vendor_Benford!$A$6:$A$50,0))</f>
        <v>0</v>
      </c>
      <c r="P285" s="9" t="n">
        <f aca="false">INDEX(Vendor_Benford!$M$6:$M$50,MATCH(C285,Vendor_Benford!$A$6:$A$50,0))</f>
        <v>0</v>
      </c>
      <c r="Q285" s="9" t="n">
        <f aca="false">I285*Parameters!$B$28+J285*Parameters!$B$29+K285*Parameters!$B$30+L285*Parameters!$B$31+M285*Parameters!$B$32+N285*Parameters!$B$33+O285*Parameters!$B$34+P285*Parameters!$B$35</f>
        <v>0</v>
      </c>
      <c r="R285" s="0" t="str">
        <f aca="false">IF(Q285&gt;=Parameters!$B$24,"High","")</f>
        <v/>
      </c>
    </row>
    <row r="286" customFormat="false" ht="15" hidden="false" customHeight="false" outlineLevel="0" collapsed="false">
      <c r="A286" s="10" t="s">
        <v>876</v>
      </c>
      <c r="B286" s="8" t="n">
        <v>45821</v>
      </c>
      <c r="C286" s="10" t="s">
        <v>155</v>
      </c>
      <c r="D286" s="10" t="s">
        <v>877</v>
      </c>
      <c r="E286" s="12" t="n">
        <v>289.35</v>
      </c>
      <c r="F286" s="10" t="s">
        <v>347</v>
      </c>
      <c r="G286" s="9" t="n">
        <f aca="false">VALUE(LEFT(TEXT(E286,"0.00"),1))</f>
        <v>2</v>
      </c>
      <c r="H286" s="0" t="str">
        <f aca="false">UPPER(SUBSTITUTE(SUBSTITUTE(SUBSTITUTE(D286," ",""),"/",""),".",""))</f>
        <v>INV16007</v>
      </c>
      <c r="I286" s="9" t="n">
        <f aca="false">IF(COUNTIFS($C$5:C286,C286,$H$5:H286,H286,$E$5:E286,E286)&gt;1,1,0)</f>
        <v>0</v>
      </c>
      <c r="J286" s="9" t="n">
        <f aca="false">IF(AND(I286=0,COUNTIFS($C$5:$C$634,C286,$E$5:$E$634,E286,$B$5:$B$634,"&gt;="&amp;(B286-Parameters!$B$12),$B$5:$B$634,"&lt;="&amp;(B286+Parameters!$B$12),$H$5:$H$634,"&lt;&gt;"&amp;H286)&gt;0),1,0)</f>
        <v>0</v>
      </c>
      <c r="K286" s="9" t="n">
        <f aca="false">IF(AND(E286&gt;=Parameters!$B$11,ROUND(MOD(ROUND(E286,2),Parameters!$B$10),2)=0),1,0)</f>
        <v>0</v>
      </c>
      <c r="L286" s="9" t="n">
        <f aca="false">IF(AND(E286&lt;Parameters!$B$7,E286&gt;=Parameters!$B$7*(1-Parameters!$B$9)),1,0)</f>
        <v>0</v>
      </c>
      <c r="M286" s="9" t="n">
        <f aca="false">IF(AND(E286&lt;Parameters!$B$7,COUNTIFS($C$5:$C$634,C286,$B$5:$B$634,B286)&gt;1,SUMIFS($E$5:$E$634,$C$5:$C$634,C286,$B$5:$B$634,B286)&gt;=Parameters!$B$7),1,0)</f>
        <v>0</v>
      </c>
      <c r="N286" s="9" t="n">
        <f aca="false">IF(AND(E286&gt;=Parameters!$B$7,F286&lt;&gt;Parameters!$B$8),1,0)</f>
        <v>0</v>
      </c>
      <c r="O286" s="9" t="n">
        <f aca="false">INDEX(Vendor_Benford!$N$6:$N$50,MATCH(C286,Vendor_Benford!$A$6:$A$50,0))</f>
        <v>0</v>
      </c>
      <c r="P286" s="9" t="n">
        <f aca="false">INDEX(Vendor_Benford!$M$6:$M$50,MATCH(C286,Vendor_Benford!$A$6:$A$50,0))</f>
        <v>0</v>
      </c>
      <c r="Q286" s="9" t="n">
        <f aca="false">I286*Parameters!$B$28+J286*Parameters!$B$29+K286*Parameters!$B$30+L286*Parameters!$B$31+M286*Parameters!$B$32+N286*Parameters!$B$33+O286*Parameters!$B$34+P286*Parameters!$B$35</f>
        <v>0</v>
      </c>
      <c r="R286" s="0" t="str">
        <f aca="false">IF(Q286&gt;=Parameters!$B$24,"High","")</f>
        <v/>
      </c>
    </row>
    <row r="287" customFormat="false" ht="15" hidden="false" customHeight="false" outlineLevel="0" collapsed="false">
      <c r="A287" s="10" t="s">
        <v>878</v>
      </c>
      <c r="B287" s="8" t="n">
        <v>45821</v>
      </c>
      <c r="C287" s="10" t="s">
        <v>218</v>
      </c>
      <c r="D287" s="10" t="s">
        <v>879</v>
      </c>
      <c r="E287" s="12" t="n">
        <v>588.04</v>
      </c>
      <c r="F287" s="10" t="s">
        <v>347</v>
      </c>
      <c r="G287" s="9" t="n">
        <f aca="false">VALUE(LEFT(TEXT(E287,"0.00"),1))</f>
        <v>5</v>
      </c>
      <c r="H287" s="0" t="str">
        <f aca="false">UPPER(SUBSTITUTE(SUBSTITUTE(SUBSTITUTE(D287," ",""),"/",""),".",""))</f>
        <v>INV37012</v>
      </c>
      <c r="I287" s="9" t="n">
        <f aca="false">IF(COUNTIFS($C$5:C287,C287,$H$5:H287,H287,$E$5:E287,E287)&gt;1,1,0)</f>
        <v>0</v>
      </c>
      <c r="J287" s="9" t="n">
        <f aca="false">IF(AND(I287=0,COUNTIFS($C$5:$C$634,C287,$E$5:$E$634,E287,$B$5:$B$634,"&gt;="&amp;(B287-Parameters!$B$12),$B$5:$B$634,"&lt;="&amp;(B287+Parameters!$B$12),$H$5:$H$634,"&lt;&gt;"&amp;H287)&gt;0),1,0)</f>
        <v>0</v>
      </c>
      <c r="K287" s="9" t="n">
        <f aca="false">IF(AND(E287&gt;=Parameters!$B$11,ROUND(MOD(ROUND(E287,2),Parameters!$B$10),2)=0),1,0)</f>
        <v>0</v>
      </c>
      <c r="L287" s="9" t="n">
        <f aca="false">IF(AND(E287&lt;Parameters!$B$7,E287&gt;=Parameters!$B$7*(1-Parameters!$B$9)),1,0)</f>
        <v>0</v>
      </c>
      <c r="M287" s="9" t="n">
        <f aca="false">IF(AND(E287&lt;Parameters!$B$7,COUNTIFS($C$5:$C$634,C287,$B$5:$B$634,B287)&gt;1,SUMIFS($E$5:$E$634,$C$5:$C$634,C287,$B$5:$B$634,B287)&gt;=Parameters!$B$7),1,0)</f>
        <v>0</v>
      </c>
      <c r="N287" s="9" t="n">
        <f aca="false">IF(AND(E287&gt;=Parameters!$B$7,F287&lt;&gt;Parameters!$B$8),1,0)</f>
        <v>0</v>
      </c>
      <c r="O287" s="9" t="n">
        <f aca="false">INDEX(Vendor_Benford!$N$6:$N$50,MATCH(C287,Vendor_Benford!$A$6:$A$50,0))</f>
        <v>0</v>
      </c>
      <c r="P287" s="9" t="n">
        <f aca="false">INDEX(Vendor_Benford!$M$6:$M$50,MATCH(C287,Vendor_Benford!$A$6:$A$50,0))</f>
        <v>0</v>
      </c>
      <c r="Q287" s="9" t="n">
        <f aca="false">I287*Parameters!$B$28+J287*Parameters!$B$29+K287*Parameters!$B$30+L287*Parameters!$B$31+M287*Parameters!$B$32+N287*Parameters!$B$33+O287*Parameters!$B$34+P287*Parameters!$B$35</f>
        <v>0</v>
      </c>
      <c r="R287" s="0" t="str">
        <f aca="false">IF(Q287&gt;=Parameters!$B$24,"High","")</f>
        <v/>
      </c>
    </row>
    <row r="288" customFormat="false" ht="15" hidden="false" customHeight="false" outlineLevel="0" collapsed="false">
      <c r="A288" s="10" t="s">
        <v>880</v>
      </c>
      <c r="B288" s="8" t="n">
        <v>45821</v>
      </c>
      <c r="C288" s="10" t="s">
        <v>221</v>
      </c>
      <c r="D288" s="10" t="s">
        <v>881</v>
      </c>
      <c r="E288" s="12" t="n">
        <v>1276.53</v>
      </c>
      <c r="F288" s="10" t="s">
        <v>347</v>
      </c>
      <c r="G288" s="9" t="n">
        <f aca="false">VALUE(LEFT(TEXT(E288,"0.00"),1))</f>
        <v>1</v>
      </c>
      <c r="H288" s="0" t="str">
        <f aca="false">UPPER(SUBSTITUTE(SUBSTITUTE(SUBSTITUTE(D288," ",""),"/",""),".",""))</f>
        <v>INV38001</v>
      </c>
      <c r="I288" s="9" t="n">
        <f aca="false">IF(COUNTIFS($C$5:C288,C288,$H$5:H288,H288,$E$5:E288,E288)&gt;1,1,0)</f>
        <v>0</v>
      </c>
      <c r="J288" s="9" t="n">
        <f aca="false">IF(AND(I288=0,COUNTIFS($C$5:$C$634,C288,$E$5:$E$634,E288,$B$5:$B$634,"&gt;="&amp;(B288-Parameters!$B$12),$B$5:$B$634,"&lt;="&amp;(B288+Parameters!$B$12),$H$5:$H$634,"&lt;&gt;"&amp;H288)&gt;0),1,0)</f>
        <v>0</v>
      </c>
      <c r="K288" s="9" t="n">
        <f aca="false">IF(AND(E288&gt;=Parameters!$B$11,ROUND(MOD(ROUND(E288,2),Parameters!$B$10),2)=0),1,0)</f>
        <v>0</v>
      </c>
      <c r="L288" s="9" t="n">
        <f aca="false">IF(AND(E288&lt;Parameters!$B$7,E288&gt;=Parameters!$B$7*(1-Parameters!$B$9)),1,0)</f>
        <v>0</v>
      </c>
      <c r="M288" s="9" t="n">
        <f aca="false">IF(AND(E288&lt;Parameters!$B$7,COUNTIFS($C$5:$C$634,C288,$B$5:$B$634,B288)&gt;1,SUMIFS($E$5:$E$634,$C$5:$C$634,C288,$B$5:$B$634,B288)&gt;=Parameters!$B$7),1,0)</f>
        <v>0</v>
      </c>
      <c r="N288" s="9" t="n">
        <f aca="false">IF(AND(E288&gt;=Parameters!$B$7,F288&lt;&gt;Parameters!$B$8),1,0)</f>
        <v>0</v>
      </c>
      <c r="O288" s="9" t="n">
        <f aca="false">INDEX(Vendor_Benford!$N$6:$N$50,MATCH(C288,Vendor_Benford!$A$6:$A$50,0))</f>
        <v>1</v>
      </c>
      <c r="P288" s="9" t="n">
        <f aca="false">INDEX(Vendor_Benford!$M$6:$M$50,MATCH(C288,Vendor_Benford!$A$6:$A$50,0))</f>
        <v>0</v>
      </c>
      <c r="Q288" s="9" t="n">
        <f aca="false">I288*Parameters!$B$28+J288*Parameters!$B$29+K288*Parameters!$B$30+L288*Parameters!$B$31+M288*Parameters!$B$32+N288*Parameters!$B$33+O288*Parameters!$B$34+P288*Parameters!$B$35</f>
        <v>5</v>
      </c>
      <c r="R288" s="0" t="str">
        <f aca="false">IF(Q288&gt;=Parameters!$B$24,"High","")</f>
        <v>High</v>
      </c>
    </row>
    <row r="289" customFormat="false" ht="15" hidden="false" customHeight="false" outlineLevel="0" collapsed="false">
      <c r="A289" s="10" t="s">
        <v>882</v>
      </c>
      <c r="B289" s="8" t="n">
        <v>45824</v>
      </c>
      <c r="C289" s="10" t="s">
        <v>206</v>
      </c>
      <c r="D289" s="10" t="s">
        <v>883</v>
      </c>
      <c r="E289" s="12" t="n">
        <v>11713.2</v>
      </c>
      <c r="F289" s="10" t="s">
        <v>40</v>
      </c>
      <c r="G289" s="9" t="n">
        <f aca="false">VALUE(LEFT(TEXT(E289,"0.00"),1))</f>
        <v>1</v>
      </c>
      <c r="H289" s="0" t="str">
        <f aca="false">UPPER(SUBSTITUTE(SUBSTITUTE(SUBSTITUTE(D289," ",""),"/",""),".",""))</f>
        <v>INV33007</v>
      </c>
      <c r="I289" s="9" t="n">
        <f aca="false">IF(COUNTIFS($C$5:C289,C289,$H$5:H289,H289,$E$5:E289,E289)&gt;1,1,0)</f>
        <v>0</v>
      </c>
      <c r="J289" s="9" t="n">
        <f aca="false">IF(AND(I289=0,COUNTIFS($C$5:$C$634,C289,$E$5:$E$634,E289,$B$5:$B$634,"&gt;="&amp;(B289-Parameters!$B$12),$B$5:$B$634,"&lt;="&amp;(B289+Parameters!$B$12),$H$5:$H$634,"&lt;&gt;"&amp;H289)&gt;0),1,0)</f>
        <v>0</v>
      </c>
      <c r="K289" s="9" t="n">
        <f aca="false">IF(AND(E289&gt;=Parameters!$B$11,ROUND(MOD(ROUND(E289,2),Parameters!$B$10),2)=0),1,0)</f>
        <v>0</v>
      </c>
      <c r="L289" s="9" t="n">
        <f aca="false">IF(AND(E289&lt;Parameters!$B$7,E289&gt;=Parameters!$B$7*(1-Parameters!$B$9)),1,0)</f>
        <v>0</v>
      </c>
      <c r="M289" s="9" t="n">
        <f aca="false">IF(AND(E289&lt;Parameters!$B$7,COUNTIFS($C$5:$C$634,C289,$B$5:$B$634,B289)&gt;1,SUMIFS($E$5:$E$634,$C$5:$C$634,C289,$B$5:$B$634,B289)&gt;=Parameters!$B$7),1,0)</f>
        <v>0</v>
      </c>
      <c r="N289" s="9" t="n">
        <f aca="false">IF(AND(E289&gt;=Parameters!$B$7,F289&lt;&gt;Parameters!$B$8),1,0)</f>
        <v>0</v>
      </c>
      <c r="O289" s="9" t="n">
        <f aca="false">INDEX(Vendor_Benford!$N$6:$N$50,MATCH(C289,Vendor_Benford!$A$6:$A$50,0))</f>
        <v>0</v>
      </c>
      <c r="P289" s="9" t="n">
        <f aca="false">INDEX(Vendor_Benford!$M$6:$M$50,MATCH(C289,Vendor_Benford!$A$6:$A$50,0))</f>
        <v>0</v>
      </c>
      <c r="Q289" s="9" t="n">
        <f aca="false">I289*Parameters!$B$28+J289*Parameters!$B$29+K289*Parameters!$B$30+L289*Parameters!$B$31+M289*Parameters!$B$32+N289*Parameters!$B$33+O289*Parameters!$B$34+P289*Parameters!$B$35</f>
        <v>0</v>
      </c>
      <c r="R289" s="0" t="str">
        <f aca="false">IF(Q289&gt;=Parameters!$B$24,"High","")</f>
        <v/>
      </c>
    </row>
    <row r="290" customFormat="false" ht="15" hidden="false" customHeight="false" outlineLevel="0" collapsed="false">
      <c r="A290" s="10" t="s">
        <v>884</v>
      </c>
      <c r="B290" s="8" t="n">
        <v>45824</v>
      </c>
      <c r="C290" s="10" t="s">
        <v>221</v>
      </c>
      <c r="D290" s="10" t="s">
        <v>885</v>
      </c>
      <c r="E290" s="12" t="n">
        <v>687.86</v>
      </c>
      <c r="F290" s="10" t="s">
        <v>347</v>
      </c>
      <c r="G290" s="9" t="n">
        <f aca="false">VALUE(LEFT(TEXT(E290,"0.00"),1))</f>
        <v>6</v>
      </c>
      <c r="H290" s="0" t="str">
        <f aca="false">UPPER(SUBSTITUTE(SUBSTITUTE(SUBSTITUTE(D290," ",""),"/",""),".",""))</f>
        <v>INV38005</v>
      </c>
      <c r="I290" s="9" t="n">
        <f aca="false">IF(COUNTIFS($C$5:C290,C290,$H$5:H290,H290,$E$5:E290,E290)&gt;1,1,0)</f>
        <v>0</v>
      </c>
      <c r="J290" s="9" t="n">
        <f aca="false">IF(AND(I290=0,COUNTIFS($C$5:$C$634,C290,$E$5:$E$634,E290,$B$5:$B$634,"&gt;="&amp;(B290-Parameters!$B$12),$B$5:$B$634,"&lt;="&amp;(B290+Parameters!$B$12),$H$5:$H$634,"&lt;&gt;"&amp;H290)&gt;0),1,0)</f>
        <v>0</v>
      </c>
      <c r="K290" s="9" t="n">
        <f aca="false">IF(AND(E290&gt;=Parameters!$B$11,ROUND(MOD(ROUND(E290,2),Parameters!$B$10),2)=0),1,0)</f>
        <v>0</v>
      </c>
      <c r="L290" s="9" t="n">
        <f aca="false">IF(AND(E290&lt;Parameters!$B$7,E290&gt;=Parameters!$B$7*(1-Parameters!$B$9)),1,0)</f>
        <v>0</v>
      </c>
      <c r="M290" s="9" t="n">
        <f aca="false">IF(AND(E290&lt;Parameters!$B$7,COUNTIFS($C$5:$C$634,C290,$B$5:$B$634,B290)&gt;1,SUMIFS($E$5:$E$634,$C$5:$C$634,C290,$B$5:$B$634,B290)&gt;=Parameters!$B$7),1,0)</f>
        <v>0</v>
      </c>
      <c r="N290" s="9" t="n">
        <f aca="false">IF(AND(E290&gt;=Parameters!$B$7,F290&lt;&gt;Parameters!$B$8),1,0)</f>
        <v>0</v>
      </c>
      <c r="O290" s="9" t="n">
        <f aca="false">INDEX(Vendor_Benford!$N$6:$N$50,MATCH(C290,Vendor_Benford!$A$6:$A$50,0))</f>
        <v>1</v>
      </c>
      <c r="P290" s="9" t="n">
        <f aca="false">INDEX(Vendor_Benford!$M$6:$M$50,MATCH(C290,Vendor_Benford!$A$6:$A$50,0))</f>
        <v>0</v>
      </c>
      <c r="Q290" s="9" t="n">
        <f aca="false">I290*Parameters!$B$28+J290*Parameters!$B$29+K290*Parameters!$B$30+L290*Parameters!$B$31+M290*Parameters!$B$32+N290*Parameters!$B$33+O290*Parameters!$B$34+P290*Parameters!$B$35</f>
        <v>5</v>
      </c>
      <c r="R290" s="0" t="str">
        <f aca="false">IF(Q290&gt;=Parameters!$B$24,"High","")</f>
        <v>High</v>
      </c>
    </row>
    <row r="291" customFormat="false" ht="15" hidden="false" customHeight="false" outlineLevel="0" collapsed="false">
      <c r="A291" s="10" t="s">
        <v>886</v>
      </c>
      <c r="B291" s="8" t="n">
        <v>45824</v>
      </c>
      <c r="C291" s="10" t="s">
        <v>224</v>
      </c>
      <c r="D291" s="10" t="s">
        <v>887</v>
      </c>
      <c r="E291" s="12" t="n">
        <v>9221.1</v>
      </c>
      <c r="F291" s="10" t="s">
        <v>40</v>
      </c>
      <c r="G291" s="9" t="n">
        <f aca="false">VALUE(LEFT(TEXT(E291,"0.00"),1))</f>
        <v>9</v>
      </c>
      <c r="H291" s="0" t="str">
        <f aca="false">UPPER(SUBSTITUTE(SUBSTITUTE(SUBSTITUTE(D291," ",""),"/",""),".",""))</f>
        <v>INV39005</v>
      </c>
      <c r="I291" s="9" t="n">
        <f aca="false">IF(COUNTIFS($C$5:C291,C291,$H$5:H291,H291,$E$5:E291,E291)&gt;1,1,0)</f>
        <v>0</v>
      </c>
      <c r="J291" s="9" t="n">
        <f aca="false">IF(AND(I291=0,COUNTIFS($C$5:$C$634,C291,$E$5:$E$634,E291,$B$5:$B$634,"&gt;="&amp;(B291-Parameters!$B$12),$B$5:$B$634,"&lt;="&amp;(B291+Parameters!$B$12),$H$5:$H$634,"&lt;&gt;"&amp;H291)&gt;0),1,0)</f>
        <v>0</v>
      </c>
      <c r="K291" s="9" t="n">
        <f aca="false">IF(AND(E291&gt;=Parameters!$B$11,ROUND(MOD(ROUND(E291,2),Parameters!$B$10),2)=0),1,0)</f>
        <v>0</v>
      </c>
      <c r="L291" s="9" t="n">
        <f aca="false">IF(AND(E291&lt;Parameters!$B$7,E291&gt;=Parameters!$B$7*(1-Parameters!$B$9)),1,0)</f>
        <v>0</v>
      </c>
      <c r="M291" s="9" t="n">
        <f aca="false">IF(AND(E291&lt;Parameters!$B$7,COUNTIFS($C$5:$C$634,C291,$B$5:$B$634,B291)&gt;1,SUMIFS($E$5:$E$634,$C$5:$C$634,C291,$B$5:$B$634,B291)&gt;=Parameters!$B$7),1,0)</f>
        <v>0</v>
      </c>
      <c r="N291" s="9" t="n">
        <f aca="false">IF(AND(E291&gt;=Parameters!$B$7,F291&lt;&gt;Parameters!$B$8),1,0)</f>
        <v>0</v>
      </c>
      <c r="O291" s="9" t="n">
        <f aca="false">INDEX(Vendor_Benford!$N$6:$N$50,MATCH(C291,Vendor_Benford!$A$6:$A$50,0))</f>
        <v>0</v>
      </c>
      <c r="P291" s="9" t="n">
        <f aca="false">INDEX(Vendor_Benford!$M$6:$M$50,MATCH(C291,Vendor_Benford!$A$6:$A$50,0))</f>
        <v>0</v>
      </c>
      <c r="Q291" s="9" t="n">
        <f aca="false">I291*Parameters!$B$28+J291*Parameters!$B$29+K291*Parameters!$B$30+L291*Parameters!$B$31+M291*Parameters!$B$32+N291*Parameters!$B$33+O291*Parameters!$B$34+P291*Parameters!$B$35</f>
        <v>0</v>
      </c>
      <c r="R291" s="0" t="str">
        <f aca="false">IF(Q291&gt;=Parameters!$B$24,"High","")</f>
        <v/>
      </c>
    </row>
    <row r="292" customFormat="false" ht="15" hidden="false" customHeight="false" outlineLevel="0" collapsed="false">
      <c r="A292" s="10" t="s">
        <v>888</v>
      </c>
      <c r="B292" s="8" t="n">
        <v>45825</v>
      </c>
      <c r="C292" s="10" t="s">
        <v>113</v>
      </c>
      <c r="D292" s="10" t="s">
        <v>889</v>
      </c>
      <c r="E292" s="12" t="n">
        <v>4900</v>
      </c>
      <c r="F292" s="10" t="s">
        <v>347</v>
      </c>
      <c r="G292" s="9" t="n">
        <f aca="false">VALUE(LEFT(TEXT(E292,"0.00"),1))</f>
        <v>4</v>
      </c>
      <c r="H292" s="0" t="str">
        <f aca="false">UPPER(SUBSTITUTE(SUBSTITUTE(SUBSTITUTE(D292," ",""),"/",""),".",""))</f>
        <v>LIC2506</v>
      </c>
      <c r="I292" s="9" t="n">
        <f aca="false">IF(COUNTIFS($C$5:C292,C292,$H$5:H292,H292,$E$5:E292,E292)&gt;1,1,0)</f>
        <v>0</v>
      </c>
      <c r="J292" s="9" t="n">
        <f aca="false">IF(AND(I292=0,COUNTIFS($C$5:$C$634,C292,$E$5:$E$634,E292,$B$5:$B$634,"&gt;="&amp;(B292-Parameters!$B$12),$B$5:$B$634,"&lt;="&amp;(B292+Parameters!$B$12),$H$5:$H$634,"&lt;&gt;"&amp;H292)&gt;0),1,0)</f>
        <v>0</v>
      </c>
      <c r="K292" s="9" t="n">
        <f aca="false">IF(AND(E292&gt;=Parameters!$B$11,ROUND(MOD(ROUND(E292,2),Parameters!$B$10),2)=0),1,0)</f>
        <v>0</v>
      </c>
      <c r="L292" s="9" t="n">
        <f aca="false">IF(AND(E292&lt;Parameters!$B$7,E292&gt;=Parameters!$B$7*(1-Parameters!$B$9)),1,0)</f>
        <v>1</v>
      </c>
      <c r="M292" s="9" t="n">
        <f aca="false">IF(AND(E292&lt;Parameters!$B$7,COUNTIFS($C$5:$C$634,C292,$B$5:$B$634,B292)&gt;1,SUMIFS($E$5:$E$634,$C$5:$C$634,C292,$B$5:$B$634,B292)&gt;=Parameters!$B$7),1,0)</f>
        <v>0</v>
      </c>
      <c r="N292" s="9" t="n">
        <f aca="false">IF(AND(E292&gt;=Parameters!$B$7,F292&lt;&gt;Parameters!$B$8),1,0)</f>
        <v>0</v>
      </c>
      <c r="O292" s="9" t="n">
        <f aca="false">INDEX(Vendor_Benford!$N$6:$N$50,MATCH(C292,Vendor_Benford!$A$6:$A$50,0))</f>
        <v>0</v>
      </c>
      <c r="P292" s="9" t="n">
        <f aca="false">INDEX(Vendor_Benford!$M$6:$M$50,MATCH(C292,Vendor_Benford!$A$6:$A$50,0))</f>
        <v>0</v>
      </c>
      <c r="Q292" s="9" t="n">
        <f aca="false">I292*Parameters!$B$28+J292*Parameters!$B$29+K292*Parameters!$B$30+L292*Parameters!$B$31+M292*Parameters!$B$32+N292*Parameters!$B$33+O292*Parameters!$B$34+P292*Parameters!$B$35</f>
        <v>2</v>
      </c>
      <c r="R292" s="0" t="str">
        <f aca="false">IF(Q292&gt;=Parameters!$B$24,"High","")</f>
        <v/>
      </c>
    </row>
    <row r="293" customFormat="false" ht="15" hidden="false" customHeight="false" outlineLevel="0" collapsed="false">
      <c r="A293" s="10" t="s">
        <v>890</v>
      </c>
      <c r="B293" s="8" t="n">
        <v>45825</v>
      </c>
      <c r="C293" s="10" t="s">
        <v>170</v>
      </c>
      <c r="D293" s="10" t="s">
        <v>891</v>
      </c>
      <c r="E293" s="12" t="n">
        <v>7443.49</v>
      </c>
      <c r="F293" s="10" t="s">
        <v>40</v>
      </c>
      <c r="G293" s="9" t="n">
        <f aca="false">VALUE(LEFT(TEXT(E293,"0.00"),1))</f>
        <v>7</v>
      </c>
      <c r="H293" s="0" t="str">
        <f aca="false">UPPER(SUBSTITUTE(SUBSTITUTE(SUBSTITUTE(D293," ",""),"/",""),".",""))</f>
        <v>INV21005</v>
      </c>
      <c r="I293" s="9" t="n">
        <f aca="false">IF(COUNTIFS($C$5:C293,C293,$H$5:H293,H293,$E$5:E293,E293)&gt;1,1,0)</f>
        <v>0</v>
      </c>
      <c r="J293" s="9" t="n">
        <f aca="false">IF(AND(I293=0,COUNTIFS($C$5:$C$634,C293,$E$5:$E$634,E293,$B$5:$B$634,"&gt;="&amp;(B293-Parameters!$B$12),$B$5:$B$634,"&lt;="&amp;(B293+Parameters!$B$12),$H$5:$H$634,"&lt;&gt;"&amp;H293)&gt;0),1,0)</f>
        <v>0</v>
      </c>
      <c r="K293" s="9" t="n">
        <f aca="false">IF(AND(E293&gt;=Parameters!$B$11,ROUND(MOD(ROUND(E293,2),Parameters!$B$10),2)=0),1,0)</f>
        <v>0</v>
      </c>
      <c r="L293" s="9" t="n">
        <f aca="false">IF(AND(E293&lt;Parameters!$B$7,E293&gt;=Parameters!$B$7*(1-Parameters!$B$9)),1,0)</f>
        <v>0</v>
      </c>
      <c r="M293" s="9" t="n">
        <f aca="false">IF(AND(E293&lt;Parameters!$B$7,COUNTIFS($C$5:$C$634,C293,$B$5:$B$634,B293)&gt;1,SUMIFS($E$5:$E$634,$C$5:$C$634,C293,$B$5:$B$634,B293)&gt;=Parameters!$B$7),1,0)</f>
        <v>0</v>
      </c>
      <c r="N293" s="9" t="n">
        <f aca="false">IF(AND(E293&gt;=Parameters!$B$7,F293&lt;&gt;Parameters!$B$8),1,0)</f>
        <v>0</v>
      </c>
      <c r="O293" s="9" t="n">
        <f aca="false">INDEX(Vendor_Benford!$N$6:$N$50,MATCH(C293,Vendor_Benford!$A$6:$A$50,0))</f>
        <v>0</v>
      </c>
      <c r="P293" s="9" t="n">
        <f aca="false">INDEX(Vendor_Benford!$M$6:$M$50,MATCH(C293,Vendor_Benford!$A$6:$A$50,0))</f>
        <v>0</v>
      </c>
      <c r="Q293" s="9" t="n">
        <f aca="false">I293*Parameters!$B$28+J293*Parameters!$B$29+K293*Parameters!$B$30+L293*Parameters!$B$31+M293*Parameters!$B$32+N293*Parameters!$B$33+O293*Parameters!$B$34+P293*Parameters!$B$35</f>
        <v>0</v>
      </c>
      <c r="R293" s="0" t="str">
        <f aca="false">IF(Q293&gt;=Parameters!$B$24,"High","")</f>
        <v/>
      </c>
    </row>
    <row r="294" customFormat="false" ht="15" hidden="false" customHeight="false" outlineLevel="0" collapsed="false">
      <c r="A294" s="10" t="s">
        <v>892</v>
      </c>
      <c r="B294" s="8" t="n">
        <v>45825</v>
      </c>
      <c r="C294" s="10" t="s">
        <v>206</v>
      </c>
      <c r="D294" s="10" t="s">
        <v>893</v>
      </c>
      <c r="E294" s="12" t="n">
        <v>20069.26</v>
      </c>
      <c r="F294" s="10" t="s">
        <v>40</v>
      </c>
      <c r="G294" s="9" t="n">
        <f aca="false">VALUE(LEFT(TEXT(E294,"0.00"),1))</f>
        <v>2</v>
      </c>
      <c r="H294" s="0" t="str">
        <f aca="false">UPPER(SUBSTITUTE(SUBSTITUTE(SUBSTITUTE(D294," ",""),"/",""),".",""))</f>
        <v>INV33004</v>
      </c>
      <c r="I294" s="9" t="n">
        <f aca="false">IF(COUNTIFS($C$5:C294,C294,$H$5:H294,H294,$E$5:E294,E294)&gt;1,1,0)</f>
        <v>0</v>
      </c>
      <c r="J294" s="9" t="n">
        <f aca="false">IF(AND(I294=0,COUNTIFS($C$5:$C$634,C294,$E$5:$E$634,E294,$B$5:$B$634,"&gt;="&amp;(B294-Parameters!$B$12),$B$5:$B$634,"&lt;="&amp;(B294+Parameters!$B$12),$H$5:$H$634,"&lt;&gt;"&amp;H294)&gt;0),1,0)</f>
        <v>0</v>
      </c>
      <c r="K294" s="9" t="n">
        <f aca="false">IF(AND(E294&gt;=Parameters!$B$11,ROUND(MOD(ROUND(E294,2),Parameters!$B$10),2)=0),1,0)</f>
        <v>0</v>
      </c>
      <c r="L294" s="9" t="n">
        <f aca="false">IF(AND(E294&lt;Parameters!$B$7,E294&gt;=Parameters!$B$7*(1-Parameters!$B$9)),1,0)</f>
        <v>0</v>
      </c>
      <c r="M294" s="9" t="n">
        <f aca="false">IF(AND(E294&lt;Parameters!$B$7,COUNTIFS($C$5:$C$634,C294,$B$5:$B$634,B294)&gt;1,SUMIFS($E$5:$E$634,$C$5:$C$634,C294,$B$5:$B$634,B294)&gt;=Parameters!$B$7),1,0)</f>
        <v>0</v>
      </c>
      <c r="N294" s="9" t="n">
        <f aca="false">IF(AND(E294&gt;=Parameters!$B$7,F294&lt;&gt;Parameters!$B$8),1,0)</f>
        <v>0</v>
      </c>
      <c r="O294" s="9" t="n">
        <f aca="false">INDEX(Vendor_Benford!$N$6:$N$50,MATCH(C294,Vendor_Benford!$A$6:$A$50,0))</f>
        <v>0</v>
      </c>
      <c r="P294" s="9" t="n">
        <f aca="false">INDEX(Vendor_Benford!$M$6:$M$50,MATCH(C294,Vendor_Benford!$A$6:$A$50,0))</f>
        <v>0</v>
      </c>
      <c r="Q294" s="9" t="n">
        <f aca="false">I294*Parameters!$B$28+J294*Parameters!$B$29+K294*Parameters!$B$30+L294*Parameters!$B$31+M294*Parameters!$B$32+N294*Parameters!$B$33+O294*Parameters!$B$34+P294*Parameters!$B$35</f>
        <v>0</v>
      </c>
      <c r="R294" s="0" t="str">
        <f aca="false">IF(Q294&gt;=Parameters!$B$24,"High","")</f>
        <v/>
      </c>
    </row>
    <row r="295" customFormat="false" ht="15" hidden="false" customHeight="false" outlineLevel="0" collapsed="false">
      <c r="A295" s="10" t="s">
        <v>894</v>
      </c>
      <c r="B295" s="8" t="n">
        <v>45826</v>
      </c>
      <c r="C295" s="10" t="s">
        <v>140</v>
      </c>
      <c r="D295" s="10" t="s">
        <v>895</v>
      </c>
      <c r="E295" s="12" t="n">
        <v>13047.1</v>
      </c>
      <c r="F295" s="10" t="s">
        <v>40</v>
      </c>
      <c r="G295" s="9" t="n">
        <f aca="false">VALUE(LEFT(TEXT(E295,"0.00"),1))</f>
        <v>1</v>
      </c>
      <c r="H295" s="0" t="str">
        <f aca="false">UPPER(SUBSTITUTE(SUBSTITUTE(SUBSTITUTE(D295," ",""),"/",""),".",""))</f>
        <v>INV11009</v>
      </c>
      <c r="I295" s="9" t="n">
        <f aca="false">IF(COUNTIFS($C$5:C295,C295,$H$5:H295,H295,$E$5:E295,E295)&gt;1,1,0)</f>
        <v>0</v>
      </c>
      <c r="J295" s="9" t="n">
        <f aca="false">IF(AND(I295=0,COUNTIFS($C$5:$C$634,C295,$E$5:$E$634,E295,$B$5:$B$634,"&gt;="&amp;(B295-Parameters!$B$12),$B$5:$B$634,"&lt;="&amp;(B295+Parameters!$B$12),$H$5:$H$634,"&lt;&gt;"&amp;H295)&gt;0),1,0)</f>
        <v>0</v>
      </c>
      <c r="K295" s="9" t="n">
        <f aca="false">IF(AND(E295&gt;=Parameters!$B$11,ROUND(MOD(ROUND(E295,2),Parameters!$B$10),2)=0),1,0)</f>
        <v>0</v>
      </c>
      <c r="L295" s="9" t="n">
        <f aca="false">IF(AND(E295&lt;Parameters!$B$7,E295&gt;=Parameters!$B$7*(1-Parameters!$B$9)),1,0)</f>
        <v>0</v>
      </c>
      <c r="M295" s="9" t="n">
        <f aca="false">IF(AND(E295&lt;Parameters!$B$7,COUNTIFS($C$5:$C$634,C295,$B$5:$B$634,B295)&gt;1,SUMIFS($E$5:$E$634,$C$5:$C$634,C295,$B$5:$B$634,B295)&gt;=Parameters!$B$7),1,0)</f>
        <v>0</v>
      </c>
      <c r="N295" s="9" t="n">
        <f aca="false">IF(AND(E295&gt;=Parameters!$B$7,F295&lt;&gt;Parameters!$B$8),1,0)</f>
        <v>0</v>
      </c>
      <c r="O295" s="9" t="n">
        <f aca="false">INDEX(Vendor_Benford!$N$6:$N$50,MATCH(C295,Vendor_Benford!$A$6:$A$50,0))</f>
        <v>0</v>
      </c>
      <c r="P295" s="9" t="n">
        <f aca="false">INDEX(Vendor_Benford!$M$6:$M$50,MATCH(C295,Vendor_Benford!$A$6:$A$50,0))</f>
        <v>0</v>
      </c>
      <c r="Q295" s="9" t="n">
        <f aca="false">I295*Parameters!$B$28+J295*Parameters!$B$29+K295*Parameters!$B$30+L295*Parameters!$B$31+M295*Parameters!$B$32+N295*Parameters!$B$33+O295*Parameters!$B$34+P295*Parameters!$B$35</f>
        <v>0</v>
      </c>
      <c r="R295" s="0" t="str">
        <f aca="false">IF(Q295&gt;=Parameters!$B$24,"High","")</f>
        <v/>
      </c>
    </row>
    <row r="296" customFormat="false" ht="15" hidden="false" customHeight="false" outlineLevel="0" collapsed="false">
      <c r="A296" s="10" t="s">
        <v>896</v>
      </c>
      <c r="B296" s="8" t="n">
        <v>45827</v>
      </c>
      <c r="C296" s="10" t="s">
        <v>125</v>
      </c>
      <c r="D296" s="10" t="s">
        <v>897</v>
      </c>
      <c r="E296" s="12" t="n">
        <v>338.4</v>
      </c>
      <c r="F296" s="10" t="s">
        <v>40</v>
      </c>
      <c r="G296" s="9" t="n">
        <f aca="false">VALUE(LEFT(TEXT(E296,"0.00"),1))</f>
        <v>3</v>
      </c>
      <c r="H296" s="0" t="str">
        <f aca="false">UPPER(SUBSTITUTE(SUBSTITUTE(SUBSTITUTE(D296," ",""),"/",""),".",""))</f>
        <v>INV6006</v>
      </c>
      <c r="I296" s="9" t="n">
        <f aca="false">IF(COUNTIFS($C$5:C296,C296,$H$5:H296,H296,$E$5:E296,E296)&gt;1,1,0)</f>
        <v>0</v>
      </c>
      <c r="J296" s="9" t="n">
        <f aca="false">IF(AND(I296=0,COUNTIFS($C$5:$C$634,C296,$E$5:$E$634,E296,$B$5:$B$634,"&gt;="&amp;(B296-Parameters!$B$12),$B$5:$B$634,"&lt;="&amp;(B296+Parameters!$B$12),$H$5:$H$634,"&lt;&gt;"&amp;H296)&gt;0),1,0)</f>
        <v>0</v>
      </c>
      <c r="K296" s="9" t="n">
        <f aca="false">IF(AND(E296&gt;=Parameters!$B$11,ROUND(MOD(ROUND(E296,2),Parameters!$B$10),2)=0),1,0)</f>
        <v>0</v>
      </c>
      <c r="L296" s="9" t="n">
        <f aca="false">IF(AND(E296&lt;Parameters!$B$7,E296&gt;=Parameters!$B$7*(1-Parameters!$B$9)),1,0)</f>
        <v>0</v>
      </c>
      <c r="M296" s="9" t="n">
        <f aca="false">IF(AND(E296&lt;Parameters!$B$7,COUNTIFS($C$5:$C$634,C296,$B$5:$B$634,B296)&gt;1,SUMIFS($E$5:$E$634,$C$5:$C$634,C296,$B$5:$B$634,B296)&gt;=Parameters!$B$7),1,0)</f>
        <v>0</v>
      </c>
      <c r="N296" s="9" t="n">
        <f aca="false">IF(AND(E296&gt;=Parameters!$B$7,F296&lt;&gt;Parameters!$B$8),1,0)</f>
        <v>0</v>
      </c>
      <c r="O296" s="9" t="n">
        <f aca="false">INDEX(Vendor_Benford!$N$6:$N$50,MATCH(C296,Vendor_Benford!$A$6:$A$50,0))</f>
        <v>0</v>
      </c>
      <c r="P296" s="9" t="n">
        <f aca="false">INDEX(Vendor_Benford!$M$6:$M$50,MATCH(C296,Vendor_Benford!$A$6:$A$50,0))</f>
        <v>0</v>
      </c>
      <c r="Q296" s="9" t="n">
        <f aca="false">I296*Parameters!$B$28+J296*Parameters!$B$29+K296*Parameters!$B$30+L296*Parameters!$B$31+M296*Parameters!$B$32+N296*Parameters!$B$33+O296*Parameters!$B$34+P296*Parameters!$B$35</f>
        <v>0</v>
      </c>
      <c r="R296" s="0" t="str">
        <f aca="false">IF(Q296&gt;=Parameters!$B$24,"High","")</f>
        <v/>
      </c>
    </row>
    <row r="297" customFormat="false" ht="15" hidden="false" customHeight="false" outlineLevel="0" collapsed="false">
      <c r="A297" s="10" t="s">
        <v>898</v>
      </c>
      <c r="B297" s="8" t="n">
        <v>45827</v>
      </c>
      <c r="C297" s="10" t="s">
        <v>146</v>
      </c>
      <c r="D297" s="10" t="s">
        <v>899</v>
      </c>
      <c r="E297" s="12" t="n">
        <v>1074.75</v>
      </c>
      <c r="F297" s="10" t="s">
        <v>347</v>
      </c>
      <c r="G297" s="9" t="n">
        <f aca="false">VALUE(LEFT(TEXT(E297,"0.00"),1))</f>
        <v>1</v>
      </c>
      <c r="H297" s="0" t="str">
        <f aca="false">UPPER(SUBSTITUTE(SUBSTITUTE(SUBSTITUTE(D297," ",""),"/",""),".",""))</f>
        <v>INV13010</v>
      </c>
      <c r="I297" s="9" t="n">
        <f aca="false">IF(COUNTIFS($C$5:C297,C297,$H$5:H297,H297,$E$5:E297,E297)&gt;1,1,0)</f>
        <v>0</v>
      </c>
      <c r="J297" s="9" t="n">
        <f aca="false">IF(AND(I297=0,COUNTIFS($C$5:$C$634,C297,$E$5:$E$634,E297,$B$5:$B$634,"&gt;="&amp;(B297-Parameters!$B$12),$B$5:$B$634,"&lt;="&amp;(B297+Parameters!$B$12),$H$5:$H$634,"&lt;&gt;"&amp;H297)&gt;0),1,0)</f>
        <v>0</v>
      </c>
      <c r="K297" s="9" t="n">
        <f aca="false">IF(AND(E297&gt;=Parameters!$B$11,ROUND(MOD(ROUND(E297,2),Parameters!$B$10),2)=0),1,0)</f>
        <v>0</v>
      </c>
      <c r="L297" s="9" t="n">
        <f aca="false">IF(AND(E297&lt;Parameters!$B$7,E297&gt;=Parameters!$B$7*(1-Parameters!$B$9)),1,0)</f>
        <v>0</v>
      </c>
      <c r="M297" s="9" t="n">
        <f aca="false">IF(AND(E297&lt;Parameters!$B$7,COUNTIFS($C$5:$C$634,C297,$B$5:$B$634,B297)&gt;1,SUMIFS($E$5:$E$634,$C$5:$C$634,C297,$B$5:$B$634,B297)&gt;=Parameters!$B$7),1,0)</f>
        <v>0</v>
      </c>
      <c r="N297" s="9" t="n">
        <f aca="false">IF(AND(E297&gt;=Parameters!$B$7,F297&lt;&gt;Parameters!$B$8),1,0)</f>
        <v>0</v>
      </c>
      <c r="O297" s="9" t="n">
        <f aca="false">INDEX(Vendor_Benford!$N$6:$N$50,MATCH(C297,Vendor_Benford!$A$6:$A$50,0))</f>
        <v>0</v>
      </c>
      <c r="P297" s="9" t="n">
        <f aca="false">INDEX(Vendor_Benford!$M$6:$M$50,MATCH(C297,Vendor_Benford!$A$6:$A$50,0))</f>
        <v>0</v>
      </c>
      <c r="Q297" s="9" t="n">
        <f aca="false">I297*Parameters!$B$28+J297*Parameters!$B$29+K297*Parameters!$B$30+L297*Parameters!$B$31+M297*Parameters!$B$32+N297*Parameters!$B$33+O297*Parameters!$B$34+P297*Parameters!$B$35</f>
        <v>0</v>
      </c>
      <c r="R297" s="0" t="str">
        <f aca="false">IF(Q297&gt;=Parameters!$B$24,"High","")</f>
        <v/>
      </c>
    </row>
    <row r="298" customFormat="false" ht="15" hidden="false" customHeight="false" outlineLevel="0" collapsed="false">
      <c r="A298" s="10" t="s">
        <v>900</v>
      </c>
      <c r="B298" s="8" t="n">
        <v>45827</v>
      </c>
      <c r="C298" s="10" t="s">
        <v>197</v>
      </c>
      <c r="D298" s="10" t="s">
        <v>901</v>
      </c>
      <c r="E298" s="12" t="n">
        <v>295.62</v>
      </c>
      <c r="F298" s="10" t="s">
        <v>347</v>
      </c>
      <c r="G298" s="9" t="n">
        <f aca="false">VALUE(LEFT(TEXT(E298,"0.00"),1))</f>
        <v>2</v>
      </c>
      <c r="H298" s="0" t="str">
        <f aca="false">UPPER(SUBSTITUTE(SUBSTITUTE(SUBSTITUTE(D298," ",""),"/",""),".",""))</f>
        <v>INV30009</v>
      </c>
      <c r="I298" s="9" t="n">
        <f aca="false">IF(COUNTIFS($C$5:C298,C298,$H$5:H298,H298,$E$5:E298,E298)&gt;1,1,0)</f>
        <v>0</v>
      </c>
      <c r="J298" s="9" t="n">
        <f aca="false">IF(AND(I298=0,COUNTIFS($C$5:$C$634,C298,$E$5:$E$634,E298,$B$5:$B$634,"&gt;="&amp;(B298-Parameters!$B$12),$B$5:$B$634,"&lt;="&amp;(B298+Parameters!$B$12),$H$5:$H$634,"&lt;&gt;"&amp;H298)&gt;0),1,0)</f>
        <v>0</v>
      </c>
      <c r="K298" s="9" t="n">
        <f aca="false">IF(AND(E298&gt;=Parameters!$B$11,ROUND(MOD(ROUND(E298,2),Parameters!$B$10),2)=0),1,0)</f>
        <v>0</v>
      </c>
      <c r="L298" s="9" t="n">
        <f aca="false">IF(AND(E298&lt;Parameters!$B$7,E298&gt;=Parameters!$B$7*(1-Parameters!$B$9)),1,0)</f>
        <v>0</v>
      </c>
      <c r="M298" s="9" t="n">
        <f aca="false">IF(AND(E298&lt;Parameters!$B$7,COUNTIFS($C$5:$C$634,C298,$B$5:$B$634,B298)&gt;1,SUMIFS($E$5:$E$634,$C$5:$C$634,C298,$B$5:$B$634,B298)&gt;=Parameters!$B$7),1,0)</f>
        <v>0</v>
      </c>
      <c r="N298" s="9" t="n">
        <f aca="false">IF(AND(E298&gt;=Parameters!$B$7,F298&lt;&gt;Parameters!$B$8),1,0)</f>
        <v>0</v>
      </c>
      <c r="O298" s="9" t="n">
        <f aca="false">INDEX(Vendor_Benford!$N$6:$N$50,MATCH(C298,Vendor_Benford!$A$6:$A$50,0))</f>
        <v>0</v>
      </c>
      <c r="P298" s="9" t="n">
        <f aca="false">INDEX(Vendor_Benford!$M$6:$M$50,MATCH(C298,Vendor_Benford!$A$6:$A$50,0))</f>
        <v>0</v>
      </c>
      <c r="Q298" s="9" t="n">
        <f aca="false">I298*Parameters!$B$28+J298*Parameters!$B$29+K298*Parameters!$B$30+L298*Parameters!$B$31+M298*Parameters!$B$32+N298*Parameters!$B$33+O298*Parameters!$B$34+P298*Parameters!$B$35</f>
        <v>0</v>
      </c>
      <c r="R298" s="0" t="str">
        <f aca="false">IF(Q298&gt;=Parameters!$B$24,"High","")</f>
        <v/>
      </c>
    </row>
    <row r="299" customFormat="false" ht="15" hidden="false" customHeight="false" outlineLevel="0" collapsed="false">
      <c r="A299" s="10" t="s">
        <v>902</v>
      </c>
      <c r="B299" s="8" t="n">
        <v>45828</v>
      </c>
      <c r="C299" s="10" t="s">
        <v>152</v>
      </c>
      <c r="D299" s="10" t="s">
        <v>903</v>
      </c>
      <c r="E299" s="12" t="n">
        <v>282.47</v>
      </c>
      <c r="F299" s="10" t="s">
        <v>347</v>
      </c>
      <c r="G299" s="9" t="n">
        <f aca="false">VALUE(LEFT(TEXT(E299,"0.00"),1))</f>
        <v>2</v>
      </c>
      <c r="H299" s="0" t="str">
        <f aca="false">UPPER(SUBSTITUTE(SUBSTITUTE(SUBSTITUTE(D299," ",""),"/",""),".",""))</f>
        <v>INV15018</v>
      </c>
      <c r="I299" s="9" t="n">
        <f aca="false">IF(COUNTIFS($C$5:C299,C299,$H$5:H299,H299,$E$5:E299,E299)&gt;1,1,0)</f>
        <v>0</v>
      </c>
      <c r="J299" s="9" t="n">
        <f aca="false">IF(AND(I299=0,COUNTIFS($C$5:$C$634,C299,$E$5:$E$634,E299,$B$5:$B$634,"&gt;="&amp;(B299-Parameters!$B$12),$B$5:$B$634,"&lt;="&amp;(B299+Parameters!$B$12),$H$5:$H$634,"&lt;&gt;"&amp;H299)&gt;0),1,0)</f>
        <v>0</v>
      </c>
      <c r="K299" s="9" t="n">
        <f aca="false">IF(AND(E299&gt;=Parameters!$B$11,ROUND(MOD(ROUND(E299,2),Parameters!$B$10),2)=0),1,0)</f>
        <v>0</v>
      </c>
      <c r="L299" s="9" t="n">
        <f aca="false">IF(AND(E299&lt;Parameters!$B$7,E299&gt;=Parameters!$B$7*(1-Parameters!$B$9)),1,0)</f>
        <v>0</v>
      </c>
      <c r="M299" s="9" t="n">
        <f aca="false">IF(AND(E299&lt;Parameters!$B$7,COUNTIFS($C$5:$C$634,C299,$B$5:$B$634,B299)&gt;1,SUMIFS($E$5:$E$634,$C$5:$C$634,C299,$B$5:$B$634,B299)&gt;=Parameters!$B$7),1,0)</f>
        <v>0</v>
      </c>
      <c r="N299" s="9" t="n">
        <f aca="false">IF(AND(E299&gt;=Parameters!$B$7,F299&lt;&gt;Parameters!$B$8),1,0)</f>
        <v>0</v>
      </c>
      <c r="O299" s="9" t="n">
        <f aca="false">INDEX(Vendor_Benford!$N$6:$N$50,MATCH(C299,Vendor_Benford!$A$6:$A$50,0))</f>
        <v>0</v>
      </c>
      <c r="P299" s="9" t="n">
        <f aca="false">INDEX(Vendor_Benford!$M$6:$M$50,MATCH(C299,Vendor_Benford!$A$6:$A$50,0))</f>
        <v>0</v>
      </c>
      <c r="Q299" s="9" t="n">
        <f aca="false">I299*Parameters!$B$28+J299*Parameters!$B$29+K299*Parameters!$B$30+L299*Parameters!$B$31+M299*Parameters!$B$32+N299*Parameters!$B$33+O299*Parameters!$B$34+P299*Parameters!$B$35</f>
        <v>0</v>
      </c>
      <c r="R299" s="0" t="str">
        <f aca="false">IF(Q299&gt;=Parameters!$B$24,"High","")</f>
        <v/>
      </c>
    </row>
    <row r="300" customFormat="false" ht="15" hidden="false" customHeight="false" outlineLevel="0" collapsed="false">
      <c r="A300" s="10" t="s">
        <v>904</v>
      </c>
      <c r="B300" s="8" t="n">
        <v>45831</v>
      </c>
      <c r="C300" s="10" t="s">
        <v>200</v>
      </c>
      <c r="D300" s="10" t="s">
        <v>905</v>
      </c>
      <c r="E300" s="12" t="n">
        <v>4776.98</v>
      </c>
      <c r="F300" s="10" t="s">
        <v>347</v>
      </c>
      <c r="G300" s="9" t="n">
        <f aca="false">VALUE(LEFT(TEXT(E300,"0.00"),1))</f>
        <v>4</v>
      </c>
      <c r="H300" s="0" t="str">
        <f aca="false">UPPER(SUBSTITUTE(SUBSTITUTE(SUBSTITUTE(D300," ",""),"/",""),".",""))</f>
        <v>INV31005</v>
      </c>
      <c r="I300" s="9" t="n">
        <f aca="false">IF(COUNTIFS($C$5:C300,C300,$H$5:H300,H300,$E$5:E300,E300)&gt;1,1,0)</f>
        <v>0</v>
      </c>
      <c r="J300" s="9" t="n">
        <f aca="false">IF(AND(I300=0,COUNTIFS($C$5:$C$634,C300,$E$5:$E$634,E300,$B$5:$B$634,"&gt;="&amp;(B300-Parameters!$B$12),$B$5:$B$634,"&lt;="&amp;(B300+Parameters!$B$12),$H$5:$H$634,"&lt;&gt;"&amp;H300)&gt;0),1,0)</f>
        <v>0</v>
      </c>
      <c r="K300" s="9" t="n">
        <f aca="false">IF(AND(E300&gt;=Parameters!$B$11,ROUND(MOD(ROUND(E300,2),Parameters!$B$10),2)=0),1,0)</f>
        <v>0</v>
      </c>
      <c r="L300" s="9" t="n">
        <f aca="false">IF(AND(E300&lt;Parameters!$B$7,E300&gt;=Parameters!$B$7*(1-Parameters!$B$9)),1,0)</f>
        <v>1</v>
      </c>
      <c r="M300" s="9" t="n">
        <f aca="false">IF(AND(E300&lt;Parameters!$B$7,COUNTIFS($C$5:$C$634,C300,$B$5:$B$634,B300)&gt;1,SUMIFS($E$5:$E$634,$C$5:$C$634,C300,$B$5:$B$634,B300)&gt;=Parameters!$B$7),1,0)</f>
        <v>0</v>
      </c>
      <c r="N300" s="9" t="n">
        <f aca="false">IF(AND(E300&gt;=Parameters!$B$7,F300&lt;&gt;Parameters!$B$8),1,0)</f>
        <v>0</v>
      </c>
      <c r="O300" s="9" t="n">
        <f aca="false">INDEX(Vendor_Benford!$N$6:$N$50,MATCH(C300,Vendor_Benford!$A$6:$A$50,0))</f>
        <v>0</v>
      </c>
      <c r="P300" s="9" t="n">
        <f aca="false">INDEX(Vendor_Benford!$M$6:$M$50,MATCH(C300,Vendor_Benford!$A$6:$A$50,0))</f>
        <v>1</v>
      </c>
      <c r="Q300" s="9" t="n">
        <f aca="false">I300*Parameters!$B$28+J300*Parameters!$B$29+K300*Parameters!$B$30+L300*Parameters!$B$31+M300*Parameters!$B$32+N300*Parameters!$B$33+O300*Parameters!$B$34+P300*Parameters!$B$35</f>
        <v>4</v>
      </c>
      <c r="R300" s="0" t="str">
        <f aca="false">IF(Q300&gt;=Parameters!$B$24,"High","")</f>
        <v/>
      </c>
    </row>
    <row r="301" customFormat="false" ht="15" hidden="false" customHeight="false" outlineLevel="0" collapsed="false">
      <c r="A301" s="10" t="s">
        <v>906</v>
      </c>
      <c r="B301" s="8" t="n">
        <v>45833</v>
      </c>
      <c r="C301" s="10" t="s">
        <v>215</v>
      </c>
      <c r="D301" s="10" t="s">
        <v>907</v>
      </c>
      <c r="E301" s="12" t="n">
        <v>2077.23</v>
      </c>
      <c r="F301" s="10" t="s">
        <v>40</v>
      </c>
      <c r="G301" s="9" t="n">
        <f aca="false">VALUE(LEFT(TEXT(E301,"0.00"),1))</f>
        <v>2</v>
      </c>
      <c r="H301" s="0" t="str">
        <f aca="false">UPPER(SUBSTITUTE(SUBSTITUTE(SUBSTITUTE(D301," ",""),"/",""),".",""))</f>
        <v>INV36003</v>
      </c>
      <c r="I301" s="9" t="n">
        <f aca="false">IF(COUNTIFS($C$5:C301,C301,$H$5:H301,H301,$E$5:E301,E301)&gt;1,1,0)</f>
        <v>0</v>
      </c>
      <c r="J301" s="9" t="n">
        <f aca="false">IF(AND(I301=0,COUNTIFS($C$5:$C$634,C301,$E$5:$E$634,E301,$B$5:$B$634,"&gt;="&amp;(B301-Parameters!$B$12),$B$5:$B$634,"&lt;="&amp;(B301+Parameters!$B$12),$H$5:$H$634,"&lt;&gt;"&amp;H301)&gt;0),1,0)</f>
        <v>0</v>
      </c>
      <c r="K301" s="9" t="n">
        <f aca="false">IF(AND(E301&gt;=Parameters!$B$11,ROUND(MOD(ROUND(E301,2),Parameters!$B$10),2)=0),1,0)</f>
        <v>0</v>
      </c>
      <c r="L301" s="9" t="n">
        <f aca="false">IF(AND(E301&lt;Parameters!$B$7,E301&gt;=Parameters!$B$7*(1-Parameters!$B$9)),1,0)</f>
        <v>0</v>
      </c>
      <c r="M301" s="9" t="n">
        <f aca="false">IF(AND(E301&lt;Parameters!$B$7,COUNTIFS($C$5:$C$634,C301,$B$5:$B$634,B301)&gt;1,SUMIFS($E$5:$E$634,$C$5:$C$634,C301,$B$5:$B$634,B301)&gt;=Parameters!$B$7),1,0)</f>
        <v>0</v>
      </c>
      <c r="N301" s="9" t="n">
        <f aca="false">IF(AND(E301&gt;=Parameters!$B$7,F301&lt;&gt;Parameters!$B$8),1,0)</f>
        <v>0</v>
      </c>
      <c r="O301" s="9" t="n">
        <f aca="false">INDEX(Vendor_Benford!$N$6:$N$50,MATCH(C301,Vendor_Benford!$A$6:$A$50,0))</f>
        <v>0</v>
      </c>
      <c r="P301" s="9" t="n">
        <f aca="false">INDEX(Vendor_Benford!$M$6:$M$50,MATCH(C301,Vendor_Benford!$A$6:$A$50,0))</f>
        <v>0</v>
      </c>
      <c r="Q301" s="9" t="n">
        <f aca="false">I301*Parameters!$B$28+J301*Parameters!$B$29+K301*Parameters!$B$30+L301*Parameters!$B$31+M301*Parameters!$B$32+N301*Parameters!$B$33+O301*Parameters!$B$34+P301*Parameters!$B$35</f>
        <v>0</v>
      </c>
      <c r="R301" s="0" t="str">
        <f aca="false">IF(Q301&gt;=Parameters!$B$24,"High","")</f>
        <v/>
      </c>
    </row>
    <row r="302" customFormat="false" ht="15" hidden="false" customHeight="false" outlineLevel="0" collapsed="false">
      <c r="A302" s="10" t="s">
        <v>908</v>
      </c>
      <c r="B302" s="8" t="n">
        <v>45834</v>
      </c>
      <c r="C302" s="10" t="s">
        <v>149</v>
      </c>
      <c r="D302" s="10" t="s">
        <v>909</v>
      </c>
      <c r="E302" s="12" t="n">
        <v>2220.18</v>
      </c>
      <c r="F302" s="10" t="s">
        <v>347</v>
      </c>
      <c r="G302" s="9" t="n">
        <f aca="false">VALUE(LEFT(TEXT(E302,"0.00"),1))</f>
        <v>2</v>
      </c>
      <c r="H302" s="0" t="str">
        <f aca="false">UPPER(SUBSTITUTE(SUBSTITUTE(SUBSTITUTE(D302," ",""),"/",""),".",""))</f>
        <v>INV14003</v>
      </c>
      <c r="I302" s="9" t="n">
        <f aca="false">IF(COUNTIFS($C$5:C302,C302,$H$5:H302,H302,$E$5:E302,E302)&gt;1,1,0)</f>
        <v>0</v>
      </c>
      <c r="J302" s="9" t="n">
        <f aca="false">IF(AND(I302=0,COUNTIFS($C$5:$C$634,C302,$E$5:$E$634,E302,$B$5:$B$634,"&gt;="&amp;(B302-Parameters!$B$12),$B$5:$B$634,"&lt;="&amp;(B302+Parameters!$B$12),$H$5:$H$634,"&lt;&gt;"&amp;H302)&gt;0),1,0)</f>
        <v>0</v>
      </c>
      <c r="K302" s="9" t="n">
        <f aca="false">IF(AND(E302&gt;=Parameters!$B$11,ROUND(MOD(ROUND(E302,2),Parameters!$B$10),2)=0),1,0)</f>
        <v>0</v>
      </c>
      <c r="L302" s="9" t="n">
        <f aca="false">IF(AND(E302&lt;Parameters!$B$7,E302&gt;=Parameters!$B$7*(1-Parameters!$B$9)),1,0)</f>
        <v>0</v>
      </c>
      <c r="M302" s="9" t="n">
        <f aca="false">IF(AND(E302&lt;Parameters!$B$7,COUNTIFS($C$5:$C$634,C302,$B$5:$B$634,B302)&gt;1,SUMIFS($E$5:$E$634,$C$5:$C$634,C302,$B$5:$B$634,B302)&gt;=Parameters!$B$7),1,0)</f>
        <v>0</v>
      </c>
      <c r="N302" s="9" t="n">
        <f aca="false">IF(AND(E302&gt;=Parameters!$B$7,F302&lt;&gt;Parameters!$B$8),1,0)</f>
        <v>0</v>
      </c>
      <c r="O302" s="9" t="n">
        <f aca="false">INDEX(Vendor_Benford!$N$6:$N$50,MATCH(C302,Vendor_Benford!$A$6:$A$50,0))</f>
        <v>0</v>
      </c>
      <c r="P302" s="9" t="n">
        <f aca="false">INDEX(Vendor_Benford!$M$6:$M$50,MATCH(C302,Vendor_Benford!$A$6:$A$50,0))</f>
        <v>0</v>
      </c>
      <c r="Q302" s="9" t="n">
        <f aca="false">I302*Parameters!$B$28+J302*Parameters!$B$29+K302*Parameters!$B$30+L302*Parameters!$B$31+M302*Parameters!$B$32+N302*Parameters!$B$33+O302*Parameters!$B$34+P302*Parameters!$B$35</f>
        <v>0</v>
      </c>
      <c r="R302" s="0" t="str">
        <f aca="false">IF(Q302&gt;=Parameters!$B$24,"High","")</f>
        <v/>
      </c>
    </row>
    <row r="303" customFormat="false" ht="15" hidden="false" customHeight="false" outlineLevel="0" collapsed="false">
      <c r="A303" s="10" t="s">
        <v>910</v>
      </c>
      <c r="B303" s="8" t="n">
        <v>45834</v>
      </c>
      <c r="C303" s="10" t="s">
        <v>227</v>
      </c>
      <c r="D303" s="10" t="s">
        <v>911</v>
      </c>
      <c r="E303" s="12" t="n">
        <v>135.08</v>
      </c>
      <c r="F303" s="10" t="s">
        <v>347</v>
      </c>
      <c r="G303" s="9" t="n">
        <f aca="false">VALUE(LEFT(TEXT(E303,"0.00"),1))</f>
        <v>1</v>
      </c>
      <c r="H303" s="0" t="str">
        <f aca="false">UPPER(SUBSTITUTE(SUBSTITUTE(SUBSTITUTE(D303," ",""),"/",""),".",""))</f>
        <v>INV40005</v>
      </c>
      <c r="I303" s="9" t="n">
        <f aca="false">IF(COUNTIFS($C$5:C303,C303,$H$5:H303,H303,$E$5:E303,E303)&gt;1,1,0)</f>
        <v>0</v>
      </c>
      <c r="J303" s="9" t="n">
        <f aca="false">IF(AND(I303=0,COUNTIFS($C$5:$C$634,C303,$E$5:$E$634,E303,$B$5:$B$634,"&gt;="&amp;(B303-Parameters!$B$12),$B$5:$B$634,"&lt;="&amp;(B303+Parameters!$B$12),$H$5:$H$634,"&lt;&gt;"&amp;H303)&gt;0),1,0)</f>
        <v>0</v>
      </c>
      <c r="K303" s="9" t="n">
        <f aca="false">IF(AND(E303&gt;=Parameters!$B$11,ROUND(MOD(ROUND(E303,2),Parameters!$B$10),2)=0),1,0)</f>
        <v>0</v>
      </c>
      <c r="L303" s="9" t="n">
        <f aca="false">IF(AND(E303&lt;Parameters!$B$7,E303&gt;=Parameters!$B$7*(1-Parameters!$B$9)),1,0)</f>
        <v>0</v>
      </c>
      <c r="M303" s="9" t="n">
        <f aca="false">IF(AND(E303&lt;Parameters!$B$7,COUNTIFS($C$5:$C$634,C303,$B$5:$B$634,B303)&gt;1,SUMIFS($E$5:$E$634,$C$5:$C$634,C303,$B$5:$B$634,B303)&gt;=Parameters!$B$7),1,0)</f>
        <v>0</v>
      </c>
      <c r="N303" s="9" t="n">
        <f aca="false">IF(AND(E303&gt;=Parameters!$B$7,F303&lt;&gt;Parameters!$B$8),1,0)</f>
        <v>0</v>
      </c>
      <c r="O303" s="9" t="n">
        <f aca="false">INDEX(Vendor_Benford!$N$6:$N$50,MATCH(C303,Vendor_Benford!$A$6:$A$50,0))</f>
        <v>0</v>
      </c>
      <c r="P303" s="9" t="n">
        <f aca="false">INDEX(Vendor_Benford!$M$6:$M$50,MATCH(C303,Vendor_Benford!$A$6:$A$50,0))</f>
        <v>0</v>
      </c>
      <c r="Q303" s="9" t="n">
        <f aca="false">I303*Parameters!$B$28+J303*Parameters!$B$29+K303*Parameters!$B$30+L303*Parameters!$B$31+M303*Parameters!$B$32+N303*Parameters!$B$33+O303*Parameters!$B$34+P303*Parameters!$B$35</f>
        <v>0</v>
      </c>
      <c r="R303" s="0" t="str">
        <f aca="false">IF(Q303&gt;=Parameters!$B$24,"High","")</f>
        <v/>
      </c>
    </row>
    <row r="304" customFormat="false" ht="15" hidden="false" customHeight="false" outlineLevel="0" collapsed="false">
      <c r="A304" s="10" t="s">
        <v>912</v>
      </c>
      <c r="B304" s="8" t="n">
        <v>45835</v>
      </c>
      <c r="C304" s="10" t="s">
        <v>134</v>
      </c>
      <c r="D304" s="10" t="s">
        <v>913</v>
      </c>
      <c r="E304" s="12" t="n">
        <v>13018.74</v>
      </c>
      <c r="F304" s="10" t="s">
        <v>40</v>
      </c>
      <c r="G304" s="9" t="n">
        <f aca="false">VALUE(LEFT(TEXT(E304,"0.00"),1))</f>
        <v>1</v>
      </c>
      <c r="H304" s="0" t="str">
        <f aca="false">UPPER(SUBSTITUTE(SUBSTITUTE(SUBSTITUTE(D304," ",""),"/",""),".",""))</f>
        <v>INV9018</v>
      </c>
      <c r="I304" s="9" t="n">
        <f aca="false">IF(COUNTIFS($C$5:C304,C304,$H$5:H304,H304,$E$5:E304,E304)&gt;1,1,0)</f>
        <v>0</v>
      </c>
      <c r="J304" s="9" t="n">
        <f aca="false">IF(AND(I304=0,COUNTIFS($C$5:$C$634,C304,$E$5:$E$634,E304,$B$5:$B$634,"&gt;="&amp;(B304-Parameters!$B$12),$B$5:$B$634,"&lt;="&amp;(B304+Parameters!$B$12),$H$5:$H$634,"&lt;&gt;"&amp;H304)&gt;0),1,0)</f>
        <v>0</v>
      </c>
      <c r="K304" s="9" t="n">
        <f aca="false">IF(AND(E304&gt;=Parameters!$B$11,ROUND(MOD(ROUND(E304,2),Parameters!$B$10),2)=0),1,0)</f>
        <v>0</v>
      </c>
      <c r="L304" s="9" t="n">
        <f aca="false">IF(AND(E304&lt;Parameters!$B$7,E304&gt;=Parameters!$B$7*(1-Parameters!$B$9)),1,0)</f>
        <v>0</v>
      </c>
      <c r="M304" s="9" t="n">
        <f aca="false">IF(AND(E304&lt;Parameters!$B$7,COUNTIFS($C$5:$C$634,C304,$B$5:$B$634,B304)&gt;1,SUMIFS($E$5:$E$634,$C$5:$C$634,C304,$B$5:$B$634,B304)&gt;=Parameters!$B$7),1,0)</f>
        <v>0</v>
      </c>
      <c r="N304" s="9" t="n">
        <f aca="false">IF(AND(E304&gt;=Parameters!$B$7,F304&lt;&gt;Parameters!$B$8),1,0)</f>
        <v>0</v>
      </c>
      <c r="O304" s="9" t="n">
        <f aca="false">INDEX(Vendor_Benford!$N$6:$N$50,MATCH(C304,Vendor_Benford!$A$6:$A$50,0))</f>
        <v>0</v>
      </c>
      <c r="P304" s="9" t="n">
        <f aca="false">INDEX(Vendor_Benford!$M$6:$M$50,MATCH(C304,Vendor_Benford!$A$6:$A$50,0))</f>
        <v>0</v>
      </c>
      <c r="Q304" s="9" t="n">
        <f aca="false">I304*Parameters!$B$28+J304*Parameters!$B$29+K304*Parameters!$B$30+L304*Parameters!$B$31+M304*Parameters!$B$32+N304*Parameters!$B$33+O304*Parameters!$B$34+P304*Parameters!$B$35</f>
        <v>0</v>
      </c>
      <c r="R304" s="0" t="str">
        <f aca="false">IF(Q304&gt;=Parameters!$B$24,"High","")</f>
        <v/>
      </c>
    </row>
    <row r="305" customFormat="false" ht="15" hidden="false" customHeight="false" outlineLevel="0" collapsed="false">
      <c r="A305" s="10" t="s">
        <v>914</v>
      </c>
      <c r="B305" s="8" t="n">
        <v>45835</v>
      </c>
      <c r="C305" s="10" t="s">
        <v>140</v>
      </c>
      <c r="D305" s="10" t="s">
        <v>915</v>
      </c>
      <c r="E305" s="12" t="n">
        <v>4912.26</v>
      </c>
      <c r="F305" s="10" t="s">
        <v>347</v>
      </c>
      <c r="G305" s="9" t="n">
        <f aca="false">VALUE(LEFT(TEXT(E305,"0.00"),1))</f>
        <v>4</v>
      </c>
      <c r="H305" s="0" t="str">
        <f aca="false">UPPER(SUBSTITUTE(SUBSTITUTE(SUBSTITUTE(D305," ",""),"/",""),".",""))</f>
        <v>INV11018</v>
      </c>
      <c r="I305" s="9" t="n">
        <f aca="false">IF(COUNTIFS($C$5:C305,C305,$H$5:H305,H305,$E$5:E305,E305)&gt;1,1,0)</f>
        <v>0</v>
      </c>
      <c r="J305" s="9" t="n">
        <f aca="false">IF(AND(I305=0,COUNTIFS($C$5:$C$634,C305,$E$5:$E$634,E305,$B$5:$B$634,"&gt;="&amp;(B305-Parameters!$B$12),$B$5:$B$634,"&lt;="&amp;(B305+Parameters!$B$12),$H$5:$H$634,"&lt;&gt;"&amp;H305)&gt;0),1,0)</f>
        <v>0</v>
      </c>
      <c r="K305" s="9" t="n">
        <f aca="false">IF(AND(E305&gt;=Parameters!$B$11,ROUND(MOD(ROUND(E305,2),Parameters!$B$10),2)=0),1,0)</f>
        <v>0</v>
      </c>
      <c r="L305" s="9" t="n">
        <f aca="false">IF(AND(E305&lt;Parameters!$B$7,E305&gt;=Parameters!$B$7*(1-Parameters!$B$9)),1,0)</f>
        <v>1</v>
      </c>
      <c r="M305" s="9" t="n">
        <f aca="false">IF(AND(E305&lt;Parameters!$B$7,COUNTIFS($C$5:$C$634,C305,$B$5:$B$634,B305)&gt;1,SUMIFS($E$5:$E$634,$C$5:$C$634,C305,$B$5:$B$634,B305)&gt;=Parameters!$B$7),1,0)</f>
        <v>0</v>
      </c>
      <c r="N305" s="9" t="n">
        <f aca="false">IF(AND(E305&gt;=Parameters!$B$7,F305&lt;&gt;Parameters!$B$8),1,0)</f>
        <v>0</v>
      </c>
      <c r="O305" s="9" t="n">
        <f aca="false">INDEX(Vendor_Benford!$N$6:$N$50,MATCH(C305,Vendor_Benford!$A$6:$A$50,0))</f>
        <v>0</v>
      </c>
      <c r="P305" s="9" t="n">
        <f aca="false">INDEX(Vendor_Benford!$M$6:$M$50,MATCH(C305,Vendor_Benford!$A$6:$A$50,0))</f>
        <v>0</v>
      </c>
      <c r="Q305" s="9" t="n">
        <f aca="false">I305*Parameters!$B$28+J305*Parameters!$B$29+K305*Parameters!$B$30+L305*Parameters!$B$31+M305*Parameters!$B$32+N305*Parameters!$B$33+O305*Parameters!$B$34+P305*Parameters!$B$35</f>
        <v>2</v>
      </c>
      <c r="R305" s="0" t="str">
        <f aca="false">IF(Q305&gt;=Parameters!$B$24,"High","")</f>
        <v/>
      </c>
    </row>
    <row r="306" customFormat="false" ht="15" hidden="false" customHeight="false" outlineLevel="0" collapsed="false">
      <c r="A306" s="10" t="s">
        <v>916</v>
      </c>
      <c r="B306" s="8" t="n">
        <v>45835</v>
      </c>
      <c r="C306" s="10" t="s">
        <v>155</v>
      </c>
      <c r="D306" s="10" t="s">
        <v>917</v>
      </c>
      <c r="E306" s="12" t="n">
        <v>70616.16</v>
      </c>
      <c r="F306" s="10" t="s">
        <v>40</v>
      </c>
      <c r="G306" s="9" t="n">
        <f aca="false">VALUE(LEFT(TEXT(E306,"0.00"),1))</f>
        <v>7</v>
      </c>
      <c r="H306" s="0" t="str">
        <f aca="false">UPPER(SUBSTITUTE(SUBSTITUTE(SUBSTITUTE(D306," ",""),"/",""),".",""))</f>
        <v>INV16022</v>
      </c>
      <c r="I306" s="9" t="n">
        <f aca="false">IF(COUNTIFS($C$5:C306,C306,$H$5:H306,H306,$E$5:E306,E306)&gt;1,1,0)</f>
        <v>0</v>
      </c>
      <c r="J306" s="9" t="n">
        <f aca="false">IF(AND(I306=0,COUNTIFS($C$5:$C$634,C306,$E$5:$E$634,E306,$B$5:$B$634,"&gt;="&amp;(B306-Parameters!$B$12),$B$5:$B$634,"&lt;="&amp;(B306+Parameters!$B$12),$H$5:$H$634,"&lt;&gt;"&amp;H306)&gt;0),1,0)</f>
        <v>0</v>
      </c>
      <c r="K306" s="9" t="n">
        <f aca="false">IF(AND(E306&gt;=Parameters!$B$11,ROUND(MOD(ROUND(E306,2),Parameters!$B$10),2)=0),1,0)</f>
        <v>0</v>
      </c>
      <c r="L306" s="9" t="n">
        <f aca="false">IF(AND(E306&lt;Parameters!$B$7,E306&gt;=Parameters!$B$7*(1-Parameters!$B$9)),1,0)</f>
        <v>0</v>
      </c>
      <c r="M306" s="9" t="n">
        <f aca="false">IF(AND(E306&lt;Parameters!$B$7,COUNTIFS($C$5:$C$634,C306,$B$5:$B$634,B306)&gt;1,SUMIFS($E$5:$E$634,$C$5:$C$634,C306,$B$5:$B$634,B306)&gt;=Parameters!$B$7),1,0)</f>
        <v>0</v>
      </c>
      <c r="N306" s="9" t="n">
        <f aca="false">IF(AND(E306&gt;=Parameters!$B$7,F306&lt;&gt;Parameters!$B$8),1,0)</f>
        <v>0</v>
      </c>
      <c r="O306" s="9" t="n">
        <f aca="false">INDEX(Vendor_Benford!$N$6:$N$50,MATCH(C306,Vendor_Benford!$A$6:$A$50,0))</f>
        <v>0</v>
      </c>
      <c r="P306" s="9" t="n">
        <f aca="false">INDEX(Vendor_Benford!$M$6:$M$50,MATCH(C306,Vendor_Benford!$A$6:$A$50,0))</f>
        <v>0</v>
      </c>
      <c r="Q306" s="9" t="n">
        <f aca="false">I306*Parameters!$B$28+J306*Parameters!$B$29+K306*Parameters!$B$30+L306*Parameters!$B$31+M306*Parameters!$B$32+N306*Parameters!$B$33+O306*Parameters!$B$34+P306*Parameters!$B$35</f>
        <v>0</v>
      </c>
      <c r="R306" s="0" t="str">
        <f aca="false">IF(Q306&gt;=Parameters!$B$24,"High","")</f>
        <v/>
      </c>
    </row>
    <row r="307" customFormat="false" ht="15" hidden="false" customHeight="false" outlineLevel="0" collapsed="false">
      <c r="A307" s="10" t="s">
        <v>918</v>
      </c>
      <c r="B307" s="8" t="n">
        <v>45835</v>
      </c>
      <c r="C307" s="10" t="s">
        <v>164</v>
      </c>
      <c r="D307" s="10" t="s">
        <v>919</v>
      </c>
      <c r="E307" s="12" t="n">
        <v>82088.43</v>
      </c>
      <c r="F307" s="10" t="s">
        <v>40</v>
      </c>
      <c r="G307" s="9" t="n">
        <f aca="false">VALUE(LEFT(TEXT(E307,"0.00"),1))</f>
        <v>8</v>
      </c>
      <c r="H307" s="0" t="str">
        <f aca="false">UPPER(SUBSTITUTE(SUBSTITUTE(SUBSTITUTE(D307," ",""),"/",""),".",""))</f>
        <v>INV19008</v>
      </c>
      <c r="I307" s="9" t="n">
        <f aca="false">IF(COUNTIFS($C$5:C307,C307,$H$5:H307,H307,$E$5:E307,E307)&gt;1,1,0)</f>
        <v>0</v>
      </c>
      <c r="J307" s="9" t="n">
        <f aca="false">IF(AND(I307=0,COUNTIFS($C$5:$C$634,C307,$E$5:$E$634,E307,$B$5:$B$634,"&gt;="&amp;(B307-Parameters!$B$12),$B$5:$B$634,"&lt;="&amp;(B307+Parameters!$B$12),$H$5:$H$634,"&lt;&gt;"&amp;H307)&gt;0),1,0)</f>
        <v>0</v>
      </c>
      <c r="K307" s="9" t="n">
        <f aca="false">IF(AND(E307&gt;=Parameters!$B$11,ROUND(MOD(ROUND(E307,2),Parameters!$B$10),2)=0),1,0)</f>
        <v>0</v>
      </c>
      <c r="L307" s="9" t="n">
        <f aca="false">IF(AND(E307&lt;Parameters!$B$7,E307&gt;=Parameters!$B$7*(1-Parameters!$B$9)),1,0)</f>
        <v>0</v>
      </c>
      <c r="M307" s="9" t="n">
        <f aca="false">IF(AND(E307&lt;Parameters!$B$7,COUNTIFS($C$5:$C$634,C307,$B$5:$B$634,B307)&gt;1,SUMIFS($E$5:$E$634,$C$5:$C$634,C307,$B$5:$B$634,B307)&gt;=Parameters!$B$7),1,0)</f>
        <v>0</v>
      </c>
      <c r="N307" s="9" t="n">
        <f aca="false">IF(AND(E307&gt;=Parameters!$B$7,F307&lt;&gt;Parameters!$B$8),1,0)</f>
        <v>0</v>
      </c>
      <c r="O307" s="9" t="n">
        <f aca="false">INDEX(Vendor_Benford!$N$6:$N$50,MATCH(C307,Vendor_Benford!$A$6:$A$50,0))</f>
        <v>0</v>
      </c>
      <c r="P307" s="9" t="n">
        <f aca="false">INDEX(Vendor_Benford!$M$6:$M$50,MATCH(C307,Vendor_Benford!$A$6:$A$50,0))</f>
        <v>0</v>
      </c>
      <c r="Q307" s="9" t="n">
        <f aca="false">I307*Parameters!$B$28+J307*Parameters!$B$29+K307*Parameters!$B$30+L307*Parameters!$B$31+M307*Parameters!$B$32+N307*Parameters!$B$33+O307*Parameters!$B$34+P307*Parameters!$B$35</f>
        <v>0</v>
      </c>
      <c r="R307" s="0" t="str">
        <f aca="false">IF(Q307&gt;=Parameters!$B$24,"High","")</f>
        <v/>
      </c>
    </row>
    <row r="308" customFormat="false" ht="15" hidden="false" customHeight="false" outlineLevel="0" collapsed="false">
      <c r="A308" s="10" t="s">
        <v>920</v>
      </c>
      <c r="B308" s="8" t="n">
        <v>45835</v>
      </c>
      <c r="C308" s="10" t="s">
        <v>182</v>
      </c>
      <c r="D308" s="10" t="s">
        <v>921</v>
      </c>
      <c r="E308" s="12" t="n">
        <v>3758.87</v>
      </c>
      <c r="F308" s="10" t="s">
        <v>40</v>
      </c>
      <c r="G308" s="9" t="n">
        <f aca="false">VALUE(LEFT(TEXT(E308,"0.00"),1))</f>
        <v>3</v>
      </c>
      <c r="H308" s="0" t="str">
        <f aca="false">UPPER(SUBSTITUTE(SUBSTITUTE(SUBSTITUTE(D308," ",""),"/",""),".",""))</f>
        <v>INV25010</v>
      </c>
      <c r="I308" s="9" t="n">
        <f aca="false">IF(COUNTIFS($C$5:C308,C308,$H$5:H308,H308,$E$5:E308,E308)&gt;1,1,0)</f>
        <v>0</v>
      </c>
      <c r="J308" s="9" t="n">
        <f aca="false">IF(AND(I308=0,COUNTIFS($C$5:$C$634,C308,$E$5:$E$634,E308,$B$5:$B$634,"&gt;="&amp;(B308-Parameters!$B$12),$B$5:$B$634,"&lt;="&amp;(B308+Parameters!$B$12),$H$5:$H$634,"&lt;&gt;"&amp;H308)&gt;0),1,0)</f>
        <v>0</v>
      </c>
      <c r="K308" s="9" t="n">
        <f aca="false">IF(AND(E308&gt;=Parameters!$B$11,ROUND(MOD(ROUND(E308,2),Parameters!$B$10),2)=0),1,0)</f>
        <v>0</v>
      </c>
      <c r="L308" s="9" t="n">
        <f aca="false">IF(AND(E308&lt;Parameters!$B$7,E308&gt;=Parameters!$B$7*(1-Parameters!$B$9)),1,0)</f>
        <v>0</v>
      </c>
      <c r="M308" s="9" t="n">
        <f aca="false">IF(AND(E308&lt;Parameters!$B$7,COUNTIFS($C$5:$C$634,C308,$B$5:$B$634,B308)&gt;1,SUMIFS($E$5:$E$634,$C$5:$C$634,C308,$B$5:$B$634,B308)&gt;=Parameters!$B$7),1,0)</f>
        <v>0</v>
      </c>
      <c r="N308" s="9" t="n">
        <f aca="false">IF(AND(E308&gt;=Parameters!$B$7,F308&lt;&gt;Parameters!$B$8),1,0)</f>
        <v>0</v>
      </c>
      <c r="O308" s="9" t="n">
        <f aca="false">INDEX(Vendor_Benford!$N$6:$N$50,MATCH(C308,Vendor_Benford!$A$6:$A$50,0))</f>
        <v>0</v>
      </c>
      <c r="P308" s="9" t="n">
        <f aca="false">INDEX(Vendor_Benford!$M$6:$M$50,MATCH(C308,Vendor_Benford!$A$6:$A$50,0))</f>
        <v>0</v>
      </c>
      <c r="Q308" s="9" t="n">
        <f aca="false">I308*Parameters!$B$28+J308*Parameters!$B$29+K308*Parameters!$B$30+L308*Parameters!$B$31+M308*Parameters!$B$32+N308*Parameters!$B$33+O308*Parameters!$B$34+P308*Parameters!$B$35</f>
        <v>0</v>
      </c>
      <c r="R308" s="0" t="str">
        <f aca="false">IF(Q308&gt;=Parameters!$B$24,"High","")</f>
        <v/>
      </c>
    </row>
    <row r="309" customFormat="false" ht="15" hidden="false" customHeight="false" outlineLevel="0" collapsed="false">
      <c r="A309" s="10" t="s">
        <v>922</v>
      </c>
      <c r="B309" s="8" t="n">
        <v>45835</v>
      </c>
      <c r="C309" s="10" t="s">
        <v>203</v>
      </c>
      <c r="D309" s="10" t="s">
        <v>923</v>
      </c>
      <c r="E309" s="12" t="n">
        <v>4461.92</v>
      </c>
      <c r="F309" s="10" t="s">
        <v>40</v>
      </c>
      <c r="G309" s="9" t="n">
        <f aca="false">VALUE(LEFT(TEXT(E309,"0.00"),1))</f>
        <v>4</v>
      </c>
      <c r="H309" s="0" t="str">
        <f aca="false">UPPER(SUBSTITUTE(SUBSTITUTE(SUBSTITUTE(D309," ",""),"/",""),".",""))</f>
        <v>INV32009</v>
      </c>
      <c r="I309" s="9" t="n">
        <f aca="false">IF(COUNTIFS($C$5:C309,C309,$H$5:H309,H309,$E$5:E309,E309)&gt;1,1,0)</f>
        <v>0</v>
      </c>
      <c r="J309" s="9" t="n">
        <f aca="false">IF(AND(I309=0,COUNTIFS($C$5:$C$634,C309,$E$5:$E$634,E309,$B$5:$B$634,"&gt;="&amp;(B309-Parameters!$B$12),$B$5:$B$634,"&lt;="&amp;(B309+Parameters!$B$12),$H$5:$H$634,"&lt;&gt;"&amp;H309)&gt;0),1,0)</f>
        <v>0</v>
      </c>
      <c r="K309" s="9" t="n">
        <f aca="false">IF(AND(E309&gt;=Parameters!$B$11,ROUND(MOD(ROUND(E309,2),Parameters!$B$10),2)=0),1,0)</f>
        <v>0</v>
      </c>
      <c r="L309" s="9" t="n">
        <f aca="false">IF(AND(E309&lt;Parameters!$B$7,E309&gt;=Parameters!$B$7*(1-Parameters!$B$9)),1,0)</f>
        <v>0</v>
      </c>
      <c r="M309" s="9" t="n">
        <f aca="false">IF(AND(E309&lt;Parameters!$B$7,COUNTIFS($C$5:$C$634,C309,$B$5:$B$634,B309)&gt;1,SUMIFS($E$5:$E$634,$C$5:$C$634,C309,$B$5:$B$634,B309)&gt;=Parameters!$B$7),1,0)</f>
        <v>0</v>
      </c>
      <c r="N309" s="9" t="n">
        <f aca="false">IF(AND(E309&gt;=Parameters!$B$7,F309&lt;&gt;Parameters!$B$8),1,0)</f>
        <v>0</v>
      </c>
      <c r="O309" s="9" t="n">
        <f aca="false">INDEX(Vendor_Benford!$N$6:$N$50,MATCH(C309,Vendor_Benford!$A$6:$A$50,0))</f>
        <v>0</v>
      </c>
      <c r="P309" s="9" t="n">
        <f aca="false">INDEX(Vendor_Benford!$M$6:$M$50,MATCH(C309,Vendor_Benford!$A$6:$A$50,0))</f>
        <v>0</v>
      </c>
      <c r="Q309" s="9" t="n">
        <f aca="false">I309*Parameters!$B$28+J309*Parameters!$B$29+K309*Parameters!$B$30+L309*Parameters!$B$31+M309*Parameters!$B$32+N309*Parameters!$B$33+O309*Parameters!$B$34+P309*Parameters!$B$35</f>
        <v>0</v>
      </c>
      <c r="R309" s="0" t="str">
        <f aca="false">IF(Q309&gt;=Parameters!$B$24,"High","")</f>
        <v/>
      </c>
    </row>
    <row r="310" customFormat="false" ht="15" hidden="false" customHeight="false" outlineLevel="0" collapsed="false">
      <c r="A310" s="10" t="s">
        <v>924</v>
      </c>
      <c r="B310" s="8" t="n">
        <v>45838</v>
      </c>
      <c r="C310" s="10" t="s">
        <v>212</v>
      </c>
      <c r="D310" s="10" t="s">
        <v>925</v>
      </c>
      <c r="E310" s="12" t="n">
        <v>38715.33</v>
      </c>
      <c r="F310" s="10" t="s">
        <v>40</v>
      </c>
      <c r="G310" s="9" t="n">
        <f aca="false">VALUE(LEFT(TEXT(E310,"0.00"),1))</f>
        <v>3</v>
      </c>
      <c r="H310" s="0" t="str">
        <f aca="false">UPPER(SUBSTITUTE(SUBSTITUTE(SUBSTITUTE(D310," ",""),"/",""),".",""))</f>
        <v>INV35008</v>
      </c>
      <c r="I310" s="9" t="n">
        <f aca="false">IF(COUNTIFS($C$5:C310,C310,$H$5:H310,H310,$E$5:E310,E310)&gt;1,1,0)</f>
        <v>0</v>
      </c>
      <c r="J310" s="9" t="n">
        <f aca="false">IF(AND(I310=0,COUNTIFS($C$5:$C$634,C310,$E$5:$E$634,E310,$B$5:$B$634,"&gt;="&amp;(B310-Parameters!$B$12),$B$5:$B$634,"&lt;="&amp;(B310+Parameters!$B$12),$H$5:$H$634,"&lt;&gt;"&amp;H310)&gt;0),1,0)</f>
        <v>0</v>
      </c>
      <c r="K310" s="9" t="n">
        <f aca="false">IF(AND(E310&gt;=Parameters!$B$11,ROUND(MOD(ROUND(E310,2),Parameters!$B$10),2)=0),1,0)</f>
        <v>0</v>
      </c>
      <c r="L310" s="9" t="n">
        <f aca="false">IF(AND(E310&lt;Parameters!$B$7,E310&gt;=Parameters!$B$7*(1-Parameters!$B$9)),1,0)</f>
        <v>0</v>
      </c>
      <c r="M310" s="9" t="n">
        <f aca="false">IF(AND(E310&lt;Parameters!$B$7,COUNTIFS($C$5:$C$634,C310,$B$5:$B$634,B310)&gt;1,SUMIFS($E$5:$E$634,$C$5:$C$634,C310,$B$5:$B$634,B310)&gt;=Parameters!$B$7),1,0)</f>
        <v>0</v>
      </c>
      <c r="N310" s="9" t="n">
        <f aca="false">IF(AND(E310&gt;=Parameters!$B$7,F310&lt;&gt;Parameters!$B$8),1,0)</f>
        <v>0</v>
      </c>
      <c r="O310" s="9" t="n">
        <f aca="false">INDEX(Vendor_Benford!$N$6:$N$50,MATCH(C310,Vendor_Benford!$A$6:$A$50,0))</f>
        <v>0</v>
      </c>
      <c r="P310" s="9" t="n">
        <f aca="false">INDEX(Vendor_Benford!$M$6:$M$50,MATCH(C310,Vendor_Benford!$A$6:$A$50,0))</f>
        <v>0</v>
      </c>
      <c r="Q310" s="9" t="n">
        <f aca="false">I310*Parameters!$B$28+J310*Parameters!$B$29+K310*Parameters!$B$30+L310*Parameters!$B$31+M310*Parameters!$B$32+N310*Parameters!$B$33+O310*Parameters!$B$34+P310*Parameters!$B$35</f>
        <v>0</v>
      </c>
      <c r="R310" s="0" t="str">
        <f aca="false">IF(Q310&gt;=Parameters!$B$24,"High","")</f>
        <v/>
      </c>
    </row>
    <row r="311" customFormat="false" ht="15" hidden="false" customHeight="false" outlineLevel="0" collapsed="false">
      <c r="A311" s="10" t="s">
        <v>926</v>
      </c>
      <c r="B311" s="8" t="n">
        <v>45838</v>
      </c>
      <c r="C311" s="10" t="s">
        <v>239</v>
      </c>
      <c r="D311" s="10" t="s">
        <v>927</v>
      </c>
      <c r="E311" s="12" t="n">
        <v>59834.15</v>
      </c>
      <c r="F311" s="10" t="s">
        <v>40</v>
      </c>
      <c r="G311" s="9" t="n">
        <f aca="false">VALUE(LEFT(TEXT(E311,"0.00"),1))</f>
        <v>5</v>
      </c>
      <c r="H311" s="0" t="str">
        <f aca="false">UPPER(SUBSTITUTE(SUBSTITUTE(SUBSTITUTE(D311," ",""),"/",""),".",""))</f>
        <v>INV44012</v>
      </c>
      <c r="I311" s="9" t="n">
        <f aca="false">IF(COUNTIFS($C$5:C311,C311,$H$5:H311,H311,$E$5:E311,E311)&gt;1,1,0)</f>
        <v>0</v>
      </c>
      <c r="J311" s="9" t="n">
        <f aca="false">IF(AND(I311=0,COUNTIFS($C$5:$C$634,C311,$E$5:$E$634,E311,$B$5:$B$634,"&gt;="&amp;(B311-Parameters!$B$12),$B$5:$B$634,"&lt;="&amp;(B311+Parameters!$B$12),$H$5:$H$634,"&lt;&gt;"&amp;H311)&gt;0),1,0)</f>
        <v>0</v>
      </c>
      <c r="K311" s="9" t="n">
        <f aca="false">IF(AND(E311&gt;=Parameters!$B$11,ROUND(MOD(ROUND(E311,2),Parameters!$B$10),2)=0),1,0)</f>
        <v>0</v>
      </c>
      <c r="L311" s="9" t="n">
        <f aca="false">IF(AND(E311&lt;Parameters!$B$7,E311&gt;=Parameters!$B$7*(1-Parameters!$B$9)),1,0)</f>
        <v>0</v>
      </c>
      <c r="M311" s="9" t="n">
        <f aca="false">IF(AND(E311&lt;Parameters!$B$7,COUNTIFS($C$5:$C$634,C311,$B$5:$B$634,B311)&gt;1,SUMIFS($E$5:$E$634,$C$5:$C$634,C311,$B$5:$B$634,B311)&gt;=Parameters!$B$7),1,0)</f>
        <v>0</v>
      </c>
      <c r="N311" s="9" t="n">
        <f aca="false">IF(AND(E311&gt;=Parameters!$B$7,F311&lt;&gt;Parameters!$B$8),1,0)</f>
        <v>0</v>
      </c>
      <c r="O311" s="9" t="n">
        <f aca="false">INDEX(Vendor_Benford!$N$6:$N$50,MATCH(C311,Vendor_Benford!$A$6:$A$50,0))</f>
        <v>0</v>
      </c>
      <c r="P311" s="9" t="n">
        <f aca="false">INDEX(Vendor_Benford!$M$6:$M$50,MATCH(C311,Vendor_Benford!$A$6:$A$50,0))</f>
        <v>0</v>
      </c>
      <c r="Q311" s="9" t="n">
        <f aca="false">I311*Parameters!$B$28+J311*Parameters!$B$29+K311*Parameters!$B$30+L311*Parameters!$B$31+M311*Parameters!$B$32+N311*Parameters!$B$33+O311*Parameters!$B$34+P311*Parameters!$B$35</f>
        <v>0</v>
      </c>
      <c r="R311" s="0" t="str">
        <f aca="false">IF(Q311&gt;=Parameters!$B$24,"High","")</f>
        <v/>
      </c>
    </row>
    <row r="312" customFormat="false" ht="15" hidden="false" customHeight="false" outlineLevel="0" collapsed="false">
      <c r="A312" s="10" t="s">
        <v>928</v>
      </c>
      <c r="B312" s="8" t="n">
        <v>45839</v>
      </c>
      <c r="C312" s="10" t="s">
        <v>161</v>
      </c>
      <c r="D312" s="10" t="s">
        <v>929</v>
      </c>
      <c r="E312" s="12" t="n">
        <v>288.43</v>
      </c>
      <c r="F312" s="10" t="s">
        <v>40</v>
      </c>
      <c r="G312" s="9" t="n">
        <f aca="false">VALUE(LEFT(TEXT(E312,"0.00"),1))</f>
        <v>2</v>
      </c>
      <c r="H312" s="0" t="str">
        <f aca="false">UPPER(SUBSTITUTE(SUBSTITUTE(SUBSTITUTE(D312," ",""),"/",""),".",""))</f>
        <v>INV18008</v>
      </c>
      <c r="I312" s="9" t="n">
        <f aca="false">IF(COUNTIFS($C$5:C312,C312,$H$5:H312,H312,$E$5:E312,E312)&gt;1,1,0)</f>
        <v>0</v>
      </c>
      <c r="J312" s="9" t="n">
        <f aca="false">IF(AND(I312=0,COUNTIFS($C$5:$C$634,C312,$E$5:$E$634,E312,$B$5:$B$634,"&gt;="&amp;(B312-Parameters!$B$12),$B$5:$B$634,"&lt;="&amp;(B312+Parameters!$B$12),$H$5:$H$634,"&lt;&gt;"&amp;H312)&gt;0),1,0)</f>
        <v>0</v>
      </c>
      <c r="K312" s="9" t="n">
        <f aca="false">IF(AND(E312&gt;=Parameters!$B$11,ROUND(MOD(ROUND(E312,2),Parameters!$B$10),2)=0),1,0)</f>
        <v>0</v>
      </c>
      <c r="L312" s="9" t="n">
        <f aca="false">IF(AND(E312&lt;Parameters!$B$7,E312&gt;=Parameters!$B$7*(1-Parameters!$B$9)),1,0)</f>
        <v>0</v>
      </c>
      <c r="M312" s="9" t="n">
        <f aca="false">IF(AND(E312&lt;Parameters!$B$7,COUNTIFS($C$5:$C$634,C312,$B$5:$B$634,B312)&gt;1,SUMIFS($E$5:$E$634,$C$5:$C$634,C312,$B$5:$B$634,B312)&gt;=Parameters!$B$7),1,0)</f>
        <v>0</v>
      </c>
      <c r="N312" s="9" t="n">
        <f aca="false">IF(AND(E312&gt;=Parameters!$B$7,F312&lt;&gt;Parameters!$B$8),1,0)</f>
        <v>0</v>
      </c>
      <c r="O312" s="9" t="n">
        <f aca="false">INDEX(Vendor_Benford!$N$6:$N$50,MATCH(C312,Vendor_Benford!$A$6:$A$50,0))</f>
        <v>0</v>
      </c>
      <c r="P312" s="9" t="n">
        <f aca="false">INDEX(Vendor_Benford!$M$6:$M$50,MATCH(C312,Vendor_Benford!$A$6:$A$50,0))</f>
        <v>0</v>
      </c>
      <c r="Q312" s="9" t="n">
        <f aca="false">I312*Parameters!$B$28+J312*Parameters!$B$29+K312*Parameters!$B$30+L312*Parameters!$B$31+M312*Parameters!$B$32+N312*Parameters!$B$33+O312*Parameters!$B$34+P312*Parameters!$B$35</f>
        <v>0</v>
      </c>
      <c r="R312" s="0" t="str">
        <f aca="false">IF(Q312&gt;=Parameters!$B$24,"High","")</f>
        <v/>
      </c>
    </row>
    <row r="313" customFormat="false" ht="15" hidden="false" customHeight="false" outlineLevel="0" collapsed="false">
      <c r="A313" s="10" t="s">
        <v>930</v>
      </c>
      <c r="B313" s="8" t="n">
        <v>45841</v>
      </c>
      <c r="C313" s="10" t="s">
        <v>110</v>
      </c>
      <c r="D313" s="10" t="s">
        <v>931</v>
      </c>
      <c r="E313" s="12" t="n">
        <v>85000</v>
      </c>
      <c r="F313" s="10" t="s">
        <v>40</v>
      </c>
      <c r="G313" s="9" t="n">
        <f aca="false">VALUE(LEFT(TEXT(E313,"0.00"),1))</f>
        <v>8</v>
      </c>
      <c r="H313" s="0" t="str">
        <f aca="false">UPPER(SUBSTITUTE(SUBSTITUTE(SUBSTITUTE(D313," ",""),"/",""),".",""))</f>
        <v>RENT2507</v>
      </c>
      <c r="I313" s="9" t="n">
        <f aca="false">IF(COUNTIFS($C$5:C313,C313,$H$5:H313,H313,$E$5:E313,E313)&gt;1,1,0)</f>
        <v>0</v>
      </c>
      <c r="J313" s="9" t="n">
        <f aca="false">IF(AND(I313=0,COUNTIFS($C$5:$C$634,C313,$E$5:$E$634,E313,$B$5:$B$634,"&gt;="&amp;(B313-Parameters!$B$12),$B$5:$B$634,"&lt;="&amp;(B313+Parameters!$B$12),$H$5:$H$634,"&lt;&gt;"&amp;H313)&gt;0),1,0)</f>
        <v>1</v>
      </c>
      <c r="K313" s="9" t="n">
        <f aca="false">IF(AND(E313&gt;=Parameters!$B$11,ROUND(MOD(ROUND(E313,2),Parameters!$B$10),2)=0),1,0)</f>
        <v>1</v>
      </c>
      <c r="L313" s="9" t="n">
        <f aca="false">IF(AND(E313&lt;Parameters!$B$7,E313&gt;=Parameters!$B$7*(1-Parameters!$B$9)),1,0)</f>
        <v>0</v>
      </c>
      <c r="M313" s="9" t="n">
        <f aca="false">IF(AND(E313&lt;Parameters!$B$7,COUNTIFS($C$5:$C$634,C313,$B$5:$B$634,B313)&gt;1,SUMIFS($E$5:$E$634,$C$5:$C$634,C313,$B$5:$B$634,B313)&gt;=Parameters!$B$7),1,0)</f>
        <v>0</v>
      </c>
      <c r="N313" s="9" t="n">
        <f aca="false">IF(AND(E313&gt;=Parameters!$B$7,F313&lt;&gt;Parameters!$B$8),1,0)</f>
        <v>0</v>
      </c>
      <c r="O313" s="9" t="n">
        <f aca="false">INDEX(Vendor_Benford!$N$6:$N$50,MATCH(C313,Vendor_Benford!$A$6:$A$50,0))</f>
        <v>0</v>
      </c>
      <c r="P313" s="9" t="n">
        <f aca="false">INDEX(Vendor_Benford!$M$6:$M$50,MATCH(C313,Vendor_Benford!$A$6:$A$50,0))</f>
        <v>0</v>
      </c>
      <c r="Q313" s="9" t="n">
        <f aca="false">I313*Parameters!$B$28+J313*Parameters!$B$29+K313*Parameters!$B$30+L313*Parameters!$B$31+M313*Parameters!$B$32+N313*Parameters!$B$33+O313*Parameters!$B$34+P313*Parameters!$B$35</f>
        <v>5</v>
      </c>
      <c r="R313" s="0" t="str">
        <f aca="false">IF(Q313&gt;=Parameters!$B$24,"High","")</f>
        <v>High</v>
      </c>
    </row>
    <row r="314" customFormat="false" ht="15" hidden="false" customHeight="false" outlineLevel="0" collapsed="false">
      <c r="A314" s="10" t="s">
        <v>932</v>
      </c>
      <c r="B314" s="8" t="n">
        <v>45841</v>
      </c>
      <c r="C314" s="10" t="s">
        <v>194</v>
      </c>
      <c r="D314" s="10" t="s">
        <v>933</v>
      </c>
      <c r="E314" s="12" t="n">
        <v>71401.85</v>
      </c>
      <c r="F314" s="10" t="s">
        <v>40</v>
      </c>
      <c r="G314" s="9" t="n">
        <f aca="false">VALUE(LEFT(TEXT(E314,"0.00"),1))</f>
        <v>7</v>
      </c>
      <c r="H314" s="0" t="str">
        <f aca="false">UPPER(SUBSTITUTE(SUBSTITUTE(SUBSTITUTE(D314," ",""),"/",""),".",""))</f>
        <v>INV29009</v>
      </c>
      <c r="I314" s="9" t="n">
        <f aca="false">IF(COUNTIFS($C$5:C314,C314,$H$5:H314,H314,$E$5:E314,E314)&gt;1,1,0)</f>
        <v>0</v>
      </c>
      <c r="J314" s="9" t="n">
        <f aca="false">IF(AND(I314=0,COUNTIFS($C$5:$C$634,C314,$E$5:$E$634,E314,$B$5:$B$634,"&gt;="&amp;(B314-Parameters!$B$12),$B$5:$B$634,"&lt;="&amp;(B314+Parameters!$B$12),$H$5:$H$634,"&lt;&gt;"&amp;H314)&gt;0),1,0)</f>
        <v>0</v>
      </c>
      <c r="K314" s="9" t="n">
        <f aca="false">IF(AND(E314&gt;=Parameters!$B$11,ROUND(MOD(ROUND(E314,2),Parameters!$B$10),2)=0),1,0)</f>
        <v>0</v>
      </c>
      <c r="L314" s="9" t="n">
        <f aca="false">IF(AND(E314&lt;Parameters!$B$7,E314&gt;=Parameters!$B$7*(1-Parameters!$B$9)),1,0)</f>
        <v>0</v>
      </c>
      <c r="M314" s="9" t="n">
        <f aca="false">IF(AND(E314&lt;Parameters!$B$7,COUNTIFS($C$5:$C$634,C314,$B$5:$B$634,B314)&gt;1,SUMIFS($E$5:$E$634,$C$5:$C$634,C314,$B$5:$B$634,B314)&gt;=Parameters!$B$7),1,0)</f>
        <v>0</v>
      </c>
      <c r="N314" s="9" t="n">
        <f aca="false">IF(AND(E314&gt;=Parameters!$B$7,F314&lt;&gt;Parameters!$B$8),1,0)</f>
        <v>0</v>
      </c>
      <c r="O314" s="9" t="n">
        <f aca="false">INDEX(Vendor_Benford!$N$6:$N$50,MATCH(C314,Vendor_Benford!$A$6:$A$50,0))</f>
        <v>0</v>
      </c>
      <c r="P314" s="9" t="n">
        <f aca="false">INDEX(Vendor_Benford!$M$6:$M$50,MATCH(C314,Vendor_Benford!$A$6:$A$50,0))</f>
        <v>0</v>
      </c>
      <c r="Q314" s="9" t="n">
        <f aca="false">I314*Parameters!$B$28+J314*Parameters!$B$29+K314*Parameters!$B$30+L314*Parameters!$B$31+M314*Parameters!$B$32+N314*Parameters!$B$33+O314*Parameters!$B$34+P314*Parameters!$B$35</f>
        <v>0</v>
      </c>
      <c r="R314" s="0" t="str">
        <f aca="false">IF(Q314&gt;=Parameters!$B$24,"High","")</f>
        <v/>
      </c>
    </row>
    <row r="315" customFormat="false" ht="15" hidden="false" customHeight="false" outlineLevel="0" collapsed="false">
      <c r="A315" s="10" t="s">
        <v>934</v>
      </c>
      <c r="B315" s="8" t="n">
        <v>45845</v>
      </c>
      <c r="C315" s="10" t="s">
        <v>143</v>
      </c>
      <c r="D315" s="10" t="s">
        <v>935</v>
      </c>
      <c r="E315" s="12" t="n">
        <v>106.61</v>
      </c>
      <c r="F315" s="10" t="s">
        <v>347</v>
      </c>
      <c r="G315" s="9" t="n">
        <f aca="false">VALUE(LEFT(TEXT(E315,"0.00"),1))</f>
        <v>1</v>
      </c>
      <c r="H315" s="0" t="str">
        <f aca="false">UPPER(SUBSTITUTE(SUBSTITUTE(SUBSTITUTE(D315," ",""),"/",""),".",""))</f>
        <v>INV12009</v>
      </c>
      <c r="I315" s="9" t="n">
        <f aca="false">IF(COUNTIFS($C$5:C315,C315,$H$5:H315,H315,$E$5:E315,E315)&gt;1,1,0)</f>
        <v>0</v>
      </c>
      <c r="J315" s="9" t="n">
        <f aca="false">IF(AND(I315=0,COUNTIFS($C$5:$C$634,C315,$E$5:$E$634,E315,$B$5:$B$634,"&gt;="&amp;(B315-Parameters!$B$12),$B$5:$B$634,"&lt;="&amp;(B315+Parameters!$B$12),$H$5:$H$634,"&lt;&gt;"&amp;H315)&gt;0),1,0)</f>
        <v>0</v>
      </c>
      <c r="K315" s="9" t="n">
        <f aca="false">IF(AND(E315&gt;=Parameters!$B$11,ROUND(MOD(ROUND(E315,2),Parameters!$B$10),2)=0),1,0)</f>
        <v>0</v>
      </c>
      <c r="L315" s="9" t="n">
        <f aca="false">IF(AND(E315&lt;Parameters!$B$7,E315&gt;=Parameters!$B$7*(1-Parameters!$B$9)),1,0)</f>
        <v>0</v>
      </c>
      <c r="M315" s="9" t="n">
        <f aca="false">IF(AND(E315&lt;Parameters!$B$7,COUNTIFS($C$5:$C$634,C315,$B$5:$B$634,B315)&gt;1,SUMIFS($E$5:$E$634,$C$5:$C$634,C315,$B$5:$B$634,B315)&gt;=Parameters!$B$7),1,0)</f>
        <v>0</v>
      </c>
      <c r="N315" s="9" t="n">
        <f aca="false">IF(AND(E315&gt;=Parameters!$B$7,F315&lt;&gt;Parameters!$B$8),1,0)</f>
        <v>0</v>
      </c>
      <c r="O315" s="9" t="n">
        <f aca="false">INDEX(Vendor_Benford!$N$6:$N$50,MATCH(C315,Vendor_Benford!$A$6:$A$50,0))</f>
        <v>0</v>
      </c>
      <c r="P315" s="9" t="n">
        <f aca="false">INDEX(Vendor_Benford!$M$6:$M$50,MATCH(C315,Vendor_Benford!$A$6:$A$50,0))</f>
        <v>0</v>
      </c>
      <c r="Q315" s="9" t="n">
        <f aca="false">I315*Parameters!$B$28+J315*Parameters!$B$29+K315*Parameters!$B$30+L315*Parameters!$B$31+M315*Parameters!$B$32+N315*Parameters!$B$33+O315*Parameters!$B$34+P315*Parameters!$B$35</f>
        <v>0</v>
      </c>
      <c r="R315" s="0" t="str">
        <f aca="false">IF(Q315&gt;=Parameters!$B$24,"High","")</f>
        <v/>
      </c>
    </row>
    <row r="316" customFormat="false" ht="15" hidden="false" customHeight="false" outlineLevel="0" collapsed="false">
      <c r="A316" s="10" t="s">
        <v>936</v>
      </c>
      <c r="B316" s="8" t="n">
        <v>45845</v>
      </c>
      <c r="C316" s="10" t="s">
        <v>182</v>
      </c>
      <c r="D316" s="10" t="s">
        <v>937</v>
      </c>
      <c r="E316" s="12" t="n">
        <v>480.73</v>
      </c>
      <c r="F316" s="10" t="s">
        <v>347</v>
      </c>
      <c r="G316" s="9" t="n">
        <f aca="false">VALUE(LEFT(TEXT(E316,"0.00"),1))</f>
        <v>4</v>
      </c>
      <c r="H316" s="0" t="str">
        <f aca="false">UPPER(SUBSTITUTE(SUBSTITUTE(SUBSTITUTE(D316," ",""),"/",""),".",""))</f>
        <v>INV25014</v>
      </c>
      <c r="I316" s="9" t="n">
        <f aca="false">IF(COUNTIFS($C$5:C316,C316,$H$5:H316,H316,$E$5:E316,E316)&gt;1,1,0)</f>
        <v>0</v>
      </c>
      <c r="J316" s="9" t="n">
        <f aca="false">IF(AND(I316=0,COUNTIFS($C$5:$C$634,C316,$E$5:$E$634,E316,$B$5:$B$634,"&gt;="&amp;(B316-Parameters!$B$12),$B$5:$B$634,"&lt;="&amp;(B316+Parameters!$B$12),$H$5:$H$634,"&lt;&gt;"&amp;H316)&gt;0),1,0)</f>
        <v>0</v>
      </c>
      <c r="K316" s="9" t="n">
        <f aca="false">IF(AND(E316&gt;=Parameters!$B$11,ROUND(MOD(ROUND(E316,2),Parameters!$B$10),2)=0),1,0)</f>
        <v>0</v>
      </c>
      <c r="L316" s="9" t="n">
        <f aca="false">IF(AND(E316&lt;Parameters!$B$7,E316&gt;=Parameters!$B$7*(1-Parameters!$B$9)),1,0)</f>
        <v>0</v>
      </c>
      <c r="M316" s="9" t="n">
        <f aca="false">IF(AND(E316&lt;Parameters!$B$7,COUNTIFS($C$5:$C$634,C316,$B$5:$B$634,B316)&gt;1,SUMIFS($E$5:$E$634,$C$5:$C$634,C316,$B$5:$B$634,B316)&gt;=Parameters!$B$7),1,0)</f>
        <v>0</v>
      </c>
      <c r="N316" s="9" t="n">
        <f aca="false">IF(AND(E316&gt;=Parameters!$B$7,F316&lt;&gt;Parameters!$B$8),1,0)</f>
        <v>0</v>
      </c>
      <c r="O316" s="9" t="n">
        <f aca="false">INDEX(Vendor_Benford!$N$6:$N$50,MATCH(C316,Vendor_Benford!$A$6:$A$50,0))</f>
        <v>0</v>
      </c>
      <c r="P316" s="9" t="n">
        <f aca="false">INDEX(Vendor_Benford!$M$6:$M$50,MATCH(C316,Vendor_Benford!$A$6:$A$50,0))</f>
        <v>0</v>
      </c>
      <c r="Q316" s="9" t="n">
        <f aca="false">I316*Parameters!$B$28+J316*Parameters!$B$29+K316*Parameters!$B$30+L316*Parameters!$B$31+M316*Parameters!$B$32+N316*Parameters!$B$33+O316*Parameters!$B$34+P316*Parameters!$B$35</f>
        <v>0</v>
      </c>
      <c r="R316" s="0" t="str">
        <f aca="false">IF(Q316&gt;=Parameters!$B$24,"High","")</f>
        <v/>
      </c>
    </row>
    <row r="317" customFormat="false" ht="15" hidden="false" customHeight="false" outlineLevel="0" collapsed="false">
      <c r="A317" s="10" t="s">
        <v>938</v>
      </c>
      <c r="B317" s="8" t="n">
        <v>45846</v>
      </c>
      <c r="C317" s="10" t="s">
        <v>209</v>
      </c>
      <c r="D317" s="10" t="s">
        <v>939</v>
      </c>
      <c r="E317" s="12" t="n">
        <v>6643.92</v>
      </c>
      <c r="F317" s="10" t="s">
        <v>40</v>
      </c>
      <c r="G317" s="9" t="n">
        <f aca="false">VALUE(LEFT(TEXT(E317,"0.00"),1))</f>
        <v>6</v>
      </c>
      <c r="H317" s="0" t="str">
        <f aca="false">UPPER(SUBSTITUTE(SUBSTITUTE(SUBSTITUTE(D317," ",""),"/",""),".",""))</f>
        <v>INV34011</v>
      </c>
      <c r="I317" s="9" t="n">
        <f aca="false">IF(COUNTIFS($C$5:C317,C317,$H$5:H317,H317,$E$5:E317,E317)&gt;1,1,0)</f>
        <v>0</v>
      </c>
      <c r="J317" s="9" t="n">
        <f aca="false">IF(AND(I317=0,COUNTIFS($C$5:$C$634,C317,$E$5:$E$634,E317,$B$5:$B$634,"&gt;="&amp;(B317-Parameters!$B$12),$B$5:$B$634,"&lt;="&amp;(B317+Parameters!$B$12),$H$5:$H$634,"&lt;&gt;"&amp;H317)&gt;0),1,0)</f>
        <v>0</v>
      </c>
      <c r="K317" s="9" t="n">
        <f aca="false">IF(AND(E317&gt;=Parameters!$B$11,ROUND(MOD(ROUND(E317,2),Parameters!$B$10),2)=0),1,0)</f>
        <v>0</v>
      </c>
      <c r="L317" s="9" t="n">
        <f aca="false">IF(AND(E317&lt;Parameters!$B$7,E317&gt;=Parameters!$B$7*(1-Parameters!$B$9)),1,0)</f>
        <v>0</v>
      </c>
      <c r="M317" s="9" t="n">
        <f aca="false">IF(AND(E317&lt;Parameters!$B$7,COUNTIFS($C$5:$C$634,C317,$B$5:$B$634,B317)&gt;1,SUMIFS($E$5:$E$634,$C$5:$C$634,C317,$B$5:$B$634,B317)&gt;=Parameters!$B$7),1,0)</f>
        <v>0</v>
      </c>
      <c r="N317" s="9" t="n">
        <f aca="false">IF(AND(E317&gt;=Parameters!$B$7,F317&lt;&gt;Parameters!$B$8),1,0)</f>
        <v>0</v>
      </c>
      <c r="O317" s="9" t="n">
        <f aca="false">INDEX(Vendor_Benford!$N$6:$N$50,MATCH(C317,Vendor_Benford!$A$6:$A$50,0))</f>
        <v>0</v>
      </c>
      <c r="P317" s="9" t="n">
        <f aca="false">INDEX(Vendor_Benford!$M$6:$M$50,MATCH(C317,Vendor_Benford!$A$6:$A$50,0))</f>
        <v>0</v>
      </c>
      <c r="Q317" s="9" t="n">
        <f aca="false">I317*Parameters!$B$28+J317*Parameters!$B$29+K317*Parameters!$B$30+L317*Parameters!$B$31+M317*Parameters!$B$32+N317*Parameters!$B$33+O317*Parameters!$B$34+P317*Parameters!$B$35</f>
        <v>0</v>
      </c>
      <c r="R317" s="0" t="str">
        <f aca="false">IF(Q317&gt;=Parameters!$B$24,"High","")</f>
        <v/>
      </c>
    </row>
    <row r="318" customFormat="false" ht="15" hidden="false" customHeight="false" outlineLevel="0" collapsed="false">
      <c r="A318" s="10" t="s">
        <v>940</v>
      </c>
      <c r="B318" s="8" t="n">
        <v>45848</v>
      </c>
      <c r="C318" s="10" t="s">
        <v>155</v>
      </c>
      <c r="D318" s="10" t="s">
        <v>941</v>
      </c>
      <c r="E318" s="12" t="n">
        <v>1842.75</v>
      </c>
      <c r="F318" s="10" t="s">
        <v>347</v>
      </c>
      <c r="G318" s="9" t="n">
        <f aca="false">VALUE(LEFT(TEXT(E318,"0.00"),1))</f>
        <v>1</v>
      </c>
      <c r="H318" s="0" t="str">
        <f aca="false">UPPER(SUBSTITUTE(SUBSTITUTE(SUBSTITUTE(D318," ",""),"/",""),".",""))</f>
        <v>INV16015</v>
      </c>
      <c r="I318" s="9" t="n">
        <f aca="false">IF(COUNTIFS($C$5:C318,C318,$H$5:H318,H318,$E$5:E318,E318)&gt;1,1,0)</f>
        <v>0</v>
      </c>
      <c r="J318" s="9" t="n">
        <f aca="false">IF(AND(I318=0,COUNTIFS($C$5:$C$634,C318,$E$5:$E$634,E318,$B$5:$B$634,"&gt;="&amp;(B318-Parameters!$B$12),$B$5:$B$634,"&lt;="&amp;(B318+Parameters!$B$12),$H$5:$H$634,"&lt;&gt;"&amp;H318)&gt;0),1,0)</f>
        <v>0</v>
      </c>
      <c r="K318" s="9" t="n">
        <f aca="false">IF(AND(E318&gt;=Parameters!$B$11,ROUND(MOD(ROUND(E318,2),Parameters!$B$10),2)=0),1,0)</f>
        <v>0</v>
      </c>
      <c r="L318" s="9" t="n">
        <f aca="false">IF(AND(E318&lt;Parameters!$B$7,E318&gt;=Parameters!$B$7*(1-Parameters!$B$9)),1,0)</f>
        <v>0</v>
      </c>
      <c r="M318" s="9" t="n">
        <f aca="false">IF(AND(E318&lt;Parameters!$B$7,COUNTIFS($C$5:$C$634,C318,$B$5:$B$634,B318)&gt;1,SUMIFS($E$5:$E$634,$C$5:$C$634,C318,$B$5:$B$634,B318)&gt;=Parameters!$B$7),1,0)</f>
        <v>0</v>
      </c>
      <c r="N318" s="9" t="n">
        <f aca="false">IF(AND(E318&gt;=Parameters!$B$7,F318&lt;&gt;Parameters!$B$8),1,0)</f>
        <v>0</v>
      </c>
      <c r="O318" s="9" t="n">
        <f aca="false">INDEX(Vendor_Benford!$N$6:$N$50,MATCH(C318,Vendor_Benford!$A$6:$A$50,0))</f>
        <v>0</v>
      </c>
      <c r="P318" s="9" t="n">
        <f aca="false">INDEX(Vendor_Benford!$M$6:$M$50,MATCH(C318,Vendor_Benford!$A$6:$A$50,0))</f>
        <v>0</v>
      </c>
      <c r="Q318" s="9" t="n">
        <f aca="false">I318*Parameters!$B$28+J318*Parameters!$B$29+K318*Parameters!$B$30+L318*Parameters!$B$31+M318*Parameters!$B$32+N318*Parameters!$B$33+O318*Parameters!$B$34+P318*Parameters!$B$35</f>
        <v>0</v>
      </c>
      <c r="R318" s="0" t="str">
        <f aca="false">IF(Q318&gt;=Parameters!$B$24,"High","")</f>
        <v/>
      </c>
    </row>
    <row r="319" customFormat="false" ht="15" hidden="false" customHeight="false" outlineLevel="0" collapsed="false">
      <c r="A319" s="10" t="s">
        <v>942</v>
      </c>
      <c r="B319" s="8" t="n">
        <v>45849</v>
      </c>
      <c r="C319" s="10" t="s">
        <v>134</v>
      </c>
      <c r="D319" s="10" t="s">
        <v>943</v>
      </c>
      <c r="E319" s="12" t="n">
        <v>2858.19</v>
      </c>
      <c r="F319" s="10" t="s">
        <v>347</v>
      </c>
      <c r="G319" s="9" t="n">
        <f aca="false">VALUE(LEFT(TEXT(E319,"0.00"),1))</f>
        <v>2</v>
      </c>
      <c r="H319" s="0" t="str">
        <f aca="false">UPPER(SUBSTITUTE(SUBSTITUTE(SUBSTITUTE(D319," ",""),"/",""),".",""))</f>
        <v>INV9008</v>
      </c>
      <c r="I319" s="9" t="n">
        <f aca="false">IF(COUNTIFS($C$5:C319,C319,$H$5:H319,H319,$E$5:E319,E319)&gt;1,1,0)</f>
        <v>0</v>
      </c>
      <c r="J319" s="9" t="n">
        <f aca="false">IF(AND(I319=0,COUNTIFS($C$5:$C$634,C319,$E$5:$E$634,E319,$B$5:$B$634,"&gt;="&amp;(B319-Parameters!$B$12),$B$5:$B$634,"&lt;="&amp;(B319+Parameters!$B$12),$H$5:$H$634,"&lt;&gt;"&amp;H319)&gt;0),1,0)</f>
        <v>0</v>
      </c>
      <c r="K319" s="9" t="n">
        <f aca="false">IF(AND(E319&gt;=Parameters!$B$11,ROUND(MOD(ROUND(E319,2),Parameters!$B$10),2)=0),1,0)</f>
        <v>0</v>
      </c>
      <c r="L319" s="9" t="n">
        <f aca="false">IF(AND(E319&lt;Parameters!$B$7,E319&gt;=Parameters!$B$7*(1-Parameters!$B$9)),1,0)</f>
        <v>0</v>
      </c>
      <c r="M319" s="9" t="n">
        <f aca="false">IF(AND(E319&lt;Parameters!$B$7,COUNTIFS($C$5:$C$634,C319,$B$5:$B$634,B319)&gt;1,SUMIFS($E$5:$E$634,$C$5:$C$634,C319,$B$5:$B$634,B319)&gt;=Parameters!$B$7),1,0)</f>
        <v>0</v>
      </c>
      <c r="N319" s="9" t="n">
        <f aca="false">IF(AND(E319&gt;=Parameters!$B$7,F319&lt;&gt;Parameters!$B$8),1,0)</f>
        <v>0</v>
      </c>
      <c r="O319" s="9" t="n">
        <f aca="false">INDEX(Vendor_Benford!$N$6:$N$50,MATCH(C319,Vendor_Benford!$A$6:$A$50,0))</f>
        <v>0</v>
      </c>
      <c r="P319" s="9" t="n">
        <f aca="false">INDEX(Vendor_Benford!$M$6:$M$50,MATCH(C319,Vendor_Benford!$A$6:$A$50,0))</f>
        <v>0</v>
      </c>
      <c r="Q319" s="9" t="n">
        <f aca="false">I319*Parameters!$B$28+J319*Parameters!$B$29+K319*Parameters!$B$30+L319*Parameters!$B$31+M319*Parameters!$B$32+N319*Parameters!$B$33+O319*Parameters!$B$34+P319*Parameters!$B$35</f>
        <v>0</v>
      </c>
      <c r="R319" s="0" t="str">
        <f aca="false">IF(Q319&gt;=Parameters!$B$24,"High","")</f>
        <v/>
      </c>
    </row>
    <row r="320" customFormat="false" ht="15" hidden="false" customHeight="false" outlineLevel="0" collapsed="false">
      <c r="A320" s="10" t="s">
        <v>944</v>
      </c>
      <c r="B320" s="8" t="n">
        <v>45849</v>
      </c>
      <c r="C320" s="10" t="s">
        <v>191</v>
      </c>
      <c r="D320" s="10" t="s">
        <v>945</v>
      </c>
      <c r="E320" s="12" t="n">
        <v>1290.5</v>
      </c>
      <c r="F320" s="10" t="s">
        <v>40</v>
      </c>
      <c r="G320" s="9" t="n">
        <f aca="false">VALUE(LEFT(TEXT(E320,"0.00"),1))</f>
        <v>1</v>
      </c>
      <c r="H320" s="0" t="str">
        <f aca="false">UPPER(SUBSTITUTE(SUBSTITUTE(SUBSTITUTE(D320," ",""),"/",""),".",""))</f>
        <v>INV28005</v>
      </c>
      <c r="I320" s="9" t="n">
        <f aca="false">IF(COUNTIFS($C$5:C320,C320,$H$5:H320,H320,$E$5:E320,E320)&gt;1,1,0)</f>
        <v>0</v>
      </c>
      <c r="J320" s="9" t="n">
        <f aca="false">IF(AND(I320=0,COUNTIFS($C$5:$C$634,C320,$E$5:$E$634,E320,$B$5:$B$634,"&gt;="&amp;(B320-Parameters!$B$12),$B$5:$B$634,"&lt;="&amp;(B320+Parameters!$B$12),$H$5:$H$634,"&lt;&gt;"&amp;H320)&gt;0),1,0)</f>
        <v>0</v>
      </c>
      <c r="K320" s="9" t="n">
        <f aca="false">IF(AND(E320&gt;=Parameters!$B$11,ROUND(MOD(ROUND(E320,2),Parameters!$B$10),2)=0),1,0)</f>
        <v>0</v>
      </c>
      <c r="L320" s="9" t="n">
        <f aca="false">IF(AND(E320&lt;Parameters!$B$7,E320&gt;=Parameters!$B$7*(1-Parameters!$B$9)),1,0)</f>
        <v>0</v>
      </c>
      <c r="M320" s="9" t="n">
        <f aca="false">IF(AND(E320&lt;Parameters!$B$7,COUNTIFS($C$5:$C$634,C320,$B$5:$B$634,B320)&gt;1,SUMIFS($E$5:$E$634,$C$5:$C$634,C320,$B$5:$B$634,B320)&gt;=Parameters!$B$7),1,0)</f>
        <v>1</v>
      </c>
      <c r="N320" s="9" t="n">
        <f aca="false">IF(AND(E320&gt;=Parameters!$B$7,F320&lt;&gt;Parameters!$B$8),1,0)</f>
        <v>0</v>
      </c>
      <c r="O320" s="9" t="n">
        <f aca="false">INDEX(Vendor_Benford!$N$6:$N$50,MATCH(C320,Vendor_Benford!$A$6:$A$50,0))</f>
        <v>0</v>
      </c>
      <c r="P320" s="9" t="n">
        <f aca="false">INDEX(Vendor_Benford!$M$6:$M$50,MATCH(C320,Vendor_Benford!$A$6:$A$50,0))</f>
        <v>0</v>
      </c>
      <c r="Q320" s="9" t="n">
        <f aca="false">I320*Parameters!$B$28+J320*Parameters!$B$29+K320*Parameters!$B$30+L320*Parameters!$B$31+M320*Parameters!$B$32+N320*Parameters!$B$33+O320*Parameters!$B$34+P320*Parameters!$B$35</f>
        <v>3</v>
      </c>
      <c r="R320" s="0" t="str">
        <f aca="false">IF(Q320&gt;=Parameters!$B$24,"High","")</f>
        <v/>
      </c>
    </row>
    <row r="321" customFormat="false" ht="15" hidden="false" customHeight="false" outlineLevel="0" collapsed="false">
      <c r="A321" s="10" t="s">
        <v>946</v>
      </c>
      <c r="B321" s="8" t="n">
        <v>45849</v>
      </c>
      <c r="C321" s="10" t="s">
        <v>191</v>
      </c>
      <c r="D321" s="10" t="s">
        <v>947</v>
      </c>
      <c r="E321" s="12" t="n">
        <v>8686.24</v>
      </c>
      <c r="F321" s="10" t="s">
        <v>40</v>
      </c>
      <c r="G321" s="9" t="n">
        <f aca="false">VALUE(LEFT(TEXT(E321,"0.00"),1))</f>
        <v>8</v>
      </c>
      <c r="H321" s="0" t="str">
        <f aca="false">UPPER(SUBSTITUTE(SUBSTITUTE(SUBSTITUTE(D321," ",""),"/",""),".",""))</f>
        <v>INV28009</v>
      </c>
      <c r="I321" s="9" t="n">
        <f aca="false">IF(COUNTIFS($C$5:C321,C321,$H$5:H321,H321,$E$5:E321,E321)&gt;1,1,0)</f>
        <v>0</v>
      </c>
      <c r="J321" s="9" t="n">
        <f aca="false">IF(AND(I321=0,COUNTIFS($C$5:$C$634,C321,$E$5:$E$634,E321,$B$5:$B$634,"&gt;="&amp;(B321-Parameters!$B$12),$B$5:$B$634,"&lt;="&amp;(B321+Parameters!$B$12),$H$5:$H$634,"&lt;&gt;"&amp;H321)&gt;0),1,0)</f>
        <v>0</v>
      </c>
      <c r="K321" s="9" t="n">
        <f aca="false">IF(AND(E321&gt;=Parameters!$B$11,ROUND(MOD(ROUND(E321,2),Parameters!$B$10),2)=0),1,0)</f>
        <v>0</v>
      </c>
      <c r="L321" s="9" t="n">
        <f aca="false">IF(AND(E321&lt;Parameters!$B$7,E321&gt;=Parameters!$B$7*(1-Parameters!$B$9)),1,0)</f>
        <v>0</v>
      </c>
      <c r="M321" s="9" t="n">
        <f aca="false">IF(AND(E321&lt;Parameters!$B$7,COUNTIFS($C$5:$C$634,C321,$B$5:$B$634,B321)&gt;1,SUMIFS($E$5:$E$634,$C$5:$C$634,C321,$B$5:$B$634,B321)&gt;=Parameters!$B$7),1,0)</f>
        <v>0</v>
      </c>
      <c r="N321" s="9" t="n">
        <f aca="false">IF(AND(E321&gt;=Parameters!$B$7,F321&lt;&gt;Parameters!$B$8),1,0)</f>
        <v>0</v>
      </c>
      <c r="O321" s="9" t="n">
        <f aca="false">INDEX(Vendor_Benford!$N$6:$N$50,MATCH(C321,Vendor_Benford!$A$6:$A$50,0))</f>
        <v>0</v>
      </c>
      <c r="P321" s="9" t="n">
        <f aca="false">INDEX(Vendor_Benford!$M$6:$M$50,MATCH(C321,Vendor_Benford!$A$6:$A$50,0))</f>
        <v>0</v>
      </c>
      <c r="Q321" s="9" t="n">
        <f aca="false">I321*Parameters!$B$28+J321*Parameters!$B$29+K321*Parameters!$B$30+L321*Parameters!$B$31+M321*Parameters!$B$32+N321*Parameters!$B$33+O321*Parameters!$B$34+P321*Parameters!$B$35</f>
        <v>0</v>
      </c>
      <c r="R321" s="0" t="str">
        <f aca="false">IF(Q321&gt;=Parameters!$B$24,"High","")</f>
        <v/>
      </c>
    </row>
    <row r="322" customFormat="false" ht="15" hidden="false" customHeight="false" outlineLevel="0" collapsed="false">
      <c r="A322" s="10" t="s">
        <v>948</v>
      </c>
      <c r="B322" s="8" t="n">
        <v>45852</v>
      </c>
      <c r="C322" s="10" t="s">
        <v>146</v>
      </c>
      <c r="D322" s="10" t="s">
        <v>949</v>
      </c>
      <c r="E322" s="12" t="n">
        <v>1361.6</v>
      </c>
      <c r="F322" s="10" t="s">
        <v>347</v>
      </c>
      <c r="G322" s="9" t="n">
        <f aca="false">VALUE(LEFT(TEXT(E322,"0.00"),1))</f>
        <v>1</v>
      </c>
      <c r="H322" s="0" t="str">
        <f aca="false">UPPER(SUBSTITUTE(SUBSTITUTE(SUBSTITUTE(D322," ",""),"/",""),".",""))</f>
        <v>INV13012</v>
      </c>
      <c r="I322" s="9" t="n">
        <f aca="false">IF(COUNTIFS($C$5:C322,C322,$H$5:H322,H322,$E$5:E322,E322)&gt;1,1,0)</f>
        <v>0</v>
      </c>
      <c r="J322" s="9" t="n">
        <f aca="false">IF(AND(I322=0,COUNTIFS($C$5:$C$634,C322,$E$5:$E$634,E322,$B$5:$B$634,"&gt;="&amp;(B322-Parameters!$B$12),$B$5:$B$634,"&lt;="&amp;(B322+Parameters!$B$12),$H$5:$H$634,"&lt;&gt;"&amp;H322)&gt;0),1,0)</f>
        <v>0</v>
      </c>
      <c r="K322" s="9" t="n">
        <f aca="false">IF(AND(E322&gt;=Parameters!$B$11,ROUND(MOD(ROUND(E322,2),Parameters!$B$10),2)=0),1,0)</f>
        <v>0</v>
      </c>
      <c r="L322" s="9" t="n">
        <f aca="false">IF(AND(E322&lt;Parameters!$B$7,E322&gt;=Parameters!$B$7*(1-Parameters!$B$9)),1,0)</f>
        <v>0</v>
      </c>
      <c r="M322" s="9" t="n">
        <f aca="false">IF(AND(E322&lt;Parameters!$B$7,COUNTIFS($C$5:$C$634,C322,$B$5:$B$634,B322)&gt;1,SUMIFS($E$5:$E$634,$C$5:$C$634,C322,$B$5:$B$634,B322)&gt;=Parameters!$B$7),1,0)</f>
        <v>0</v>
      </c>
      <c r="N322" s="9" t="n">
        <f aca="false">IF(AND(E322&gt;=Parameters!$B$7,F322&lt;&gt;Parameters!$B$8),1,0)</f>
        <v>0</v>
      </c>
      <c r="O322" s="9" t="n">
        <f aca="false">INDEX(Vendor_Benford!$N$6:$N$50,MATCH(C322,Vendor_Benford!$A$6:$A$50,0))</f>
        <v>0</v>
      </c>
      <c r="P322" s="9" t="n">
        <f aca="false">INDEX(Vendor_Benford!$M$6:$M$50,MATCH(C322,Vendor_Benford!$A$6:$A$50,0))</f>
        <v>0</v>
      </c>
      <c r="Q322" s="9" t="n">
        <f aca="false">I322*Parameters!$B$28+J322*Parameters!$B$29+K322*Parameters!$B$30+L322*Parameters!$B$31+M322*Parameters!$B$32+N322*Parameters!$B$33+O322*Parameters!$B$34+P322*Parameters!$B$35</f>
        <v>0</v>
      </c>
      <c r="R322" s="0" t="str">
        <f aca="false">IF(Q322&gt;=Parameters!$B$24,"High","")</f>
        <v/>
      </c>
    </row>
    <row r="323" customFormat="false" ht="15" hidden="false" customHeight="false" outlineLevel="0" collapsed="false">
      <c r="A323" s="10" t="s">
        <v>950</v>
      </c>
      <c r="B323" s="8" t="n">
        <v>45852</v>
      </c>
      <c r="C323" s="10" t="s">
        <v>200</v>
      </c>
      <c r="D323" s="10" t="s">
        <v>951</v>
      </c>
      <c r="E323" s="12" t="n">
        <v>4700.09</v>
      </c>
      <c r="F323" s="10" t="s">
        <v>347</v>
      </c>
      <c r="G323" s="9" t="n">
        <f aca="false">VALUE(LEFT(TEXT(E323,"0.00"),1))</f>
        <v>4</v>
      </c>
      <c r="H323" s="0" t="str">
        <f aca="false">UPPER(SUBSTITUTE(SUBSTITUTE(SUBSTITUTE(D323," ",""),"/",""),".",""))</f>
        <v>INV31038</v>
      </c>
      <c r="I323" s="9" t="n">
        <f aca="false">IF(COUNTIFS($C$5:C323,C323,$H$5:H323,H323,$E$5:E323,E323)&gt;1,1,0)</f>
        <v>0</v>
      </c>
      <c r="J323" s="9" t="n">
        <f aca="false">IF(AND(I323=0,COUNTIFS($C$5:$C$634,C323,$E$5:$E$634,E323,$B$5:$B$634,"&gt;="&amp;(B323-Parameters!$B$12),$B$5:$B$634,"&lt;="&amp;(B323+Parameters!$B$12),$H$5:$H$634,"&lt;&gt;"&amp;H323)&gt;0),1,0)</f>
        <v>0</v>
      </c>
      <c r="K323" s="9" t="n">
        <f aca="false">IF(AND(E323&gt;=Parameters!$B$11,ROUND(MOD(ROUND(E323,2),Parameters!$B$10),2)=0),1,0)</f>
        <v>0</v>
      </c>
      <c r="L323" s="9" t="n">
        <f aca="false">IF(AND(E323&lt;Parameters!$B$7,E323&gt;=Parameters!$B$7*(1-Parameters!$B$9)),1,0)</f>
        <v>0</v>
      </c>
      <c r="M323" s="9" t="n">
        <f aca="false">IF(AND(E323&lt;Parameters!$B$7,COUNTIFS($C$5:$C$634,C323,$B$5:$B$634,B323)&gt;1,SUMIFS($E$5:$E$634,$C$5:$C$634,C323,$B$5:$B$634,B323)&gt;=Parameters!$B$7),1,0)</f>
        <v>0</v>
      </c>
      <c r="N323" s="9" t="n">
        <f aca="false">IF(AND(E323&gt;=Parameters!$B$7,F323&lt;&gt;Parameters!$B$8),1,0)</f>
        <v>0</v>
      </c>
      <c r="O323" s="9" t="n">
        <f aca="false">INDEX(Vendor_Benford!$N$6:$N$50,MATCH(C323,Vendor_Benford!$A$6:$A$50,0))</f>
        <v>0</v>
      </c>
      <c r="P323" s="9" t="n">
        <f aca="false">INDEX(Vendor_Benford!$M$6:$M$50,MATCH(C323,Vendor_Benford!$A$6:$A$50,0))</f>
        <v>1</v>
      </c>
      <c r="Q323" s="9" t="n">
        <f aca="false">I323*Parameters!$B$28+J323*Parameters!$B$29+K323*Parameters!$B$30+L323*Parameters!$B$31+M323*Parameters!$B$32+N323*Parameters!$B$33+O323*Parameters!$B$34+P323*Parameters!$B$35</f>
        <v>2</v>
      </c>
      <c r="R323" s="0" t="str">
        <f aca="false">IF(Q323&gt;=Parameters!$B$24,"High","")</f>
        <v/>
      </c>
    </row>
    <row r="324" customFormat="false" ht="15" hidden="false" customHeight="false" outlineLevel="0" collapsed="false">
      <c r="A324" s="10" t="s">
        <v>952</v>
      </c>
      <c r="B324" s="8" t="n">
        <v>45853</v>
      </c>
      <c r="C324" s="10" t="s">
        <v>224</v>
      </c>
      <c r="D324" s="10" t="s">
        <v>953</v>
      </c>
      <c r="E324" s="12" t="n">
        <v>4605.32</v>
      </c>
      <c r="F324" s="10" t="s">
        <v>347</v>
      </c>
      <c r="G324" s="9" t="n">
        <f aca="false">VALUE(LEFT(TEXT(E324,"0.00"),1))</f>
        <v>4</v>
      </c>
      <c r="H324" s="0" t="str">
        <f aca="false">UPPER(SUBSTITUTE(SUBSTITUTE(SUBSTITUTE(D324," ",""),"/",""),".",""))</f>
        <v>INV39014</v>
      </c>
      <c r="I324" s="9" t="n">
        <f aca="false">IF(COUNTIFS($C$5:C324,C324,$H$5:H324,H324,$E$5:E324,E324)&gt;1,1,0)</f>
        <v>0</v>
      </c>
      <c r="J324" s="9" t="n">
        <f aca="false">IF(AND(I324=0,COUNTIFS($C$5:$C$634,C324,$E$5:$E$634,E324,$B$5:$B$634,"&gt;="&amp;(B324-Parameters!$B$12),$B$5:$B$634,"&lt;="&amp;(B324+Parameters!$B$12),$H$5:$H$634,"&lt;&gt;"&amp;H324)&gt;0),1,0)</f>
        <v>0</v>
      </c>
      <c r="K324" s="9" t="n">
        <f aca="false">IF(AND(E324&gt;=Parameters!$B$11,ROUND(MOD(ROUND(E324,2),Parameters!$B$10),2)=0),1,0)</f>
        <v>0</v>
      </c>
      <c r="L324" s="9" t="n">
        <f aca="false">IF(AND(E324&lt;Parameters!$B$7,E324&gt;=Parameters!$B$7*(1-Parameters!$B$9)),1,0)</f>
        <v>0</v>
      </c>
      <c r="M324" s="9" t="n">
        <f aca="false">IF(AND(E324&lt;Parameters!$B$7,COUNTIFS($C$5:$C$634,C324,$B$5:$B$634,B324)&gt;1,SUMIFS($E$5:$E$634,$C$5:$C$634,C324,$B$5:$B$634,B324)&gt;=Parameters!$B$7),1,0)</f>
        <v>0</v>
      </c>
      <c r="N324" s="9" t="n">
        <f aca="false">IF(AND(E324&gt;=Parameters!$B$7,F324&lt;&gt;Parameters!$B$8),1,0)</f>
        <v>0</v>
      </c>
      <c r="O324" s="9" t="n">
        <f aca="false">INDEX(Vendor_Benford!$N$6:$N$50,MATCH(C324,Vendor_Benford!$A$6:$A$50,0))</f>
        <v>0</v>
      </c>
      <c r="P324" s="9" t="n">
        <f aca="false">INDEX(Vendor_Benford!$M$6:$M$50,MATCH(C324,Vendor_Benford!$A$6:$A$50,0))</f>
        <v>0</v>
      </c>
      <c r="Q324" s="9" t="n">
        <f aca="false">I324*Parameters!$B$28+J324*Parameters!$B$29+K324*Parameters!$B$30+L324*Parameters!$B$31+M324*Parameters!$B$32+N324*Parameters!$B$33+O324*Parameters!$B$34+P324*Parameters!$B$35</f>
        <v>0</v>
      </c>
      <c r="R324" s="0" t="str">
        <f aca="false">IF(Q324&gt;=Parameters!$B$24,"High","")</f>
        <v/>
      </c>
    </row>
    <row r="325" customFormat="false" ht="15" hidden="false" customHeight="false" outlineLevel="0" collapsed="false">
      <c r="A325" s="10" t="s">
        <v>954</v>
      </c>
      <c r="B325" s="8" t="n">
        <v>45854</v>
      </c>
      <c r="C325" s="10" t="s">
        <v>152</v>
      </c>
      <c r="D325" s="10" t="s">
        <v>955</v>
      </c>
      <c r="E325" s="12" t="n">
        <v>28697.67</v>
      </c>
      <c r="F325" s="10" t="s">
        <v>40</v>
      </c>
      <c r="G325" s="9" t="n">
        <f aca="false">VALUE(LEFT(TEXT(E325,"0.00"),1))</f>
        <v>2</v>
      </c>
      <c r="H325" s="0" t="str">
        <f aca="false">UPPER(SUBSTITUTE(SUBSTITUTE(SUBSTITUTE(D325," ",""),"/",""),".",""))</f>
        <v>INV15019</v>
      </c>
      <c r="I325" s="9" t="n">
        <f aca="false">IF(COUNTIFS($C$5:C325,C325,$H$5:H325,H325,$E$5:E325,E325)&gt;1,1,0)</f>
        <v>0</v>
      </c>
      <c r="J325" s="9" t="n">
        <f aca="false">IF(AND(I325=0,COUNTIFS($C$5:$C$634,C325,$E$5:$E$634,E325,$B$5:$B$634,"&gt;="&amp;(B325-Parameters!$B$12),$B$5:$B$634,"&lt;="&amp;(B325+Parameters!$B$12),$H$5:$H$634,"&lt;&gt;"&amp;H325)&gt;0),1,0)</f>
        <v>0</v>
      </c>
      <c r="K325" s="9" t="n">
        <f aca="false">IF(AND(E325&gt;=Parameters!$B$11,ROUND(MOD(ROUND(E325,2),Parameters!$B$10),2)=0),1,0)</f>
        <v>0</v>
      </c>
      <c r="L325" s="9" t="n">
        <f aca="false">IF(AND(E325&lt;Parameters!$B$7,E325&gt;=Parameters!$B$7*(1-Parameters!$B$9)),1,0)</f>
        <v>0</v>
      </c>
      <c r="M325" s="9" t="n">
        <f aca="false">IF(AND(E325&lt;Parameters!$B$7,COUNTIFS($C$5:$C$634,C325,$B$5:$B$634,B325)&gt;1,SUMIFS($E$5:$E$634,$C$5:$C$634,C325,$B$5:$B$634,B325)&gt;=Parameters!$B$7),1,0)</f>
        <v>0</v>
      </c>
      <c r="N325" s="9" t="n">
        <f aca="false">IF(AND(E325&gt;=Parameters!$B$7,F325&lt;&gt;Parameters!$B$8),1,0)</f>
        <v>0</v>
      </c>
      <c r="O325" s="9" t="n">
        <f aca="false">INDEX(Vendor_Benford!$N$6:$N$50,MATCH(C325,Vendor_Benford!$A$6:$A$50,0))</f>
        <v>0</v>
      </c>
      <c r="P325" s="9" t="n">
        <f aca="false">INDEX(Vendor_Benford!$M$6:$M$50,MATCH(C325,Vendor_Benford!$A$6:$A$50,0))</f>
        <v>0</v>
      </c>
      <c r="Q325" s="9" t="n">
        <f aca="false">I325*Parameters!$B$28+J325*Parameters!$B$29+K325*Parameters!$B$30+L325*Parameters!$B$31+M325*Parameters!$B$32+N325*Parameters!$B$33+O325*Parameters!$B$34+P325*Parameters!$B$35</f>
        <v>0</v>
      </c>
      <c r="R325" s="0" t="str">
        <f aca="false">IF(Q325&gt;=Parameters!$B$24,"High","")</f>
        <v/>
      </c>
    </row>
    <row r="326" customFormat="false" ht="15" hidden="false" customHeight="false" outlineLevel="0" collapsed="false">
      <c r="A326" s="10" t="s">
        <v>956</v>
      </c>
      <c r="B326" s="8" t="n">
        <v>45855</v>
      </c>
      <c r="C326" s="10" t="s">
        <v>134</v>
      </c>
      <c r="D326" s="10" t="s">
        <v>957</v>
      </c>
      <c r="E326" s="12" t="n">
        <v>18093.3</v>
      </c>
      <c r="F326" s="10" t="s">
        <v>40</v>
      </c>
      <c r="G326" s="9" t="n">
        <f aca="false">VALUE(LEFT(TEXT(E326,"0.00"),1))</f>
        <v>1</v>
      </c>
      <c r="H326" s="0" t="str">
        <f aca="false">UPPER(SUBSTITUTE(SUBSTITUTE(SUBSTITUTE(D326," ",""),"/",""),".",""))</f>
        <v>INV9022</v>
      </c>
      <c r="I326" s="9" t="n">
        <f aca="false">IF(COUNTIFS($C$5:C326,C326,$H$5:H326,H326,$E$5:E326,E326)&gt;1,1,0)</f>
        <v>0</v>
      </c>
      <c r="J326" s="9" t="n">
        <f aca="false">IF(AND(I326=0,COUNTIFS($C$5:$C$634,C326,$E$5:$E$634,E326,$B$5:$B$634,"&gt;="&amp;(B326-Parameters!$B$12),$B$5:$B$634,"&lt;="&amp;(B326+Parameters!$B$12),$H$5:$H$634,"&lt;&gt;"&amp;H326)&gt;0),1,0)</f>
        <v>0</v>
      </c>
      <c r="K326" s="9" t="n">
        <f aca="false">IF(AND(E326&gt;=Parameters!$B$11,ROUND(MOD(ROUND(E326,2),Parameters!$B$10),2)=0),1,0)</f>
        <v>0</v>
      </c>
      <c r="L326" s="9" t="n">
        <f aca="false">IF(AND(E326&lt;Parameters!$B$7,E326&gt;=Parameters!$B$7*(1-Parameters!$B$9)),1,0)</f>
        <v>0</v>
      </c>
      <c r="M326" s="9" t="n">
        <f aca="false">IF(AND(E326&lt;Parameters!$B$7,COUNTIFS($C$5:$C$634,C326,$B$5:$B$634,B326)&gt;1,SUMIFS($E$5:$E$634,$C$5:$C$634,C326,$B$5:$B$634,B326)&gt;=Parameters!$B$7),1,0)</f>
        <v>0</v>
      </c>
      <c r="N326" s="9" t="n">
        <f aca="false">IF(AND(E326&gt;=Parameters!$B$7,F326&lt;&gt;Parameters!$B$8),1,0)</f>
        <v>0</v>
      </c>
      <c r="O326" s="9" t="n">
        <f aca="false">INDEX(Vendor_Benford!$N$6:$N$50,MATCH(C326,Vendor_Benford!$A$6:$A$50,0))</f>
        <v>0</v>
      </c>
      <c r="P326" s="9" t="n">
        <f aca="false">INDEX(Vendor_Benford!$M$6:$M$50,MATCH(C326,Vendor_Benford!$A$6:$A$50,0))</f>
        <v>0</v>
      </c>
      <c r="Q326" s="9" t="n">
        <f aca="false">I326*Parameters!$B$28+J326*Parameters!$B$29+K326*Parameters!$B$30+L326*Parameters!$B$31+M326*Parameters!$B$32+N326*Parameters!$B$33+O326*Parameters!$B$34+P326*Parameters!$B$35</f>
        <v>0</v>
      </c>
      <c r="R326" s="0" t="str">
        <f aca="false">IF(Q326&gt;=Parameters!$B$24,"High","")</f>
        <v/>
      </c>
    </row>
    <row r="327" customFormat="false" ht="15" hidden="false" customHeight="false" outlineLevel="0" collapsed="false">
      <c r="A327" s="10" t="s">
        <v>958</v>
      </c>
      <c r="B327" s="8" t="n">
        <v>45855</v>
      </c>
      <c r="C327" s="10" t="s">
        <v>197</v>
      </c>
      <c r="D327" s="10" t="s">
        <v>959</v>
      </c>
      <c r="E327" s="12" t="n">
        <v>50330.07</v>
      </c>
      <c r="F327" s="10" t="s">
        <v>40</v>
      </c>
      <c r="G327" s="9" t="n">
        <f aca="false">VALUE(LEFT(TEXT(E327,"0.00"),1))</f>
        <v>5</v>
      </c>
      <c r="H327" s="0" t="str">
        <f aca="false">UPPER(SUBSTITUTE(SUBSTITUTE(SUBSTITUTE(D327," ",""),"/",""),".",""))</f>
        <v>INV30001</v>
      </c>
      <c r="I327" s="9" t="n">
        <f aca="false">IF(COUNTIFS($C$5:C327,C327,$H$5:H327,H327,$E$5:E327,E327)&gt;1,1,0)</f>
        <v>0</v>
      </c>
      <c r="J327" s="9" t="n">
        <f aca="false">IF(AND(I327=0,COUNTIFS($C$5:$C$634,C327,$E$5:$E$634,E327,$B$5:$B$634,"&gt;="&amp;(B327-Parameters!$B$12),$B$5:$B$634,"&lt;="&amp;(B327+Parameters!$B$12),$H$5:$H$634,"&lt;&gt;"&amp;H327)&gt;0),1,0)</f>
        <v>0</v>
      </c>
      <c r="K327" s="9" t="n">
        <f aca="false">IF(AND(E327&gt;=Parameters!$B$11,ROUND(MOD(ROUND(E327,2),Parameters!$B$10),2)=0),1,0)</f>
        <v>0</v>
      </c>
      <c r="L327" s="9" t="n">
        <f aca="false">IF(AND(E327&lt;Parameters!$B$7,E327&gt;=Parameters!$B$7*(1-Parameters!$B$9)),1,0)</f>
        <v>0</v>
      </c>
      <c r="M327" s="9" t="n">
        <f aca="false">IF(AND(E327&lt;Parameters!$B$7,COUNTIFS($C$5:$C$634,C327,$B$5:$B$634,B327)&gt;1,SUMIFS($E$5:$E$634,$C$5:$C$634,C327,$B$5:$B$634,B327)&gt;=Parameters!$B$7),1,0)</f>
        <v>0</v>
      </c>
      <c r="N327" s="9" t="n">
        <f aca="false">IF(AND(E327&gt;=Parameters!$B$7,F327&lt;&gt;Parameters!$B$8),1,0)</f>
        <v>0</v>
      </c>
      <c r="O327" s="9" t="n">
        <f aca="false">INDEX(Vendor_Benford!$N$6:$N$50,MATCH(C327,Vendor_Benford!$A$6:$A$50,0))</f>
        <v>0</v>
      </c>
      <c r="P327" s="9" t="n">
        <f aca="false">INDEX(Vendor_Benford!$M$6:$M$50,MATCH(C327,Vendor_Benford!$A$6:$A$50,0))</f>
        <v>0</v>
      </c>
      <c r="Q327" s="9" t="n">
        <f aca="false">I327*Parameters!$B$28+J327*Parameters!$B$29+K327*Parameters!$B$30+L327*Parameters!$B$31+M327*Parameters!$B$32+N327*Parameters!$B$33+O327*Parameters!$B$34+P327*Parameters!$B$35</f>
        <v>0</v>
      </c>
      <c r="R327" s="0" t="str">
        <f aca="false">IF(Q327&gt;=Parameters!$B$24,"High","")</f>
        <v/>
      </c>
    </row>
    <row r="328" customFormat="false" ht="15" hidden="false" customHeight="false" outlineLevel="0" collapsed="false">
      <c r="A328" s="10" t="s">
        <v>960</v>
      </c>
      <c r="B328" s="8" t="n">
        <v>45856</v>
      </c>
      <c r="C328" s="10" t="s">
        <v>113</v>
      </c>
      <c r="D328" s="10" t="s">
        <v>961</v>
      </c>
      <c r="E328" s="12" t="n">
        <v>4900</v>
      </c>
      <c r="F328" s="10" t="s">
        <v>347</v>
      </c>
      <c r="G328" s="9" t="n">
        <f aca="false">VALUE(LEFT(TEXT(E328,"0.00"),1))</f>
        <v>4</v>
      </c>
      <c r="H328" s="0" t="str">
        <f aca="false">UPPER(SUBSTITUTE(SUBSTITUTE(SUBSTITUTE(D328," ",""),"/",""),".",""))</f>
        <v>LIC2507</v>
      </c>
      <c r="I328" s="9" t="n">
        <f aca="false">IF(COUNTIFS($C$5:C328,C328,$H$5:H328,H328,$E$5:E328,E328)&gt;1,1,0)</f>
        <v>0</v>
      </c>
      <c r="J328" s="9" t="n">
        <f aca="false">IF(AND(I328=0,COUNTIFS($C$5:$C$634,C328,$E$5:$E$634,E328,$B$5:$B$634,"&gt;="&amp;(B328-Parameters!$B$12),$B$5:$B$634,"&lt;="&amp;(B328+Parameters!$B$12),$H$5:$H$634,"&lt;&gt;"&amp;H328)&gt;0),1,0)</f>
        <v>0</v>
      </c>
      <c r="K328" s="9" t="n">
        <f aca="false">IF(AND(E328&gt;=Parameters!$B$11,ROUND(MOD(ROUND(E328,2),Parameters!$B$10),2)=0),1,0)</f>
        <v>0</v>
      </c>
      <c r="L328" s="9" t="n">
        <f aca="false">IF(AND(E328&lt;Parameters!$B$7,E328&gt;=Parameters!$B$7*(1-Parameters!$B$9)),1,0)</f>
        <v>1</v>
      </c>
      <c r="M328" s="9" t="n">
        <f aca="false">IF(AND(E328&lt;Parameters!$B$7,COUNTIFS($C$5:$C$634,C328,$B$5:$B$634,B328)&gt;1,SUMIFS($E$5:$E$634,$C$5:$C$634,C328,$B$5:$B$634,B328)&gt;=Parameters!$B$7),1,0)</f>
        <v>0</v>
      </c>
      <c r="N328" s="9" t="n">
        <f aca="false">IF(AND(E328&gt;=Parameters!$B$7,F328&lt;&gt;Parameters!$B$8),1,0)</f>
        <v>0</v>
      </c>
      <c r="O328" s="9" t="n">
        <f aca="false">INDEX(Vendor_Benford!$N$6:$N$50,MATCH(C328,Vendor_Benford!$A$6:$A$50,0))</f>
        <v>0</v>
      </c>
      <c r="P328" s="9" t="n">
        <f aca="false">INDEX(Vendor_Benford!$M$6:$M$50,MATCH(C328,Vendor_Benford!$A$6:$A$50,0))</f>
        <v>0</v>
      </c>
      <c r="Q328" s="9" t="n">
        <f aca="false">I328*Parameters!$B$28+J328*Parameters!$B$29+K328*Parameters!$B$30+L328*Parameters!$B$31+M328*Parameters!$B$32+N328*Parameters!$B$33+O328*Parameters!$B$34+P328*Parameters!$B$35</f>
        <v>2</v>
      </c>
      <c r="R328" s="0" t="str">
        <f aca="false">IF(Q328&gt;=Parameters!$B$24,"High","")</f>
        <v/>
      </c>
    </row>
    <row r="329" customFormat="false" ht="15" hidden="false" customHeight="false" outlineLevel="0" collapsed="false">
      <c r="A329" s="10" t="s">
        <v>962</v>
      </c>
      <c r="B329" s="8" t="n">
        <v>45856</v>
      </c>
      <c r="C329" s="10" t="s">
        <v>212</v>
      </c>
      <c r="D329" s="10" t="s">
        <v>963</v>
      </c>
      <c r="E329" s="12" t="n">
        <v>126.97</v>
      </c>
      <c r="F329" s="10" t="s">
        <v>347</v>
      </c>
      <c r="G329" s="9" t="n">
        <f aca="false">VALUE(LEFT(TEXT(E329,"0.00"),1))</f>
        <v>1</v>
      </c>
      <c r="H329" s="0" t="str">
        <f aca="false">UPPER(SUBSTITUTE(SUBSTITUTE(SUBSTITUTE(D329," ",""),"/",""),".",""))</f>
        <v>INV35014</v>
      </c>
      <c r="I329" s="9" t="n">
        <f aca="false">IF(COUNTIFS($C$5:C329,C329,$H$5:H329,H329,$E$5:E329,E329)&gt;1,1,0)</f>
        <v>0</v>
      </c>
      <c r="J329" s="9" t="n">
        <f aca="false">IF(AND(I329=0,COUNTIFS($C$5:$C$634,C329,$E$5:$E$634,E329,$B$5:$B$634,"&gt;="&amp;(B329-Parameters!$B$12),$B$5:$B$634,"&lt;="&amp;(B329+Parameters!$B$12),$H$5:$H$634,"&lt;&gt;"&amp;H329)&gt;0),1,0)</f>
        <v>0</v>
      </c>
      <c r="K329" s="9" t="n">
        <f aca="false">IF(AND(E329&gt;=Parameters!$B$11,ROUND(MOD(ROUND(E329,2),Parameters!$B$10),2)=0),1,0)</f>
        <v>0</v>
      </c>
      <c r="L329" s="9" t="n">
        <f aca="false">IF(AND(E329&lt;Parameters!$B$7,E329&gt;=Parameters!$B$7*(1-Parameters!$B$9)),1,0)</f>
        <v>0</v>
      </c>
      <c r="M329" s="9" t="n">
        <f aca="false">IF(AND(E329&lt;Parameters!$B$7,COUNTIFS($C$5:$C$634,C329,$B$5:$B$634,B329)&gt;1,SUMIFS($E$5:$E$634,$C$5:$C$634,C329,$B$5:$B$634,B329)&gt;=Parameters!$B$7),1,0)</f>
        <v>0</v>
      </c>
      <c r="N329" s="9" t="n">
        <f aca="false">IF(AND(E329&gt;=Parameters!$B$7,F329&lt;&gt;Parameters!$B$8),1,0)</f>
        <v>0</v>
      </c>
      <c r="O329" s="9" t="n">
        <f aca="false">INDEX(Vendor_Benford!$N$6:$N$50,MATCH(C329,Vendor_Benford!$A$6:$A$50,0))</f>
        <v>0</v>
      </c>
      <c r="P329" s="9" t="n">
        <f aca="false">INDEX(Vendor_Benford!$M$6:$M$50,MATCH(C329,Vendor_Benford!$A$6:$A$50,0))</f>
        <v>0</v>
      </c>
      <c r="Q329" s="9" t="n">
        <f aca="false">I329*Parameters!$B$28+J329*Parameters!$B$29+K329*Parameters!$B$30+L329*Parameters!$B$31+M329*Parameters!$B$32+N329*Parameters!$B$33+O329*Parameters!$B$34+P329*Parameters!$B$35</f>
        <v>0</v>
      </c>
      <c r="R329" s="0" t="str">
        <f aca="false">IF(Q329&gt;=Parameters!$B$24,"High","")</f>
        <v/>
      </c>
    </row>
    <row r="330" customFormat="false" ht="15" hidden="false" customHeight="false" outlineLevel="0" collapsed="false">
      <c r="A330" s="10" t="s">
        <v>964</v>
      </c>
      <c r="B330" s="8" t="n">
        <v>45859</v>
      </c>
      <c r="C330" s="10" t="s">
        <v>146</v>
      </c>
      <c r="D330" s="10" t="s">
        <v>965</v>
      </c>
      <c r="E330" s="12" t="n">
        <v>1187.73</v>
      </c>
      <c r="F330" s="10" t="s">
        <v>347</v>
      </c>
      <c r="G330" s="9" t="n">
        <f aca="false">VALUE(LEFT(TEXT(E330,"0.00"),1))</f>
        <v>1</v>
      </c>
      <c r="H330" s="0" t="str">
        <f aca="false">UPPER(SUBSTITUTE(SUBSTITUTE(SUBSTITUTE(D330," ",""),"/",""),".",""))</f>
        <v>INV13006</v>
      </c>
      <c r="I330" s="9" t="n">
        <f aca="false">IF(COUNTIFS($C$5:C330,C330,$H$5:H330,H330,$E$5:E330,E330)&gt;1,1,0)</f>
        <v>0</v>
      </c>
      <c r="J330" s="9" t="n">
        <f aca="false">IF(AND(I330=0,COUNTIFS($C$5:$C$634,C330,$E$5:$E$634,E330,$B$5:$B$634,"&gt;="&amp;(B330-Parameters!$B$12),$B$5:$B$634,"&lt;="&amp;(B330+Parameters!$B$12),$H$5:$H$634,"&lt;&gt;"&amp;H330)&gt;0),1,0)</f>
        <v>0</v>
      </c>
      <c r="K330" s="9" t="n">
        <f aca="false">IF(AND(E330&gt;=Parameters!$B$11,ROUND(MOD(ROUND(E330,2),Parameters!$B$10),2)=0),1,0)</f>
        <v>0</v>
      </c>
      <c r="L330" s="9" t="n">
        <f aca="false">IF(AND(E330&lt;Parameters!$B$7,E330&gt;=Parameters!$B$7*(1-Parameters!$B$9)),1,0)</f>
        <v>0</v>
      </c>
      <c r="M330" s="9" t="n">
        <f aca="false">IF(AND(E330&lt;Parameters!$B$7,COUNTIFS($C$5:$C$634,C330,$B$5:$B$634,B330)&gt;1,SUMIFS($E$5:$E$634,$C$5:$C$634,C330,$B$5:$B$634,B330)&gt;=Parameters!$B$7),1,0)</f>
        <v>0</v>
      </c>
      <c r="N330" s="9" t="n">
        <f aca="false">IF(AND(E330&gt;=Parameters!$B$7,F330&lt;&gt;Parameters!$B$8),1,0)</f>
        <v>0</v>
      </c>
      <c r="O330" s="9" t="n">
        <f aca="false">INDEX(Vendor_Benford!$N$6:$N$50,MATCH(C330,Vendor_Benford!$A$6:$A$50,0))</f>
        <v>0</v>
      </c>
      <c r="P330" s="9" t="n">
        <f aca="false">INDEX(Vendor_Benford!$M$6:$M$50,MATCH(C330,Vendor_Benford!$A$6:$A$50,0))</f>
        <v>0</v>
      </c>
      <c r="Q330" s="9" t="n">
        <f aca="false">I330*Parameters!$B$28+J330*Parameters!$B$29+K330*Parameters!$B$30+L330*Parameters!$B$31+M330*Parameters!$B$32+N330*Parameters!$B$33+O330*Parameters!$B$34+P330*Parameters!$B$35</f>
        <v>0</v>
      </c>
      <c r="R330" s="0" t="str">
        <f aca="false">IF(Q330&gt;=Parameters!$B$24,"High","")</f>
        <v/>
      </c>
    </row>
    <row r="331" customFormat="false" ht="15" hidden="false" customHeight="false" outlineLevel="0" collapsed="false">
      <c r="A331" s="10" t="s">
        <v>966</v>
      </c>
      <c r="B331" s="8" t="n">
        <v>45859</v>
      </c>
      <c r="C331" s="10" t="s">
        <v>218</v>
      </c>
      <c r="D331" s="10" t="s">
        <v>967</v>
      </c>
      <c r="E331" s="12" t="n">
        <v>13132.79</v>
      </c>
      <c r="F331" s="10" t="s">
        <v>40</v>
      </c>
      <c r="G331" s="9" t="n">
        <f aca="false">VALUE(LEFT(TEXT(E331,"0.00"),1))</f>
        <v>1</v>
      </c>
      <c r="H331" s="0" t="str">
        <f aca="false">UPPER(SUBSTITUTE(SUBSTITUTE(SUBSTITUTE(D331," ",""),"/",""),".",""))</f>
        <v>INV37015</v>
      </c>
      <c r="I331" s="9" t="n">
        <f aca="false">IF(COUNTIFS($C$5:C331,C331,$H$5:H331,H331,$E$5:E331,E331)&gt;1,1,0)</f>
        <v>0</v>
      </c>
      <c r="J331" s="9" t="n">
        <f aca="false">IF(AND(I331=0,COUNTIFS($C$5:$C$634,C331,$E$5:$E$634,E331,$B$5:$B$634,"&gt;="&amp;(B331-Parameters!$B$12),$B$5:$B$634,"&lt;="&amp;(B331+Parameters!$B$12),$H$5:$H$634,"&lt;&gt;"&amp;H331)&gt;0),1,0)</f>
        <v>0</v>
      </c>
      <c r="K331" s="9" t="n">
        <f aca="false">IF(AND(E331&gt;=Parameters!$B$11,ROUND(MOD(ROUND(E331,2),Parameters!$B$10),2)=0),1,0)</f>
        <v>0</v>
      </c>
      <c r="L331" s="9" t="n">
        <f aca="false">IF(AND(E331&lt;Parameters!$B$7,E331&gt;=Parameters!$B$7*(1-Parameters!$B$9)),1,0)</f>
        <v>0</v>
      </c>
      <c r="M331" s="9" t="n">
        <f aca="false">IF(AND(E331&lt;Parameters!$B$7,COUNTIFS($C$5:$C$634,C331,$B$5:$B$634,B331)&gt;1,SUMIFS($E$5:$E$634,$C$5:$C$634,C331,$B$5:$B$634,B331)&gt;=Parameters!$B$7),1,0)</f>
        <v>0</v>
      </c>
      <c r="N331" s="9" t="n">
        <f aca="false">IF(AND(E331&gt;=Parameters!$B$7,F331&lt;&gt;Parameters!$B$8),1,0)</f>
        <v>0</v>
      </c>
      <c r="O331" s="9" t="n">
        <f aca="false">INDEX(Vendor_Benford!$N$6:$N$50,MATCH(C331,Vendor_Benford!$A$6:$A$50,0))</f>
        <v>0</v>
      </c>
      <c r="P331" s="9" t="n">
        <f aca="false">INDEX(Vendor_Benford!$M$6:$M$50,MATCH(C331,Vendor_Benford!$A$6:$A$50,0))</f>
        <v>0</v>
      </c>
      <c r="Q331" s="9" t="n">
        <f aca="false">I331*Parameters!$B$28+J331*Parameters!$B$29+K331*Parameters!$B$30+L331*Parameters!$B$31+M331*Parameters!$B$32+N331*Parameters!$B$33+O331*Parameters!$B$34+P331*Parameters!$B$35</f>
        <v>0</v>
      </c>
      <c r="R331" s="0" t="str">
        <f aca="false">IF(Q331&gt;=Parameters!$B$24,"High","")</f>
        <v/>
      </c>
    </row>
    <row r="332" customFormat="false" ht="15" hidden="false" customHeight="false" outlineLevel="0" collapsed="false">
      <c r="A332" s="10" t="s">
        <v>968</v>
      </c>
      <c r="B332" s="8" t="n">
        <v>45861</v>
      </c>
      <c r="C332" s="10" t="s">
        <v>161</v>
      </c>
      <c r="D332" s="10" t="s">
        <v>969</v>
      </c>
      <c r="E332" s="12" t="n">
        <v>76197.92</v>
      </c>
      <c r="F332" s="10" t="s">
        <v>40</v>
      </c>
      <c r="G332" s="9" t="n">
        <f aca="false">VALUE(LEFT(TEXT(E332,"0.00"),1))</f>
        <v>7</v>
      </c>
      <c r="H332" s="0" t="str">
        <f aca="false">UPPER(SUBSTITUTE(SUBSTITUTE(SUBSTITUTE(D332," ",""),"/",""),".",""))</f>
        <v>INV18017</v>
      </c>
      <c r="I332" s="9" t="n">
        <f aca="false">IF(COUNTIFS($C$5:C332,C332,$H$5:H332,H332,$E$5:E332,E332)&gt;1,1,0)</f>
        <v>0</v>
      </c>
      <c r="J332" s="9" t="n">
        <f aca="false">IF(AND(I332=0,COUNTIFS($C$5:$C$634,C332,$E$5:$E$634,E332,$B$5:$B$634,"&gt;="&amp;(B332-Parameters!$B$12),$B$5:$B$634,"&lt;="&amp;(B332+Parameters!$B$12),$H$5:$H$634,"&lt;&gt;"&amp;H332)&gt;0),1,0)</f>
        <v>0</v>
      </c>
      <c r="K332" s="9" t="n">
        <f aca="false">IF(AND(E332&gt;=Parameters!$B$11,ROUND(MOD(ROUND(E332,2),Parameters!$B$10),2)=0),1,0)</f>
        <v>0</v>
      </c>
      <c r="L332" s="9" t="n">
        <f aca="false">IF(AND(E332&lt;Parameters!$B$7,E332&gt;=Parameters!$B$7*(1-Parameters!$B$9)),1,0)</f>
        <v>0</v>
      </c>
      <c r="M332" s="9" t="n">
        <f aca="false">IF(AND(E332&lt;Parameters!$B$7,COUNTIFS($C$5:$C$634,C332,$B$5:$B$634,B332)&gt;1,SUMIFS($E$5:$E$634,$C$5:$C$634,C332,$B$5:$B$634,B332)&gt;=Parameters!$B$7),1,0)</f>
        <v>0</v>
      </c>
      <c r="N332" s="9" t="n">
        <f aca="false">IF(AND(E332&gt;=Parameters!$B$7,F332&lt;&gt;Parameters!$B$8),1,0)</f>
        <v>0</v>
      </c>
      <c r="O332" s="9" t="n">
        <f aca="false">INDEX(Vendor_Benford!$N$6:$N$50,MATCH(C332,Vendor_Benford!$A$6:$A$50,0))</f>
        <v>0</v>
      </c>
      <c r="P332" s="9" t="n">
        <f aca="false">INDEX(Vendor_Benford!$M$6:$M$50,MATCH(C332,Vendor_Benford!$A$6:$A$50,0))</f>
        <v>0</v>
      </c>
      <c r="Q332" s="9" t="n">
        <f aca="false">I332*Parameters!$B$28+J332*Parameters!$B$29+K332*Parameters!$B$30+L332*Parameters!$B$31+M332*Parameters!$B$32+N332*Parameters!$B$33+O332*Parameters!$B$34+P332*Parameters!$B$35</f>
        <v>0</v>
      </c>
      <c r="R332" s="0" t="str">
        <f aca="false">IF(Q332&gt;=Parameters!$B$24,"High","")</f>
        <v/>
      </c>
    </row>
    <row r="333" customFormat="false" ht="15" hidden="false" customHeight="false" outlineLevel="0" collapsed="false">
      <c r="A333" s="10" t="s">
        <v>970</v>
      </c>
      <c r="B333" s="8" t="n">
        <v>45862</v>
      </c>
      <c r="C333" s="10" t="s">
        <v>143</v>
      </c>
      <c r="D333" s="10" t="s">
        <v>971</v>
      </c>
      <c r="E333" s="12" t="n">
        <v>61278.95</v>
      </c>
      <c r="F333" s="10" t="s">
        <v>40</v>
      </c>
      <c r="G333" s="9" t="n">
        <f aca="false">VALUE(LEFT(TEXT(E333,"0.00"),1))</f>
        <v>6</v>
      </c>
      <c r="H333" s="0" t="str">
        <f aca="false">UPPER(SUBSTITUTE(SUBSTITUTE(SUBSTITUTE(D333," ",""),"/",""),".",""))</f>
        <v>INV12018</v>
      </c>
      <c r="I333" s="9" t="n">
        <f aca="false">IF(COUNTIFS($C$5:C333,C333,$H$5:H333,H333,$E$5:E333,E333)&gt;1,1,0)</f>
        <v>0</v>
      </c>
      <c r="J333" s="9" t="n">
        <f aca="false">IF(AND(I333=0,COUNTIFS($C$5:$C$634,C333,$E$5:$E$634,E333,$B$5:$B$634,"&gt;="&amp;(B333-Parameters!$B$12),$B$5:$B$634,"&lt;="&amp;(B333+Parameters!$B$12),$H$5:$H$634,"&lt;&gt;"&amp;H333)&gt;0),1,0)</f>
        <v>0</v>
      </c>
      <c r="K333" s="9" t="n">
        <f aca="false">IF(AND(E333&gt;=Parameters!$B$11,ROUND(MOD(ROUND(E333,2),Parameters!$B$10),2)=0),1,0)</f>
        <v>0</v>
      </c>
      <c r="L333" s="9" t="n">
        <f aca="false">IF(AND(E333&lt;Parameters!$B$7,E333&gt;=Parameters!$B$7*(1-Parameters!$B$9)),1,0)</f>
        <v>0</v>
      </c>
      <c r="M333" s="9" t="n">
        <f aca="false">IF(AND(E333&lt;Parameters!$B$7,COUNTIFS($C$5:$C$634,C333,$B$5:$B$634,B333)&gt;1,SUMIFS($E$5:$E$634,$C$5:$C$634,C333,$B$5:$B$634,B333)&gt;=Parameters!$B$7),1,0)</f>
        <v>0</v>
      </c>
      <c r="N333" s="9" t="n">
        <f aca="false">IF(AND(E333&gt;=Parameters!$B$7,F333&lt;&gt;Parameters!$B$8),1,0)</f>
        <v>0</v>
      </c>
      <c r="O333" s="9" t="n">
        <f aca="false">INDEX(Vendor_Benford!$N$6:$N$50,MATCH(C333,Vendor_Benford!$A$6:$A$50,0))</f>
        <v>0</v>
      </c>
      <c r="P333" s="9" t="n">
        <f aca="false">INDEX(Vendor_Benford!$M$6:$M$50,MATCH(C333,Vendor_Benford!$A$6:$A$50,0))</f>
        <v>0</v>
      </c>
      <c r="Q333" s="9" t="n">
        <f aca="false">I333*Parameters!$B$28+J333*Parameters!$B$29+K333*Parameters!$B$30+L333*Parameters!$B$31+M333*Parameters!$B$32+N333*Parameters!$B$33+O333*Parameters!$B$34+P333*Parameters!$B$35</f>
        <v>0</v>
      </c>
      <c r="R333" s="0" t="str">
        <f aca="false">IF(Q333&gt;=Parameters!$B$24,"High","")</f>
        <v/>
      </c>
    </row>
    <row r="334" customFormat="false" ht="15" hidden="false" customHeight="false" outlineLevel="0" collapsed="false">
      <c r="A334" s="10" t="s">
        <v>972</v>
      </c>
      <c r="B334" s="8" t="n">
        <v>45862</v>
      </c>
      <c r="C334" s="10" t="s">
        <v>170</v>
      </c>
      <c r="D334" s="10" t="s">
        <v>973</v>
      </c>
      <c r="E334" s="12" t="n">
        <v>2131.51</v>
      </c>
      <c r="F334" s="10" t="s">
        <v>347</v>
      </c>
      <c r="G334" s="9" t="n">
        <f aca="false">VALUE(LEFT(TEXT(E334,"0.00"),1))</f>
        <v>2</v>
      </c>
      <c r="H334" s="0" t="str">
        <f aca="false">UPPER(SUBSTITUTE(SUBSTITUTE(SUBSTITUTE(D334," ",""),"/",""),".",""))</f>
        <v>INV21002</v>
      </c>
      <c r="I334" s="9" t="n">
        <f aca="false">IF(COUNTIFS($C$5:C334,C334,$H$5:H334,H334,$E$5:E334,E334)&gt;1,1,0)</f>
        <v>0</v>
      </c>
      <c r="J334" s="9" t="n">
        <f aca="false">IF(AND(I334=0,COUNTIFS($C$5:$C$634,C334,$E$5:$E$634,E334,$B$5:$B$634,"&gt;="&amp;(B334-Parameters!$B$12),$B$5:$B$634,"&lt;="&amp;(B334+Parameters!$B$12),$H$5:$H$634,"&lt;&gt;"&amp;H334)&gt;0),1,0)</f>
        <v>0</v>
      </c>
      <c r="K334" s="9" t="n">
        <f aca="false">IF(AND(E334&gt;=Parameters!$B$11,ROUND(MOD(ROUND(E334,2),Parameters!$B$10),2)=0),1,0)</f>
        <v>0</v>
      </c>
      <c r="L334" s="9" t="n">
        <f aca="false">IF(AND(E334&lt;Parameters!$B$7,E334&gt;=Parameters!$B$7*(1-Parameters!$B$9)),1,0)</f>
        <v>0</v>
      </c>
      <c r="M334" s="9" t="n">
        <f aca="false">IF(AND(E334&lt;Parameters!$B$7,COUNTIFS($C$5:$C$634,C334,$B$5:$B$634,B334)&gt;1,SUMIFS($E$5:$E$634,$C$5:$C$634,C334,$B$5:$B$634,B334)&gt;=Parameters!$B$7),1,0)</f>
        <v>0</v>
      </c>
      <c r="N334" s="9" t="n">
        <f aca="false">IF(AND(E334&gt;=Parameters!$B$7,F334&lt;&gt;Parameters!$B$8),1,0)</f>
        <v>0</v>
      </c>
      <c r="O334" s="9" t="n">
        <f aca="false">INDEX(Vendor_Benford!$N$6:$N$50,MATCH(C334,Vendor_Benford!$A$6:$A$50,0))</f>
        <v>0</v>
      </c>
      <c r="P334" s="9" t="n">
        <f aca="false">INDEX(Vendor_Benford!$M$6:$M$50,MATCH(C334,Vendor_Benford!$A$6:$A$50,0))</f>
        <v>0</v>
      </c>
      <c r="Q334" s="9" t="n">
        <f aca="false">I334*Parameters!$B$28+J334*Parameters!$B$29+K334*Parameters!$B$30+L334*Parameters!$B$31+M334*Parameters!$B$32+N334*Parameters!$B$33+O334*Parameters!$B$34+P334*Parameters!$B$35</f>
        <v>0</v>
      </c>
      <c r="R334" s="0" t="str">
        <f aca="false">IF(Q334&gt;=Parameters!$B$24,"High","")</f>
        <v/>
      </c>
    </row>
    <row r="335" customFormat="false" ht="15" hidden="false" customHeight="false" outlineLevel="0" collapsed="false">
      <c r="A335" s="10" t="s">
        <v>974</v>
      </c>
      <c r="B335" s="8" t="n">
        <v>45862</v>
      </c>
      <c r="C335" s="10" t="s">
        <v>203</v>
      </c>
      <c r="D335" s="10" t="s">
        <v>975</v>
      </c>
      <c r="E335" s="12" t="n">
        <v>9984.31</v>
      </c>
      <c r="F335" s="10" t="s">
        <v>40</v>
      </c>
      <c r="G335" s="9" t="n">
        <f aca="false">VALUE(LEFT(TEXT(E335,"0.00"),1))</f>
        <v>9</v>
      </c>
      <c r="H335" s="0" t="str">
        <f aca="false">UPPER(SUBSTITUTE(SUBSTITUTE(SUBSTITUTE(D335," ",""),"/",""),".",""))</f>
        <v>INV32001</v>
      </c>
      <c r="I335" s="9" t="n">
        <f aca="false">IF(COUNTIFS($C$5:C335,C335,$H$5:H335,H335,$E$5:E335,E335)&gt;1,1,0)</f>
        <v>0</v>
      </c>
      <c r="J335" s="9" t="n">
        <f aca="false">IF(AND(I335=0,COUNTIFS($C$5:$C$634,C335,$E$5:$E$634,E335,$B$5:$B$634,"&gt;="&amp;(B335-Parameters!$B$12),$B$5:$B$634,"&lt;="&amp;(B335+Parameters!$B$12),$H$5:$H$634,"&lt;&gt;"&amp;H335)&gt;0),1,0)</f>
        <v>0</v>
      </c>
      <c r="K335" s="9" t="n">
        <f aca="false">IF(AND(E335&gt;=Parameters!$B$11,ROUND(MOD(ROUND(E335,2),Parameters!$B$10),2)=0),1,0)</f>
        <v>0</v>
      </c>
      <c r="L335" s="9" t="n">
        <f aca="false">IF(AND(E335&lt;Parameters!$B$7,E335&gt;=Parameters!$B$7*(1-Parameters!$B$9)),1,0)</f>
        <v>0</v>
      </c>
      <c r="M335" s="9" t="n">
        <f aca="false">IF(AND(E335&lt;Parameters!$B$7,COUNTIFS($C$5:$C$634,C335,$B$5:$B$634,B335)&gt;1,SUMIFS($E$5:$E$634,$C$5:$C$634,C335,$B$5:$B$634,B335)&gt;=Parameters!$B$7),1,0)</f>
        <v>0</v>
      </c>
      <c r="N335" s="9" t="n">
        <f aca="false">IF(AND(E335&gt;=Parameters!$B$7,F335&lt;&gt;Parameters!$B$8),1,0)</f>
        <v>0</v>
      </c>
      <c r="O335" s="9" t="n">
        <f aca="false">INDEX(Vendor_Benford!$N$6:$N$50,MATCH(C335,Vendor_Benford!$A$6:$A$50,0))</f>
        <v>0</v>
      </c>
      <c r="P335" s="9" t="n">
        <f aca="false">INDEX(Vendor_Benford!$M$6:$M$50,MATCH(C335,Vendor_Benford!$A$6:$A$50,0))</f>
        <v>0</v>
      </c>
      <c r="Q335" s="9" t="n">
        <f aca="false">I335*Parameters!$B$28+J335*Parameters!$B$29+K335*Parameters!$B$30+L335*Parameters!$B$31+M335*Parameters!$B$32+N335*Parameters!$B$33+O335*Parameters!$B$34+P335*Parameters!$B$35</f>
        <v>0</v>
      </c>
      <c r="R335" s="0" t="str">
        <f aca="false">IF(Q335&gt;=Parameters!$B$24,"High","")</f>
        <v/>
      </c>
    </row>
    <row r="336" customFormat="false" ht="15" hidden="false" customHeight="false" outlineLevel="0" collapsed="false">
      <c r="A336" s="10" t="s">
        <v>976</v>
      </c>
      <c r="B336" s="8" t="n">
        <v>45862</v>
      </c>
      <c r="C336" s="10" t="s">
        <v>203</v>
      </c>
      <c r="D336" s="10" t="s">
        <v>977</v>
      </c>
      <c r="E336" s="12" t="n">
        <v>155.66</v>
      </c>
      <c r="F336" s="10" t="s">
        <v>40</v>
      </c>
      <c r="G336" s="9" t="n">
        <f aca="false">VALUE(LEFT(TEXT(E336,"0.00"),1))</f>
        <v>1</v>
      </c>
      <c r="H336" s="0" t="str">
        <f aca="false">UPPER(SUBSTITUTE(SUBSTITUTE(SUBSTITUTE(D336," ",""),"/",""),".",""))</f>
        <v>INV32007</v>
      </c>
      <c r="I336" s="9" t="n">
        <f aca="false">IF(COUNTIFS($C$5:C336,C336,$H$5:H336,H336,$E$5:E336,E336)&gt;1,1,0)</f>
        <v>0</v>
      </c>
      <c r="J336" s="9" t="n">
        <f aca="false">IF(AND(I336=0,COUNTIFS($C$5:$C$634,C336,$E$5:$E$634,E336,$B$5:$B$634,"&gt;="&amp;(B336-Parameters!$B$12),$B$5:$B$634,"&lt;="&amp;(B336+Parameters!$B$12),$H$5:$H$634,"&lt;&gt;"&amp;H336)&gt;0),1,0)</f>
        <v>0</v>
      </c>
      <c r="K336" s="9" t="n">
        <f aca="false">IF(AND(E336&gt;=Parameters!$B$11,ROUND(MOD(ROUND(E336,2),Parameters!$B$10),2)=0),1,0)</f>
        <v>0</v>
      </c>
      <c r="L336" s="9" t="n">
        <f aca="false">IF(AND(E336&lt;Parameters!$B$7,E336&gt;=Parameters!$B$7*(1-Parameters!$B$9)),1,0)</f>
        <v>0</v>
      </c>
      <c r="M336" s="9" t="n">
        <f aca="false">IF(AND(E336&lt;Parameters!$B$7,COUNTIFS($C$5:$C$634,C336,$B$5:$B$634,B336)&gt;1,SUMIFS($E$5:$E$634,$C$5:$C$634,C336,$B$5:$B$634,B336)&gt;=Parameters!$B$7),1,0)</f>
        <v>1</v>
      </c>
      <c r="N336" s="9" t="n">
        <f aca="false">IF(AND(E336&gt;=Parameters!$B$7,F336&lt;&gt;Parameters!$B$8),1,0)</f>
        <v>0</v>
      </c>
      <c r="O336" s="9" t="n">
        <f aca="false">INDEX(Vendor_Benford!$N$6:$N$50,MATCH(C336,Vendor_Benford!$A$6:$A$50,0))</f>
        <v>0</v>
      </c>
      <c r="P336" s="9" t="n">
        <f aca="false">INDEX(Vendor_Benford!$M$6:$M$50,MATCH(C336,Vendor_Benford!$A$6:$A$50,0))</f>
        <v>0</v>
      </c>
      <c r="Q336" s="9" t="n">
        <f aca="false">I336*Parameters!$B$28+J336*Parameters!$B$29+K336*Parameters!$B$30+L336*Parameters!$B$31+M336*Parameters!$B$32+N336*Parameters!$B$33+O336*Parameters!$B$34+P336*Parameters!$B$35</f>
        <v>3</v>
      </c>
      <c r="R336" s="0" t="str">
        <f aca="false">IF(Q336&gt;=Parameters!$B$24,"High","")</f>
        <v/>
      </c>
    </row>
    <row r="337" customFormat="false" ht="15" hidden="false" customHeight="false" outlineLevel="0" collapsed="false">
      <c r="A337" s="10" t="s">
        <v>978</v>
      </c>
      <c r="B337" s="8" t="n">
        <v>45863</v>
      </c>
      <c r="C337" s="10" t="s">
        <v>134</v>
      </c>
      <c r="D337" s="10" t="s">
        <v>979</v>
      </c>
      <c r="E337" s="12" t="n">
        <v>424.07</v>
      </c>
      <c r="F337" s="10" t="s">
        <v>40</v>
      </c>
      <c r="G337" s="9" t="n">
        <f aca="false">VALUE(LEFT(TEXT(E337,"0.00"),1))</f>
        <v>4</v>
      </c>
      <c r="H337" s="0" t="str">
        <f aca="false">UPPER(SUBSTITUTE(SUBSTITUTE(SUBSTITUTE(D337," ",""),"/",""),".",""))</f>
        <v>INV9015</v>
      </c>
      <c r="I337" s="9" t="n">
        <f aca="false">IF(COUNTIFS($C$5:C337,C337,$H$5:H337,H337,$E$5:E337,E337)&gt;1,1,0)</f>
        <v>0</v>
      </c>
      <c r="J337" s="9" t="n">
        <f aca="false">IF(AND(I337=0,COUNTIFS($C$5:$C$634,C337,$E$5:$E$634,E337,$B$5:$B$634,"&gt;="&amp;(B337-Parameters!$B$12),$B$5:$B$634,"&lt;="&amp;(B337+Parameters!$B$12),$H$5:$H$634,"&lt;&gt;"&amp;H337)&gt;0),1,0)</f>
        <v>0</v>
      </c>
      <c r="K337" s="9" t="n">
        <f aca="false">IF(AND(E337&gt;=Parameters!$B$11,ROUND(MOD(ROUND(E337,2),Parameters!$B$10),2)=0),1,0)</f>
        <v>0</v>
      </c>
      <c r="L337" s="9" t="n">
        <f aca="false">IF(AND(E337&lt;Parameters!$B$7,E337&gt;=Parameters!$B$7*(1-Parameters!$B$9)),1,0)</f>
        <v>0</v>
      </c>
      <c r="M337" s="9" t="n">
        <f aca="false">IF(AND(E337&lt;Parameters!$B$7,COUNTIFS($C$5:$C$634,C337,$B$5:$B$634,B337)&gt;1,SUMIFS($E$5:$E$634,$C$5:$C$634,C337,$B$5:$B$634,B337)&gt;=Parameters!$B$7),1,0)</f>
        <v>0</v>
      </c>
      <c r="N337" s="9" t="n">
        <f aca="false">IF(AND(E337&gt;=Parameters!$B$7,F337&lt;&gt;Parameters!$B$8),1,0)</f>
        <v>0</v>
      </c>
      <c r="O337" s="9" t="n">
        <f aca="false">INDEX(Vendor_Benford!$N$6:$N$50,MATCH(C337,Vendor_Benford!$A$6:$A$50,0))</f>
        <v>0</v>
      </c>
      <c r="P337" s="9" t="n">
        <f aca="false">INDEX(Vendor_Benford!$M$6:$M$50,MATCH(C337,Vendor_Benford!$A$6:$A$50,0))</f>
        <v>0</v>
      </c>
      <c r="Q337" s="9" t="n">
        <f aca="false">I337*Parameters!$B$28+J337*Parameters!$B$29+K337*Parameters!$B$30+L337*Parameters!$B$31+M337*Parameters!$B$32+N337*Parameters!$B$33+O337*Parameters!$B$34+P337*Parameters!$B$35</f>
        <v>0</v>
      </c>
      <c r="R337" s="0" t="str">
        <f aca="false">IF(Q337&gt;=Parameters!$B$24,"High","")</f>
        <v/>
      </c>
    </row>
    <row r="338" customFormat="false" ht="15" hidden="false" customHeight="false" outlineLevel="0" collapsed="false">
      <c r="A338" s="10" t="s">
        <v>980</v>
      </c>
      <c r="B338" s="8" t="n">
        <v>45863</v>
      </c>
      <c r="C338" s="10" t="s">
        <v>134</v>
      </c>
      <c r="D338" s="10" t="s">
        <v>981</v>
      </c>
      <c r="E338" s="12" t="n">
        <v>3296.1</v>
      </c>
      <c r="F338" s="10" t="s">
        <v>347</v>
      </c>
      <c r="G338" s="9" t="n">
        <f aca="false">VALUE(LEFT(TEXT(E338,"0.00"),1))</f>
        <v>3</v>
      </c>
      <c r="H338" s="0" t="str">
        <f aca="false">UPPER(SUBSTITUTE(SUBSTITUTE(SUBSTITUTE(D338," ",""),"/",""),".",""))</f>
        <v>INV9019</v>
      </c>
      <c r="I338" s="9" t="n">
        <f aca="false">IF(COUNTIFS($C$5:C338,C338,$H$5:H338,H338,$E$5:E338,E338)&gt;1,1,0)</f>
        <v>0</v>
      </c>
      <c r="J338" s="9" t="n">
        <f aca="false">IF(AND(I338=0,COUNTIFS($C$5:$C$634,C338,$E$5:$E$634,E338,$B$5:$B$634,"&gt;="&amp;(B338-Parameters!$B$12),$B$5:$B$634,"&lt;="&amp;(B338+Parameters!$B$12),$H$5:$H$634,"&lt;&gt;"&amp;H338)&gt;0),1,0)</f>
        <v>0</v>
      </c>
      <c r="K338" s="9" t="n">
        <f aca="false">IF(AND(E338&gt;=Parameters!$B$11,ROUND(MOD(ROUND(E338,2),Parameters!$B$10),2)=0),1,0)</f>
        <v>0</v>
      </c>
      <c r="L338" s="9" t="n">
        <f aca="false">IF(AND(E338&lt;Parameters!$B$7,E338&gt;=Parameters!$B$7*(1-Parameters!$B$9)),1,0)</f>
        <v>0</v>
      </c>
      <c r="M338" s="9" t="n">
        <f aca="false">IF(AND(E338&lt;Parameters!$B$7,COUNTIFS($C$5:$C$634,C338,$B$5:$B$634,B338)&gt;1,SUMIFS($E$5:$E$634,$C$5:$C$634,C338,$B$5:$B$634,B338)&gt;=Parameters!$B$7),1,0)</f>
        <v>0</v>
      </c>
      <c r="N338" s="9" t="n">
        <f aca="false">IF(AND(E338&gt;=Parameters!$B$7,F338&lt;&gt;Parameters!$B$8),1,0)</f>
        <v>0</v>
      </c>
      <c r="O338" s="9" t="n">
        <f aca="false">INDEX(Vendor_Benford!$N$6:$N$50,MATCH(C338,Vendor_Benford!$A$6:$A$50,0))</f>
        <v>0</v>
      </c>
      <c r="P338" s="9" t="n">
        <f aca="false">INDEX(Vendor_Benford!$M$6:$M$50,MATCH(C338,Vendor_Benford!$A$6:$A$50,0))</f>
        <v>0</v>
      </c>
      <c r="Q338" s="9" t="n">
        <f aca="false">I338*Parameters!$B$28+J338*Parameters!$B$29+K338*Parameters!$B$30+L338*Parameters!$B$31+M338*Parameters!$B$32+N338*Parameters!$B$33+O338*Parameters!$B$34+P338*Parameters!$B$35</f>
        <v>0</v>
      </c>
      <c r="R338" s="0" t="str">
        <f aca="false">IF(Q338&gt;=Parameters!$B$24,"High","")</f>
        <v/>
      </c>
    </row>
    <row r="339" customFormat="false" ht="15" hidden="false" customHeight="false" outlineLevel="0" collapsed="false">
      <c r="A339" s="10" t="s">
        <v>982</v>
      </c>
      <c r="B339" s="8" t="n">
        <v>45866</v>
      </c>
      <c r="C339" s="10" t="s">
        <v>137</v>
      </c>
      <c r="D339" s="10" t="s">
        <v>983</v>
      </c>
      <c r="E339" s="12" t="n">
        <v>30691.31</v>
      </c>
      <c r="F339" s="10" t="s">
        <v>40</v>
      </c>
      <c r="G339" s="9" t="n">
        <f aca="false">VALUE(LEFT(TEXT(E339,"0.00"),1))</f>
        <v>3</v>
      </c>
      <c r="H339" s="0" t="str">
        <f aca="false">UPPER(SUBSTITUTE(SUBSTITUTE(SUBSTITUTE(D339," ",""),"/",""),".",""))</f>
        <v>INV10005</v>
      </c>
      <c r="I339" s="9" t="n">
        <f aca="false">IF(COUNTIFS($C$5:C339,C339,$H$5:H339,H339,$E$5:E339,E339)&gt;1,1,0)</f>
        <v>0</v>
      </c>
      <c r="J339" s="9" t="n">
        <f aca="false">IF(AND(I339=0,COUNTIFS($C$5:$C$634,C339,$E$5:$E$634,E339,$B$5:$B$634,"&gt;="&amp;(B339-Parameters!$B$12),$B$5:$B$634,"&lt;="&amp;(B339+Parameters!$B$12),$H$5:$H$634,"&lt;&gt;"&amp;H339)&gt;0),1,0)</f>
        <v>0</v>
      </c>
      <c r="K339" s="9" t="n">
        <f aca="false">IF(AND(E339&gt;=Parameters!$B$11,ROUND(MOD(ROUND(E339,2),Parameters!$B$10),2)=0),1,0)</f>
        <v>0</v>
      </c>
      <c r="L339" s="9" t="n">
        <f aca="false">IF(AND(E339&lt;Parameters!$B$7,E339&gt;=Parameters!$B$7*(1-Parameters!$B$9)),1,0)</f>
        <v>0</v>
      </c>
      <c r="M339" s="9" t="n">
        <f aca="false">IF(AND(E339&lt;Parameters!$B$7,COUNTIFS($C$5:$C$634,C339,$B$5:$B$634,B339)&gt;1,SUMIFS($E$5:$E$634,$C$5:$C$634,C339,$B$5:$B$634,B339)&gt;=Parameters!$B$7),1,0)</f>
        <v>0</v>
      </c>
      <c r="N339" s="9" t="n">
        <f aca="false">IF(AND(E339&gt;=Parameters!$B$7,F339&lt;&gt;Parameters!$B$8),1,0)</f>
        <v>0</v>
      </c>
      <c r="O339" s="9" t="n">
        <f aca="false">INDEX(Vendor_Benford!$N$6:$N$50,MATCH(C339,Vendor_Benford!$A$6:$A$50,0))</f>
        <v>0</v>
      </c>
      <c r="P339" s="9" t="n">
        <f aca="false">INDEX(Vendor_Benford!$M$6:$M$50,MATCH(C339,Vendor_Benford!$A$6:$A$50,0))</f>
        <v>0</v>
      </c>
      <c r="Q339" s="9" t="n">
        <f aca="false">I339*Parameters!$B$28+J339*Parameters!$B$29+K339*Parameters!$B$30+L339*Parameters!$B$31+M339*Parameters!$B$32+N339*Parameters!$B$33+O339*Parameters!$B$34+P339*Parameters!$B$35</f>
        <v>0</v>
      </c>
      <c r="R339" s="0" t="str">
        <f aca="false">IF(Q339&gt;=Parameters!$B$24,"High","")</f>
        <v/>
      </c>
    </row>
    <row r="340" customFormat="false" ht="15" hidden="false" customHeight="false" outlineLevel="0" collapsed="false">
      <c r="A340" s="10" t="s">
        <v>984</v>
      </c>
      <c r="B340" s="8" t="n">
        <v>45866</v>
      </c>
      <c r="C340" s="10" t="s">
        <v>179</v>
      </c>
      <c r="D340" s="10" t="s">
        <v>985</v>
      </c>
      <c r="E340" s="12" t="n">
        <v>5665.89</v>
      </c>
      <c r="F340" s="10" t="s">
        <v>40</v>
      </c>
      <c r="G340" s="9" t="n">
        <f aca="false">VALUE(LEFT(TEXT(E340,"0.00"),1))</f>
        <v>5</v>
      </c>
      <c r="H340" s="0" t="str">
        <f aca="false">UPPER(SUBSTITUTE(SUBSTITUTE(SUBSTITUTE(D340," ",""),"/",""),".",""))</f>
        <v>INV24001</v>
      </c>
      <c r="I340" s="9" t="n">
        <f aca="false">IF(COUNTIFS($C$5:C340,C340,$H$5:H340,H340,$E$5:E340,E340)&gt;1,1,0)</f>
        <v>0</v>
      </c>
      <c r="J340" s="9" t="n">
        <f aca="false">IF(AND(I340=0,COUNTIFS($C$5:$C$634,C340,$E$5:$E$634,E340,$B$5:$B$634,"&gt;="&amp;(B340-Parameters!$B$12),$B$5:$B$634,"&lt;="&amp;(B340+Parameters!$B$12),$H$5:$H$634,"&lt;&gt;"&amp;H340)&gt;0),1,0)</f>
        <v>0</v>
      </c>
      <c r="K340" s="9" t="n">
        <f aca="false">IF(AND(E340&gt;=Parameters!$B$11,ROUND(MOD(ROUND(E340,2),Parameters!$B$10),2)=0),1,0)</f>
        <v>0</v>
      </c>
      <c r="L340" s="9" t="n">
        <f aca="false">IF(AND(E340&lt;Parameters!$B$7,E340&gt;=Parameters!$B$7*(1-Parameters!$B$9)),1,0)</f>
        <v>0</v>
      </c>
      <c r="M340" s="9" t="n">
        <f aca="false">IF(AND(E340&lt;Parameters!$B$7,COUNTIFS($C$5:$C$634,C340,$B$5:$B$634,B340)&gt;1,SUMIFS($E$5:$E$634,$C$5:$C$634,C340,$B$5:$B$634,B340)&gt;=Parameters!$B$7),1,0)</f>
        <v>0</v>
      </c>
      <c r="N340" s="9" t="n">
        <f aca="false">IF(AND(E340&gt;=Parameters!$B$7,F340&lt;&gt;Parameters!$B$8),1,0)</f>
        <v>0</v>
      </c>
      <c r="O340" s="9" t="n">
        <f aca="false">INDEX(Vendor_Benford!$N$6:$N$50,MATCH(C340,Vendor_Benford!$A$6:$A$50,0))</f>
        <v>0</v>
      </c>
      <c r="P340" s="9" t="n">
        <f aca="false">INDEX(Vendor_Benford!$M$6:$M$50,MATCH(C340,Vendor_Benford!$A$6:$A$50,0))</f>
        <v>0</v>
      </c>
      <c r="Q340" s="9" t="n">
        <f aca="false">I340*Parameters!$B$28+J340*Parameters!$B$29+K340*Parameters!$B$30+L340*Parameters!$B$31+M340*Parameters!$B$32+N340*Parameters!$B$33+O340*Parameters!$B$34+P340*Parameters!$B$35</f>
        <v>0</v>
      </c>
      <c r="R340" s="0" t="str">
        <f aca="false">IF(Q340&gt;=Parameters!$B$24,"High","")</f>
        <v/>
      </c>
    </row>
    <row r="341" customFormat="false" ht="15" hidden="false" customHeight="false" outlineLevel="0" collapsed="false">
      <c r="A341" s="10" t="s">
        <v>986</v>
      </c>
      <c r="B341" s="8" t="n">
        <v>45866</v>
      </c>
      <c r="C341" s="10" t="s">
        <v>212</v>
      </c>
      <c r="D341" s="10" t="s">
        <v>987</v>
      </c>
      <c r="E341" s="12" t="n">
        <v>63440.59</v>
      </c>
      <c r="F341" s="10" t="s">
        <v>40</v>
      </c>
      <c r="G341" s="9" t="n">
        <f aca="false">VALUE(LEFT(TEXT(E341,"0.00"),1))</f>
        <v>6</v>
      </c>
      <c r="H341" s="0" t="str">
        <f aca="false">UPPER(SUBSTITUTE(SUBSTITUTE(SUBSTITUTE(D341," ",""),"/",""),".",""))</f>
        <v>INV35005</v>
      </c>
      <c r="I341" s="9" t="n">
        <f aca="false">IF(COUNTIFS($C$5:C341,C341,$H$5:H341,H341,$E$5:E341,E341)&gt;1,1,0)</f>
        <v>0</v>
      </c>
      <c r="J341" s="9" t="n">
        <f aca="false">IF(AND(I341=0,COUNTIFS($C$5:$C$634,C341,$E$5:$E$634,E341,$B$5:$B$634,"&gt;="&amp;(B341-Parameters!$B$12),$B$5:$B$634,"&lt;="&amp;(B341+Parameters!$B$12),$H$5:$H$634,"&lt;&gt;"&amp;H341)&gt;0),1,0)</f>
        <v>0</v>
      </c>
      <c r="K341" s="9" t="n">
        <f aca="false">IF(AND(E341&gt;=Parameters!$B$11,ROUND(MOD(ROUND(E341,2),Parameters!$B$10),2)=0),1,0)</f>
        <v>0</v>
      </c>
      <c r="L341" s="9" t="n">
        <f aca="false">IF(AND(E341&lt;Parameters!$B$7,E341&gt;=Parameters!$B$7*(1-Parameters!$B$9)),1,0)</f>
        <v>0</v>
      </c>
      <c r="M341" s="9" t="n">
        <f aca="false">IF(AND(E341&lt;Parameters!$B$7,COUNTIFS($C$5:$C$634,C341,$B$5:$B$634,B341)&gt;1,SUMIFS($E$5:$E$634,$C$5:$C$634,C341,$B$5:$B$634,B341)&gt;=Parameters!$B$7),1,0)</f>
        <v>0</v>
      </c>
      <c r="N341" s="9" t="n">
        <f aca="false">IF(AND(E341&gt;=Parameters!$B$7,F341&lt;&gt;Parameters!$B$8),1,0)</f>
        <v>0</v>
      </c>
      <c r="O341" s="9" t="n">
        <f aca="false">INDEX(Vendor_Benford!$N$6:$N$50,MATCH(C341,Vendor_Benford!$A$6:$A$50,0))</f>
        <v>0</v>
      </c>
      <c r="P341" s="9" t="n">
        <f aca="false">INDEX(Vendor_Benford!$M$6:$M$50,MATCH(C341,Vendor_Benford!$A$6:$A$50,0))</f>
        <v>0</v>
      </c>
      <c r="Q341" s="9" t="n">
        <f aca="false">I341*Parameters!$B$28+J341*Parameters!$B$29+K341*Parameters!$B$30+L341*Parameters!$B$31+M341*Parameters!$B$32+N341*Parameters!$B$33+O341*Parameters!$B$34+P341*Parameters!$B$35</f>
        <v>0</v>
      </c>
      <c r="R341" s="0" t="str">
        <f aca="false">IF(Q341&gt;=Parameters!$B$24,"High","")</f>
        <v/>
      </c>
    </row>
    <row r="342" customFormat="false" ht="15" hidden="false" customHeight="false" outlineLevel="0" collapsed="false">
      <c r="A342" s="10" t="s">
        <v>988</v>
      </c>
      <c r="B342" s="8" t="n">
        <v>45867</v>
      </c>
      <c r="C342" s="10" t="s">
        <v>125</v>
      </c>
      <c r="D342" s="10" t="s">
        <v>989</v>
      </c>
      <c r="E342" s="12" t="n">
        <v>8021.44</v>
      </c>
      <c r="F342" s="10" t="s">
        <v>40</v>
      </c>
      <c r="G342" s="9" t="n">
        <f aca="false">VALUE(LEFT(TEXT(E342,"0.00"),1))</f>
        <v>8</v>
      </c>
      <c r="H342" s="0" t="str">
        <f aca="false">UPPER(SUBSTITUTE(SUBSTITUTE(SUBSTITUTE(D342," ",""),"/",""),".",""))</f>
        <v>INV6001</v>
      </c>
      <c r="I342" s="9" t="n">
        <f aca="false">IF(COUNTIFS($C$5:C342,C342,$H$5:H342,H342,$E$5:E342,E342)&gt;1,1,0)</f>
        <v>0</v>
      </c>
      <c r="J342" s="9" t="n">
        <f aca="false">IF(AND(I342=0,COUNTIFS($C$5:$C$634,C342,$E$5:$E$634,E342,$B$5:$B$634,"&gt;="&amp;(B342-Parameters!$B$12),$B$5:$B$634,"&lt;="&amp;(B342+Parameters!$B$12),$H$5:$H$634,"&lt;&gt;"&amp;H342)&gt;0),1,0)</f>
        <v>0</v>
      </c>
      <c r="K342" s="9" t="n">
        <f aca="false">IF(AND(E342&gt;=Parameters!$B$11,ROUND(MOD(ROUND(E342,2),Parameters!$B$10),2)=0),1,0)</f>
        <v>0</v>
      </c>
      <c r="L342" s="9" t="n">
        <f aca="false">IF(AND(E342&lt;Parameters!$B$7,E342&gt;=Parameters!$B$7*(1-Parameters!$B$9)),1,0)</f>
        <v>0</v>
      </c>
      <c r="M342" s="9" t="n">
        <f aca="false">IF(AND(E342&lt;Parameters!$B$7,COUNTIFS($C$5:$C$634,C342,$B$5:$B$634,B342)&gt;1,SUMIFS($E$5:$E$634,$C$5:$C$634,C342,$B$5:$B$634,B342)&gt;=Parameters!$B$7),1,0)</f>
        <v>0</v>
      </c>
      <c r="N342" s="9" t="n">
        <f aca="false">IF(AND(E342&gt;=Parameters!$B$7,F342&lt;&gt;Parameters!$B$8),1,0)</f>
        <v>0</v>
      </c>
      <c r="O342" s="9" t="n">
        <f aca="false">INDEX(Vendor_Benford!$N$6:$N$50,MATCH(C342,Vendor_Benford!$A$6:$A$50,0))</f>
        <v>0</v>
      </c>
      <c r="P342" s="9" t="n">
        <f aca="false">INDEX(Vendor_Benford!$M$6:$M$50,MATCH(C342,Vendor_Benford!$A$6:$A$50,0))</f>
        <v>0</v>
      </c>
      <c r="Q342" s="9" t="n">
        <f aca="false">I342*Parameters!$B$28+J342*Parameters!$B$29+K342*Parameters!$B$30+L342*Parameters!$B$31+M342*Parameters!$B$32+N342*Parameters!$B$33+O342*Parameters!$B$34+P342*Parameters!$B$35</f>
        <v>0</v>
      </c>
      <c r="R342" s="0" t="str">
        <f aca="false">IF(Q342&gt;=Parameters!$B$24,"High","")</f>
        <v/>
      </c>
    </row>
    <row r="343" customFormat="false" ht="15" hidden="false" customHeight="false" outlineLevel="0" collapsed="false">
      <c r="A343" s="10" t="s">
        <v>990</v>
      </c>
      <c r="B343" s="8" t="n">
        <v>45867</v>
      </c>
      <c r="C343" s="10" t="s">
        <v>152</v>
      </c>
      <c r="D343" s="10" t="s">
        <v>991</v>
      </c>
      <c r="E343" s="12" t="n">
        <v>197.27</v>
      </c>
      <c r="F343" s="10" t="s">
        <v>347</v>
      </c>
      <c r="G343" s="9" t="n">
        <f aca="false">VALUE(LEFT(TEXT(E343,"0.00"),1))</f>
        <v>1</v>
      </c>
      <c r="H343" s="0" t="str">
        <f aca="false">UPPER(SUBSTITUTE(SUBSTITUTE(SUBSTITUTE(D343," ",""),"/",""),".",""))</f>
        <v>INV15011</v>
      </c>
      <c r="I343" s="9" t="n">
        <f aca="false">IF(COUNTIFS($C$5:C343,C343,$H$5:H343,H343,$E$5:E343,E343)&gt;1,1,0)</f>
        <v>0</v>
      </c>
      <c r="J343" s="9" t="n">
        <f aca="false">IF(AND(I343=0,COUNTIFS($C$5:$C$634,C343,$E$5:$E$634,E343,$B$5:$B$634,"&gt;="&amp;(B343-Parameters!$B$12),$B$5:$B$634,"&lt;="&amp;(B343+Parameters!$B$12),$H$5:$H$634,"&lt;&gt;"&amp;H343)&gt;0),1,0)</f>
        <v>0</v>
      </c>
      <c r="K343" s="9" t="n">
        <f aca="false">IF(AND(E343&gt;=Parameters!$B$11,ROUND(MOD(ROUND(E343,2),Parameters!$B$10),2)=0),1,0)</f>
        <v>0</v>
      </c>
      <c r="L343" s="9" t="n">
        <f aca="false">IF(AND(E343&lt;Parameters!$B$7,E343&gt;=Parameters!$B$7*(1-Parameters!$B$9)),1,0)</f>
        <v>0</v>
      </c>
      <c r="M343" s="9" t="n">
        <f aca="false">IF(AND(E343&lt;Parameters!$B$7,COUNTIFS($C$5:$C$634,C343,$B$5:$B$634,B343)&gt;1,SUMIFS($E$5:$E$634,$C$5:$C$634,C343,$B$5:$B$634,B343)&gt;=Parameters!$B$7),1,0)</f>
        <v>0</v>
      </c>
      <c r="N343" s="9" t="n">
        <f aca="false">IF(AND(E343&gt;=Parameters!$B$7,F343&lt;&gt;Parameters!$B$8),1,0)</f>
        <v>0</v>
      </c>
      <c r="O343" s="9" t="n">
        <f aca="false">INDEX(Vendor_Benford!$N$6:$N$50,MATCH(C343,Vendor_Benford!$A$6:$A$50,0))</f>
        <v>0</v>
      </c>
      <c r="P343" s="9" t="n">
        <f aca="false">INDEX(Vendor_Benford!$M$6:$M$50,MATCH(C343,Vendor_Benford!$A$6:$A$50,0))</f>
        <v>0</v>
      </c>
      <c r="Q343" s="9" t="n">
        <f aca="false">I343*Parameters!$B$28+J343*Parameters!$B$29+K343*Parameters!$B$30+L343*Parameters!$B$31+M343*Parameters!$B$32+N343*Parameters!$B$33+O343*Parameters!$B$34+P343*Parameters!$B$35</f>
        <v>0</v>
      </c>
      <c r="R343" s="0" t="str">
        <f aca="false">IF(Q343&gt;=Parameters!$B$24,"High","")</f>
        <v/>
      </c>
    </row>
    <row r="344" customFormat="false" ht="15" hidden="false" customHeight="false" outlineLevel="0" collapsed="false">
      <c r="A344" s="10" t="s">
        <v>992</v>
      </c>
      <c r="B344" s="8" t="n">
        <v>45867</v>
      </c>
      <c r="C344" s="10" t="s">
        <v>200</v>
      </c>
      <c r="D344" s="10" t="s">
        <v>993</v>
      </c>
      <c r="E344" s="12" t="n">
        <v>4944.54</v>
      </c>
      <c r="F344" s="10" t="s">
        <v>347</v>
      </c>
      <c r="G344" s="9" t="n">
        <f aca="false">VALUE(LEFT(TEXT(E344,"0.00"),1))</f>
        <v>4</v>
      </c>
      <c r="H344" s="0" t="str">
        <f aca="false">UPPER(SUBSTITUTE(SUBSTITUTE(SUBSTITUTE(D344," ",""),"/",""),".",""))</f>
        <v>INV31044</v>
      </c>
      <c r="I344" s="9" t="n">
        <f aca="false">IF(COUNTIFS($C$5:C344,C344,$H$5:H344,H344,$E$5:E344,E344)&gt;1,1,0)</f>
        <v>0</v>
      </c>
      <c r="J344" s="9" t="n">
        <f aca="false">IF(AND(I344=0,COUNTIFS($C$5:$C$634,C344,$E$5:$E$634,E344,$B$5:$B$634,"&gt;="&amp;(B344-Parameters!$B$12),$B$5:$B$634,"&lt;="&amp;(B344+Parameters!$B$12),$H$5:$H$634,"&lt;&gt;"&amp;H344)&gt;0),1,0)</f>
        <v>0</v>
      </c>
      <c r="K344" s="9" t="n">
        <f aca="false">IF(AND(E344&gt;=Parameters!$B$11,ROUND(MOD(ROUND(E344,2),Parameters!$B$10),2)=0),1,0)</f>
        <v>0</v>
      </c>
      <c r="L344" s="9" t="n">
        <f aca="false">IF(AND(E344&lt;Parameters!$B$7,E344&gt;=Parameters!$B$7*(1-Parameters!$B$9)),1,0)</f>
        <v>1</v>
      </c>
      <c r="M344" s="9" t="n">
        <f aca="false">IF(AND(E344&lt;Parameters!$B$7,COUNTIFS($C$5:$C$634,C344,$B$5:$B$634,B344)&gt;1,SUMIFS($E$5:$E$634,$C$5:$C$634,C344,$B$5:$B$634,B344)&gt;=Parameters!$B$7),1,0)</f>
        <v>0</v>
      </c>
      <c r="N344" s="9" t="n">
        <f aca="false">IF(AND(E344&gt;=Parameters!$B$7,F344&lt;&gt;Parameters!$B$8),1,0)</f>
        <v>0</v>
      </c>
      <c r="O344" s="9" t="n">
        <f aca="false">INDEX(Vendor_Benford!$N$6:$N$50,MATCH(C344,Vendor_Benford!$A$6:$A$50,0))</f>
        <v>0</v>
      </c>
      <c r="P344" s="9" t="n">
        <f aca="false">INDEX(Vendor_Benford!$M$6:$M$50,MATCH(C344,Vendor_Benford!$A$6:$A$50,0))</f>
        <v>1</v>
      </c>
      <c r="Q344" s="9" t="n">
        <f aca="false">I344*Parameters!$B$28+J344*Parameters!$B$29+K344*Parameters!$B$30+L344*Parameters!$B$31+M344*Parameters!$B$32+N344*Parameters!$B$33+O344*Parameters!$B$34+P344*Parameters!$B$35</f>
        <v>4</v>
      </c>
      <c r="R344" s="0" t="str">
        <f aca="false">IF(Q344&gt;=Parameters!$B$24,"High","")</f>
        <v/>
      </c>
    </row>
    <row r="345" customFormat="false" ht="15" hidden="false" customHeight="false" outlineLevel="0" collapsed="false">
      <c r="A345" s="10" t="s">
        <v>994</v>
      </c>
      <c r="B345" s="8" t="n">
        <v>45867</v>
      </c>
      <c r="C345" s="10" t="s">
        <v>212</v>
      </c>
      <c r="D345" s="10" t="s">
        <v>995</v>
      </c>
      <c r="E345" s="12" t="n">
        <v>33225.5</v>
      </c>
      <c r="F345" s="10" t="s">
        <v>40</v>
      </c>
      <c r="G345" s="9" t="n">
        <f aca="false">VALUE(LEFT(TEXT(E345,"0.00"),1))</f>
        <v>3</v>
      </c>
      <c r="H345" s="0" t="str">
        <f aca="false">UPPER(SUBSTITUTE(SUBSTITUTE(SUBSTITUTE(D345," ",""),"/",""),".",""))</f>
        <v>INV35002</v>
      </c>
      <c r="I345" s="9" t="n">
        <f aca="false">IF(COUNTIFS($C$5:C345,C345,$H$5:H345,H345,$E$5:E345,E345)&gt;1,1,0)</f>
        <v>0</v>
      </c>
      <c r="J345" s="9" t="n">
        <f aca="false">IF(AND(I345=0,COUNTIFS($C$5:$C$634,C345,$E$5:$E$634,E345,$B$5:$B$634,"&gt;="&amp;(B345-Parameters!$B$12),$B$5:$B$634,"&lt;="&amp;(B345+Parameters!$B$12),$H$5:$H$634,"&lt;&gt;"&amp;H345)&gt;0),1,0)</f>
        <v>0</v>
      </c>
      <c r="K345" s="9" t="n">
        <f aca="false">IF(AND(E345&gt;=Parameters!$B$11,ROUND(MOD(ROUND(E345,2),Parameters!$B$10),2)=0),1,0)</f>
        <v>0</v>
      </c>
      <c r="L345" s="9" t="n">
        <f aca="false">IF(AND(E345&lt;Parameters!$B$7,E345&gt;=Parameters!$B$7*(1-Parameters!$B$9)),1,0)</f>
        <v>0</v>
      </c>
      <c r="M345" s="9" t="n">
        <f aca="false">IF(AND(E345&lt;Parameters!$B$7,COUNTIFS($C$5:$C$634,C345,$B$5:$B$634,B345)&gt;1,SUMIFS($E$5:$E$634,$C$5:$C$634,C345,$B$5:$B$634,B345)&gt;=Parameters!$B$7),1,0)</f>
        <v>0</v>
      </c>
      <c r="N345" s="9" t="n">
        <f aca="false">IF(AND(E345&gt;=Parameters!$B$7,F345&lt;&gt;Parameters!$B$8),1,0)</f>
        <v>0</v>
      </c>
      <c r="O345" s="9" t="n">
        <f aca="false">INDEX(Vendor_Benford!$N$6:$N$50,MATCH(C345,Vendor_Benford!$A$6:$A$50,0))</f>
        <v>0</v>
      </c>
      <c r="P345" s="9" t="n">
        <f aca="false">INDEX(Vendor_Benford!$M$6:$M$50,MATCH(C345,Vendor_Benford!$A$6:$A$50,0))</f>
        <v>0</v>
      </c>
      <c r="Q345" s="9" t="n">
        <f aca="false">I345*Parameters!$B$28+J345*Parameters!$B$29+K345*Parameters!$B$30+L345*Parameters!$B$31+M345*Parameters!$B$32+N345*Parameters!$B$33+O345*Parameters!$B$34+P345*Parameters!$B$35</f>
        <v>0</v>
      </c>
      <c r="R345" s="0" t="str">
        <f aca="false">IF(Q345&gt;=Parameters!$B$24,"High","")</f>
        <v/>
      </c>
    </row>
    <row r="346" customFormat="false" ht="15" hidden="false" customHeight="false" outlineLevel="0" collapsed="false">
      <c r="A346" s="10" t="s">
        <v>996</v>
      </c>
      <c r="B346" s="8" t="n">
        <v>45868</v>
      </c>
      <c r="C346" s="10" t="s">
        <v>155</v>
      </c>
      <c r="D346" s="10" t="s">
        <v>997</v>
      </c>
      <c r="E346" s="12" t="n">
        <v>24313.94</v>
      </c>
      <c r="F346" s="10" t="s">
        <v>40</v>
      </c>
      <c r="G346" s="9" t="n">
        <f aca="false">VALUE(LEFT(TEXT(E346,"0.00"),1))</f>
        <v>2</v>
      </c>
      <c r="H346" s="0" t="str">
        <f aca="false">UPPER(SUBSTITUTE(SUBSTITUTE(SUBSTITUTE(D346," ",""),"/",""),".",""))</f>
        <v>INV16002</v>
      </c>
      <c r="I346" s="9" t="n">
        <f aca="false">IF(COUNTIFS($C$5:C346,C346,$H$5:H346,H346,$E$5:E346,E346)&gt;1,1,0)</f>
        <v>0</v>
      </c>
      <c r="J346" s="9" t="n">
        <f aca="false">IF(AND(I346=0,COUNTIFS($C$5:$C$634,C346,$E$5:$E$634,E346,$B$5:$B$634,"&gt;="&amp;(B346-Parameters!$B$12),$B$5:$B$634,"&lt;="&amp;(B346+Parameters!$B$12),$H$5:$H$634,"&lt;&gt;"&amp;H346)&gt;0),1,0)</f>
        <v>0</v>
      </c>
      <c r="K346" s="9" t="n">
        <f aca="false">IF(AND(E346&gt;=Parameters!$B$11,ROUND(MOD(ROUND(E346,2),Parameters!$B$10),2)=0),1,0)</f>
        <v>0</v>
      </c>
      <c r="L346" s="9" t="n">
        <f aca="false">IF(AND(E346&lt;Parameters!$B$7,E346&gt;=Parameters!$B$7*(1-Parameters!$B$9)),1,0)</f>
        <v>0</v>
      </c>
      <c r="M346" s="9" t="n">
        <f aca="false">IF(AND(E346&lt;Parameters!$B$7,COUNTIFS($C$5:$C$634,C346,$B$5:$B$634,B346)&gt;1,SUMIFS($E$5:$E$634,$C$5:$C$634,C346,$B$5:$B$634,B346)&gt;=Parameters!$B$7),1,0)</f>
        <v>0</v>
      </c>
      <c r="N346" s="9" t="n">
        <f aca="false">IF(AND(E346&gt;=Parameters!$B$7,F346&lt;&gt;Parameters!$B$8),1,0)</f>
        <v>0</v>
      </c>
      <c r="O346" s="9" t="n">
        <f aca="false">INDEX(Vendor_Benford!$N$6:$N$50,MATCH(C346,Vendor_Benford!$A$6:$A$50,0))</f>
        <v>0</v>
      </c>
      <c r="P346" s="9" t="n">
        <f aca="false">INDEX(Vendor_Benford!$M$6:$M$50,MATCH(C346,Vendor_Benford!$A$6:$A$50,0))</f>
        <v>0</v>
      </c>
      <c r="Q346" s="9" t="n">
        <f aca="false">I346*Parameters!$B$28+J346*Parameters!$B$29+K346*Parameters!$B$30+L346*Parameters!$B$31+M346*Parameters!$B$32+N346*Parameters!$B$33+O346*Parameters!$B$34+P346*Parameters!$B$35</f>
        <v>0</v>
      </c>
      <c r="R346" s="0" t="str">
        <f aca="false">IF(Q346&gt;=Parameters!$B$24,"High","")</f>
        <v/>
      </c>
    </row>
    <row r="347" customFormat="false" ht="15" hidden="false" customHeight="false" outlineLevel="0" collapsed="false">
      <c r="A347" s="10" t="s">
        <v>998</v>
      </c>
      <c r="B347" s="8" t="n">
        <v>45868</v>
      </c>
      <c r="C347" s="10" t="s">
        <v>224</v>
      </c>
      <c r="D347" s="10" t="s">
        <v>999</v>
      </c>
      <c r="E347" s="12" t="n">
        <v>89262.47</v>
      </c>
      <c r="F347" s="10" t="s">
        <v>40</v>
      </c>
      <c r="G347" s="9" t="n">
        <f aca="false">VALUE(LEFT(TEXT(E347,"0.00"),1))</f>
        <v>8</v>
      </c>
      <c r="H347" s="0" t="str">
        <f aca="false">UPPER(SUBSTITUTE(SUBSTITUTE(SUBSTITUTE(D347," ",""),"/",""),".",""))</f>
        <v>INV39001</v>
      </c>
      <c r="I347" s="9" t="n">
        <f aca="false">IF(COUNTIFS($C$5:C347,C347,$H$5:H347,H347,$E$5:E347,E347)&gt;1,1,0)</f>
        <v>0</v>
      </c>
      <c r="J347" s="9" t="n">
        <f aca="false">IF(AND(I347=0,COUNTIFS($C$5:$C$634,C347,$E$5:$E$634,E347,$B$5:$B$634,"&gt;="&amp;(B347-Parameters!$B$12),$B$5:$B$634,"&lt;="&amp;(B347+Parameters!$B$12),$H$5:$H$634,"&lt;&gt;"&amp;H347)&gt;0),1,0)</f>
        <v>0</v>
      </c>
      <c r="K347" s="9" t="n">
        <f aca="false">IF(AND(E347&gt;=Parameters!$B$11,ROUND(MOD(ROUND(E347,2),Parameters!$B$10),2)=0),1,0)</f>
        <v>0</v>
      </c>
      <c r="L347" s="9" t="n">
        <f aca="false">IF(AND(E347&lt;Parameters!$B$7,E347&gt;=Parameters!$B$7*(1-Parameters!$B$9)),1,0)</f>
        <v>0</v>
      </c>
      <c r="M347" s="9" t="n">
        <f aca="false">IF(AND(E347&lt;Parameters!$B$7,COUNTIFS($C$5:$C$634,C347,$B$5:$B$634,B347)&gt;1,SUMIFS($E$5:$E$634,$C$5:$C$634,C347,$B$5:$B$634,B347)&gt;=Parameters!$B$7),1,0)</f>
        <v>0</v>
      </c>
      <c r="N347" s="9" t="n">
        <f aca="false">IF(AND(E347&gt;=Parameters!$B$7,F347&lt;&gt;Parameters!$B$8),1,0)</f>
        <v>0</v>
      </c>
      <c r="O347" s="9" t="n">
        <f aca="false">INDEX(Vendor_Benford!$N$6:$N$50,MATCH(C347,Vendor_Benford!$A$6:$A$50,0))</f>
        <v>0</v>
      </c>
      <c r="P347" s="9" t="n">
        <f aca="false">INDEX(Vendor_Benford!$M$6:$M$50,MATCH(C347,Vendor_Benford!$A$6:$A$50,0))</f>
        <v>0</v>
      </c>
      <c r="Q347" s="9" t="n">
        <f aca="false">I347*Parameters!$B$28+J347*Parameters!$B$29+K347*Parameters!$B$30+L347*Parameters!$B$31+M347*Parameters!$B$32+N347*Parameters!$B$33+O347*Parameters!$B$34+P347*Parameters!$B$35</f>
        <v>0</v>
      </c>
      <c r="R347" s="0" t="str">
        <f aca="false">IF(Q347&gt;=Parameters!$B$24,"High","")</f>
        <v/>
      </c>
    </row>
    <row r="348" customFormat="false" ht="15" hidden="false" customHeight="false" outlineLevel="0" collapsed="false">
      <c r="A348" s="10" t="s">
        <v>1000</v>
      </c>
      <c r="B348" s="8" t="n">
        <v>45869</v>
      </c>
      <c r="C348" s="10" t="s">
        <v>143</v>
      </c>
      <c r="D348" s="10" t="s">
        <v>1001</v>
      </c>
      <c r="E348" s="12" t="n">
        <v>752.37</v>
      </c>
      <c r="F348" s="10" t="s">
        <v>40</v>
      </c>
      <c r="G348" s="9" t="n">
        <f aca="false">VALUE(LEFT(TEXT(E348,"0.00"),1))</f>
        <v>7</v>
      </c>
      <c r="H348" s="0" t="str">
        <f aca="false">UPPER(SUBSTITUTE(SUBSTITUTE(SUBSTITUTE(D348," ",""),"/",""),".",""))</f>
        <v>INV12005</v>
      </c>
      <c r="I348" s="9" t="n">
        <f aca="false">IF(COUNTIFS($C$5:C348,C348,$H$5:H348,H348,$E$5:E348,E348)&gt;1,1,0)</f>
        <v>0</v>
      </c>
      <c r="J348" s="9" t="n">
        <f aca="false">IF(AND(I348=0,COUNTIFS($C$5:$C$634,C348,$E$5:$E$634,E348,$B$5:$B$634,"&gt;="&amp;(B348-Parameters!$B$12),$B$5:$B$634,"&lt;="&amp;(B348+Parameters!$B$12),$H$5:$H$634,"&lt;&gt;"&amp;H348)&gt;0),1,0)</f>
        <v>0</v>
      </c>
      <c r="K348" s="9" t="n">
        <f aca="false">IF(AND(E348&gt;=Parameters!$B$11,ROUND(MOD(ROUND(E348,2),Parameters!$B$10),2)=0),1,0)</f>
        <v>0</v>
      </c>
      <c r="L348" s="9" t="n">
        <f aca="false">IF(AND(E348&lt;Parameters!$B$7,E348&gt;=Parameters!$B$7*(1-Parameters!$B$9)),1,0)</f>
        <v>0</v>
      </c>
      <c r="M348" s="9" t="n">
        <f aca="false">IF(AND(E348&lt;Parameters!$B$7,COUNTIFS($C$5:$C$634,C348,$B$5:$B$634,B348)&gt;1,SUMIFS($E$5:$E$634,$C$5:$C$634,C348,$B$5:$B$634,B348)&gt;=Parameters!$B$7),1,0)</f>
        <v>0</v>
      </c>
      <c r="N348" s="9" t="n">
        <f aca="false">IF(AND(E348&gt;=Parameters!$B$7,F348&lt;&gt;Parameters!$B$8),1,0)</f>
        <v>0</v>
      </c>
      <c r="O348" s="9" t="n">
        <f aca="false">INDEX(Vendor_Benford!$N$6:$N$50,MATCH(C348,Vendor_Benford!$A$6:$A$50,0))</f>
        <v>0</v>
      </c>
      <c r="P348" s="9" t="n">
        <f aca="false">INDEX(Vendor_Benford!$M$6:$M$50,MATCH(C348,Vendor_Benford!$A$6:$A$50,0))</f>
        <v>0</v>
      </c>
      <c r="Q348" s="9" t="n">
        <f aca="false">I348*Parameters!$B$28+J348*Parameters!$B$29+K348*Parameters!$B$30+L348*Parameters!$B$31+M348*Parameters!$B$32+N348*Parameters!$B$33+O348*Parameters!$B$34+P348*Parameters!$B$35</f>
        <v>0</v>
      </c>
      <c r="R348" s="0" t="str">
        <f aca="false">IF(Q348&gt;=Parameters!$B$24,"High","")</f>
        <v/>
      </c>
    </row>
    <row r="349" customFormat="false" ht="15" hidden="false" customHeight="false" outlineLevel="0" collapsed="false">
      <c r="A349" s="10" t="s">
        <v>1002</v>
      </c>
      <c r="B349" s="8" t="n">
        <v>45869</v>
      </c>
      <c r="C349" s="10" t="s">
        <v>212</v>
      </c>
      <c r="D349" s="10" t="s">
        <v>1003</v>
      </c>
      <c r="E349" s="12" t="n">
        <v>21996.03</v>
      </c>
      <c r="F349" s="10" t="s">
        <v>40</v>
      </c>
      <c r="G349" s="9" t="n">
        <f aca="false">VALUE(LEFT(TEXT(E349,"0.00"),1))</f>
        <v>2</v>
      </c>
      <c r="H349" s="0" t="str">
        <f aca="false">UPPER(SUBSTITUTE(SUBSTITUTE(SUBSTITUTE(D349," ",""),"/",""),".",""))</f>
        <v>INV35004</v>
      </c>
      <c r="I349" s="9" t="n">
        <f aca="false">IF(COUNTIFS($C$5:C349,C349,$H$5:H349,H349,$E$5:E349,E349)&gt;1,1,0)</f>
        <v>0</v>
      </c>
      <c r="J349" s="9" t="n">
        <f aca="false">IF(AND(I349=0,COUNTIFS($C$5:$C$634,C349,$E$5:$E$634,E349,$B$5:$B$634,"&gt;="&amp;(B349-Parameters!$B$12),$B$5:$B$634,"&lt;="&amp;(B349+Parameters!$B$12),$H$5:$H$634,"&lt;&gt;"&amp;H349)&gt;0),1,0)</f>
        <v>0</v>
      </c>
      <c r="K349" s="9" t="n">
        <f aca="false">IF(AND(E349&gt;=Parameters!$B$11,ROUND(MOD(ROUND(E349,2),Parameters!$B$10),2)=0),1,0)</f>
        <v>0</v>
      </c>
      <c r="L349" s="9" t="n">
        <f aca="false">IF(AND(E349&lt;Parameters!$B$7,E349&gt;=Parameters!$B$7*(1-Parameters!$B$9)),1,0)</f>
        <v>0</v>
      </c>
      <c r="M349" s="9" t="n">
        <f aca="false">IF(AND(E349&lt;Parameters!$B$7,COUNTIFS($C$5:$C$634,C349,$B$5:$B$634,B349)&gt;1,SUMIFS($E$5:$E$634,$C$5:$C$634,C349,$B$5:$B$634,B349)&gt;=Parameters!$B$7),1,0)</f>
        <v>0</v>
      </c>
      <c r="N349" s="9" t="n">
        <f aca="false">IF(AND(E349&gt;=Parameters!$B$7,F349&lt;&gt;Parameters!$B$8),1,0)</f>
        <v>0</v>
      </c>
      <c r="O349" s="9" t="n">
        <f aca="false">INDEX(Vendor_Benford!$N$6:$N$50,MATCH(C349,Vendor_Benford!$A$6:$A$50,0))</f>
        <v>0</v>
      </c>
      <c r="P349" s="9" t="n">
        <f aca="false">INDEX(Vendor_Benford!$M$6:$M$50,MATCH(C349,Vendor_Benford!$A$6:$A$50,0))</f>
        <v>0</v>
      </c>
      <c r="Q349" s="9" t="n">
        <f aca="false">I349*Parameters!$B$28+J349*Parameters!$B$29+K349*Parameters!$B$30+L349*Parameters!$B$31+M349*Parameters!$B$32+N349*Parameters!$B$33+O349*Parameters!$B$34+P349*Parameters!$B$35</f>
        <v>0</v>
      </c>
      <c r="R349" s="0" t="str">
        <f aca="false">IF(Q349&gt;=Parameters!$B$24,"High","")</f>
        <v/>
      </c>
    </row>
    <row r="350" customFormat="false" ht="15" hidden="false" customHeight="false" outlineLevel="0" collapsed="false">
      <c r="A350" s="10" t="s">
        <v>1004</v>
      </c>
      <c r="B350" s="8" t="n">
        <v>45869</v>
      </c>
      <c r="C350" s="10" t="s">
        <v>221</v>
      </c>
      <c r="D350" s="10" t="s">
        <v>1005</v>
      </c>
      <c r="E350" s="12" t="n">
        <v>13234.65</v>
      </c>
      <c r="F350" s="10" t="s">
        <v>40</v>
      </c>
      <c r="G350" s="9" t="n">
        <f aca="false">VALUE(LEFT(TEXT(E350,"0.00"),1))</f>
        <v>1</v>
      </c>
      <c r="H350" s="0" t="str">
        <f aca="false">UPPER(SUBSTITUTE(SUBSTITUTE(SUBSTITUTE(D350," ",""),"/",""),".",""))</f>
        <v>INV38006</v>
      </c>
      <c r="I350" s="9" t="n">
        <f aca="false">IF(COUNTIFS($C$5:C350,C350,$H$5:H350,H350,$E$5:E350,E350)&gt;1,1,0)</f>
        <v>0</v>
      </c>
      <c r="J350" s="9" t="n">
        <f aca="false">IF(AND(I350=0,COUNTIFS($C$5:$C$634,C350,$E$5:$E$634,E350,$B$5:$B$634,"&gt;="&amp;(B350-Parameters!$B$12),$B$5:$B$634,"&lt;="&amp;(B350+Parameters!$B$12),$H$5:$H$634,"&lt;&gt;"&amp;H350)&gt;0),1,0)</f>
        <v>0</v>
      </c>
      <c r="K350" s="9" t="n">
        <f aca="false">IF(AND(E350&gt;=Parameters!$B$11,ROUND(MOD(ROUND(E350,2),Parameters!$B$10),2)=0),1,0)</f>
        <v>0</v>
      </c>
      <c r="L350" s="9" t="n">
        <f aca="false">IF(AND(E350&lt;Parameters!$B$7,E350&gt;=Parameters!$B$7*(1-Parameters!$B$9)),1,0)</f>
        <v>0</v>
      </c>
      <c r="M350" s="9" t="n">
        <f aca="false">IF(AND(E350&lt;Parameters!$B$7,COUNTIFS($C$5:$C$634,C350,$B$5:$B$634,B350)&gt;1,SUMIFS($E$5:$E$634,$C$5:$C$634,C350,$B$5:$B$634,B350)&gt;=Parameters!$B$7),1,0)</f>
        <v>0</v>
      </c>
      <c r="N350" s="9" t="n">
        <f aca="false">IF(AND(E350&gt;=Parameters!$B$7,F350&lt;&gt;Parameters!$B$8),1,0)</f>
        <v>0</v>
      </c>
      <c r="O350" s="9" t="n">
        <f aca="false">INDEX(Vendor_Benford!$N$6:$N$50,MATCH(C350,Vendor_Benford!$A$6:$A$50,0))</f>
        <v>1</v>
      </c>
      <c r="P350" s="9" t="n">
        <f aca="false">INDEX(Vendor_Benford!$M$6:$M$50,MATCH(C350,Vendor_Benford!$A$6:$A$50,0))</f>
        <v>0</v>
      </c>
      <c r="Q350" s="9" t="n">
        <f aca="false">I350*Parameters!$B$28+J350*Parameters!$B$29+K350*Parameters!$B$30+L350*Parameters!$B$31+M350*Parameters!$B$32+N350*Parameters!$B$33+O350*Parameters!$B$34+P350*Parameters!$B$35</f>
        <v>5</v>
      </c>
      <c r="R350" s="0" t="str">
        <f aca="false">IF(Q350&gt;=Parameters!$B$24,"High","")</f>
        <v>High</v>
      </c>
    </row>
    <row r="351" customFormat="false" ht="15" hidden="false" customHeight="false" outlineLevel="0" collapsed="false">
      <c r="A351" s="10" t="s">
        <v>1006</v>
      </c>
      <c r="B351" s="8" t="n">
        <v>45869</v>
      </c>
      <c r="C351" s="10" t="s">
        <v>239</v>
      </c>
      <c r="D351" s="10" t="s">
        <v>1007</v>
      </c>
      <c r="E351" s="12" t="n">
        <v>438.58</v>
      </c>
      <c r="F351" s="10" t="s">
        <v>40</v>
      </c>
      <c r="G351" s="9" t="n">
        <f aca="false">VALUE(LEFT(TEXT(E351,"0.00"),1))</f>
        <v>4</v>
      </c>
      <c r="H351" s="0" t="str">
        <f aca="false">UPPER(SUBSTITUTE(SUBSTITUTE(SUBSTITUTE(D351," ",""),"/",""),".",""))</f>
        <v>INV44010</v>
      </c>
      <c r="I351" s="9" t="n">
        <f aca="false">IF(COUNTIFS($C$5:C351,C351,$H$5:H351,H351,$E$5:E351,E351)&gt;1,1,0)</f>
        <v>0</v>
      </c>
      <c r="J351" s="9" t="n">
        <f aca="false">IF(AND(I351=0,COUNTIFS($C$5:$C$634,C351,$E$5:$E$634,E351,$B$5:$B$634,"&gt;="&amp;(B351-Parameters!$B$12),$B$5:$B$634,"&lt;="&amp;(B351+Parameters!$B$12),$H$5:$H$634,"&lt;&gt;"&amp;H351)&gt;0),1,0)</f>
        <v>0</v>
      </c>
      <c r="K351" s="9" t="n">
        <f aca="false">IF(AND(E351&gt;=Parameters!$B$11,ROUND(MOD(ROUND(E351,2),Parameters!$B$10),2)=0),1,0)</f>
        <v>0</v>
      </c>
      <c r="L351" s="9" t="n">
        <f aca="false">IF(AND(E351&lt;Parameters!$B$7,E351&gt;=Parameters!$B$7*(1-Parameters!$B$9)),1,0)</f>
        <v>0</v>
      </c>
      <c r="M351" s="9" t="n">
        <f aca="false">IF(AND(E351&lt;Parameters!$B$7,COUNTIFS($C$5:$C$634,C351,$B$5:$B$634,B351)&gt;1,SUMIFS($E$5:$E$634,$C$5:$C$634,C351,$B$5:$B$634,B351)&gt;=Parameters!$B$7),1,0)</f>
        <v>0</v>
      </c>
      <c r="N351" s="9" t="n">
        <f aca="false">IF(AND(E351&gt;=Parameters!$B$7,F351&lt;&gt;Parameters!$B$8),1,0)</f>
        <v>0</v>
      </c>
      <c r="O351" s="9" t="n">
        <f aca="false">INDEX(Vendor_Benford!$N$6:$N$50,MATCH(C351,Vendor_Benford!$A$6:$A$50,0))</f>
        <v>0</v>
      </c>
      <c r="P351" s="9" t="n">
        <f aca="false">INDEX(Vendor_Benford!$M$6:$M$50,MATCH(C351,Vendor_Benford!$A$6:$A$50,0))</f>
        <v>0</v>
      </c>
      <c r="Q351" s="9" t="n">
        <f aca="false">I351*Parameters!$B$28+J351*Parameters!$B$29+K351*Parameters!$B$30+L351*Parameters!$B$31+M351*Parameters!$B$32+N351*Parameters!$B$33+O351*Parameters!$B$34+P351*Parameters!$B$35</f>
        <v>0</v>
      </c>
      <c r="R351" s="0" t="str">
        <f aca="false">IF(Q351&gt;=Parameters!$B$24,"High","")</f>
        <v/>
      </c>
    </row>
    <row r="352" customFormat="false" ht="15" hidden="false" customHeight="false" outlineLevel="0" collapsed="false">
      <c r="A352" s="10" t="s">
        <v>1008</v>
      </c>
      <c r="B352" s="8" t="n">
        <v>45870</v>
      </c>
      <c r="C352" s="10" t="s">
        <v>155</v>
      </c>
      <c r="D352" s="10" t="s">
        <v>1009</v>
      </c>
      <c r="E352" s="12" t="n">
        <v>489.54</v>
      </c>
      <c r="F352" s="10" t="s">
        <v>347</v>
      </c>
      <c r="G352" s="9" t="n">
        <f aca="false">VALUE(LEFT(TEXT(E352,"0.00"),1))</f>
        <v>4</v>
      </c>
      <c r="H352" s="0" t="str">
        <f aca="false">UPPER(SUBSTITUTE(SUBSTITUTE(SUBSTITUTE(D352," ",""),"/",""),".",""))</f>
        <v>INV16005</v>
      </c>
      <c r="I352" s="9" t="n">
        <f aca="false">IF(COUNTIFS($C$5:C352,C352,$H$5:H352,H352,$E$5:E352,E352)&gt;1,1,0)</f>
        <v>0</v>
      </c>
      <c r="J352" s="9" t="n">
        <f aca="false">IF(AND(I352=0,COUNTIFS($C$5:$C$634,C352,$E$5:$E$634,E352,$B$5:$B$634,"&gt;="&amp;(B352-Parameters!$B$12),$B$5:$B$634,"&lt;="&amp;(B352+Parameters!$B$12),$H$5:$H$634,"&lt;&gt;"&amp;H352)&gt;0),1,0)</f>
        <v>1</v>
      </c>
      <c r="K352" s="9" t="n">
        <f aca="false">IF(AND(E352&gt;=Parameters!$B$11,ROUND(MOD(ROUND(E352,2),Parameters!$B$10),2)=0),1,0)</f>
        <v>0</v>
      </c>
      <c r="L352" s="9" t="n">
        <f aca="false">IF(AND(E352&lt;Parameters!$B$7,E352&gt;=Parameters!$B$7*(1-Parameters!$B$9)),1,0)</f>
        <v>0</v>
      </c>
      <c r="M352" s="9" t="n">
        <f aca="false">IF(AND(E352&lt;Parameters!$B$7,COUNTIFS($C$5:$C$634,C352,$B$5:$B$634,B352)&gt;1,SUMIFS($E$5:$E$634,$C$5:$C$634,C352,$B$5:$B$634,B352)&gt;=Parameters!$B$7),1,0)</f>
        <v>0</v>
      </c>
      <c r="N352" s="9" t="n">
        <f aca="false">IF(AND(E352&gt;=Parameters!$B$7,F352&lt;&gt;Parameters!$B$8),1,0)</f>
        <v>0</v>
      </c>
      <c r="O352" s="9" t="n">
        <f aca="false">INDEX(Vendor_Benford!$N$6:$N$50,MATCH(C352,Vendor_Benford!$A$6:$A$50,0))</f>
        <v>0</v>
      </c>
      <c r="P352" s="9" t="n">
        <f aca="false">INDEX(Vendor_Benford!$M$6:$M$50,MATCH(C352,Vendor_Benford!$A$6:$A$50,0))</f>
        <v>0</v>
      </c>
      <c r="Q352" s="9" t="n">
        <f aca="false">I352*Parameters!$B$28+J352*Parameters!$B$29+K352*Parameters!$B$30+L352*Parameters!$B$31+M352*Parameters!$B$32+N352*Parameters!$B$33+O352*Parameters!$B$34+P352*Parameters!$B$35</f>
        <v>3</v>
      </c>
      <c r="R352" s="0" t="str">
        <f aca="false">IF(Q352&gt;=Parameters!$B$24,"High","")</f>
        <v/>
      </c>
    </row>
    <row r="353" customFormat="false" ht="15" hidden="false" customHeight="false" outlineLevel="0" collapsed="false">
      <c r="A353" s="10" t="s">
        <v>1010</v>
      </c>
      <c r="B353" s="8" t="n">
        <v>45870</v>
      </c>
      <c r="C353" s="10" t="s">
        <v>191</v>
      </c>
      <c r="D353" s="10" t="s">
        <v>1011</v>
      </c>
      <c r="E353" s="12" t="n">
        <v>174.08</v>
      </c>
      <c r="F353" s="10" t="s">
        <v>347</v>
      </c>
      <c r="G353" s="9" t="n">
        <f aca="false">VALUE(LEFT(TEXT(E353,"0.00"),1))</f>
        <v>1</v>
      </c>
      <c r="H353" s="0" t="str">
        <f aca="false">UPPER(SUBSTITUTE(SUBSTITUTE(SUBSTITUTE(D353," ",""),"/",""),".",""))</f>
        <v>INV28004</v>
      </c>
      <c r="I353" s="9" t="n">
        <f aca="false">IF(COUNTIFS($C$5:C353,C353,$H$5:H353,H353,$E$5:E353,E353)&gt;1,1,0)</f>
        <v>0</v>
      </c>
      <c r="J353" s="9" t="n">
        <f aca="false">IF(AND(I353=0,COUNTIFS($C$5:$C$634,C353,$E$5:$E$634,E353,$B$5:$B$634,"&gt;="&amp;(B353-Parameters!$B$12),$B$5:$B$634,"&lt;="&amp;(B353+Parameters!$B$12),$H$5:$H$634,"&lt;&gt;"&amp;H353)&gt;0),1,0)</f>
        <v>0</v>
      </c>
      <c r="K353" s="9" t="n">
        <f aca="false">IF(AND(E353&gt;=Parameters!$B$11,ROUND(MOD(ROUND(E353,2),Parameters!$B$10),2)=0),1,0)</f>
        <v>0</v>
      </c>
      <c r="L353" s="9" t="n">
        <f aca="false">IF(AND(E353&lt;Parameters!$B$7,E353&gt;=Parameters!$B$7*(1-Parameters!$B$9)),1,0)</f>
        <v>0</v>
      </c>
      <c r="M353" s="9" t="n">
        <f aca="false">IF(AND(E353&lt;Parameters!$B$7,COUNTIFS($C$5:$C$634,C353,$B$5:$B$634,B353)&gt;1,SUMIFS($E$5:$E$634,$C$5:$C$634,C353,$B$5:$B$634,B353)&gt;=Parameters!$B$7),1,0)</f>
        <v>0</v>
      </c>
      <c r="N353" s="9" t="n">
        <f aca="false">IF(AND(E353&gt;=Parameters!$B$7,F353&lt;&gt;Parameters!$B$8),1,0)</f>
        <v>0</v>
      </c>
      <c r="O353" s="9" t="n">
        <f aca="false">INDEX(Vendor_Benford!$N$6:$N$50,MATCH(C353,Vendor_Benford!$A$6:$A$50,0))</f>
        <v>0</v>
      </c>
      <c r="P353" s="9" t="n">
        <f aca="false">INDEX(Vendor_Benford!$M$6:$M$50,MATCH(C353,Vendor_Benford!$A$6:$A$50,0))</f>
        <v>0</v>
      </c>
      <c r="Q353" s="9" t="n">
        <f aca="false">I353*Parameters!$B$28+J353*Parameters!$B$29+K353*Parameters!$B$30+L353*Parameters!$B$31+M353*Parameters!$B$32+N353*Parameters!$B$33+O353*Parameters!$B$34+P353*Parameters!$B$35</f>
        <v>0</v>
      </c>
      <c r="R353" s="0" t="str">
        <f aca="false">IF(Q353&gt;=Parameters!$B$24,"High","")</f>
        <v/>
      </c>
    </row>
    <row r="354" customFormat="false" ht="15" hidden="false" customHeight="false" outlineLevel="0" collapsed="false">
      <c r="A354" s="10" t="s">
        <v>1012</v>
      </c>
      <c r="B354" s="8" t="n">
        <v>45870</v>
      </c>
      <c r="C354" s="10" t="s">
        <v>233</v>
      </c>
      <c r="D354" s="10" t="s">
        <v>1013</v>
      </c>
      <c r="E354" s="12" t="n">
        <v>19136.38</v>
      </c>
      <c r="F354" s="10" t="s">
        <v>40</v>
      </c>
      <c r="G354" s="9" t="n">
        <f aca="false">VALUE(LEFT(TEXT(E354,"0.00"),1))</f>
        <v>1</v>
      </c>
      <c r="H354" s="0" t="str">
        <f aca="false">UPPER(SUBSTITUTE(SUBSTITUTE(SUBSTITUTE(D354," ",""),"/",""),".",""))</f>
        <v>INV42005</v>
      </c>
      <c r="I354" s="9" t="n">
        <f aca="false">IF(COUNTIFS($C$5:C354,C354,$H$5:H354,H354,$E$5:E354,E354)&gt;1,1,0)</f>
        <v>0</v>
      </c>
      <c r="J354" s="9" t="n">
        <f aca="false">IF(AND(I354=0,COUNTIFS($C$5:$C$634,C354,$E$5:$E$634,E354,$B$5:$B$634,"&gt;="&amp;(B354-Parameters!$B$12),$B$5:$B$634,"&lt;="&amp;(B354+Parameters!$B$12),$H$5:$H$634,"&lt;&gt;"&amp;H354)&gt;0),1,0)</f>
        <v>0</v>
      </c>
      <c r="K354" s="9" t="n">
        <f aca="false">IF(AND(E354&gt;=Parameters!$B$11,ROUND(MOD(ROUND(E354,2),Parameters!$B$10),2)=0),1,0)</f>
        <v>0</v>
      </c>
      <c r="L354" s="9" t="n">
        <f aca="false">IF(AND(E354&lt;Parameters!$B$7,E354&gt;=Parameters!$B$7*(1-Parameters!$B$9)),1,0)</f>
        <v>0</v>
      </c>
      <c r="M354" s="9" t="n">
        <f aca="false">IF(AND(E354&lt;Parameters!$B$7,COUNTIFS($C$5:$C$634,C354,$B$5:$B$634,B354)&gt;1,SUMIFS($E$5:$E$634,$C$5:$C$634,C354,$B$5:$B$634,B354)&gt;=Parameters!$B$7),1,0)</f>
        <v>0</v>
      </c>
      <c r="N354" s="9" t="n">
        <f aca="false">IF(AND(E354&gt;=Parameters!$B$7,F354&lt;&gt;Parameters!$B$8),1,0)</f>
        <v>0</v>
      </c>
      <c r="O354" s="9" t="n">
        <f aca="false">INDEX(Vendor_Benford!$N$6:$N$50,MATCH(C354,Vendor_Benford!$A$6:$A$50,0))</f>
        <v>0</v>
      </c>
      <c r="P354" s="9" t="n">
        <f aca="false">INDEX(Vendor_Benford!$M$6:$M$50,MATCH(C354,Vendor_Benford!$A$6:$A$50,0))</f>
        <v>0</v>
      </c>
      <c r="Q354" s="9" t="n">
        <f aca="false">I354*Parameters!$B$28+J354*Parameters!$B$29+K354*Parameters!$B$30+L354*Parameters!$B$31+M354*Parameters!$B$32+N354*Parameters!$B$33+O354*Parameters!$B$34+P354*Parameters!$B$35</f>
        <v>0</v>
      </c>
      <c r="R354" s="0" t="str">
        <f aca="false">IF(Q354&gt;=Parameters!$B$24,"High","")</f>
        <v/>
      </c>
    </row>
    <row r="355" customFormat="false" ht="15" hidden="false" customHeight="false" outlineLevel="0" collapsed="false">
      <c r="A355" s="10" t="s">
        <v>1014</v>
      </c>
      <c r="B355" s="8" t="n">
        <v>45873</v>
      </c>
      <c r="C355" s="10" t="s">
        <v>110</v>
      </c>
      <c r="D355" s="10" t="s">
        <v>1015</v>
      </c>
      <c r="E355" s="12" t="n">
        <v>85000</v>
      </c>
      <c r="F355" s="10" t="s">
        <v>40</v>
      </c>
      <c r="G355" s="9" t="n">
        <f aca="false">VALUE(LEFT(TEXT(E355,"0.00"),1))</f>
        <v>8</v>
      </c>
      <c r="H355" s="0" t="str">
        <f aca="false">UPPER(SUBSTITUTE(SUBSTITUTE(SUBSTITUTE(D355," ",""),"/",""),".",""))</f>
        <v>RENT2508</v>
      </c>
      <c r="I355" s="9" t="n">
        <f aca="false">IF(COUNTIFS($C$5:C355,C355,$H$5:H355,H355,$E$5:E355,E355)&gt;1,1,0)</f>
        <v>0</v>
      </c>
      <c r="J355" s="9" t="n">
        <f aca="false">IF(AND(I355=0,COUNTIFS($C$5:$C$634,C355,$E$5:$E$634,E355,$B$5:$B$634,"&gt;="&amp;(B355-Parameters!$B$12),$B$5:$B$634,"&lt;="&amp;(B355+Parameters!$B$12),$H$5:$H$634,"&lt;&gt;"&amp;H355)&gt;0),1,0)</f>
        <v>0</v>
      </c>
      <c r="K355" s="9" t="n">
        <f aca="false">IF(AND(E355&gt;=Parameters!$B$11,ROUND(MOD(ROUND(E355,2),Parameters!$B$10),2)=0),1,0)</f>
        <v>1</v>
      </c>
      <c r="L355" s="9" t="n">
        <f aca="false">IF(AND(E355&lt;Parameters!$B$7,E355&gt;=Parameters!$B$7*(1-Parameters!$B$9)),1,0)</f>
        <v>0</v>
      </c>
      <c r="M355" s="9" t="n">
        <f aca="false">IF(AND(E355&lt;Parameters!$B$7,COUNTIFS($C$5:$C$634,C355,$B$5:$B$634,B355)&gt;1,SUMIFS($E$5:$E$634,$C$5:$C$634,C355,$B$5:$B$634,B355)&gt;=Parameters!$B$7),1,0)</f>
        <v>0</v>
      </c>
      <c r="N355" s="9" t="n">
        <f aca="false">IF(AND(E355&gt;=Parameters!$B$7,F355&lt;&gt;Parameters!$B$8),1,0)</f>
        <v>0</v>
      </c>
      <c r="O355" s="9" t="n">
        <f aca="false">INDEX(Vendor_Benford!$N$6:$N$50,MATCH(C355,Vendor_Benford!$A$6:$A$50,0))</f>
        <v>0</v>
      </c>
      <c r="P355" s="9" t="n">
        <f aca="false">INDEX(Vendor_Benford!$M$6:$M$50,MATCH(C355,Vendor_Benford!$A$6:$A$50,0))</f>
        <v>0</v>
      </c>
      <c r="Q355" s="9" t="n">
        <f aca="false">I355*Parameters!$B$28+J355*Parameters!$B$29+K355*Parameters!$B$30+L355*Parameters!$B$31+M355*Parameters!$B$32+N355*Parameters!$B$33+O355*Parameters!$B$34+P355*Parameters!$B$35</f>
        <v>2</v>
      </c>
      <c r="R355" s="0" t="str">
        <f aca="false">IF(Q355&gt;=Parameters!$B$24,"High","")</f>
        <v/>
      </c>
    </row>
    <row r="356" customFormat="false" ht="15" hidden="false" customHeight="false" outlineLevel="0" collapsed="false">
      <c r="A356" s="10" t="s">
        <v>1016</v>
      </c>
      <c r="B356" s="8" t="n">
        <v>45873</v>
      </c>
      <c r="C356" s="10" t="s">
        <v>131</v>
      </c>
      <c r="D356" s="10" t="s">
        <v>1017</v>
      </c>
      <c r="E356" s="12" t="n">
        <v>82162.48</v>
      </c>
      <c r="F356" s="10" t="s">
        <v>40</v>
      </c>
      <c r="G356" s="9" t="n">
        <f aca="false">VALUE(LEFT(TEXT(E356,"0.00"),1))</f>
        <v>8</v>
      </c>
      <c r="H356" s="0" t="str">
        <f aca="false">UPPER(SUBSTITUTE(SUBSTITUTE(SUBSTITUTE(D356," ",""),"/",""),".",""))</f>
        <v>INV8012</v>
      </c>
      <c r="I356" s="9" t="n">
        <f aca="false">IF(COUNTIFS($C$5:C356,C356,$H$5:H356,H356,$E$5:E356,E356)&gt;1,1,0)</f>
        <v>0</v>
      </c>
      <c r="J356" s="9" t="n">
        <f aca="false">IF(AND(I356=0,COUNTIFS($C$5:$C$634,C356,$E$5:$E$634,E356,$B$5:$B$634,"&gt;="&amp;(B356-Parameters!$B$12),$B$5:$B$634,"&lt;="&amp;(B356+Parameters!$B$12),$H$5:$H$634,"&lt;&gt;"&amp;H356)&gt;0),1,0)</f>
        <v>0</v>
      </c>
      <c r="K356" s="9" t="n">
        <f aca="false">IF(AND(E356&gt;=Parameters!$B$11,ROUND(MOD(ROUND(E356,2),Parameters!$B$10),2)=0),1,0)</f>
        <v>0</v>
      </c>
      <c r="L356" s="9" t="n">
        <f aca="false">IF(AND(E356&lt;Parameters!$B$7,E356&gt;=Parameters!$B$7*(1-Parameters!$B$9)),1,0)</f>
        <v>0</v>
      </c>
      <c r="M356" s="9" t="n">
        <f aca="false">IF(AND(E356&lt;Parameters!$B$7,COUNTIFS($C$5:$C$634,C356,$B$5:$B$634,B356)&gt;1,SUMIFS($E$5:$E$634,$C$5:$C$634,C356,$B$5:$B$634,B356)&gt;=Parameters!$B$7),1,0)</f>
        <v>0</v>
      </c>
      <c r="N356" s="9" t="n">
        <f aca="false">IF(AND(E356&gt;=Parameters!$B$7,F356&lt;&gt;Parameters!$B$8),1,0)</f>
        <v>0</v>
      </c>
      <c r="O356" s="9" t="n">
        <f aca="false">INDEX(Vendor_Benford!$N$6:$N$50,MATCH(C356,Vendor_Benford!$A$6:$A$50,0))</f>
        <v>0</v>
      </c>
      <c r="P356" s="9" t="n">
        <f aca="false">INDEX(Vendor_Benford!$M$6:$M$50,MATCH(C356,Vendor_Benford!$A$6:$A$50,0))</f>
        <v>0</v>
      </c>
      <c r="Q356" s="9" t="n">
        <f aca="false">I356*Parameters!$B$28+J356*Parameters!$B$29+K356*Parameters!$B$30+L356*Parameters!$B$31+M356*Parameters!$B$32+N356*Parameters!$B$33+O356*Parameters!$B$34+P356*Parameters!$B$35</f>
        <v>0</v>
      </c>
      <c r="R356" s="0" t="str">
        <f aca="false">IF(Q356&gt;=Parameters!$B$24,"High","")</f>
        <v/>
      </c>
    </row>
    <row r="357" customFormat="false" ht="15" hidden="false" customHeight="false" outlineLevel="0" collapsed="false">
      <c r="A357" s="10" t="s">
        <v>1018</v>
      </c>
      <c r="B357" s="8" t="n">
        <v>45873</v>
      </c>
      <c r="C357" s="10" t="s">
        <v>200</v>
      </c>
      <c r="D357" s="10" t="s">
        <v>1019</v>
      </c>
      <c r="E357" s="12" t="n">
        <v>4874.02</v>
      </c>
      <c r="F357" s="10" t="s">
        <v>347</v>
      </c>
      <c r="G357" s="9" t="n">
        <f aca="false">VALUE(LEFT(TEXT(E357,"0.00"),1))</f>
        <v>4</v>
      </c>
      <c r="H357" s="0" t="str">
        <f aca="false">UPPER(SUBSTITUTE(SUBSTITUTE(SUBSTITUTE(D357," ",""),"/",""),".",""))</f>
        <v>INV31004</v>
      </c>
      <c r="I357" s="9" t="n">
        <f aca="false">IF(COUNTIFS($C$5:C357,C357,$H$5:H357,H357,$E$5:E357,E357)&gt;1,1,0)</f>
        <v>0</v>
      </c>
      <c r="J357" s="9" t="n">
        <f aca="false">IF(AND(I357=0,COUNTIFS($C$5:$C$634,C357,$E$5:$E$634,E357,$B$5:$B$634,"&gt;="&amp;(B357-Parameters!$B$12),$B$5:$B$634,"&lt;="&amp;(B357+Parameters!$B$12),$H$5:$H$634,"&lt;&gt;"&amp;H357)&gt;0),1,0)</f>
        <v>0</v>
      </c>
      <c r="K357" s="9" t="n">
        <f aca="false">IF(AND(E357&gt;=Parameters!$B$11,ROUND(MOD(ROUND(E357,2),Parameters!$B$10),2)=0),1,0)</f>
        <v>0</v>
      </c>
      <c r="L357" s="9" t="n">
        <f aca="false">IF(AND(E357&lt;Parameters!$B$7,E357&gt;=Parameters!$B$7*(1-Parameters!$B$9)),1,0)</f>
        <v>1</v>
      </c>
      <c r="M357" s="9" t="n">
        <f aca="false">IF(AND(E357&lt;Parameters!$B$7,COUNTIFS($C$5:$C$634,C357,$B$5:$B$634,B357)&gt;1,SUMIFS($E$5:$E$634,$C$5:$C$634,C357,$B$5:$B$634,B357)&gt;=Parameters!$B$7),1,0)</f>
        <v>1</v>
      </c>
      <c r="N357" s="9" t="n">
        <f aca="false">IF(AND(E357&gt;=Parameters!$B$7,F357&lt;&gt;Parameters!$B$8),1,0)</f>
        <v>0</v>
      </c>
      <c r="O357" s="9" t="n">
        <f aca="false">INDEX(Vendor_Benford!$N$6:$N$50,MATCH(C357,Vendor_Benford!$A$6:$A$50,0))</f>
        <v>0</v>
      </c>
      <c r="P357" s="9" t="n">
        <f aca="false">INDEX(Vendor_Benford!$M$6:$M$50,MATCH(C357,Vendor_Benford!$A$6:$A$50,0))</f>
        <v>1</v>
      </c>
      <c r="Q357" s="9" t="n">
        <f aca="false">I357*Parameters!$B$28+J357*Parameters!$B$29+K357*Parameters!$B$30+L357*Parameters!$B$31+M357*Parameters!$B$32+N357*Parameters!$B$33+O357*Parameters!$B$34+P357*Parameters!$B$35</f>
        <v>7</v>
      </c>
      <c r="R357" s="0" t="str">
        <f aca="false">IF(Q357&gt;=Parameters!$B$24,"High","")</f>
        <v>High</v>
      </c>
    </row>
    <row r="358" customFormat="false" ht="15" hidden="false" customHeight="false" outlineLevel="0" collapsed="false">
      <c r="A358" s="10" t="s">
        <v>1020</v>
      </c>
      <c r="B358" s="8" t="n">
        <v>45873</v>
      </c>
      <c r="C358" s="10" t="s">
        <v>200</v>
      </c>
      <c r="D358" s="10" t="s">
        <v>1021</v>
      </c>
      <c r="E358" s="12" t="n">
        <v>4837.05</v>
      </c>
      <c r="F358" s="10" t="s">
        <v>347</v>
      </c>
      <c r="G358" s="9" t="n">
        <f aca="false">VALUE(LEFT(TEXT(E358,"0.00"),1))</f>
        <v>4</v>
      </c>
      <c r="H358" s="0" t="str">
        <f aca="false">UPPER(SUBSTITUTE(SUBSTITUTE(SUBSTITUTE(D358," ",""),"/",""),".",""))</f>
        <v>INV31035</v>
      </c>
      <c r="I358" s="9" t="n">
        <f aca="false">IF(COUNTIFS($C$5:C358,C358,$H$5:H358,H358,$E$5:E358,E358)&gt;1,1,0)</f>
        <v>0</v>
      </c>
      <c r="J358" s="9" t="n">
        <f aca="false">IF(AND(I358=0,COUNTIFS($C$5:$C$634,C358,$E$5:$E$634,E358,$B$5:$B$634,"&gt;="&amp;(B358-Parameters!$B$12),$B$5:$B$634,"&lt;="&amp;(B358+Parameters!$B$12),$H$5:$H$634,"&lt;&gt;"&amp;H358)&gt;0),1,0)</f>
        <v>0</v>
      </c>
      <c r="K358" s="9" t="n">
        <f aca="false">IF(AND(E358&gt;=Parameters!$B$11,ROUND(MOD(ROUND(E358,2),Parameters!$B$10),2)=0),1,0)</f>
        <v>0</v>
      </c>
      <c r="L358" s="9" t="n">
        <f aca="false">IF(AND(E358&lt;Parameters!$B$7,E358&gt;=Parameters!$B$7*(1-Parameters!$B$9)),1,0)</f>
        <v>1</v>
      </c>
      <c r="M358" s="9" t="n">
        <f aca="false">IF(AND(E358&lt;Parameters!$B$7,COUNTIFS($C$5:$C$634,C358,$B$5:$B$634,B358)&gt;1,SUMIFS($E$5:$E$634,$C$5:$C$634,C358,$B$5:$B$634,B358)&gt;=Parameters!$B$7),1,0)</f>
        <v>1</v>
      </c>
      <c r="N358" s="9" t="n">
        <f aca="false">IF(AND(E358&gt;=Parameters!$B$7,F358&lt;&gt;Parameters!$B$8),1,0)</f>
        <v>0</v>
      </c>
      <c r="O358" s="9" t="n">
        <f aca="false">INDEX(Vendor_Benford!$N$6:$N$50,MATCH(C358,Vendor_Benford!$A$6:$A$50,0))</f>
        <v>0</v>
      </c>
      <c r="P358" s="9" t="n">
        <f aca="false">INDEX(Vendor_Benford!$M$6:$M$50,MATCH(C358,Vendor_Benford!$A$6:$A$50,0))</f>
        <v>1</v>
      </c>
      <c r="Q358" s="9" t="n">
        <f aca="false">I358*Parameters!$B$28+J358*Parameters!$B$29+K358*Parameters!$B$30+L358*Parameters!$B$31+M358*Parameters!$B$32+N358*Parameters!$B$33+O358*Parameters!$B$34+P358*Parameters!$B$35</f>
        <v>7</v>
      </c>
      <c r="R358" s="0" t="str">
        <f aca="false">IF(Q358&gt;=Parameters!$B$24,"High","")</f>
        <v>High</v>
      </c>
    </row>
    <row r="359" customFormat="false" ht="15" hidden="false" customHeight="false" outlineLevel="0" collapsed="false">
      <c r="A359" s="10" t="s">
        <v>1022</v>
      </c>
      <c r="B359" s="8" t="n">
        <v>45873</v>
      </c>
      <c r="C359" s="10" t="s">
        <v>212</v>
      </c>
      <c r="D359" s="10" t="s">
        <v>1023</v>
      </c>
      <c r="E359" s="12" t="n">
        <v>5401.48</v>
      </c>
      <c r="F359" s="10" t="s">
        <v>40</v>
      </c>
      <c r="G359" s="9" t="n">
        <f aca="false">VALUE(LEFT(TEXT(E359,"0.00"),1))</f>
        <v>5</v>
      </c>
      <c r="H359" s="0" t="str">
        <f aca="false">UPPER(SUBSTITUTE(SUBSTITUTE(SUBSTITUTE(D359," ",""),"/",""),".",""))</f>
        <v>INV35007</v>
      </c>
      <c r="I359" s="9" t="n">
        <f aca="false">IF(COUNTIFS($C$5:C359,C359,$H$5:H359,H359,$E$5:E359,E359)&gt;1,1,0)</f>
        <v>0</v>
      </c>
      <c r="J359" s="9" t="n">
        <f aca="false">IF(AND(I359=0,COUNTIFS($C$5:$C$634,C359,$E$5:$E$634,E359,$B$5:$B$634,"&gt;="&amp;(B359-Parameters!$B$12),$B$5:$B$634,"&lt;="&amp;(B359+Parameters!$B$12),$H$5:$H$634,"&lt;&gt;"&amp;H359)&gt;0),1,0)</f>
        <v>0</v>
      </c>
      <c r="K359" s="9" t="n">
        <f aca="false">IF(AND(E359&gt;=Parameters!$B$11,ROUND(MOD(ROUND(E359,2),Parameters!$B$10),2)=0),1,0)</f>
        <v>0</v>
      </c>
      <c r="L359" s="9" t="n">
        <f aca="false">IF(AND(E359&lt;Parameters!$B$7,E359&gt;=Parameters!$B$7*(1-Parameters!$B$9)),1,0)</f>
        <v>0</v>
      </c>
      <c r="M359" s="9" t="n">
        <f aca="false">IF(AND(E359&lt;Parameters!$B$7,COUNTIFS($C$5:$C$634,C359,$B$5:$B$634,B359)&gt;1,SUMIFS($E$5:$E$634,$C$5:$C$634,C359,$B$5:$B$634,B359)&gt;=Parameters!$B$7),1,0)</f>
        <v>0</v>
      </c>
      <c r="N359" s="9" t="n">
        <f aca="false">IF(AND(E359&gt;=Parameters!$B$7,F359&lt;&gt;Parameters!$B$8),1,0)</f>
        <v>0</v>
      </c>
      <c r="O359" s="9" t="n">
        <f aca="false">INDEX(Vendor_Benford!$N$6:$N$50,MATCH(C359,Vendor_Benford!$A$6:$A$50,0))</f>
        <v>0</v>
      </c>
      <c r="P359" s="9" t="n">
        <f aca="false">INDEX(Vendor_Benford!$M$6:$M$50,MATCH(C359,Vendor_Benford!$A$6:$A$50,0))</f>
        <v>0</v>
      </c>
      <c r="Q359" s="9" t="n">
        <f aca="false">I359*Parameters!$B$28+J359*Parameters!$B$29+K359*Parameters!$B$30+L359*Parameters!$B$31+M359*Parameters!$B$32+N359*Parameters!$B$33+O359*Parameters!$B$34+P359*Parameters!$B$35</f>
        <v>0</v>
      </c>
      <c r="R359" s="0" t="str">
        <f aca="false">IF(Q359&gt;=Parameters!$B$24,"High","")</f>
        <v/>
      </c>
    </row>
    <row r="360" customFormat="false" ht="15" hidden="false" customHeight="false" outlineLevel="0" collapsed="false">
      <c r="A360" s="10" t="s">
        <v>1024</v>
      </c>
      <c r="B360" s="8" t="n">
        <v>45873</v>
      </c>
      <c r="C360" s="10" t="s">
        <v>218</v>
      </c>
      <c r="D360" s="10" t="s">
        <v>1025</v>
      </c>
      <c r="E360" s="12" t="n">
        <v>1132.32</v>
      </c>
      <c r="F360" s="10" t="s">
        <v>347</v>
      </c>
      <c r="G360" s="9" t="n">
        <f aca="false">VALUE(LEFT(TEXT(E360,"0.00"),1))</f>
        <v>1</v>
      </c>
      <c r="H360" s="0" t="str">
        <f aca="false">UPPER(SUBSTITUTE(SUBSTITUTE(SUBSTITUTE(D360," ",""),"/",""),".",""))</f>
        <v>INV37013</v>
      </c>
      <c r="I360" s="9" t="n">
        <f aca="false">IF(COUNTIFS($C$5:C360,C360,$H$5:H360,H360,$E$5:E360,E360)&gt;1,1,0)</f>
        <v>0</v>
      </c>
      <c r="J360" s="9" t="n">
        <f aca="false">IF(AND(I360=0,COUNTIFS($C$5:$C$634,C360,$E$5:$E$634,E360,$B$5:$B$634,"&gt;="&amp;(B360-Parameters!$B$12),$B$5:$B$634,"&lt;="&amp;(B360+Parameters!$B$12),$H$5:$H$634,"&lt;&gt;"&amp;H360)&gt;0),1,0)</f>
        <v>0</v>
      </c>
      <c r="K360" s="9" t="n">
        <f aca="false">IF(AND(E360&gt;=Parameters!$B$11,ROUND(MOD(ROUND(E360,2),Parameters!$B$10),2)=0),1,0)</f>
        <v>0</v>
      </c>
      <c r="L360" s="9" t="n">
        <f aca="false">IF(AND(E360&lt;Parameters!$B$7,E360&gt;=Parameters!$B$7*(1-Parameters!$B$9)),1,0)</f>
        <v>0</v>
      </c>
      <c r="M360" s="9" t="n">
        <f aca="false">IF(AND(E360&lt;Parameters!$B$7,COUNTIFS($C$5:$C$634,C360,$B$5:$B$634,B360)&gt;1,SUMIFS($E$5:$E$634,$C$5:$C$634,C360,$B$5:$B$634,B360)&gt;=Parameters!$B$7),1,0)</f>
        <v>0</v>
      </c>
      <c r="N360" s="9" t="n">
        <f aca="false">IF(AND(E360&gt;=Parameters!$B$7,F360&lt;&gt;Parameters!$B$8),1,0)</f>
        <v>0</v>
      </c>
      <c r="O360" s="9" t="n">
        <f aca="false">INDEX(Vendor_Benford!$N$6:$N$50,MATCH(C360,Vendor_Benford!$A$6:$A$50,0))</f>
        <v>0</v>
      </c>
      <c r="P360" s="9" t="n">
        <f aca="false">INDEX(Vendor_Benford!$M$6:$M$50,MATCH(C360,Vendor_Benford!$A$6:$A$50,0))</f>
        <v>0</v>
      </c>
      <c r="Q360" s="9" t="n">
        <f aca="false">I360*Parameters!$B$28+J360*Parameters!$B$29+K360*Parameters!$B$30+L360*Parameters!$B$31+M360*Parameters!$B$32+N360*Parameters!$B$33+O360*Parameters!$B$34+P360*Parameters!$B$35</f>
        <v>0</v>
      </c>
      <c r="R360" s="0" t="str">
        <f aca="false">IF(Q360&gt;=Parameters!$B$24,"High","")</f>
        <v/>
      </c>
    </row>
    <row r="361" customFormat="false" ht="15" hidden="false" customHeight="false" outlineLevel="0" collapsed="false">
      <c r="A361" s="10" t="s">
        <v>1026</v>
      </c>
      <c r="B361" s="8" t="n">
        <v>45873</v>
      </c>
      <c r="C361" s="10" t="s">
        <v>224</v>
      </c>
      <c r="D361" s="10" t="s">
        <v>1027</v>
      </c>
      <c r="E361" s="12" t="n">
        <v>404.41</v>
      </c>
      <c r="F361" s="10" t="s">
        <v>347</v>
      </c>
      <c r="G361" s="9" t="n">
        <f aca="false">VALUE(LEFT(TEXT(E361,"0.00"),1))</f>
        <v>4</v>
      </c>
      <c r="H361" s="0" t="str">
        <f aca="false">UPPER(SUBSTITUTE(SUBSTITUTE(SUBSTITUTE(D361," ",""),"/",""),".",""))</f>
        <v>INV39020</v>
      </c>
      <c r="I361" s="9" t="n">
        <f aca="false">IF(COUNTIFS($C$5:C361,C361,$H$5:H361,H361,$E$5:E361,E361)&gt;1,1,0)</f>
        <v>0</v>
      </c>
      <c r="J361" s="9" t="n">
        <f aca="false">IF(AND(I361=0,COUNTIFS($C$5:$C$634,C361,$E$5:$E$634,E361,$B$5:$B$634,"&gt;="&amp;(B361-Parameters!$B$12),$B$5:$B$634,"&lt;="&amp;(B361+Parameters!$B$12),$H$5:$H$634,"&lt;&gt;"&amp;H361)&gt;0),1,0)</f>
        <v>0</v>
      </c>
      <c r="K361" s="9" t="n">
        <f aca="false">IF(AND(E361&gt;=Parameters!$B$11,ROUND(MOD(ROUND(E361,2),Parameters!$B$10),2)=0),1,0)</f>
        <v>0</v>
      </c>
      <c r="L361" s="9" t="n">
        <f aca="false">IF(AND(E361&lt;Parameters!$B$7,E361&gt;=Parameters!$B$7*(1-Parameters!$B$9)),1,0)</f>
        <v>0</v>
      </c>
      <c r="M361" s="9" t="n">
        <f aca="false">IF(AND(E361&lt;Parameters!$B$7,COUNTIFS($C$5:$C$634,C361,$B$5:$B$634,B361)&gt;1,SUMIFS($E$5:$E$634,$C$5:$C$634,C361,$B$5:$B$634,B361)&gt;=Parameters!$B$7),1,0)</f>
        <v>0</v>
      </c>
      <c r="N361" s="9" t="n">
        <f aca="false">IF(AND(E361&gt;=Parameters!$B$7,F361&lt;&gt;Parameters!$B$8),1,0)</f>
        <v>0</v>
      </c>
      <c r="O361" s="9" t="n">
        <f aca="false">INDEX(Vendor_Benford!$N$6:$N$50,MATCH(C361,Vendor_Benford!$A$6:$A$50,0))</f>
        <v>0</v>
      </c>
      <c r="P361" s="9" t="n">
        <f aca="false">INDEX(Vendor_Benford!$M$6:$M$50,MATCH(C361,Vendor_Benford!$A$6:$A$50,0))</f>
        <v>0</v>
      </c>
      <c r="Q361" s="9" t="n">
        <f aca="false">I361*Parameters!$B$28+J361*Parameters!$B$29+K361*Parameters!$B$30+L361*Parameters!$B$31+M361*Parameters!$B$32+N361*Parameters!$B$33+O361*Parameters!$B$34+P361*Parameters!$B$35</f>
        <v>0</v>
      </c>
      <c r="R361" s="0" t="str">
        <f aca="false">IF(Q361&gt;=Parameters!$B$24,"High","")</f>
        <v/>
      </c>
    </row>
    <row r="362" customFormat="false" ht="15" hidden="false" customHeight="false" outlineLevel="0" collapsed="false">
      <c r="A362" s="10" t="s">
        <v>1028</v>
      </c>
      <c r="B362" s="8" t="n">
        <v>45875</v>
      </c>
      <c r="C362" s="10" t="s">
        <v>122</v>
      </c>
      <c r="D362" s="10" t="s">
        <v>1029</v>
      </c>
      <c r="E362" s="12" t="n">
        <v>3113.66</v>
      </c>
      <c r="F362" s="10" t="s">
        <v>347</v>
      </c>
      <c r="G362" s="9" t="n">
        <f aca="false">VALUE(LEFT(TEXT(E362,"0.00"),1))</f>
        <v>3</v>
      </c>
      <c r="H362" s="0" t="str">
        <f aca="false">UPPER(SUBSTITUTE(SUBSTITUTE(SUBSTITUTE(D362," ",""),"/",""),".",""))</f>
        <v>INV5015</v>
      </c>
      <c r="I362" s="9" t="n">
        <f aca="false">IF(COUNTIFS($C$5:C362,C362,$H$5:H362,H362,$E$5:E362,E362)&gt;1,1,0)</f>
        <v>0</v>
      </c>
      <c r="J362" s="9" t="n">
        <f aca="false">IF(AND(I362=0,COUNTIFS($C$5:$C$634,C362,$E$5:$E$634,E362,$B$5:$B$634,"&gt;="&amp;(B362-Parameters!$B$12),$B$5:$B$634,"&lt;="&amp;(B362+Parameters!$B$12),$H$5:$H$634,"&lt;&gt;"&amp;H362)&gt;0),1,0)</f>
        <v>0</v>
      </c>
      <c r="K362" s="9" t="n">
        <f aca="false">IF(AND(E362&gt;=Parameters!$B$11,ROUND(MOD(ROUND(E362,2),Parameters!$B$10),2)=0),1,0)</f>
        <v>0</v>
      </c>
      <c r="L362" s="9" t="n">
        <f aca="false">IF(AND(E362&lt;Parameters!$B$7,E362&gt;=Parameters!$B$7*(1-Parameters!$B$9)),1,0)</f>
        <v>0</v>
      </c>
      <c r="M362" s="9" t="n">
        <f aca="false">IF(AND(E362&lt;Parameters!$B$7,COUNTIFS($C$5:$C$634,C362,$B$5:$B$634,B362)&gt;1,SUMIFS($E$5:$E$634,$C$5:$C$634,C362,$B$5:$B$634,B362)&gt;=Parameters!$B$7),1,0)</f>
        <v>1</v>
      </c>
      <c r="N362" s="9" t="n">
        <f aca="false">IF(AND(E362&gt;=Parameters!$B$7,F362&lt;&gt;Parameters!$B$8),1,0)</f>
        <v>0</v>
      </c>
      <c r="O362" s="9" t="n">
        <f aca="false">INDEX(Vendor_Benford!$N$6:$N$50,MATCH(C362,Vendor_Benford!$A$6:$A$50,0))</f>
        <v>0</v>
      </c>
      <c r="P362" s="9" t="n">
        <f aca="false">INDEX(Vendor_Benford!$M$6:$M$50,MATCH(C362,Vendor_Benford!$A$6:$A$50,0))</f>
        <v>0</v>
      </c>
      <c r="Q362" s="9" t="n">
        <f aca="false">I362*Parameters!$B$28+J362*Parameters!$B$29+K362*Parameters!$B$30+L362*Parameters!$B$31+M362*Parameters!$B$32+N362*Parameters!$B$33+O362*Parameters!$B$34+P362*Parameters!$B$35</f>
        <v>3</v>
      </c>
      <c r="R362" s="0" t="str">
        <f aca="false">IF(Q362&gt;=Parameters!$B$24,"High","")</f>
        <v/>
      </c>
    </row>
    <row r="363" customFormat="false" ht="15" hidden="false" customHeight="false" outlineLevel="0" collapsed="false">
      <c r="A363" s="10" t="s">
        <v>1030</v>
      </c>
      <c r="B363" s="8" t="n">
        <v>45875</v>
      </c>
      <c r="C363" s="10" t="s">
        <v>122</v>
      </c>
      <c r="D363" s="10" t="s">
        <v>1031</v>
      </c>
      <c r="E363" s="12" t="n">
        <v>2429.7</v>
      </c>
      <c r="F363" s="10" t="s">
        <v>347</v>
      </c>
      <c r="G363" s="9" t="n">
        <f aca="false">VALUE(LEFT(TEXT(E363,"0.00"),1))</f>
        <v>2</v>
      </c>
      <c r="H363" s="0" t="str">
        <f aca="false">UPPER(SUBSTITUTE(SUBSTITUTE(SUBSTITUTE(D363," ",""),"/",""),".",""))</f>
        <v>INV5016</v>
      </c>
      <c r="I363" s="9" t="n">
        <f aca="false">IF(COUNTIFS($C$5:C363,C363,$H$5:H363,H363,$E$5:E363,E363)&gt;1,1,0)</f>
        <v>0</v>
      </c>
      <c r="J363" s="9" t="n">
        <f aca="false">IF(AND(I363=0,COUNTIFS($C$5:$C$634,C363,$E$5:$E$634,E363,$B$5:$B$634,"&gt;="&amp;(B363-Parameters!$B$12),$B$5:$B$634,"&lt;="&amp;(B363+Parameters!$B$12),$H$5:$H$634,"&lt;&gt;"&amp;H363)&gt;0),1,0)</f>
        <v>0</v>
      </c>
      <c r="K363" s="9" t="n">
        <f aca="false">IF(AND(E363&gt;=Parameters!$B$11,ROUND(MOD(ROUND(E363,2),Parameters!$B$10),2)=0),1,0)</f>
        <v>0</v>
      </c>
      <c r="L363" s="9" t="n">
        <f aca="false">IF(AND(E363&lt;Parameters!$B$7,E363&gt;=Parameters!$B$7*(1-Parameters!$B$9)),1,0)</f>
        <v>0</v>
      </c>
      <c r="M363" s="9" t="n">
        <f aca="false">IF(AND(E363&lt;Parameters!$B$7,COUNTIFS($C$5:$C$634,C363,$B$5:$B$634,B363)&gt;1,SUMIFS($E$5:$E$634,$C$5:$C$634,C363,$B$5:$B$634,B363)&gt;=Parameters!$B$7),1,0)</f>
        <v>1</v>
      </c>
      <c r="N363" s="9" t="n">
        <f aca="false">IF(AND(E363&gt;=Parameters!$B$7,F363&lt;&gt;Parameters!$B$8),1,0)</f>
        <v>0</v>
      </c>
      <c r="O363" s="9" t="n">
        <f aca="false">INDEX(Vendor_Benford!$N$6:$N$50,MATCH(C363,Vendor_Benford!$A$6:$A$50,0))</f>
        <v>0</v>
      </c>
      <c r="P363" s="9" t="n">
        <f aca="false">INDEX(Vendor_Benford!$M$6:$M$50,MATCH(C363,Vendor_Benford!$A$6:$A$50,0))</f>
        <v>0</v>
      </c>
      <c r="Q363" s="9" t="n">
        <f aca="false">I363*Parameters!$B$28+J363*Parameters!$B$29+K363*Parameters!$B$30+L363*Parameters!$B$31+M363*Parameters!$B$32+N363*Parameters!$B$33+O363*Parameters!$B$34+P363*Parameters!$B$35</f>
        <v>3</v>
      </c>
      <c r="R363" s="0" t="str">
        <f aca="false">IF(Q363&gt;=Parameters!$B$24,"High","")</f>
        <v/>
      </c>
    </row>
    <row r="364" customFormat="false" ht="15" hidden="false" customHeight="false" outlineLevel="0" collapsed="false">
      <c r="A364" s="10" t="s">
        <v>1032</v>
      </c>
      <c r="B364" s="8" t="n">
        <v>45875</v>
      </c>
      <c r="C364" s="10" t="s">
        <v>122</v>
      </c>
      <c r="D364" s="10" t="s">
        <v>1033</v>
      </c>
      <c r="E364" s="12" t="n">
        <v>3072.75</v>
      </c>
      <c r="F364" s="10" t="s">
        <v>347</v>
      </c>
      <c r="G364" s="9" t="n">
        <f aca="false">VALUE(LEFT(TEXT(E364,"0.00"),1))</f>
        <v>3</v>
      </c>
      <c r="H364" s="0" t="str">
        <f aca="false">UPPER(SUBSTITUTE(SUBSTITUTE(SUBSTITUTE(D364," ",""),"/",""),".",""))</f>
        <v>INV5017</v>
      </c>
      <c r="I364" s="9" t="n">
        <f aca="false">IF(COUNTIFS($C$5:C364,C364,$H$5:H364,H364,$E$5:E364,E364)&gt;1,1,0)</f>
        <v>0</v>
      </c>
      <c r="J364" s="9" t="n">
        <f aca="false">IF(AND(I364=0,COUNTIFS($C$5:$C$634,C364,$E$5:$E$634,E364,$B$5:$B$634,"&gt;="&amp;(B364-Parameters!$B$12),$B$5:$B$634,"&lt;="&amp;(B364+Parameters!$B$12),$H$5:$H$634,"&lt;&gt;"&amp;H364)&gt;0),1,0)</f>
        <v>0</v>
      </c>
      <c r="K364" s="9" t="n">
        <f aca="false">IF(AND(E364&gt;=Parameters!$B$11,ROUND(MOD(ROUND(E364,2),Parameters!$B$10),2)=0),1,0)</f>
        <v>0</v>
      </c>
      <c r="L364" s="9" t="n">
        <f aca="false">IF(AND(E364&lt;Parameters!$B$7,E364&gt;=Parameters!$B$7*(1-Parameters!$B$9)),1,0)</f>
        <v>0</v>
      </c>
      <c r="M364" s="9" t="n">
        <f aca="false">IF(AND(E364&lt;Parameters!$B$7,COUNTIFS($C$5:$C$634,C364,$B$5:$B$634,B364)&gt;1,SUMIFS($E$5:$E$634,$C$5:$C$634,C364,$B$5:$B$634,B364)&gt;=Parameters!$B$7),1,0)</f>
        <v>1</v>
      </c>
      <c r="N364" s="9" t="n">
        <f aca="false">IF(AND(E364&gt;=Parameters!$B$7,F364&lt;&gt;Parameters!$B$8),1,0)</f>
        <v>0</v>
      </c>
      <c r="O364" s="9" t="n">
        <f aca="false">INDEX(Vendor_Benford!$N$6:$N$50,MATCH(C364,Vendor_Benford!$A$6:$A$50,0))</f>
        <v>0</v>
      </c>
      <c r="P364" s="9" t="n">
        <f aca="false">INDEX(Vendor_Benford!$M$6:$M$50,MATCH(C364,Vendor_Benford!$A$6:$A$50,0))</f>
        <v>0</v>
      </c>
      <c r="Q364" s="9" t="n">
        <f aca="false">I364*Parameters!$B$28+J364*Parameters!$B$29+K364*Parameters!$B$30+L364*Parameters!$B$31+M364*Parameters!$B$32+N364*Parameters!$B$33+O364*Parameters!$B$34+P364*Parameters!$B$35</f>
        <v>3</v>
      </c>
      <c r="R364" s="0" t="str">
        <f aca="false">IF(Q364&gt;=Parameters!$B$24,"High","")</f>
        <v/>
      </c>
    </row>
    <row r="365" customFormat="false" ht="15" hidden="false" customHeight="false" outlineLevel="0" collapsed="false">
      <c r="A365" s="10" t="s">
        <v>1034</v>
      </c>
      <c r="B365" s="8" t="n">
        <v>45875</v>
      </c>
      <c r="C365" s="10" t="s">
        <v>239</v>
      </c>
      <c r="D365" s="10" t="s">
        <v>1035</v>
      </c>
      <c r="E365" s="12" t="n">
        <v>15242.39</v>
      </c>
      <c r="F365" s="10" t="s">
        <v>40</v>
      </c>
      <c r="G365" s="9" t="n">
        <f aca="false">VALUE(LEFT(TEXT(E365,"0.00"),1))</f>
        <v>1</v>
      </c>
      <c r="H365" s="0" t="str">
        <f aca="false">UPPER(SUBSTITUTE(SUBSTITUTE(SUBSTITUTE(D365," ",""),"/",""),".",""))</f>
        <v>INV44002</v>
      </c>
      <c r="I365" s="9" t="n">
        <f aca="false">IF(COUNTIFS($C$5:C365,C365,$H$5:H365,H365,$E$5:E365,E365)&gt;1,1,0)</f>
        <v>0</v>
      </c>
      <c r="J365" s="9" t="n">
        <f aca="false">IF(AND(I365=0,COUNTIFS($C$5:$C$634,C365,$E$5:$E$634,E365,$B$5:$B$634,"&gt;="&amp;(B365-Parameters!$B$12),$B$5:$B$634,"&lt;="&amp;(B365+Parameters!$B$12),$H$5:$H$634,"&lt;&gt;"&amp;H365)&gt;0),1,0)</f>
        <v>0</v>
      </c>
      <c r="K365" s="9" t="n">
        <f aca="false">IF(AND(E365&gt;=Parameters!$B$11,ROUND(MOD(ROUND(E365,2),Parameters!$B$10),2)=0),1,0)</f>
        <v>0</v>
      </c>
      <c r="L365" s="9" t="n">
        <f aca="false">IF(AND(E365&lt;Parameters!$B$7,E365&gt;=Parameters!$B$7*(1-Parameters!$B$9)),1,0)</f>
        <v>0</v>
      </c>
      <c r="M365" s="9" t="n">
        <f aca="false">IF(AND(E365&lt;Parameters!$B$7,COUNTIFS($C$5:$C$634,C365,$B$5:$B$634,B365)&gt;1,SUMIFS($E$5:$E$634,$C$5:$C$634,C365,$B$5:$B$634,B365)&gt;=Parameters!$B$7),1,0)</f>
        <v>0</v>
      </c>
      <c r="N365" s="9" t="n">
        <f aca="false">IF(AND(E365&gt;=Parameters!$B$7,F365&lt;&gt;Parameters!$B$8),1,0)</f>
        <v>0</v>
      </c>
      <c r="O365" s="9" t="n">
        <f aca="false">INDEX(Vendor_Benford!$N$6:$N$50,MATCH(C365,Vendor_Benford!$A$6:$A$50,0))</f>
        <v>0</v>
      </c>
      <c r="P365" s="9" t="n">
        <f aca="false">INDEX(Vendor_Benford!$M$6:$M$50,MATCH(C365,Vendor_Benford!$A$6:$A$50,0))</f>
        <v>0</v>
      </c>
      <c r="Q365" s="9" t="n">
        <f aca="false">I365*Parameters!$B$28+J365*Parameters!$B$29+K365*Parameters!$B$30+L365*Parameters!$B$31+M365*Parameters!$B$32+N365*Parameters!$B$33+O365*Parameters!$B$34+P365*Parameters!$B$35</f>
        <v>0</v>
      </c>
      <c r="R365" s="0" t="str">
        <f aca="false">IF(Q365&gt;=Parameters!$B$24,"High","")</f>
        <v/>
      </c>
    </row>
    <row r="366" customFormat="false" ht="15" hidden="false" customHeight="false" outlineLevel="0" collapsed="false">
      <c r="A366" s="10" t="s">
        <v>1036</v>
      </c>
      <c r="B366" s="8" t="n">
        <v>45875</v>
      </c>
      <c r="C366" s="10" t="s">
        <v>239</v>
      </c>
      <c r="D366" s="10" t="s">
        <v>1037</v>
      </c>
      <c r="E366" s="12" t="n">
        <v>484.03</v>
      </c>
      <c r="F366" s="10" t="s">
        <v>347</v>
      </c>
      <c r="G366" s="9" t="n">
        <f aca="false">VALUE(LEFT(TEXT(E366,"0.00"),1))</f>
        <v>4</v>
      </c>
      <c r="H366" s="0" t="str">
        <f aca="false">UPPER(SUBSTITUTE(SUBSTITUTE(SUBSTITUTE(D366," ",""),"/",""),".",""))</f>
        <v>INV44004</v>
      </c>
      <c r="I366" s="9" t="n">
        <f aca="false">IF(COUNTIFS($C$5:C366,C366,$H$5:H366,H366,$E$5:E366,E366)&gt;1,1,0)</f>
        <v>0</v>
      </c>
      <c r="J366" s="9" t="n">
        <f aca="false">IF(AND(I366=0,COUNTIFS($C$5:$C$634,C366,$E$5:$E$634,E366,$B$5:$B$634,"&gt;="&amp;(B366-Parameters!$B$12),$B$5:$B$634,"&lt;="&amp;(B366+Parameters!$B$12),$H$5:$H$634,"&lt;&gt;"&amp;H366)&gt;0),1,0)</f>
        <v>0</v>
      </c>
      <c r="K366" s="9" t="n">
        <f aca="false">IF(AND(E366&gt;=Parameters!$B$11,ROUND(MOD(ROUND(E366,2),Parameters!$B$10),2)=0),1,0)</f>
        <v>0</v>
      </c>
      <c r="L366" s="9" t="n">
        <f aca="false">IF(AND(E366&lt;Parameters!$B$7,E366&gt;=Parameters!$B$7*(1-Parameters!$B$9)),1,0)</f>
        <v>0</v>
      </c>
      <c r="M366" s="9" t="n">
        <f aca="false">IF(AND(E366&lt;Parameters!$B$7,COUNTIFS($C$5:$C$634,C366,$B$5:$B$634,B366)&gt;1,SUMIFS($E$5:$E$634,$C$5:$C$634,C366,$B$5:$B$634,B366)&gt;=Parameters!$B$7),1,0)</f>
        <v>1</v>
      </c>
      <c r="N366" s="9" t="n">
        <f aca="false">IF(AND(E366&gt;=Parameters!$B$7,F366&lt;&gt;Parameters!$B$8),1,0)</f>
        <v>0</v>
      </c>
      <c r="O366" s="9" t="n">
        <f aca="false">INDEX(Vendor_Benford!$N$6:$N$50,MATCH(C366,Vendor_Benford!$A$6:$A$50,0))</f>
        <v>0</v>
      </c>
      <c r="P366" s="9" t="n">
        <f aca="false">INDEX(Vendor_Benford!$M$6:$M$50,MATCH(C366,Vendor_Benford!$A$6:$A$50,0))</f>
        <v>0</v>
      </c>
      <c r="Q366" s="9" t="n">
        <f aca="false">I366*Parameters!$B$28+J366*Parameters!$B$29+K366*Parameters!$B$30+L366*Parameters!$B$31+M366*Parameters!$B$32+N366*Parameters!$B$33+O366*Parameters!$B$34+P366*Parameters!$B$35</f>
        <v>3</v>
      </c>
      <c r="R366" s="0" t="str">
        <f aca="false">IF(Q366&gt;=Parameters!$B$24,"High","")</f>
        <v/>
      </c>
    </row>
    <row r="367" customFormat="false" ht="15" hidden="false" customHeight="false" outlineLevel="0" collapsed="false">
      <c r="A367" s="10" t="s">
        <v>1038</v>
      </c>
      <c r="B367" s="8" t="n">
        <v>45876</v>
      </c>
      <c r="C367" s="10" t="s">
        <v>185</v>
      </c>
      <c r="D367" s="10" t="s">
        <v>1039</v>
      </c>
      <c r="E367" s="12" t="n">
        <v>404.58</v>
      </c>
      <c r="F367" s="10" t="s">
        <v>40</v>
      </c>
      <c r="G367" s="9" t="n">
        <f aca="false">VALUE(LEFT(TEXT(E367,"0.00"),1))</f>
        <v>4</v>
      </c>
      <c r="H367" s="0" t="str">
        <f aca="false">UPPER(SUBSTITUTE(SUBSTITUTE(SUBSTITUTE(D367," ",""),"/",""),".",""))</f>
        <v>INV26002</v>
      </c>
      <c r="I367" s="9" t="n">
        <f aca="false">IF(COUNTIFS($C$5:C367,C367,$H$5:H367,H367,$E$5:E367,E367)&gt;1,1,0)</f>
        <v>0</v>
      </c>
      <c r="J367" s="9" t="n">
        <f aca="false">IF(AND(I367=0,COUNTIFS($C$5:$C$634,C367,$E$5:$E$634,E367,$B$5:$B$634,"&gt;="&amp;(B367-Parameters!$B$12),$B$5:$B$634,"&lt;="&amp;(B367+Parameters!$B$12),$H$5:$H$634,"&lt;&gt;"&amp;H367)&gt;0),1,0)</f>
        <v>0</v>
      </c>
      <c r="K367" s="9" t="n">
        <f aca="false">IF(AND(E367&gt;=Parameters!$B$11,ROUND(MOD(ROUND(E367,2),Parameters!$B$10),2)=0),1,0)</f>
        <v>0</v>
      </c>
      <c r="L367" s="9" t="n">
        <f aca="false">IF(AND(E367&lt;Parameters!$B$7,E367&gt;=Parameters!$B$7*(1-Parameters!$B$9)),1,0)</f>
        <v>0</v>
      </c>
      <c r="M367" s="9" t="n">
        <f aca="false">IF(AND(E367&lt;Parameters!$B$7,COUNTIFS($C$5:$C$634,C367,$B$5:$B$634,B367)&gt;1,SUMIFS($E$5:$E$634,$C$5:$C$634,C367,$B$5:$B$634,B367)&gt;=Parameters!$B$7),1,0)</f>
        <v>0</v>
      </c>
      <c r="N367" s="9" t="n">
        <f aca="false">IF(AND(E367&gt;=Parameters!$B$7,F367&lt;&gt;Parameters!$B$8),1,0)</f>
        <v>0</v>
      </c>
      <c r="O367" s="9" t="n">
        <f aca="false">INDEX(Vendor_Benford!$N$6:$N$50,MATCH(C367,Vendor_Benford!$A$6:$A$50,0))</f>
        <v>0</v>
      </c>
      <c r="P367" s="9" t="n">
        <f aca="false">INDEX(Vendor_Benford!$M$6:$M$50,MATCH(C367,Vendor_Benford!$A$6:$A$50,0))</f>
        <v>0</v>
      </c>
      <c r="Q367" s="9" t="n">
        <f aca="false">I367*Parameters!$B$28+J367*Parameters!$B$29+K367*Parameters!$B$30+L367*Parameters!$B$31+M367*Parameters!$B$32+N367*Parameters!$B$33+O367*Parameters!$B$34+P367*Parameters!$B$35</f>
        <v>0</v>
      </c>
      <c r="R367" s="0" t="str">
        <f aca="false">IF(Q367&gt;=Parameters!$B$24,"High","")</f>
        <v/>
      </c>
    </row>
    <row r="368" customFormat="false" ht="15" hidden="false" customHeight="false" outlineLevel="0" collapsed="false">
      <c r="A368" s="10" t="s">
        <v>1040</v>
      </c>
      <c r="B368" s="8" t="n">
        <v>45876</v>
      </c>
      <c r="C368" s="10" t="s">
        <v>215</v>
      </c>
      <c r="D368" s="10" t="s">
        <v>1041</v>
      </c>
      <c r="E368" s="12" t="n">
        <v>2830.89</v>
      </c>
      <c r="F368" s="10" t="s">
        <v>40</v>
      </c>
      <c r="G368" s="9" t="n">
        <f aca="false">VALUE(LEFT(TEXT(E368,"0.00"),1))</f>
        <v>2</v>
      </c>
      <c r="H368" s="0" t="str">
        <f aca="false">UPPER(SUBSTITUTE(SUBSTITUTE(SUBSTITUTE(D368," ",""),"/",""),".",""))</f>
        <v>INV36002</v>
      </c>
      <c r="I368" s="9" t="n">
        <f aca="false">IF(COUNTIFS($C$5:C368,C368,$H$5:H368,H368,$E$5:E368,E368)&gt;1,1,0)</f>
        <v>0</v>
      </c>
      <c r="J368" s="9" t="n">
        <f aca="false">IF(AND(I368=0,COUNTIFS($C$5:$C$634,C368,$E$5:$E$634,E368,$B$5:$B$634,"&gt;="&amp;(B368-Parameters!$B$12),$B$5:$B$634,"&lt;="&amp;(B368+Parameters!$B$12),$H$5:$H$634,"&lt;&gt;"&amp;H368)&gt;0),1,0)</f>
        <v>0</v>
      </c>
      <c r="K368" s="9" t="n">
        <f aca="false">IF(AND(E368&gt;=Parameters!$B$11,ROUND(MOD(ROUND(E368,2),Parameters!$B$10),2)=0),1,0)</f>
        <v>0</v>
      </c>
      <c r="L368" s="9" t="n">
        <f aca="false">IF(AND(E368&lt;Parameters!$B$7,E368&gt;=Parameters!$B$7*(1-Parameters!$B$9)),1,0)</f>
        <v>0</v>
      </c>
      <c r="M368" s="9" t="n">
        <f aca="false">IF(AND(E368&lt;Parameters!$B$7,COUNTIFS($C$5:$C$634,C368,$B$5:$B$634,B368)&gt;1,SUMIFS($E$5:$E$634,$C$5:$C$634,C368,$B$5:$B$634,B368)&gt;=Parameters!$B$7),1,0)</f>
        <v>0</v>
      </c>
      <c r="N368" s="9" t="n">
        <f aca="false">IF(AND(E368&gt;=Parameters!$B$7,F368&lt;&gt;Parameters!$B$8),1,0)</f>
        <v>0</v>
      </c>
      <c r="O368" s="9" t="n">
        <f aca="false">INDEX(Vendor_Benford!$N$6:$N$50,MATCH(C368,Vendor_Benford!$A$6:$A$50,0))</f>
        <v>0</v>
      </c>
      <c r="P368" s="9" t="n">
        <f aca="false">INDEX(Vendor_Benford!$M$6:$M$50,MATCH(C368,Vendor_Benford!$A$6:$A$50,0))</f>
        <v>0</v>
      </c>
      <c r="Q368" s="9" t="n">
        <f aca="false">I368*Parameters!$B$28+J368*Parameters!$B$29+K368*Parameters!$B$30+L368*Parameters!$B$31+M368*Parameters!$B$32+N368*Parameters!$B$33+O368*Parameters!$B$34+P368*Parameters!$B$35</f>
        <v>0</v>
      </c>
      <c r="R368" s="0" t="str">
        <f aca="false">IF(Q368&gt;=Parameters!$B$24,"High","")</f>
        <v/>
      </c>
    </row>
    <row r="369" customFormat="false" ht="15" hidden="false" customHeight="false" outlineLevel="0" collapsed="false">
      <c r="A369" s="10" t="s">
        <v>1042</v>
      </c>
      <c r="B369" s="8" t="n">
        <v>45877</v>
      </c>
      <c r="C369" s="10" t="s">
        <v>128</v>
      </c>
      <c r="D369" s="10" t="s">
        <v>1043</v>
      </c>
      <c r="E369" s="12" t="n">
        <v>715.66</v>
      </c>
      <c r="F369" s="10" t="s">
        <v>347</v>
      </c>
      <c r="G369" s="9" t="n">
        <f aca="false">VALUE(LEFT(TEXT(E369,"0.00"),1))</f>
        <v>7</v>
      </c>
      <c r="H369" s="0" t="str">
        <f aca="false">UPPER(SUBSTITUTE(SUBSTITUTE(SUBSTITUTE(D369," ",""),"/",""),".",""))</f>
        <v>INV7002</v>
      </c>
      <c r="I369" s="9" t="n">
        <f aca="false">IF(COUNTIFS($C$5:C369,C369,$H$5:H369,H369,$E$5:E369,E369)&gt;1,1,0)</f>
        <v>0</v>
      </c>
      <c r="J369" s="9" t="n">
        <f aca="false">IF(AND(I369=0,COUNTIFS($C$5:$C$634,C369,$E$5:$E$634,E369,$B$5:$B$634,"&gt;="&amp;(B369-Parameters!$B$12),$B$5:$B$634,"&lt;="&amp;(B369+Parameters!$B$12),$H$5:$H$634,"&lt;&gt;"&amp;H369)&gt;0),1,0)</f>
        <v>0</v>
      </c>
      <c r="K369" s="9" t="n">
        <f aca="false">IF(AND(E369&gt;=Parameters!$B$11,ROUND(MOD(ROUND(E369,2),Parameters!$B$10),2)=0),1,0)</f>
        <v>0</v>
      </c>
      <c r="L369" s="9" t="n">
        <f aca="false">IF(AND(E369&lt;Parameters!$B$7,E369&gt;=Parameters!$B$7*(1-Parameters!$B$9)),1,0)</f>
        <v>0</v>
      </c>
      <c r="M369" s="9" t="n">
        <f aca="false">IF(AND(E369&lt;Parameters!$B$7,COUNTIFS($C$5:$C$634,C369,$B$5:$B$634,B369)&gt;1,SUMIFS($E$5:$E$634,$C$5:$C$634,C369,$B$5:$B$634,B369)&gt;=Parameters!$B$7),1,0)</f>
        <v>0</v>
      </c>
      <c r="N369" s="9" t="n">
        <f aca="false">IF(AND(E369&gt;=Parameters!$B$7,F369&lt;&gt;Parameters!$B$8),1,0)</f>
        <v>0</v>
      </c>
      <c r="O369" s="9" t="n">
        <f aca="false">INDEX(Vendor_Benford!$N$6:$N$50,MATCH(C369,Vendor_Benford!$A$6:$A$50,0))</f>
        <v>0</v>
      </c>
      <c r="P369" s="9" t="n">
        <f aca="false">INDEX(Vendor_Benford!$M$6:$M$50,MATCH(C369,Vendor_Benford!$A$6:$A$50,0))</f>
        <v>0</v>
      </c>
      <c r="Q369" s="9" t="n">
        <f aca="false">I369*Parameters!$B$28+J369*Parameters!$B$29+K369*Parameters!$B$30+L369*Parameters!$B$31+M369*Parameters!$B$32+N369*Parameters!$B$33+O369*Parameters!$B$34+P369*Parameters!$B$35</f>
        <v>0</v>
      </c>
      <c r="R369" s="0" t="str">
        <f aca="false">IF(Q369&gt;=Parameters!$B$24,"High","")</f>
        <v/>
      </c>
    </row>
    <row r="370" customFormat="false" ht="15" hidden="false" customHeight="false" outlineLevel="0" collapsed="false">
      <c r="A370" s="10" t="s">
        <v>1044</v>
      </c>
      <c r="B370" s="8" t="n">
        <v>45877</v>
      </c>
      <c r="C370" s="10" t="s">
        <v>224</v>
      </c>
      <c r="D370" s="10" t="s">
        <v>1045</v>
      </c>
      <c r="E370" s="12" t="n">
        <v>1207.65</v>
      </c>
      <c r="F370" s="10" t="s">
        <v>40</v>
      </c>
      <c r="G370" s="9" t="n">
        <f aca="false">VALUE(LEFT(TEXT(E370,"0.00"),1))</f>
        <v>1</v>
      </c>
      <c r="H370" s="0" t="str">
        <f aca="false">UPPER(SUBSTITUTE(SUBSTITUTE(SUBSTITUTE(D370," ",""),"/",""),".",""))</f>
        <v>INV39007</v>
      </c>
      <c r="I370" s="9" t="n">
        <f aca="false">IF(COUNTIFS($C$5:C370,C370,$H$5:H370,H370,$E$5:E370,E370)&gt;1,1,0)</f>
        <v>0</v>
      </c>
      <c r="J370" s="9" t="n">
        <f aca="false">IF(AND(I370=0,COUNTIFS($C$5:$C$634,C370,$E$5:$E$634,E370,$B$5:$B$634,"&gt;="&amp;(B370-Parameters!$B$12),$B$5:$B$634,"&lt;="&amp;(B370+Parameters!$B$12),$H$5:$H$634,"&lt;&gt;"&amp;H370)&gt;0),1,0)</f>
        <v>0</v>
      </c>
      <c r="K370" s="9" t="n">
        <f aca="false">IF(AND(E370&gt;=Parameters!$B$11,ROUND(MOD(ROUND(E370,2),Parameters!$B$10),2)=0),1,0)</f>
        <v>0</v>
      </c>
      <c r="L370" s="9" t="n">
        <f aca="false">IF(AND(E370&lt;Parameters!$B$7,E370&gt;=Parameters!$B$7*(1-Parameters!$B$9)),1,0)</f>
        <v>0</v>
      </c>
      <c r="M370" s="9" t="n">
        <f aca="false">IF(AND(E370&lt;Parameters!$B$7,COUNTIFS($C$5:$C$634,C370,$B$5:$B$634,B370)&gt;1,SUMIFS($E$5:$E$634,$C$5:$C$634,C370,$B$5:$B$634,B370)&gt;=Parameters!$B$7),1,0)</f>
        <v>0</v>
      </c>
      <c r="N370" s="9" t="n">
        <f aca="false">IF(AND(E370&gt;=Parameters!$B$7,F370&lt;&gt;Parameters!$B$8),1,0)</f>
        <v>0</v>
      </c>
      <c r="O370" s="9" t="n">
        <f aca="false">INDEX(Vendor_Benford!$N$6:$N$50,MATCH(C370,Vendor_Benford!$A$6:$A$50,0))</f>
        <v>0</v>
      </c>
      <c r="P370" s="9" t="n">
        <f aca="false">INDEX(Vendor_Benford!$M$6:$M$50,MATCH(C370,Vendor_Benford!$A$6:$A$50,0))</f>
        <v>0</v>
      </c>
      <c r="Q370" s="9" t="n">
        <f aca="false">I370*Parameters!$B$28+J370*Parameters!$B$29+K370*Parameters!$B$30+L370*Parameters!$B$31+M370*Parameters!$B$32+N370*Parameters!$B$33+O370*Parameters!$B$34+P370*Parameters!$B$35</f>
        <v>0</v>
      </c>
      <c r="R370" s="0" t="str">
        <f aca="false">IF(Q370&gt;=Parameters!$B$24,"High","")</f>
        <v/>
      </c>
    </row>
    <row r="371" customFormat="false" ht="15" hidden="false" customHeight="false" outlineLevel="0" collapsed="false">
      <c r="A371" s="10" t="s">
        <v>1046</v>
      </c>
      <c r="B371" s="8" t="n">
        <v>45877</v>
      </c>
      <c r="C371" s="10" t="s">
        <v>224</v>
      </c>
      <c r="D371" s="10" t="s">
        <v>1047</v>
      </c>
      <c r="E371" s="12" t="n">
        <v>567.22</v>
      </c>
      <c r="F371" s="10" t="s">
        <v>347</v>
      </c>
      <c r="G371" s="9" t="n">
        <f aca="false">VALUE(LEFT(TEXT(E371,"0.00"),1))</f>
        <v>5</v>
      </c>
      <c r="H371" s="0" t="str">
        <f aca="false">UPPER(SUBSTITUTE(SUBSTITUTE(SUBSTITUTE(D371," ",""),"/",""),".",""))</f>
        <v>INV39019</v>
      </c>
      <c r="I371" s="9" t="n">
        <f aca="false">IF(COUNTIFS($C$5:C371,C371,$H$5:H371,H371,$E$5:E371,E371)&gt;1,1,0)</f>
        <v>0</v>
      </c>
      <c r="J371" s="9" t="n">
        <f aca="false">IF(AND(I371=0,COUNTIFS($C$5:$C$634,C371,$E$5:$E$634,E371,$B$5:$B$634,"&gt;="&amp;(B371-Parameters!$B$12),$B$5:$B$634,"&lt;="&amp;(B371+Parameters!$B$12),$H$5:$H$634,"&lt;&gt;"&amp;H371)&gt;0),1,0)</f>
        <v>0</v>
      </c>
      <c r="K371" s="9" t="n">
        <f aca="false">IF(AND(E371&gt;=Parameters!$B$11,ROUND(MOD(ROUND(E371,2),Parameters!$B$10),2)=0),1,0)</f>
        <v>0</v>
      </c>
      <c r="L371" s="9" t="n">
        <f aca="false">IF(AND(E371&lt;Parameters!$B$7,E371&gt;=Parameters!$B$7*(1-Parameters!$B$9)),1,0)</f>
        <v>0</v>
      </c>
      <c r="M371" s="9" t="n">
        <f aca="false">IF(AND(E371&lt;Parameters!$B$7,COUNTIFS($C$5:$C$634,C371,$B$5:$B$634,B371)&gt;1,SUMIFS($E$5:$E$634,$C$5:$C$634,C371,$B$5:$B$634,B371)&gt;=Parameters!$B$7),1,0)</f>
        <v>0</v>
      </c>
      <c r="N371" s="9" t="n">
        <f aca="false">IF(AND(E371&gt;=Parameters!$B$7,F371&lt;&gt;Parameters!$B$8),1,0)</f>
        <v>0</v>
      </c>
      <c r="O371" s="9" t="n">
        <f aca="false">INDEX(Vendor_Benford!$N$6:$N$50,MATCH(C371,Vendor_Benford!$A$6:$A$50,0))</f>
        <v>0</v>
      </c>
      <c r="P371" s="9" t="n">
        <f aca="false">INDEX(Vendor_Benford!$M$6:$M$50,MATCH(C371,Vendor_Benford!$A$6:$A$50,0))</f>
        <v>0</v>
      </c>
      <c r="Q371" s="9" t="n">
        <f aca="false">I371*Parameters!$B$28+J371*Parameters!$B$29+K371*Parameters!$B$30+L371*Parameters!$B$31+M371*Parameters!$B$32+N371*Parameters!$B$33+O371*Parameters!$B$34+P371*Parameters!$B$35</f>
        <v>0</v>
      </c>
      <c r="R371" s="0" t="str">
        <f aca="false">IF(Q371&gt;=Parameters!$B$24,"High","")</f>
        <v/>
      </c>
    </row>
    <row r="372" customFormat="false" ht="15" hidden="false" customHeight="false" outlineLevel="0" collapsed="false">
      <c r="A372" s="10" t="s">
        <v>1048</v>
      </c>
      <c r="B372" s="8" t="n">
        <v>45880</v>
      </c>
      <c r="C372" s="10" t="s">
        <v>119</v>
      </c>
      <c r="D372" s="10" t="s">
        <v>1049</v>
      </c>
      <c r="E372" s="12" t="n">
        <v>29300.88</v>
      </c>
      <c r="F372" s="10" t="s">
        <v>347</v>
      </c>
      <c r="G372" s="9" t="n">
        <f aca="false">VALUE(LEFT(TEXT(E372,"0.00"),1))</f>
        <v>2</v>
      </c>
      <c r="H372" s="0" t="str">
        <f aca="false">UPPER(SUBSTITUTE(SUBSTITUTE(SUBSTITUTE(D372," ",""),"/",""),".",""))</f>
        <v>INV4010</v>
      </c>
      <c r="I372" s="9" t="n">
        <f aca="false">IF(COUNTIFS($C$5:C372,C372,$H$5:H372,H372,$E$5:E372,E372)&gt;1,1,0)</f>
        <v>0</v>
      </c>
      <c r="J372" s="9" t="n">
        <f aca="false">IF(AND(I372=0,COUNTIFS($C$5:$C$634,C372,$E$5:$E$634,E372,$B$5:$B$634,"&gt;="&amp;(B372-Parameters!$B$12),$B$5:$B$634,"&lt;="&amp;(B372+Parameters!$B$12),$H$5:$H$634,"&lt;&gt;"&amp;H372)&gt;0),1,0)</f>
        <v>0</v>
      </c>
      <c r="K372" s="9" t="n">
        <f aca="false">IF(AND(E372&gt;=Parameters!$B$11,ROUND(MOD(ROUND(E372,2),Parameters!$B$10),2)=0),1,0)</f>
        <v>0</v>
      </c>
      <c r="L372" s="9" t="n">
        <f aca="false">IF(AND(E372&lt;Parameters!$B$7,E372&gt;=Parameters!$B$7*(1-Parameters!$B$9)),1,0)</f>
        <v>0</v>
      </c>
      <c r="M372" s="9" t="n">
        <f aca="false">IF(AND(E372&lt;Parameters!$B$7,COUNTIFS($C$5:$C$634,C372,$B$5:$B$634,B372)&gt;1,SUMIFS($E$5:$E$634,$C$5:$C$634,C372,$B$5:$B$634,B372)&gt;=Parameters!$B$7),1,0)</f>
        <v>0</v>
      </c>
      <c r="N372" s="9" t="n">
        <f aca="false">IF(AND(E372&gt;=Parameters!$B$7,F372&lt;&gt;Parameters!$B$8),1,0)</f>
        <v>1</v>
      </c>
      <c r="O372" s="9" t="n">
        <f aca="false">INDEX(Vendor_Benford!$N$6:$N$50,MATCH(C372,Vendor_Benford!$A$6:$A$50,0))</f>
        <v>0</v>
      </c>
      <c r="P372" s="9" t="n">
        <f aca="false">INDEX(Vendor_Benford!$M$6:$M$50,MATCH(C372,Vendor_Benford!$A$6:$A$50,0))</f>
        <v>0</v>
      </c>
      <c r="Q372" s="9" t="n">
        <f aca="false">I372*Parameters!$B$28+J372*Parameters!$B$29+K372*Parameters!$B$30+L372*Parameters!$B$31+M372*Parameters!$B$32+N372*Parameters!$B$33+O372*Parameters!$B$34+P372*Parameters!$B$35</f>
        <v>4</v>
      </c>
      <c r="R372" s="0" t="str">
        <f aca="false">IF(Q372&gt;=Parameters!$B$24,"High","")</f>
        <v/>
      </c>
    </row>
    <row r="373" customFormat="false" ht="15" hidden="false" customHeight="false" outlineLevel="0" collapsed="false">
      <c r="A373" s="10" t="s">
        <v>1050</v>
      </c>
      <c r="B373" s="8" t="n">
        <v>45881</v>
      </c>
      <c r="C373" s="10" t="s">
        <v>200</v>
      </c>
      <c r="D373" s="10" t="s">
        <v>1051</v>
      </c>
      <c r="E373" s="12" t="n">
        <v>4827.79</v>
      </c>
      <c r="F373" s="10" t="s">
        <v>347</v>
      </c>
      <c r="G373" s="9" t="n">
        <f aca="false">VALUE(LEFT(TEXT(E373,"0.00"),1))</f>
        <v>4</v>
      </c>
      <c r="H373" s="0" t="str">
        <f aca="false">UPPER(SUBSTITUTE(SUBSTITUTE(SUBSTITUTE(D373," ",""),"/",""),".",""))</f>
        <v>INV31007</v>
      </c>
      <c r="I373" s="9" t="n">
        <f aca="false">IF(COUNTIFS($C$5:C373,C373,$H$5:H373,H373,$E$5:E373,E373)&gt;1,1,0)</f>
        <v>0</v>
      </c>
      <c r="J373" s="9" t="n">
        <f aca="false">IF(AND(I373=0,COUNTIFS($C$5:$C$634,C373,$E$5:$E$634,E373,$B$5:$B$634,"&gt;="&amp;(B373-Parameters!$B$12),$B$5:$B$634,"&lt;="&amp;(B373+Parameters!$B$12),$H$5:$H$634,"&lt;&gt;"&amp;H373)&gt;0),1,0)</f>
        <v>0</v>
      </c>
      <c r="K373" s="9" t="n">
        <f aca="false">IF(AND(E373&gt;=Parameters!$B$11,ROUND(MOD(ROUND(E373,2),Parameters!$B$10),2)=0),1,0)</f>
        <v>0</v>
      </c>
      <c r="L373" s="9" t="n">
        <f aca="false">IF(AND(E373&lt;Parameters!$B$7,E373&gt;=Parameters!$B$7*(1-Parameters!$B$9)),1,0)</f>
        <v>1</v>
      </c>
      <c r="M373" s="9" t="n">
        <f aca="false">IF(AND(E373&lt;Parameters!$B$7,COUNTIFS($C$5:$C$634,C373,$B$5:$B$634,B373)&gt;1,SUMIFS($E$5:$E$634,$C$5:$C$634,C373,$B$5:$B$634,B373)&gt;=Parameters!$B$7),1,0)</f>
        <v>0</v>
      </c>
      <c r="N373" s="9" t="n">
        <f aca="false">IF(AND(E373&gt;=Parameters!$B$7,F373&lt;&gt;Parameters!$B$8),1,0)</f>
        <v>0</v>
      </c>
      <c r="O373" s="9" t="n">
        <f aca="false">INDEX(Vendor_Benford!$N$6:$N$50,MATCH(C373,Vendor_Benford!$A$6:$A$50,0))</f>
        <v>0</v>
      </c>
      <c r="P373" s="9" t="n">
        <f aca="false">INDEX(Vendor_Benford!$M$6:$M$50,MATCH(C373,Vendor_Benford!$A$6:$A$50,0))</f>
        <v>1</v>
      </c>
      <c r="Q373" s="9" t="n">
        <f aca="false">I373*Parameters!$B$28+J373*Parameters!$B$29+K373*Parameters!$B$30+L373*Parameters!$B$31+M373*Parameters!$B$32+N373*Parameters!$B$33+O373*Parameters!$B$34+P373*Parameters!$B$35</f>
        <v>4</v>
      </c>
      <c r="R373" s="0" t="str">
        <f aca="false">IF(Q373&gt;=Parameters!$B$24,"High","")</f>
        <v/>
      </c>
    </row>
    <row r="374" customFormat="false" ht="15" hidden="false" customHeight="false" outlineLevel="0" collapsed="false">
      <c r="A374" s="10" t="s">
        <v>1052</v>
      </c>
      <c r="B374" s="8" t="n">
        <v>45882</v>
      </c>
      <c r="C374" s="10" t="s">
        <v>116</v>
      </c>
      <c r="D374" s="10" t="s">
        <v>1053</v>
      </c>
      <c r="E374" s="12" t="n">
        <v>124.99</v>
      </c>
      <c r="F374" s="10" t="s">
        <v>347</v>
      </c>
      <c r="G374" s="9" t="n">
        <f aca="false">VALUE(LEFT(TEXT(E374,"0.00"),1))</f>
        <v>1</v>
      </c>
      <c r="H374" s="0" t="str">
        <f aca="false">UPPER(SUBSTITUTE(SUBSTITUTE(SUBSTITUTE(D374," ",""),"/",""),".",""))</f>
        <v>INV3009</v>
      </c>
      <c r="I374" s="9" t="n">
        <f aca="false">IF(COUNTIFS($C$5:C374,C374,$H$5:H374,H374,$E$5:E374,E374)&gt;1,1,0)</f>
        <v>0</v>
      </c>
      <c r="J374" s="9" t="n">
        <f aca="false">IF(AND(I374=0,COUNTIFS($C$5:$C$634,C374,$E$5:$E$634,E374,$B$5:$B$634,"&gt;="&amp;(B374-Parameters!$B$12),$B$5:$B$634,"&lt;="&amp;(B374+Parameters!$B$12),$H$5:$H$634,"&lt;&gt;"&amp;H374)&gt;0),1,0)</f>
        <v>0</v>
      </c>
      <c r="K374" s="9" t="n">
        <f aca="false">IF(AND(E374&gt;=Parameters!$B$11,ROUND(MOD(ROUND(E374,2),Parameters!$B$10),2)=0),1,0)</f>
        <v>0</v>
      </c>
      <c r="L374" s="9" t="n">
        <f aca="false">IF(AND(E374&lt;Parameters!$B$7,E374&gt;=Parameters!$B$7*(1-Parameters!$B$9)),1,0)</f>
        <v>0</v>
      </c>
      <c r="M374" s="9" t="n">
        <f aca="false">IF(AND(E374&lt;Parameters!$B$7,COUNTIFS($C$5:$C$634,C374,$B$5:$B$634,B374)&gt;1,SUMIFS($E$5:$E$634,$C$5:$C$634,C374,$B$5:$B$634,B374)&gt;=Parameters!$B$7),1,0)</f>
        <v>0</v>
      </c>
      <c r="N374" s="9" t="n">
        <f aca="false">IF(AND(E374&gt;=Parameters!$B$7,F374&lt;&gt;Parameters!$B$8),1,0)</f>
        <v>0</v>
      </c>
      <c r="O374" s="9" t="n">
        <f aca="false">INDEX(Vendor_Benford!$N$6:$N$50,MATCH(C374,Vendor_Benford!$A$6:$A$50,0))</f>
        <v>0</v>
      </c>
      <c r="P374" s="9" t="n">
        <f aca="false">INDEX(Vendor_Benford!$M$6:$M$50,MATCH(C374,Vendor_Benford!$A$6:$A$50,0))</f>
        <v>0</v>
      </c>
      <c r="Q374" s="9" t="n">
        <f aca="false">I374*Parameters!$B$28+J374*Parameters!$B$29+K374*Parameters!$B$30+L374*Parameters!$B$31+M374*Parameters!$B$32+N374*Parameters!$B$33+O374*Parameters!$B$34+P374*Parameters!$B$35</f>
        <v>0</v>
      </c>
      <c r="R374" s="0" t="str">
        <f aca="false">IF(Q374&gt;=Parameters!$B$24,"High","")</f>
        <v/>
      </c>
    </row>
    <row r="375" customFormat="false" ht="15" hidden="false" customHeight="false" outlineLevel="0" collapsed="false">
      <c r="A375" s="10" t="s">
        <v>1054</v>
      </c>
      <c r="B375" s="8" t="n">
        <v>45882</v>
      </c>
      <c r="C375" s="10" t="s">
        <v>122</v>
      </c>
      <c r="D375" s="10" t="s">
        <v>1055</v>
      </c>
      <c r="E375" s="12" t="n">
        <v>19670.35</v>
      </c>
      <c r="F375" s="10" t="s">
        <v>40</v>
      </c>
      <c r="G375" s="9" t="n">
        <f aca="false">VALUE(LEFT(TEXT(E375,"0.00"),1))</f>
        <v>1</v>
      </c>
      <c r="H375" s="0" t="str">
        <f aca="false">UPPER(SUBSTITUTE(SUBSTITUTE(SUBSTITUTE(D375," ",""),"/",""),".",""))</f>
        <v>INV5008</v>
      </c>
      <c r="I375" s="9" t="n">
        <f aca="false">IF(COUNTIFS($C$5:C375,C375,$H$5:H375,H375,$E$5:E375,E375)&gt;1,1,0)</f>
        <v>0</v>
      </c>
      <c r="J375" s="9" t="n">
        <f aca="false">IF(AND(I375=0,COUNTIFS($C$5:$C$634,C375,$E$5:$E$634,E375,$B$5:$B$634,"&gt;="&amp;(B375-Parameters!$B$12),$B$5:$B$634,"&lt;="&amp;(B375+Parameters!$B$12),$H$5:$H$634,"&lt;&gt;"&amp;H375)&gt;0),1,0)</f>
        <v>0</v>
      </c>
      <c r="K375" s="9" t="n">
        <f aca="false">IF(AND(E375&gt;=Parameters!$B$11,ROUND(MOD(ROUND(E375,2),Parameters!$B$10),2)=0),1,0)</f>
        <v>0</v>
      </c>
      <c r="L375" s="9" t="n">
        <f aca="false">IF(AND(E375&lt;Parameters!$B$7,E375&gt;=Parameters!$B$7*(1-Parameters!$B$9)),1,0)</f>
        <v>0</v>
      </c>
      <c r="M375" s="9" t="n">
        <f aca="false">IF(AND(E375&lt;Parameters!$B$7,COUNTIFS($C$5:$C$634,C375,$B$5:$B$634,B375)&gt;1,SUMIFS($E$5:$E$634,$C$5:$C$634,C375,$B$5:$B$634,B375)&gt;=Parameters!$B$7),1,0)</f>
        <v>0</v>
      </c>
      <c r="N375" s="9" t="n">
        <f aca="false">IF(AND(E375&gt;=Parameters!$B$7,F375&lt;&gt;Parameters!$B$8),1,0)</f>
        <v>0</v>
      </c>
      <c r="O375" s="9" t="n">
        <f aca="false">INDEX(Vendor_Benford!$N$6:$N$50,MATCH(C375,Vendor_Benford!$A$6:$A$50,0))</f>
        <v>0</v>
      </c>
      <c r="P375" s="9" t="n">
        <f aca="false">INDEX(Vendor_Benford!$M$6:$M$50,MATCH(C375,Vendor_Benford!$A$6:$A$50,0))</f>
        <v>0</v>
      </c>
      <c r="Q375" s="9" t="n">
        <f aca="false">I375*Parameters!$B$28+J375*Parameters!$B$29+K375*Parameters!$B$30+L375*Parameters!$B$31+M375*Parameters!$B$32+N375*Parameters!$B$33+O375*Parameters!$B$34+P375*Parameters!$B$35</f>
        <v>0</v>
      </c>
      <c r="R375" s="0" t="str">
        <f aca="false">IF(Q375&gt;=Parameters!$B$24,"High","")</f>
        <v/>
      </c>
    </row>
    <row r="376" customFormat="false" ht="15" hidden="false" customHeight="false" outlineLevel="0" collapsed="false">
      <c r="A376" s="10" t="s">
        <v>1056</v>
      </c>
      <c r="B376" s="8" t="n">
        <v>45883</v>
      </c>
      <c r="C376" s="10" t="s">
        <v>128</v>
      </c>
      <c r="D376" s="10" t="s">
        <v>1057</v>
      </c>
      <c r="E376" s="12" t="n">
        <v>18398.34</v>
      </c>
      <c r="F376" s="10" t="s">
        <v>40</v>
      </c>
      <c r="G376" s="9" t="n">
        <f aca="false">VALUE(LEFT(TEXT(E376,"0.00"),1))</f>
        <v>1</v>
      </c>
      <c r="H376" s="0" t="str">
        <f aca="false">UPPER(SUBSTITUTE(SUBSTITUTE(SUBSTITUTE(D376," ",""),"/",""),".",""))</f>
        <v>INV7011</v>
      </c>
      <c r="I376" s="9" t="n">
        <f aca="false">IF(COUNTIFS($C$5:C376,C376,$H$5:H376,H376,$E$5:E376,E376)&gt;1,1,0)</f>
        <v>0</v>
      </c>
      <c r="J376" s="9" t="n">
        <f aca="false">IF(AND(I376=0,COUNTIFS($C$5:$C$634,C376,$E$5:$E$634,E376,$B$5:$B$634,"&gt;="&amp;(B376-Parameters!$B$12),$B$5:$B$634,"&lt;="&amp;(B376+Parameters!$B$12),$H$5:$H$634,"&lt;&gt;"&amp;H376)&gt;0),1,0)</f>
        <v>0</v>
      </c>
      <c r="K376" s="9" t="n">
        <f aca="false">IF(AND(E376&gt;=Parameters!$B$11,ROUND(MOD(ROUND(E376,2),Parameters!$B$10),2)=0),1,0)</f>
        <v>0</v>
      </c>
      <c r="L376" s="9" t="n">
        <f aca="false">IF(AND(E376&lt;Parameters!$B$7,E376&gt;=Parameters!$B$7*(1-Parameters!$B$9)),1,0)</f>
        <v>0</v>
      </c>
      <c r="M376" s="9" t="n">
        <f aca="false">IF(AND(E376&lt;Parameters!$B$7,COUNTIFS($C$5:$C$634,C376,$B$5:$B$634,B376)&gt;1,SUMIFS($E$5:$E$634,$C$5:$C$634,C376,$B$5:$B$634,B376)&gt;=Parameters!$B$7),1,0)</f>
        <v>0</v>
      </c>
      <c r="N376" s="9" t="n">
        <f aca="false">IF(AND(E376&gt;=Parameters!$B$7,F376&lt;&gt;Parameters!$B$8),1,0)</f>
        <v>0</v>
      </c>
      <c r="O376" s="9" t="n">
        <f aca="false">INDEX(Vendor_Benford!$N$6:$N$50,MATCH(C376,Vendor_Benford!$A$6:$A$50,0))</f>
        <v>0</v>
      </c>
      <c r="P376" s="9" t="n">
        <f aca="false">INDEX(Vendor_Benford!$M$6:$M$50,MATCH(C376,Vendor_Benford!$A$6:$A$50,0))</f>
        <v>0</v>
      </c>
      <c r="Q376" s="9" t="n">
        <f aca="false">I376*Parameters!$B$28+J376*Parameters!$B$29+K376*Parameters!$B$30+L376*Parameters!$B$31+M376*Parameters!$B$32+N376*Parameters!$B$33+O376*Parameters!$B$34+P376*Parameters!$B$35</f>
        <v>0</v>
      </c>
      <c r="R376" s="0" t="str">
        <f aca="false">IF(Q376&gt;=Parameters!$B$24,"High","")</f>
        <v/>
      </c>
    </row>
    <row r="377" customFormat="false" ht="15" hidden="false" customHeight="false" outlineLevel="0" collapsed="false">
      <c r="A377" s="10" t="s">
        <v>1058</v>
      </c>
      <c r="B377" s="8" t="n">
        <v>45883</v>
      </c>
      <c r="C377" s="10" t="s">
        <v>200</v>
      </c>
      <c r="D377" s="10" t="s">
        <v>1059</v>
      </c>
      <c r="E377" s="12" t="n">
        <v>4844.3</v>
      </c>
      <c r="F377" s="10" t="s">
        <v>347</v>
      </c>
      <c r="G377" s="9" t="n">
        <f aca="false">VALUE(LEFT(TEXT(E377,"0.00"),1))</f>
        <v>4</v>
      </c>
      <c r="H377" s="0" t="str">
        <f aca="false">UPPER(SUBSTITUTE(SUBSTITUTE(SUBSTITUTE(D377," ",""),"/",""),".",""))</f>
        <v>INV31021</v>
      </c>
      <c r="I377" s="9" t="n">
        <f aca="false">IF(COUNTIFS($C$5:C377,C377,$H$5:H377,H377,$E$5:E377,E377)&gt;1,1,0)</f>
        <v>0</v>
      </c>
      <c r="J377" s="9" t="n">
        <f aca="false">IF(AND(I377=0,COUNTIFS($C$5:$C$634,C377,$E$5:$E$634,E377,$B$5:$B$634,"&gt;="&amp;(B377-Parameters!$B$12),$B$5:$B$634,"&lt;="&amp;(B377+Parameters!$B$12),$H$5:$H$634,"&lt;&gt;"&amp;H377)&gt;0),1,0)</f>
        <v>0</v>
      </c>
      <c r="K377" s="9" t="n">
        <f aca="false">IF(AND(E377&gt;=Parameters!$B$11,ROUND(MOD(ROUND(E377,2),Parameters!$B$10),2)=0),1,0)</f>
        <v>0</v>
      </c>
      <c r="L377" s="9" t="n">
        <f aca="false">IF(AND(E377&lt;Parameters!$B$7,E377&gt;=Parameters!$B$7*(1-Parameters!$B$9)),1,0)</f>
        <v>1</v>
      </c>
      <c r="M377" s="9" t="n">
        <f aca="false">IF(AND(E377&lt;Parameters!$B$7,COUNTIFS($C$5:$C$634,C377,$B$5:$B$634,B377)&gt;1,SUMIFS($E$5:$E$634,$C$5:$C$634,C377,$B$5:$B$634,B377)&gt;=Parameters!$B$7),1,0)</f>
        <v>0</v>
      </c>
      <c r="N377" s="9" t="n">
        <f aca="false">IF(AND(E377&gt;=Parameters!$B$7,F377&lt;&gt;Parameters!$B$8),1,0)</f>
        <v>0</v>
      </c>
      <c r="O377" s="9" t="n">
        <f aca="false">INDEX(Vendor_Benford!$N$6:$N$50,MATCH(C377,Vendor_Benford!$A$6:$A$50,0))</f>
        <v>0</v>
      </c>
      <c r="P377" s="9" t="n">
        <f aca="false">INDEX(Vendor_Benford!$M$6:$M$50,MATCH(C377,Vendor_Benford!$A$6:$A$50,0))</f>
        <v>1</v>
      </c>
      <c r="Q377" s="9" t="n">
        <f aca="false">I377*Parameters!$B$28+J377*Parameters!$B$29+K377*Parameters!$B$30+L377*Parameters!$B$31+M377*Parameters!$B$32+N377*Parameters!$B$33+O377*Parameters!$B$34+P377*Parameters!$B$35</f>
        <v>4</v>
      </c>
      <c r="R377" s="0" t="str">
        <f aca="false">IF(Q377&gt;=Parameters!$B$24,"High","")</f>
        <v/>
      </c>
    </row>
    <row r="378" customFormat="false" ht="15" hidden="false" customHeight="false" outlineLevel="0" collapsed="false">
      <c r="A378" s="10" t="s">
        <v>1060</v>
      </c>
      <c r="B378" s="8" t="n">
        <v>45883</v>
      </c>
      <c r="C378" s="10" t="s">
        <v>218</v>
      </c>
      <c r="D378" s="10" t="s">
        <v>1061</v>
      </c>
      <c r="E378" s="12" t="n">
        <v>2045.16</v>
      </c>
      <c r="F378" s="10" t="s">
        <v>347</v>
      </c>
      <c r="G378" s="9" t="n">
        <f aca="false">VALUE(LEFT(TEXT(E378,"0.00"),1))</f>
        <v>2</v>
      </c>
      <c r="H378" s="0" t="str">
        <f aca="false">UPPER(SUBSTITUTE(SUBSTITUTE(SUBSTITUTE(D378," ",""),"/",""),".",""))</f>
        <v>INV37002</v>
      </c>
      <c r="I378" s="9" t="n">
        <f aca="false">IF(COUNTIFS($C$5:C378,C378,$H$5:H378,H378,$E$5:E378,E378)&gt;1,1,0)</f>
        <v>0</v>
      </c>
      <c r="J378" s="9" t="n">
        <f aca="false">IF(AND(I378=0,COUNTIFS($C$5:$C$634,C378,$E$5:$E$634,E378,$B$5:$B$634,"&gt;="&amp;(B378-Parameters!$B$12),$B$5:$B$634,"&lt;="&amp;(B378+Parameters!$B$12),$H$5:$H$634,"&lt;&gt;"&amp;H378)&gt;0),1,0)</f>
        <v>0</v>
      </c>
      <c r="K378" s="9" t="n">
        <f aca="false">IF(AND(E378&gt;=Parameters!$B$11,ROUND(MOD(ROUND(E378,2),Parameters!$B$10),2)=0),1,0)</f>
        <v>0</v>
      </c>
      <c r="L378" s="9" t="n">
        <f aca="false">IF(AND(E378&lt;Parameters!$B$7,E378&gt;=Parameters!$B$7*(1-Parameters!$B$9)),1,0)</f>
        <v>0</v>
      </c>
      <c r="M378" s="9" t="n">
        <f aca="false">IF(AND(E378&lt;Parameters!$B$7,COUNTIFS($C$5:$C$634,C378,$B$5:$B$634,B378)&gt;1,SUMIFS($E$5:$E$634,$C$5:$C$634,C378,$B$5:$B$634,B378)&gt;=Parameters!$B$7),1,0)</f>
        <v>0</v>
      </c>
      <c r="N378" s="9" t="n">
        <f aca="false">IF(AND(E378&gt;=Parameters!$B$7,F378&lt;&gt;Parameters!$B$8),1,0)</f>
        <v>0</v>
      </c>
      <c r="O378" s="9" t="n">
        <f aca="false">INDEX(Vendor_Benford!$N$6:$N$50,MATCH(C378,Vendor_Benford!$A$6:$A$50,0))</f>
        <v>0</v>
      </c>
      <c r="P378" s="9" t="n">
        <f aca="false">INDEX(Vendor_Benford!$M$6:$M$50,MATCH(C378,Vendor_Benford!$A$6:$A$50,0))</f>
        <v>0</v>
      </c>
      <c r="Q378" s="9" t="n">
        <f aca="false">I378*Parameters!$B$28+J378*Parameters!$B$29+K378*Parameters!$B$30+L378*Parameters!$B$31+M378*Parameters!$B$32+N378*Parameters!$B$33+O378*Parameters!$B$34+P378*Parameters!$B$35</f>
        <v>0</v>
      </c>
      <c r="R378" s="0" t="str">
        <f aca="false">IF(Q378&gt;=Parameters!$B$24,"High","")</f>
        <v/>
      </c>
    </row>
    <row r="379" customFormat="false" ht="15" hidden="false" customHeight="false" outlineLevel="0" collapsed="false">
      <c r="A379" s="10" t="s">
        <v>1062</v>
      </c>
      <c r="B379" s="8" t="n">
        <v>45884</v>
      </c>
      <c r="C379" s="10" t="s">
        <v>125</v>
      </c>
      <c r="D379" s="10" t="s">
        <v>1063</v>
      </c>
      <c r="E379" s="12" t="n">
        <v>10192.67</v>
      </c>
      <c r="F379" s="10" t="s">
        <v>40</v>
      </c>
      <c r="G379" s="9" t="n">
        <f aca="false">VALUE(LEFT(TEXT(E379,"0.00"),1))</f>
        <v>1</v>
      </c>
      <c r="H379" s="0" t="str">
        <f aca="false">UPPER(SUBSTITUTE(SUBSTITUTE(SUBSTITUTE(D379," ",""),"/",""),".",""))</f>
        <v>INV6008</v>
      </c>
      <c r="I379" s="9" t="n">
        <f aca="false">IF(COUNTIFS($C$5:C379,C379,$H$5:H379,H379,$E$5:E379,E379)&gt;1,1,0)</f>
        <v>0</v>
      </c>
      <c r="J379" s="9" t="n">
        <f aca="false">IF(AND(I379=0,COUNTIFS($C$5:$C$634,C379,$E$5:$E$634,E379,$B$5:$B$634,"&gt;="&amp;(B379-Parameters!$B$12),$B$5:$B$634,"&lt;="&amp;(B379+Parameters!$B$12),$H$5:$H$634,"&lt;&gt;"&amp;H379)&gt;0),1,0)</f>
        <v>0</v>
      </c>
      <c r="K379" s="9" t="n">
        <f aca="false">IF(AND(E379&gt;=Parameters!$B$11,ROUND(MOD(ROUND(E379,2),Parameters!$B$10),2)=0),1,0)</f>
        <v>0</v>
      </c>
      <c r="L379" s="9" t="n">
        <f aca="false">IF(AND(E379&lt;Parameters!$B$7,E379&gt;=Parameters!$B$7*(1-Parameters!$B$9)),1,0)</f>
        <v>0</v>
      </c>
      <c r="M379" s="9" t="n">
        <f aca="false">IF(AND(E379&lt;Parameters!$B$7,COUNTIFS($C$5:$C$634,C379,$B$5:$B$634,B379)&gt;1,SUMIFS($E$5:$E$634,$C$5:$C$634,C379,$B$5:$B$634,B379)&gt;=Parameters!$B$7),1,0)</f>
        <v>0</v>
      </c>
      <c r="N379" s="9" t="n">
        <f aca="false">IF(AND(E379&gt;=Parameters!$B$7,F379&lt;&gt;Parameters!$B$8),1,0)</f>
        <v>0</v>
      </c>
      <c r="O379" s="9" t="n">
        <f aca="false">INDEX(Vendor_Benford!$N$6:$N$50,MATCH(C379,Vendor_Benford!$A$6:$A$50,0))</f>
        <v>0</v>
      </c>
      <c r="P379" s="9" t="n">
        <f aca="false">INDEX(Vendor_Benford!$M$6:$M$50,MATCH(C379,Vendor_Benford!$A$6:$A$50,0))</f>
        <v>0</v>
      </c>
      <c r="Q379" s="9" t="n">
        <f aca="false">I379*Parameters!$B$28+J379*Parameters!$B$29+K379*Parameters!$B$30+L379*Parameters!$B$31+M379*Parameters!$B$32+N379*Parameters!$B$33+O379*Parameters!$B$34+P379*Parameters!$B$35</f>
        <v>0</v>
      </c>
      <c r="R379" s="0" t="str">
        <f aca="false">IF(Q379&gt;=Parameters!$B$24,"High","")</f>
        <v/>
      </c>
    </row>
    <row r="380" customFormat="false" ht="15" hidden="false" customHeight="false" outlineLevel="0" collapsed="false">
      <c r="A380" s="10" t="s">
        <v>1064</v>
      </c>
      <c r="B380" s="8" t="n">
        <v>45884</v>
      </c>
      <c r="C380" s="10" t="s">
        <v>134</v>
      </c>
      <c r="D380" s="10" t="s">
        <v>1065</v>
      </c>
      <c r="E380" s="12" t="n">
        <v>27411.71</v>
      </c>
      <c r="F380" s="10" t="s">
        <v>40</v>
      </c>
      <c r="G380" s="9" t="n">
        <f aca="false">VALUE(LEFT(TEXT(E380,"0.00"),1))</f>
        <v>2</v>
      </c>
      <c r="H380" s="0" t="str">
        <f aca="false">UPPER(SUBSTITUTE(SUBSTITUTE(SUBSTITUTE(D380," ",""),"/",""),".",""))</f>
        <v>INV9009</v>
      </c>
      <c r="I380" s="9" t="n">
        <f aca="false">IF(COUNTIFS($C$5:C380,C380,$H$5:H380,H380,$E$5:E380,E380)&gt;1,1,0)</f>
        <v>0</v>
      </c>
      <c r="J380" s="9" t="n">
        <f aca="false">IF(AND(I380=0,COUNTIFS($C$5:$C$634,C380,$E$5:$E$634,E380,$B$5:$B$634,"&gt;="&amp;(B380-Parameters!$B$12),$B$5:$B$634,"&lt;="&amp;(B380+Parameters!$B$12),$H$5:$H$634,"&lt;&gt;"&amp;H380)&gt;0),1,0)</f>
        <v>0</v>
      </c>
      <c r="K380" s="9" t="n">
        <f aca="false">IF(AND(E380&gt;=Parameters!$B$11,ROUND(MOD(ROUND(E380,2),Parameters!$B$10),2)=0),1,0)</f>
        <v>0</v>
      </c>
      <c r="L380" s="9" t="n">
        <f aca="false">IF(AND(E380&lt;Parameters!$B$7,E380&gt;=Parameters!$B$7*(1-Parameters!$B$9)),1,0)</f>
        <v>0</v>
      </c>
      <c r="M380" s="9" t="n">
        <f aca="false">IF(AND(E380&lt;Parameters!$B$7,COUNTIFS($C$5:$C$634,C380,$B$5:$B$634,B380)&gt;1,SUMIFS($E$5:$E$634,$C$5:$C$634,C380,$B$5:$B$634,B380)&gt;=Parameters!$B$7),1,0)</f>
        <v>0</v>
      </c>
      <c r="N380" s="9" t="n">
        <f aca="false">IF(AND(E380&gt;=Parameters!$B$7,F380&lt;&gt;Parameters!$B$8),1,0)</f>
        <v>0</v>
      </c>
      <c r="O380" s="9" t="n">
        <f aca="false">INDEX(Vendor_Benford!$N$6:$N$50,MATCH(C380,Vendor_Benford!$A$6:$A$50,0))</f>
        <v>0</v>
      </c>
      <c r="P380" s="9" t="n">
        <f aca="false">INDEX(Vendor_Benford!$M$6:$M$50,MATCH(C380,Vendor_Benford!$A$6:$A$50,0))</f>
        <v>0</v>
      </c>
      <c r="Q380" s="9" t="n">
        <f aca="false">I380*Parameters!$B$28+J380*Parameters!$B$29+K380*Parameters!$B$30+L380*Parameters!$B$31+M380*Parameters!$B$32+N380*Parameters!$B$33+O380*Parameters!$B$34+P380*Parameters!$B$35</f>
        <v>0</v>
      </c>
      <c r="R380" s="0" t="str">
        <f aca="false">IF(Q380&gt;=Parameters!$B$24,"High","")</f>
        <v/>
      </c>
    </row>
    <row r="381" customFormat="false" ht="15" hidden="false" customHeight="false" outlineLevel="0" collapsed="false">
      <c r="A381" s="10" t="s">
        <v>1066</v>
      </c>
      <c r="B381" s="8" t="n">
        <v>45884</v>
      </c>
      <c r="C381" s="10" t="s">
        <v>143</v>
      </c>
      <c r="D381" s="10" t="s">
        <v>1067</v>
      </c>
      <c r="E381" s="12" t="n">
        <v>549.28</v>
      </c>
      <c r="F381" s="10" t="s">
        <v>347</v>
      </c>
      <c r="G381" s="9" t="n">
        <f aca="false">VALUE(LEFT(TEXT(E381,"0.00"),1))</f>
        <v>5</v>
      </c>
      <c r="H381" s="0" t="str">
        <f aca="false">UPPER(SUBSTITUTE(SUBSTITUTE(SUBSTITUTE(D381," ",""),"/",""),".",""))</f>
        <v>INV12011</v>
      </c>
      <c r="I381" s="9" t="n">
        <f aca="false">IF(COUNTIFS($C$5:C381,C381,$H$5:H381,H381,$E$5:E381,E381)&gt;1,1,0)</f>
        <v>0</v>
      </c>
      <c r="J381" s="9" t="n">
        <f aca="false">IF(AND(I381=0,COUNTIFS($C$5:$C$634,C381,$E$5:$E$634,E381,$B$5:$B$634,"&gt;="&amp;(B381-Parameters!$B$12),$B$5:$B$634,"&lt;="&amp;(B381+Parameters!$B$12),$H$5:$H$634,"&lt;&gt;"&amp;H381)&gt;0),1,0)</f>
        <v>0</v>
      </c>
      <c r="K381" s="9" t="n">
        <f aca="false">IF(AND(E381&gt;=Parameters!$B$11,ROUND(MOD(ROUND(E381,2),Parameters!$B$10),2)=0),1,0)</f>
        <v>0</v>
      </c>
      <c r="L381" s="9" t="n">
        <f aca="false">IF(AND(E381&lt;Parameters!$B$7,E381&gt;=Parameters!$B$7*(1-Parameters!$B$9)),1,0)</f>
        <v>0</v>
      </c>
      <c r="M381" s="9" t="n">
        <f aca="false">IF(AND(E381&lt;Parameters!$B$7,COUNTIFS($C$5:$C$634,C381,$B$5:$B$634,B381)&gt;1,SUMIFS($E$5:$E$634,$C$5:$C$634,C381,$B$5:$B$634,B381)&gt;=Parameters!$B$7),1,0)</f>
        <v>0</v>
      </c>
      <c r="N381" s="9" t="n">
        <f aca="false">IF(AND(E381&gt;=Parameters!$B$7,F381&lt;&gt;Parameters!$B$8),1,0)</f>
        <v>0</v>
      </c>
      <c r="O381" s="9" t="n">
        <f aca="false">INDEX(Vendor_Benford!$N$6:$N$50,MATCH(C381,Vendor_Benford!$A$6:$A$50,0))</f>
        <v>0</v>
      </c>
      <c r="P381" s="9" t="n">
        <f aca="false">INDEX(Vendor_Benford!$M$6:$M$50,MATCH(C381,Vendor_Benford!$A$6:$A$50,0))</f>
        <v>0</v>
      </c>
      <c r="Q381" s="9" t="n">
        <f aca="false">I381*Parameters!$B$28+J381*Parameters!$B$29+K381*Parameters!$B$30+L381*Parameters!$B$31+M381*Parameters!$B$32+N381*Parameters!$B$33+O381*Parameters!$B$34+P381*Parameters!$B$35</f>
        <v>0</v>
      </c>
      <c r="R381" s="0" t="str">
        <f aca="false">IF(Q381&gt;=Parameters!$B$24,"High","")</f>
        <v/>
      </c>
    </row>
    <row r="382" customFormat="false" ht="15" hidden="false" customHeight="false" outlineLevel="0" collapsed="false">
      <c r="A382" s="10" t="s">
        <v>1068</v>
      </c>
      <c r="B382" s="8" t="n">
        <v>45887</v>
      </c>
      <c r="C382" s="10" t="s">
        <v>113</v>
      </c>
      <c r="D382" s="10" t="s">
        <v>1069</v>
      </c>
      <c r="E382" s="12" t="n">
        <v>4900</v>
      </c>
      <c r="F382" s="10" t="s">
        <v>347</v>
      </c>
      <c r="G382" s="9" t="n">
        <f aca="false">VALUE(LEFT(TEXT(E382,"0.00"),1))</f>
        <v>4</v>
      </c>
      <c r="H382" s="0" t="str">
        <f aca="false">UPPER(SUBSTITUTE(SUBSTITUTE(SUBSTITUTE(D382," ",""),"/",""),".",""))</f>
        <v>LIC2508</v>
      </c>
      <c r="I382" s="9" t="n">
        <f aca="false">IF(COUNTIFS($C$5:C382,C382,$H$5:H382,H382,$E$5:E382,E382)&gt;1,1,0)</f>
        <v>0</v>
      </c>
      <c r="J382" s="9" t="n">
        <f aca="false">IF(AND(I382=0,COUNTIFS($C$5:$C$634,C382,$E$5:$E$634,E382,$B$5:$B$634,"&gt;="&amp;(B382-Parameters!$B$12),$B$5:$B$634,"&lt;="&amp;(B382+Parameters!$B$12),$H$5:$H$634,"&lt;&gt;"&amp;H382)&gt;0),1,0)</f>
        <v>1</v>
      </c>
      <c r="K382" s="9" t="n">
        <f aca="false">IF(AND(E382&gt;=Parameters!$B$11,ROUND(MOD(ROUND(E382,2),Parameters!$B$10),2)=0),1,0)</f>
        <v>0</v>
      </c>
      <c r="L382" s="9" t="n">
        <f aca="false">IF(AND(E382&lt;Parameters!$B$7,E382&gt;=Parameters!$B$7*(1-Parameters!$B$9)),1,0)</f>
        <v>1</v>
      </c>
      <c r="M382" s="9" t="n">
        <f aca="false">IF(AND(E382&lt;Parameters!$B$7,COUNTIFS($C$5:$C$634,C382,$B$5:$B$634,B382)&gt;1,SUMIFS($E$5:$E$634,$C$5:$C$634,C382,$B$5:$B$634,B382)&gt;=Parameters!$B$7),1,0)</f>
        <v>0</v>
      </c>
      <c r="N382" s="9" t="n">
        <f aca="false">IF(AND(E382&gt;=Parameters!$B$7,F382&lt;&gt;Parameters!$B$8),1,0)</f>
        <v>0</v>
      </c>
      <c r="O382" s="9" t="n">
        <f aca="false">INDEX(Vendor_Benford!$N$6:$N$50,MATCH(C382,Vendor_Benford!$A$6:$A$50,0))</f>
        <v>0</v>
      </c>
      <c r="P382" s="9" t="n">
        <f aca="false">INDEX(Vendor_Benford!$M$6:$M$50,MATCH(C382,Vendor_Benford!$A$6:$A$50,0))</f>
        <v>0</v>
      </c>
      <c r="Q382" s="9" t="n">
        <f aca="false">I382*Parameters!$B$28+J382*Parameters!$B$29+K382*Parameters!$B$30+L382*Parameters!$B$31+M382*Parameters!$B$32+N382*Parameters!$B$33+O382*Parameters!$B$34+P382*Parameters!$B$35</f>
        <v>5</v>
      </c>
      <c r="R382" s="0" t="str">
        <f aca="false">IF(Q382&gt;=Parameters!$B$24,"High","")</f>
        <v>High</v>
      </c>
    </row>
    <row r="383" customFormat="false" ht="15" hidden="false" customHeight="false" outlineLevel="0" collapsed="false">
      <c r="A383" s="10" t="s">
        <v>1070</v>
      </c>
      <c r="B383" s="8" t="n">
        <v>45887</v>
      </c>
      <c r="C383" s="10" t="s">
        <v>116</v>
      </c>
      <c r="D383" s="10" t="s">
        <v>1071</v>
      </c>
      <c r="E383" s="12" t="n">
        <v>465.3</v>
      </c>
      <c r="F383" s="10" t="s">
        <v>347</v>
      </c>
      <c r="G383" s="9" t="n">
        <f aca="false">VALUE(LEFT(TEXT(E383,"0.00"),1))</f>
        <v>4</v>
      </c>
      <c r="H383" s="0" t="str">
        <f aca="false">UPPER(SUBSTITUTE(SUBSTITUTE(SUBSTITUTE(D383," ",""),"/",""),".",""))</f>
        <v>INV3012</v>
      </c>
      <c r="I383" s="9" t="n">
        <f aca="false">IF(COUNTIFS($C$5:C383,C383,$H$5:H383,H383,$E$5:E383,E383)&gt;1,1,0)</f>
        <v>0</v>
      </c>
      <c r="J383" s="9" t="n">
        <f aca="false">IF(AND(I383=0,COUNTIFS($C$5:$C$634,C383,$E$5:$E$634,E383,$B$5:$B$634,"&gt;="&amp;(B383-Parameters!$B$12),$B$5:$B$634,"&lt;="&amp;(B383+Parameters!$B$12),$H$5:$H$634,"&lt;&gt;"&amp;H383)&gt;0),1,0)</f>
        <v>0</v>
      </c>
      <c r="K383" s="9" t="n">
        <f aca="false">IF(AND(E383&gt;=Parameters!$B$11,ROUND(MOD(ROUND(E383,2),Parameters!$B$10),2)=0),1,0)</f>
        <v>0</v>
      </c>
      <c r="L383" s="9" t="n">
        <f aca="false">IF(AND(E383&lt;Parameters!$B$7,E383&gt;=Parameters!$B$7*(1-Parameters!$B$9)),1,0)</f>
        <v>0</v>
      </c>
      <c r="M383" s="9" t="n">
        <f aca="false">IF(AND(E383&lt;Parameters!$B$7,COUNTIFS($C$5:$C$634,C383,$B$5:$B$634,B383)&gt;1,SUMIFS($E$5:$E$634,$C$5:$C$634,C383,$B$5:$B$634,B383)&gt;=Parameters!$B$7),1,0)</f>
        <v>0</v>
      </c>
      <c r="N383" s="9" t="n">
        <f aca="false">IF(AND(E383&gt;=Parameters!$B$7,F383&lt;&gt;Parameters!$B$8),1,0)</f>
        <v>0</v>
      </c>
      <c r="O383" s="9" t="n">
        <f aca="false">INDEX(Vendor_Benford!$N$6:$N$50,MATCH(C383,Vendor_Benford!$A$6:$A$50,0))</f>
        <v>0</v>
      </c>
      <c r="P383" s="9" t="n">
        <f aca="false">INDEX(Vendor_Benford!$M$6:$M$50,MATCH(C383,Vendor_Benford!$A$6:$A$50,0))</f>
        <v>0</v>
      </c>
      <c r="Q383" s="9" t="n">
        <f aca="false">I383*Parameters!$B$28+J383*Parameters!$B$29+K383*Parameters!$B$30+L383*Parameters!$B$31+M383*Parameters!$B$32+N383*Parameters!$B$33+O383*Parameters!$B$34+P383*Parameters!$B$35</f>
        <v>0</v>
      </c>
      <c r="R383" s="0" t="str">
        <f aca="false">IF(Q383&gt;=Parameters!$B$24,"High","")</f>
        <v/>
      </c>
    </row>
    <row r="384" customFormat="false" ht="15" hidden="false" customHeight="false" outlineLevel="0" collapsed="false">
      <c r="A384" s="10" t="s">
        <v>1072</v>
      </c>
      <c r="B384" s="8" t="n">
        <v>45887</v>
      </c>
      <c r="C384" s="10" t="s">
        <v>134</v>
      </c>
      <c r="D384" s="10" t="s">
        <v>1073</v>
      </c>
      <c r="E384" s="12" t="n">
        <v>410.78</v>
      </c>
      <c r="F384" s="10" t="s">
        <v>40</v>
      </c>
      <c r="G384" s="9" t="n">
        <f aca="false">VALUE(LEFT(TEXT(E384,"0.00"),1))</f>
        <v>4</v>
      </c>
      <c r="H384" s="0" t="str">
        <f aca="false">UPPER(SUBSTITUTE(SUBSTITUTE(SUBSTITUTE(D384," ",""),"/",""),".",""))</f>
        <v>INV9011</v>
      </c>
      <c r="I384" s="9" t="n">
        <f aca="false">IF(COUNTIFS($C$5:C384,C384,$H$5:H384,H384,$E$5:E384,E384)&gt;1,1,0)</f>
        <v>0</v>
      </c>
      <c r="J384" s="9" t="n">
        <f aca="false">IF(AND(I384=0,COUNTIFS($C$5:$C$634,C384,$E$5:$E$634,E384,$B$5:$B$634,"&gt;="&amp;(B384-Parameters!$B$12),$B$5:$B$634,"&lt;="&amp;(B384+Parameters!$B$12),$H$5:$H$634,"&lt;&gt;"&amp;H384)&gt;0),1,0)</f>
        <v>0</v>
      </c>
      <c r="K384" s="9" t="n">
        <f aca="false">IF(AND(E384&gt;=Parameters!$B$11,ROUND(MOD(ROUND(E384,2),Parameters!$B$10),2)=0),1,0)</f>
        <v>0</v>
      </c>
      <c r="L384" s="9" t="n">
        <f aca="false">IF(AND(E384&lt;Parameters!$B$7,E384&gt;=Parameters!$B$7*(1-Parameters!$B$9)),1,0)</f>
        <v>0</v>
      </c>
      <c r="M384" s="9" t="n">
        <f aca="false">IF(AND(E384&lt;Parameters!$B$7,COUNTIFS($C$5:$C$634,C384,$B$5:$B$634,B384)&gt;1,SUMIFS($E$5:$E$634,$C$5:$C$634,C384,$B$5:$B$634,B384)&gt;=Parameters!$B$7),1,0)</f>
        <v>0</v>
      </c>
      <c r="N384" s="9" t="n">
        <f aca="false">IF(AND(E384&gt;=Parameters!$B$7,F384&lt;&gt;Parameters!$B$8),1,0)</f>
        <v>0</v>
      </c>
      <c r="O384" s="9" t="n">
        <f aca="false">INDEX(Vendor_Benford!$N$6:$N$50,MATCH(C384,Vendor_Benford!$A$6:$A$50,0))</f>
        <v>0</v>
      </c>
      <c r="P384" s="9" t="n">
        <f aca="false">INDEX(Vendor_Benford!$M$6:$M$50,MATCH(C384,Vendor_Benford!$A$6:$A$50,0))</f>
        <v>0</v>
      </c>
      <c r="Q384" s="9" t="n">
        <f aca="false">I384*Parameters!$B$28+J384*Parameters!$B$29+K384*Parameters!$B$30+L384*Parameters!$B$31+M384*Parameters!$B$32+N384*Parameters!$B$33+O384*Parameters!$B$34+P384*Parameters!$B$35</f>
        <v>0</v>
      </c>
      <c r="R384" s="0" t="str">
        <f aca="false">IF(Q384&gt;=Parameters!$B$24,"High","")</f>
        <v/>
      </c>
    </row>
    <row r="385" customFormat="false" ht="15" hidden="false" customHeight="false" outlineLevel="0" collapsed="false">
      <c r="A385" s="10" t="s">
        <v>1074</v>
      </c>
      <c r="B385" s="8" t="n">
        <v>45887</v>
      </c>
      <c r="C385" s="10" t="s">
        <v>155</v>
      </c>
      <c r="D385" s="10" t="s">
        <v>1075</v>
      </c>
      <c r="E385" s="12" t="n">
        <v>489.54</v>
      </c>
      <c r="F385" s="10" t="s">
        <v>347</v>
      </c>
      <c r="G385" s="9" t="n">
        <f aca="false">VALUE(LEFT(TEXT(E385,"0.00"),1))</f>
        <v>4</v>
      </c>
      <c r="H385" s="0" t="str">
        <f aca="false">UPPER(SUBSTITUTE(SUBSTITUTE(SUBSTITUTE(D385," ",""),"/",""),".",""))</f>
        <v>INV16024</v>
      </c>
      <c r="I385" s="9" t="n">
        <f aca="false">IF(COUNTIFS($C$5:C385,C385,$H$5:H385,H385,$E$5:E385,E385)&gt;1,1,0)</f>
        <v>0</v>
      </c>
      <c r="J385" s="9" t="n">
        <f aca="false">IF(AND(I385=0,COUNTIFS($C$5:$C$634,C385,$E$5:$E$634,E385,$B$5:$B$634,"&gt;="&amp;(B385-Parameters!$B$12),$B$5:$B$634,"&lt;="&amp;(B385+Parameters!$B$12),$H$5:$H$634,"&lt;&gt;"&amp;H385)&gt;0),1,0)</f>
        <v>1</v>
      </c>
      <c r="K385" s="9" t="n">
        <f aca="false">IF(AND(E385&gt;=Parameters!$B$11,ROUND(MOD(ROUND(E385,2),Parameters!$B$10),2)=0),1,0)</f>
        <v>0</v>
      </c>
      <c r="L385" s="9" t="n">
        <f aca="false">IF(AND(E385&lt;Parameters!$B$7,E385&gt;=Parameters!$B$7*(1-Parameters!$B$9)),1,0)</f>
        <v>0</v>
      </c>
      <c r="M385" s="9" t="n">
        <f aca="false">IF(AND(E385&lt;Parameters!$B$7,COUNTIFS($C$5:$C$634,C385,$B$5:$B$634,B385)&gt;1,SUMIFS($E$5:$E$634,$C$5:$C$634,C385,$B$5:$B$634,B385)&gt;=Parameters!$B$7),1,0)</f>
        <v>0</v>
      </c>
      <c r="N385" s="9" t="n">
        <f aca="false">IF(AND(E385&gt;=Parameters!$B$7,F385&lt;&gt;Parameters!$B$8),1,0)</f>
        <v>0</v>
      </c>
      <c r="O385" s="9" t="n">
        <f aca="false">INDEX(Vendor_Benford!$N$6:$N$50,MATCH(C385,Vendor_Benford!$A$6:$A$50,0))</f>
        <v>0</v>
      </c>
      <c r="P385" s="9" t="n">
        <f aca="false">INDEX(Vendor_Benford!$M$6:$M$50,MATCH(C385,Vendor_Benford!$A$6:$A$50,0))</f>
        <v>0</v>
      </c>
      <c r="Q385" s="9" t="n">
        <f aca="false">I385*Parameters!$B$28+J385*Parameters!$B$29+K385*Parameters!$B$30+L385*Parameters!$B$31+M385*Parameters!$B$32+N385*Parameters!$B$33+O385*Parameters!$B$34+P385*Parameters!$B$35</f>
        <v>3</v>
      </c>
      <c r="R385" s="0" t="str">
        <f aca="false">IF(Q385&gt;=Parameters!$B$24,"High","")</f>
        <v/>
      </c>
    </row>
    <row r="386" customFormat="false" ht="15" hidden="false" customHeight="false" outlineLevel="0" collapsed="false">
      <c r="A386" s="10" t="s">
        <v>1076</v>
      </c>
      <c r="B386" s="8" t="n">
        <v>45887</v>
      </c>
      <c r="C386" s="10" t="s">
        <v>194</v>
      </c>
      <c r="D386" s="10" t="s">
        <v>1077</v>
      </c>
      <c r="E386" s="12" t="n">
        <v>9584.02</v>
      </c>
      <c r="F386" s="10" t="s">
        <v>40</v>
      </c>
      <c r="G386" s="9" t="n">
        <f aca="false">VALUE(LEFT(TEXT(E386,"0.00"),1))</f>
        <v>9</v>
      </c>
      <c r="H386" s="0" t="str">
        <f aca="false">UPPER(SUBSTITUTE(SUBSTITUTE(SUBSTITUTE(D386," ",""),"/",""),".",""))</f>
        <v>INV29004</v>
      </c>
      <c r="I386" s="9" t="n">
        <f aca="false">IF(COUNTIFS($C$5:C386,C386,$H$5:H386,H386,$E$5:E386,E386)&gt;1,1,0)</f>
        <v>0</v>
      </c>
      <c r="J386" s="9" t="n">
        <f aca="false">IF(AND(I386=0,COUNTIFS($C$5:$C$634,C386,$E$5:$E$634,E386,$B$5:$B$634,"&gt;="&amp;(B386-Parameters!$B$12),$B$5:$B$634,"&lt;="&amp;(B386+Parameters!$B$12),$H$5:$H$634,"&lt;&gt;"&amp;H386)&gt;0),1,0)</f>
        <v>0</v>
      </c>
      <c r="K386" s="9" t="n">
        <f aca="false">IF(AND(E386&gt;=Parameters!$B$11,ROUND(MOD(ROUND(E386,2),Parameters!$B$10),2)=0),1,0)</f>
        <v>0</v>
      </c>
      <c r="L386" s="9" t="n">
        <f aca="false">IF(AND(E386&lt;Parameters!$B$7,E386&gt;=Parameters!$B$7*(1-Parameters!$B$9)),1,0)</f>
        <v>0</v>
      </c>
      <c r="M386" s="9" t="n">
        <f aca="false">IF(AND(E386&lt;Parameters!$B$7,COUNTIFS($C$5:$C$634,C386,$B$5:$B$634,B386)&gt;1,SUMIFS($E$5:$E$634,$C$5:$C$634,C386,$B$5:$B$634,B386)&gt;=Parameters!$B$7),1,0)</f>
        <v>0</v>
      </c>
      <c r="N386" s="9" t="n">
        <f aca="false">IF(AND(E386&gt;=Parameters!$B$7,F386&lt;&gt;Parameters!$B$8),1,0)</f>
        <v>0</v>
      </c>
      <c r="O386" s="9" t="n">
        <f aca="false">INDEX(Vendor_Benford!$N$6:$N$50,MATCH(C386,Vendor_Benford!$A$6:$A$50,0))</f>
        <v>0</v>
      </c>
      <c r="P386" s="9" t="n">
        <f aca="false">INDEX(Vendor_Benford!$M$6:$M$50,MATCH(C386,Vendor_Benford!$A$6:$A$50,0))</f>
        <v>0</v>
      </c>
      <c r="Q386" s="9" t="n">
        <f aca="false">I386*Parameters!$B$28+J386*Parameters!$B$29+K386*Parameters!$B$30+L386*Parameters!$B$31+M386*Parameters!$B$32+N386*Parameters!$B$33+O386*Parameters!$B$34+P386*Parameters!$B$35</f>
        <v>0</v>
      </c>
      <c r="R386" s="0" t="str">
        <f aca="false">IF(Q386&gt;=Parameters!$B$24,"High","")</f>
        <v/>
      </c>
    </row>
    <row r="387" customFormat="false" ht="15" hidden="false" customHeight="false" outlineLevel="0" collapsed="false">
      <c r="A387" s="10" t="s">
        <v>1078</v>
      </c>
      <c r="B387" s="8" t="n">
        <v>45888</v>
      </c>
      <c r="C387" s="10" t="s">
        <v>128</v>
      </c>
      <c r="D387" s="10" t="s">
        <v>1079</v>
      </c>
      <c r="E387" s="12" t="n">
        <v>424.9</v>
      </c>
      <c r="F387" s="10" t="s">
        <v>40</v>
      </c>
      <c r="G387" s="9" t="n">
        <f aca="false">VALUE(LEFT(TEXT(E387,"0.00"),1))</f>
        <v>4</v>
      </c>
      <c r="H387" s="0" t="str">
        <f aca="false">UPPER(SUBSTITUTE(SUBSTITUTE(SUBSTITUTE(D387," ",""),"/",""),".",""))</f>
        <v>INV7014</v>
      </c>
      <c r="I387" s="9" t="n">
        <f aca="false">IF(COUNTIFS($C$5:C387,C387,$H$5:H387,H387,$E$5:E387,E387)&gt;1,1,0)</f>
        <v>0</v>
      </c>
      <c r="J387" s="9" t="n">
        <f aca="false">IF(AND(I387=0,COUNTIFS($C$5:$C$634,C387,$E$5:$E$634,E387,$B$5:$B$634,"&gt;="&amp;(B387-Parameters!$B$12),$B$5:$B$634,"&lt;="&amp;(B387+Parameters!$B$12),$H$5:$H$634,"&lt;&gt;"&amp;H387)&gt;0),1,0)</f>
        <v>0</v>
      </c>
      <c r="K387" s="9" t="n">
        <f aca="false">IF(AND(E387&gt;=Parameters!$B$11,ROUND(MOD(ROUND(E387,2),Parameters!$B$10),2)=0),1,0)</f>
        <v>0</v>
      </c>
      <c r="L387" s="9" t="n">
        <f aca="false">IF(AND(E387&lt;Parameters!$B$7,E387&gt;=Parameters!$B$7*(1-Parameters!$B$9)),1,0)</f>
        <v>0</v>
      </c>
      <c r="M387" s="9" t="n">
        <f aca="false">IF(AND(E387&lt;Parameters!$B$7,COUNTIFS($C$5:$C$634,C387,$B$5:$B$634,B387)&gt;1,SUMIFS($E$5:$E$634,$C$5:$C$634,C387,$B$5:$B$634,B387)&gt;=Parameters!$B$7),1,0)</f>
        <v>0</v>
      </c>
      <c r="N387" s="9" t="n">
        <f aca="false">IF(AND(E387&gt;=Parameters!$B$7,F387&lt;&gt;Parameters!$B$8),1,0)</f>
        <v>0</v>
      </c>
      <c r="O387" s="9" t="n">
        <f aca="false">INDEX(Vendor_Benford!$N$6:$N$50,MATCH(C387,Vendor_Benford!$A$6:$A$50,0))</f>
        <v>0</v>
      </c>
      <c r="P387" s="9" t="n">
        <f aca="false">INDEX(Vendor_Benford!$M$6:$M$50,MATCH(C387,Vendor_Benford!$A$6:$A$50,0))</f>
        <v>0</v>
      </c>
      <c r="Q387" s="9" t="n">
        <f aca="false">I387*Parameters!$B$28+J387*Parameters!$B$29+K387*Parameters!$B$30+L387*Parameters!$B$31+M387*Parameters!$B$32+N387*Parameters!$B$33+O387*Parameters!$B$34+P387*Parameters!$B$35</f>
        <v>0</v>
      </c>
      <c r="R387" s="0" t="str">
        <f aca="false">IF(Q387&gt;=Parameters!$B$24,"High","")</f>
        <v/>
      </c>
    </row>
    <row r="388" customFormat="false" ht="15" hidden="false" customHeight="false" outlineLevel="0" collapsed="false">
      <c r="A388" s="10" t="s">
        <v>1080</v>
      </c>
      <c r="B388" s="8" t="n">
        <v>45888</v>
      </c>
      <c r="C388" s="10" t="s">
        <v>152</v>
      </c>
      <c r="D388" s="10" t="s">
        <v>1081</v>
      </c>
      <c r="E388" s="12" t="n">
        <v>17231.07</v>
      </c>
      <c r="F388" s="10" t="s">
        <v>40</v>
      </c>
      <c r="G388" s="9" t="n">
        <f aca="false">VALUE(LEFT(TEXT(E388,"0.00"),1))</f>
        <v>1</v>
      </c>
      <c r="H388" s="0" t="str">
        <f aca="false">UPPER(SUBSTITUTE(SUBSTITUTE(SUBSTITUTE(D388," ",""),"/",""),".",""))</f>
        <v>INV15001</v>
      </c>
      <c r="I388" s="9" t="n">
        <f aca="false">IF(COUNTIFS($C$5:C388,C388,$H$5:H388,H388,$E$5:E388,E388)&gt;1,1,0)</f>
        <v>0</v>
      </c>
      <c r="J388" s="9" t="n">
        <f aca="false">IF(AND(I388=0,COUNTIFS($C$5:$C$634,C388,$E$5:$E$634,E388,$B$5:$B$634,"&gt;="&amp;(B388-Parameters!$B$12),$B$5:$B$634,"&lt;="&amp;(B388+Parameters!$B$12),$H$5:$H$634,"&lt;&gt;"&amp;H388)&gt;0),1,0)</f>
        <v>0</v>
      </c>
      <c r="K388" s="9" t="n">
        <f aca="false">IF(AND(E388&gt;=Parameters!$B$11,ROUND(MOD(ROUND(E388,2),Parameters!$B$10),2)=0),1,0)</f>
        <v>0</v>
      </c>
      <c r="L388" s="9" t="n">
        <f aca="false">IF(AND(E388&lt;Parameters!$B$7,E388&gt;=Parameters!$B$7*(1-Parameters!$B$9)),1,0)</f>
        <v>0</v>
      </c>
      <c r="M388" s="9" t="n">
        <f aca="false">IF(AND(E388&lt;Parameters!$B$7,COUNTIFS($C$5:$C$634,C388,$B$5:$B$634,B388)&gt;1,SUMIFS($E$5:$E$634,$C$5:$C$634,C388,$B$5:$B$634,B388)&gt;=Parameters!$B$7),1,0)</f>
        <v>0</v>
      </c>
      <c r="N388" s="9" t="n">
        <f aca="false">IF(AND(E388&gt;=Parameters!$B$7,F388&lt;&gt;Parameters!$B$8),1,0)</f>
        <v>0</v>
      </c>
      <c r="O388" s="9" t="n">
        <f aca="false">INDEX(Vendor_Benford!$N$6:$N$50,MATCH(C388,Vendor_Benford!$A$6:$A$50,0))</f>
        <v>0</v>
      </c>
      <c r="P388" s="9" t="n">
        <f aca="false">INDEX(Vendor_Benford!$M$6:$M$50,MATCH(C388,Vendor_Benford!$A$6:$A$50,0))</f>
        <v>0</v>
      </c>
      <c r="Q388" s="9" t="n">
        <f aca="false">I388*Parameters!$B$28+J388*Parameters!$B$29+K388*Parameters!$B$30+L388*Parameters!$B$31+M388*Parameters!$B$32+N388*Parameters!$B$33+O388*Parameters!$B$34+P388*Parameters!$B$35</f>
        <v>0</v>
      </c>
      <c r="R388" s="0" t="str">
        <f aca="false">IF(Q388&gt;=Parameters!$B$24,"High","")</f>
        <v/>
      </c>
    </row>
    <row r="389" customFormat="false" ht="15" hidden="false" customHeight="false" outlineLevel="0" collapsed="false">
      <c r="A389" s="10" t="s">
        <v>1082</v>
      </c>
      <c r="B389" s="8" t="n">
        <v>45889</v>
      </c>
      <c r="C389" s="10" t="s">
        <v>131</v>
      </c>
      <c r="D389" s="10" t="s">
        <v>1083</v>
      </c>
      <c r="E389" s="12" t="n">
        <v>3724.8</v>
      </c>
      <c r="F389" s="10" t="s">
        <v>347</v>
      </c>
      <c r="G389" s="9" t="n">
        <f aca="false">VALUE(LEFT(TEXT(E389,"0.00"),1))</f>
        <v>3</v>
      </c>
      <c r="H389" s="0" t="str">
        <f aca="false">UPPER(SUBSTITUTE(SUBSTITUTE(SUBSTITUTE(D389," ",""),"/",""),".",""))</f>
        <v>INV8009</v>
      </c>
      <c r="I389" s="9" t="n">
        <f aca="false">IF(COUNTIFS($C$5:C389,C389,$H$5:H389,H389,$E$5:E389,E389)&gt;1,1,0)</f>
        <v>0</v>
      </c>
      <c r="J389" s="9" t="n">
        <f aca="false">IF(AND(I389=0,COUNTIFS($C$5:$C$634,C389,$E$5:$E$634,E389,$B$5:$B$634,"&gt;="&amp;(B389-Parameters!$B$12),$B$5:$B$634,"&lt;="&amp;(B389+Parameters!$B$12),$H$5:$H$634,"&lt;&gt;"&amp;H389)&gt;0),1,0)</f>
        <v>0</v>
      </c>
      <c r="K389" s="9" t="n">
        <f aca="false">IF(AND(E389&gt;=Parameters!$B$11,ROUND(MOD(ROUND(E389,2),Parameters!$B$10),2)=0),1,0)</f>
        <v>0</v>
      </c>
      <c r="L389" s="9" t="n">
        <f aca="false">IF(AND(E389&lt;Parameters!$B$7,E389&gt;=Parameters!$B$7*(1-Parameters!$B$9)),1,0)</f>
        <v>0</v>
      </c>
      <c r="M389" s="9" t="n">
        <f aca="false">IF(AND(E389&lt;Parameters!$B$7,COUNTIFS($C$5:$C$634,C389,$B$5:$B$634,B389)&gt;1,SUMIFS($E$5:$E$634,$C$5:$C$634,C389,$B$5:$B$634,B389)&gt;=Parameters!$B$7),1,0)</f>
        <v>0</v>
      </c>
      <c r="N389" s="9" t="n">
        <f aca="false">IF(AND(E389&gt;=Parameters!$B$7,F389&lt;&gt;Parameters!$B$8),1,0)</f>
        <v>0</v>
      </c>
      <c r="O389" s="9" t="n">
        <f aca="false">INDEX(Vendor_Benford!$N$6:$N$50,MATCH(C389,Vendor_Benford!$A$6:$A$50,0))</f>
        <v>0</v>
      </c>
      <c r="P389" s="9" t="n">
        <f aca="false">INDEX(Vendor_Benford!$M$6:$M$50,MATCH(C389,Vendor_Benford!$A$6:$A$50,0))</f>
        <v>0</v>
      </c>
      <c r="Q389" s="9" t="n">
        <f aca="false">I389*Parameters!$B$28+J389*Parameters!$B$29+K389*Parameters!$B$30+L389*Parameters!$B$31+M389*Parameters!$B$32+N389*Parameters!$B$33+O389*Parameters!$B$34+P389*Parameters!$B$35</f>
        <v>0</v>
      </c>
      <c r="R389" s="0" t="str">
        <f aca="false">IF(Q389&gt;=Parameters!$B$24,"High","")</f>
        <v/>
      </c>
    </row>
    <row r="390" customFormat="false" ht="15" hidden="false" customHeight="false" outlineLevel="0" collapsed="false">
      <c r="A390" s="10" t="s">
        <v>1084</v>
      </c>
      <c r="B390" s="8" t="n">
        <v>45889</v>
      </c>
      <c r="C390" s="10" t="s">
        <v>143</v>
      </c>
      <c r="D390" s="10" t="s">
        <v>1085</v>
      </c>
      <c r="E390" s="12" t="n">
        <v>1758.48</v>
      </c>
      <c r="F390" s="10" t="s">
        <v>40</v>
      </c>
      <c r="G390" s="9" t="n">
        <f aca="false">VALUE(LEFT(TEXT(E390,"0.00"),1))</f>
        <v>1</v>
      </c>
      <c r="H390" s="0" t="str">
        <f aca="false">UPPER(SUBSTITUTE(SUBSTITUTE(SUBSTITUTE(D390," ",""),"/",""),".",""))</f>
        <v>INV12016</v>
      </c>
      <c r="I390" s="9" t="n">
        <f aca="false">IF(COUNTIFS($C$5:C390,C390,$H$5:H390,H390,$E$5:E390,E390)&gt;1,1,0)</f>
        <v>0</v>
      </c>
      <c r="J390" s="9" t="n">
        <f aca="false">IF(AND(I390=0,COUNTIFS($C$5:$C$634,C390,$E$5:$E$634,E390,$B$5:$B$634,"&gt;="&amp;(B390-Parameters!$B$12),$B$5:$B$634,"&lt;="&amp;(B390+Parameters!$B$12),$H$5:$H$634,"&lt;&gt;"&amp;H390)&gt;0),1,0)</f>
        <v>0</v>
      </c>
      <c r="K390" s="9" t="n">
        <f aca="false">IF(AND(E390&gt;=Parameters!$B$11,ROUND(MOD(ROUND(E390,2),Parameters!$B$10),2)=0),1,0)</f>
        <v>0</v>
      </c>
      <c r="L390" s="9" t="n">
        <f aca="false">IF(AND(E390&lt;Parameters!$B$7,E390&gt;=Parameters!$B$7*(1-Parameters!$B$9)),1,0)</f>
        <v>0</v>
      </c>
      <c r="M390" s="9" t="n">
        <f aca="false">IF(AND(E390&lt;Parameters!$B$7,COUNTIFS($C$5:$C$634,C390,$B$5:$B$634,B390)&gt;1,SUMIFS($E$5:$E$634,$C$5:$C$634,C390,$B$5:$B$634,B390)&gt;=Parameters!$B$7),1,0)</f>
        <v>0</v>
      </c>
      <c r="N390" s="9" t="n">
        <f aca="false">IF(AND(E390&gt;=Parameters!$B$7,F390&lt;&gt;Parameters!$B$8),1,0)</f>
        <v>0</v>
      </c>
      <c r="O390" s="9" t="n">
        <f aca="false">INDEX(Vendor_Benford!$N$6:$N$50,MATCH(C390,Vendor_Benford!$A$6:$A$50,0))</f>
        <v>0</v>
      </c>
      <c r="P390" s="9" t="n">
        <f aca="false">INDEX(Vendor_Benford!$M$6:$M$50,MATCH(C390,Vendor_Benford!$A$6:$A$50,0))</f>
        <v>0</v>
      </c>
      <c r="Q390" s="9" t="n">
        <f aca="false">I390*Parameters!$B$28+J390*Parameters!$B$29+K390*Parameters!$B$30+L390*Parameters!$B$31+M390*Parameters!$B$32+N390*Parameters!$B$33+O390*Parameters!$B$34+P390*Parameters!$B$35</f>
        <v>0</v>
      </c>
      <c r="R390" s="0" t="str">
        <f aca="false">IF(Q390&gt;=Parameters!$B$24,"High","")</f>
        <v/>
      </c>
    </row>
    <row r="391" customFormat="false" ht="15" hidden="false" customHeight="false" outlineLevel="0" collapsed="false">
      <c r="A391" s="10" t="s">
        <v>1086</v>
      </c>
      <c r="B391" s="8" t="n">
        <v>45889</v>
      </c>
      <c r="C391" s="10" t="s">
        <v>197</v>
      </c>
      <c r="D391" s="10" t="s">
        <v>1087</v>
      </c>
      <c r="E391" s="12" t="n">
        <v>4475.46</v>
      </c>
      <c r="F391" s="10" t="s">
        <v>347</v>
      </c>
      <c r="G391" s="9" t="n">
        <f aca="false">VALUE(LEFT(TEXT(E391,"0.00"),1))</f>
        <v>4</v>
      </c>
      <c r="H391" s="0" t="str">
        <f aca="false">UPPER(SUBSTITUTE(SUBSTITUTE(SUBSTITUTE(D391," ",""),"/",""),".",""))</f>
        <v>INV30007</v>
      </c>
      <c r="I391" s="9" t="n">
        <f aca="false">IF(COUNTIFS($C$5:C391,C391,$H$5:H391,H391,$E$5:E391,E391)&gt;1,1,0)</f>
        <v>0</v>
      </c>
      <c r="J391" s="9" t="n">
        <f aca="false">IF(AND(I391=0,COUNTIFS($C$5:$C$634,C391,$E$5:$E$634,E391,$B$5:$B$634,"&gt;="&amp;(B391-Parameters!$B$12),$B$5:$B$634,"&lt;="&amp;(B391+Parameters!$B$12),$H$5:$H$634,"&lt;&gt;"&amp;H391)&gt;0),1,0)</f>
        <v>0</v>
      </c>
      <c r="K391" s="9" t="n">
        <f aca="false">IF(AND(E391&gt;=Parameters!$B$11,ROUND(MOD(ROUND(E391,2),Parameters!$B$10),2)=0),1,0)</f>
        <v>0</v>
      </c>
      <c r="L391" s="9" t="n">
        <f aca="false">IF(AND(E391&lt;Parameters!$B$7,E391&gt;=Parameters!$B$7*(1-Parameters!$B$9)),1,0)</f>
        <v>0</v>
      </c>
      <c r="M391" s="9" t="n">
        <f aca="false">IF(AND(E391&lt;Parameters!$B$7,COUNTIFS($C$5:$C$634,C391,$B$5:$B$634,B391)&gt;1,SUMIFS($E$5:$E$634,$C$5:$C$634,C391,$B$5:$B$634,B391)&gt;=Parameters!$B$7),1,0)</f>
        <v>0</v>
      </c>
      <c r="N391" s="9" t="n">
        <f aca="false">IF(AND(E391&gt;=Parameters!$B$7,F391&lt;&gt;Parameters!$B$8),1,0)</f>
        <v>0</v>
      </c>
      <c r="O391" s="9" t="n">
        <f aca="false">INDEX(Vendor_Benford!$N$6:$N$50,MATCH(C391,Vendor_Benford!$A$6:$A$50,0))</f>
        <v>0</v>
      </c>
      <c r="P391" s="9" t="n">
        <f aca="false">INDEX(Vendor_Benford!$M$6:$M$50,MATCH(C391,Vendor_Benford!$A$6:$A$50,0))</f>
        <v>0</v>
      </c>
      <c r="Q391" s="9" t="n">
        <f aca="false">I391*Parameters!$B$28+J391*Parameters!$B$29+K391*Parameters!$B$30+L391*Parameters!$B$31+M391*Parameters!$B$32+N391*Parameters!$B$33+O391*Parameters!$B$34+P391*Parameters!$B$35</f>
        <v>0</v>
      </c>
      <c r="R391" s="0" t="str">
        <f aca="false">IF(Q391&gt;=Parameters!$B$24,"High","")</f>
        <v/>
      </c>
    </row>
    <row r="392" customFormat="false" ht="15" hidden="false" customHeight="false" outlineLevel="0" collapsed="false">
      <c r="A392" s="10" t="s">
        <v>1088</v>
      </c>
      <c r="B392" s="8" t="n">
        <v>45890</v>
      </c>
      <c r="C392" s="10" t="s">
        <v>137</v>
      </c>
      <c r="D392" s="10" t="s">
        <v>1089</v>
      </c>
      <c r="E392" s="12" t="n">
        <v>2523.41</v>
      </c>
      <c r="F392" s="10" t="s">
        <v>347</v>
      </c>
      <c r="G392" s="9" t="n">
        <f aca="false">VALUE(LEFT(TEXT(E392,"0.00"),1))</f>
        <v>2</v>
      </c>
      <c r="H392" s="0" t="str">
        <f aca="false">UPPER(SUBSTITUTE(SUBSTITUTE(SUBSTITUTE(D392," ",""),"/",""),".",""))</f>
        <v>INV10004</v>
      </c>
      <c r="I392" s="9" t="n">
        <f aca="false">IF(COUNTIFS($C$5:C392,C392,$H$5:H392,H392,$E$5:E392,E392)&gt;1,1,0)</f>
        <v>0</v>
      </c>
      <c r="J392" s="9" t="n">
        <f aca="false">IF(AND(I392=0,COUNTIFS($C$5:$C$634,C392,$E$5:$E$634,E392,$B$5:$B$634,"&gt;="&amp;(B392-Parameters!$B$12),$B$5:$B$634,"&lt;="&amp;(B392+Parameters!$B$12),$H$5:$H$634,"&lt;&gt;"&amp;H392)&gt;0),1,0)</f>
        <v>0</v>
      </c>
      <c r="K392" s="9" t="n">
        <f aca="false">IF(AND(E392&gt;=Parameters!$B$11,ROUND(MOD(ROUND(E392,2),Parameters!$B$10),2)=0),1,0)</f>
        <v>0</v>
      </c>
      <c r="L392" s="9" t="n">
        <f aca="false">IF(AND(E392&lt;Parameters!$B$7,E392&gt;=Parameters!$B$7*(1-Parameters!$B$9)),1,0)</f>
        <v>0</v>
      </c>
      <c r="M392" s="9" t="n">
        <f aca="false">IF(AND(E392&lt;Parameters!$B$7,COUNTIFS($C$5:$C$634,C392,$B$5:$B$634,B392)&gt;1,SUMIFS($E$5:$E$634,$C$5:$C$634,C392,$B$5:$B$634,B392)&gt;=Parameters!$B$7),1,0)</f>
        <v>0</v>
      </c>
      <c r="N392" s="9" t="n">
        <f aca="false">IF(AND(E392&gt;=Parameters!$B$7,F392&lt;&gt;Parameters!$B$8),1,0)</f>
        <v>0</v>
      </c>
      <c r="O392" s="9" t="n">
        <f aca="false">INDEX(Vendor_Benford!$N$6:$N$50,MATCH(C392,Vendor_Benford!$A$6:$A$50,0))</f>
        <v>0</v>
      </c>
      <c r="P392" s="9" t="n">
        <f aca="false">INDEX(Vendor_Benford!$M$6:$M$50,MATCH(C392,Vendor_Benford!$A$6:$A$50,0))</f>
        <v>0</v>
      </c>
      <c r="Q392" s="9" t="n">
        <f aca="false">I392*Parameters!$B$28+J392*Parameters!$B$29+K392*Parameters!$B$30+L392*Parameters!$B$31+M392*Parameters!$B$32+N392*Parameters!$B$33+O392*Parameters!$B$34+P392*Parameters!$B$35</f>
        <v>0</v>
      </c>
      <c r="R392" s="0" t="str">
        <f aca="false">IF(Q392&gt;=Parameters!$B$24,"High","")</f>
        <v/>
      </c>
    </row>
    <row r="393" customFormat="false" ht="15" hidden="false" customHeight="false" outlineLevel="0" collapsed="false">
      <c r="A393" s="10" t="s">
        <v>1090</v>
      </c>
      <c r="B393" s="8" t="n">
        <v>45890</v>
      </c>
      <c r="C393" s="10" t="s">
        <v>197</v>
      </c>
      <c r="D393" s="10" t="s">
        <v>1091</v>
      </c>
      <c r="E393" s="12" t="n">
        <v>125.67</v>
      </c>
      <c r="F393" s="10" t="s">
        <v>40</v>
      </c>
      <c r="G393" s="9" t="n">
        <f aca="false">VALUE(LEFT(TEXT(E393,"0.00"),1))</f>
        <v>1</v>
      </c>
      <c r="H393" s="0" t="str">
        <f aca="false">UPPER(SUBSTITUTE(SUBSTITUTE(SUBSTITUTE(D393," ",""),"/",""),".",""))</f>
        <v>INV30012</v>
      </c>
      <c r="I393" s="9" t="n">
        <f aca="false">IF(COUNTIFS($C$5:C393,C393,$H$5:H393,H393,$E$5:E393,E393)&gt;1,1,0)</f>
        <v>0</v>
      </c>
      <c r="J393" s="9" t="n">
        <f aca="false">IF(AND(I393=0,COUNTIFS($C$5:$C$634,C393,$E$5:$E$634,E393,$B$5:$B$634,"&gt;="&amp;(B393-Parameters!$B$12),$B$5:$B$634,"&lt;="&amp;(B393+Parameters!$B$12),$H$5:$H$634,"&lt;&gt;"&amp;H393)&gt;0),1,0)</f>
        <v>0</v>
      </c>
      <c r="K393" s="9" t="n">
        <f aca="false">IF(AND(E393&gt;=Parameters!$B$11,ROUND(MOD(ROUND(E393,2),Parameters!$B$10),2)=0),1,0)</f>
        <v>0</v>
      </c>
      <c r="L393" s="9" t="n">
        <f aca="false">IF(AND(E393&lt;Parameters!$B$7,E393&gt;=Parameters!$B$7*(1-Parameters!$B$9)),1,0)</f>
        <v>0</v>
      </c>
      <c r="M393" s="9" t="n">
        <f aca="false">IF(AND(E393&lt;Parameters!$B$7,COUNTIFS($C$5:$C$634,C393,$B$5:$B$634,B393)&gt;1,SUMIFS($E$5:$E$634,$C$5:$C$634,C393,$B$5:$B$634,B393)&gt;=Parameters!$B$7),1,0)</f>
        <v>0</v>
      </c>
      <c r="N393" s="9" t="n">
        <f aca="false">IF(AND(E393&gt;=Parameters!$B$7,F393&lt;&gt;Parameters!$B$8),1,0)</f>
        <v>0</v>
      </c>
      <c r="O393" s="9" t="n">
        <f aca="false">INDEX(Vendor_Benford!$N$6:$N$50,MATCH(C393,Vendor_Benford!$A$6:$A$50,0))</f>
        <v>0</v>
      </c>
      <c r="P393" s="9" t="n">
        <f aca="false">INDEX(Vendor_Benford!$M$6:$M$50,MATCH(C393,Vendor_Benford!$A$6:$A$50,0))</f>
        <v>0</v>
      </c>
      <c r="Q393" s="9" t="n">
        <f aca="false">I393*Parameters!$B$28+J393*Parameters!$B$29+K393*Parameters!$B$30+L393*Parameters!$B$31+M393*Parameters!$B$32+N393*Parameters!$B$33+O393*Parameters!$B$34+P393*Parameters!$B$35</f>
        <v>0</v>
      </c>
      <c r="R393" s="0" t="str">
        <f aca="false">IF(Q393&gt;=Parameters!$B$24,"High","")</f>
        <v/>
      </c>
    </row>
    <row r="394" customFormat="false" ht="15" hidden="false" customHeight="false" outlineLevel="0" collapsed="false">
      <c r="A394" s="10" t="s">
        <v>1092</v>
      </c>
      <c r="B394" s="8" t="n">
        <v>45890</v>
      </c>
      <c r="C394" s="10" t="s">
        <v>200</v>
      </c>
      <c r="D394" s="10" t="s">
        <v>1093</v>
      </c>
      <c r="E394" s="12" t="n">
        <v>4869.63</v>
      </c>
      <c r="F394" s="10" t="s">
        <v>347</v>
      </c>
      <c r="G394" s="9" t="n">
        <f aca="false">VALUE(LEFT(TEXT(E394,"0.00"),1))</f>
        <v>4</v>
      </c>
      <c r="H394" s="0" t="str">
        <f aca="false">UPPER(SUBSTITUTE(SUBSTITUTE(SUBSTITUTE(D394," ",""),"/",""),".",""))</f>
        <v>INV31030</v>
      </c>
      <c r="I394" s="9" t="n">
        <f aca="false">IF(COUNTIFS($C$5:C394,C394,$H$5:H394,H394,$E$5:E394,E394)&gt;1,1,0)</f>
        <v>0</v>
      </c>
      <c r="J394" s="9" t="n">
        <f aca="false">IF(AND(I394=0,COUNTIFS($C$5:$C$634,C394,$E$5:$E$634,E394,$B$5:$B$634,"&gt;="&amp;(B394-Parameters!$B$12),$B$5:$B$634,"&lt;="&amp;(B394+Parameters!$B$12),$H$5:$H$634,"&lt;&gt;"&amp;H394)&gt;0),1,0)</f>
        <v>0</v>
      </c>
      <c r="K394" s="9" t="n">
        <f aca="false">IF(AND(E394&gt;=Parameters!$B$11,ROUND(MOD(ROUND(E394,2),Parameters!$B$10),2)=0),1,0)</f>
        <v>0</v>
      </c>
      <c r="L394" s="9" t="n">
        <f aca="false">IF(AND(E394&lt;Parameters!$B$7,E394&gt;=Parameters!$B$7*(1-Parameters!$B$9)),1,0)</f>
        <v>1</v>
      </c>
      <c r="M394" s="9" t="n">
        <f aca="false">IF(AND(E394&lt;Parameters!$B$7,COUNTIFS($C$5:$C$634,C394,$B$5:$B$634,B394)&gt;1,SUMIFS($E$5:$E$634,$C$5:$C$634,C394,$B$5:$B$634,B394)&gt;=Parameters!$B$7),1,0)</f>
        <v>0</v>
      </c>
      <c r="N394" s="9" t="n">
        <f aca="false">IF(AND(E394&gt;=Parameters!$B$7,F394&lt;&gt;Parameters!$B$8),1,0)</f>
        <v>0</v>
      </c>
      <c r="O394" s="9" t="n">
        <f aca="false">INDEX(Vendor_Benford!$N$6:$N$50,MATCH(C394,Vendor_Benford!$A$6:$A$50,0))</f>
        <v>0</v>
      </c>
      <c r="P394" s="9" t="n">
        <f aca="false">INDEX(Vendor_Benford!$M$6:$M$50,MATCH(C394,Vendor_Benford!$A$6:$A$50,0))</f>
        <v>1</v>
      </c>
      <c r="Q394" s="9" t="n">
        <f aca="false">I394*Parameters!$B$28+J394*Parameters!$B$29+K394*Parameters!$B$30+L394*Parameters!$B$31+M394*Parameters!$B$32+N394*Parameters!$B$33+O394*Parameters!$B$34+P394*Parameters!$B$35</f>
        <v>4</v>
      </c>
      <c r="R394" s="0" t="str">
        <f aca="false">IF(Q394&gt;=Parameters!$B$24,"High","")</f>
        <v/>
      </c>
    </row>
    <row r="395" customFormat="false" ht="15" hidden="false" customHeight="false" outlineLevel="0" collapsed="false">
      <c r="A395" s="10" t="s">
        <v>1094</v>
      </c>
      <c r="B395" s="8" t="n">
        <v>45891</v>
      </c>
      <c r="C395" s="10" t="s">
        <v>206</v>
      </c>
      <c r="D395" s="10" t="s">
        <v>1095</v>
      </c>
      <c r="E395" s="12" t="n">
        <v>290.56</v>
      </c>
      <c r="F395" s="10" t="s">
        <v>347</v>
      </c>
      <c r="G395" s="9" t="n">
        <f aca="false">VALUE(LEFT(TEXT(E395,"0.00"),1))</f>
        <v>2</v>
      </c>
      <c r="H395" s="0" t="str">
        <f aca="false">UPPER(SUBSTITUTE(SUBSTITUTE(SUBSTITUTE(D395," ",""),"/",""),".",""))</f>
        <v>INV33010</v>
      </c>
      <c r="I395" s="9" t="n">
        <f aca="false">IF(COUNTIFS($C$5:C395,C395,$H$5:H395,H395,$E$5:E395,E395)&gt;1,1,0)</f>
        <v>0</v>
      </c>
      <c r="J395" s="9" t="n">
        <f aca="false">IF(AND(I395=0,COUNTIFS($C$5:$C$634,C395,$E$5:$E$634,E395,$B$5:$B$634,"&gt;="&amp;(B395-Parameters!$B$12),$B$5:$B$634,"&lt;="&amp;(B395+Parameters!$B$12),$H$5:$H$634,"&lt;&gt;"&amp;H395)&gt;0),1,0)</f>
        <v>0</v>
      </c>
      <c r="K395" s="9" t="n">
        <f aca="false">IF(AND(E395&gt;=Parameters!$B$11,ROUND(MOD(ROUND(E395,2),Parameters!$B$10),2)=0),1,0)</f>
        <v>0</v>
      </c>
      <c r="L395" s="9" t="n">
        <f aca="false">IF(AND(E395&lt;Parameters!$B$7,E395&gt;=Parameters!$B$7*(1-Parameters!$B$9)),1,0)</f>
        <v>0</v>
      </c>
      <c r="M395" s="9" t="n">
        <f aca="false">IF(AND(E395&lt;Parameters!$B$7,COUNTIFS($C$5:$C$634,C395,$B$5:$B$634,B395)&gt;1,SUMIFS($E$5:$E$634,$C$5:$C$634,C395,$B$5:$B$634,B395)&gt;=Parameters!$B$7),1,0)</f>
        <v>0</v>
      </c>
      <c r="N395" s="9" t="n">
        <f aca="false">IF(AND(E395&gt;=Parameters!$B$7,F395&lt;&gt;Parameters!$B$8),1,0)</f>
        <v>0</v>
      </c>
      <c r="O395" s="9" t="n">
        <f aca="false">INDEX(Vendor_Benford!$N$6:$N$50,MATCH(C395,Vendor_Benford!$A$6:$A$50,0))</f>
        <v>0</v>
      </c>
      <c r="P395" s="9" t="n">
        <f aca="false">INDEX(Vendor_Benford!$M$6:$M$50,MATCH(C395,Vendor_Benford!$A$6:$A$50,0))</f>
        <v>0</v>
      </c>
      <c r="Q395" s="9" t="n">
        <f aca="false">I395*Parameters!$B$28+J395*Parameters!$B$29+K395*Parameters!$B$30+L395*Parameters!$B$31+M395*Parameters!$B$32+N395*Parameters!$B$33+O395*Parameters!$B$34+P395*Parameters!$B$35</f>
        <v>0</v>
      </c>
      <c r="R395" s="0" t="str">
        <f aca="false">IF(Q395&gt;=Parameters!$B$24,"High","")</f>
        <v/>
      </c>
    </row>
    <row r="396" customFormat="false" ht="15" hidden="false" customHeight="false" outlineLevel="0" collapsed="false">
      <c r="A396" s="10" t="s">
        <v>1096</v>
      </c>
      <c r="B396" s="8" t="n">
        <v>45894</v>
      </c>
      <c r="C396" s="10" t="s">
        <v>143</v>
      </c>
      <c r="D396" s="10" t="s">
        <v>1097</v>
      </c>
      <c r="E396" s="12" t="n">
        <v>298.16</v>
      </c>
      <c r="F396" s="10" t="s">
        <v>40</v>
      </c>
      <c r="G396" s="9" t="n">
        <f aca="false">VALUE(LEFT(TEXT(E396,"0.00"),1))</f>
        <v>2</v>
      </c>
      <c r="H396" s="0" t="str">
        <f aca="false">UPPER(SUBSTITUTE(SUBSTITUTE(SUBSTITUTE(D396," ",""),"/",""),".",""))</f>
        <v>INV12020</v>
      </c>
      <c r="I396" s="9" t="n">
        <f aca="false">IF(COUNTIFS($C$5:C396,C396,$H$5:H396,H396,$E$5:E396,E396)&gt;1,1,0)</f>
        <v>0</v>
      </c>
      <c r="J396" s="9" t="n">
        <f aca="false">IF(AND(I396=0,COUNTIFS($C$5:$C$634,C396,$E$5:$E$634,E396,$B$5:$B$634,"&gt;="&amp;(B396-Parameters!$B$12),$B$5:$B$634,"&lt;="&amp;(B396+Parameters!$B$12),$H$5:$H$634,"&lt;&gt;"&amp;H396)&gt;0),1,0)</f>
        <v>0</v>
      </c>
      <c r="K396" s="9" t="n">
        <f aca="false">IF(AND(E396&gt;=Parameters!$B$11,ROUND(MOD(ROUND(E396,2),Parameters!$B$10),2)=0),1,0)</f>
        <v>0</v>
      </c>
      <c r="L396" s="9" t="n">
        <f aca="false">IF(AND(E396&lt;Parameters!$B$7,E396&gt;=Parameters!$B$7*(1-Parameters!$B$9)),1,0)</f>
        <v>0</v>
      </c>
      <c r="M396" s="9" t="n">
        <f aca="false">IF(AND(E396&lt;Parameters!$B$7,COUNTIFS($C$5:$C$634,C396,$B$5:$B$634,B396)&gt;1,SUMIFS($E$5:$E$634,$C$5:$C$634,C396,$B$5:$B$634,B396)&gt;=Parameters!$B$7),1,0)</f>
        <v>0</v>
      </c>
      <c r="N396" s="9" t="n">
        <f aca="false">IF(AND(E396&gt;=Parameters!$B$7,F396&lt;&gt;Parameters!$B$8),1,0)</f>
        <v>0</v>
      </c>
      <c r="O396" s="9" t="n">
        <f aca="false">INDEX(Vendor_Benford!$N$6:$N$50,MATCH(C396,Vendor_Benford!$A$6:$A$50,0))</f>
        <v>0</v>
      </c>
      <c r="P396" s="9" t="n">
        <f aca="false">INDEX(Vendor_Benford!$M$6:$M$50,MATCH(C396,Vendor_Benford!$A$6:$A$50,0))</f>
        <v>0</v>
      </c>
      <c r="Q396" s="9" t="n">
        <f aca="false">I396*Parameters!$B$28+J396*Parameters!$B$29+K396*Parameters!$B$30+L396*Parameters!$B$31+M396*Parameters!$B$32+N396*Parameters!$B$33+O396*Parameters!$B$34+P396*Parameters!$B$35</f>
        <v>0</v>
      </c>
      <c r="R396" s="0" t="str">
        <f aca="false">IF(Q396&gt;=Parameters!$B$24,"High","")</f>
        <v/>
      </c>
    </row>
    <row r="397" customFormat="false" ht="15" hidden="false" customHeight="false" outlineLevel="0" collapsed="false">
      <c r="A397" s="10" t="s">
        <v>1098</v>
      </c>
      <c r="B397" s="8" t="n">
        <v>45894</v>
      </c>
      <c r="C397" s="10" t="s">
        <v>155</v>
      </c>
      <c r="D397" s="10" t="s">
        <v>1099</v>
      </c>
      <c r="E397" s="12" t="n">
        <v>150.55</v>
      </c>
      <c r="F397" s="10" t="s">
        <v>347</v>
      </c>
      <c r="G397" s="9" t="n">
        <f aca="false">VALUE(LEFT(TEXT(E397,"0.00"),1))</f>
        <v>1</v>
      </c>
      <c r="H397" s="0" t="str">
        <f aca="false">UPPER(SUBSTITUTE(SUBSTITUTE(SUBSTITUTE(D397," ",""),"/",""),".",""))</f>
        <v>INV16009</v>
      </c>
      <c r="I397" s="9" t="n">
        <f aca="false">IF(COUNTIFS($C$5:C397,C397,$H$5:H397,H397,$E$5:E397,E397)&gt;1,1,0)</f>
        <v>0</v>
      </c>
      <c r="J397" s="9" t="n">
        <f aca="false">IF(AND(I397=0,COUNTIFS($C$5:$C$634,C397,$E$5:$E$634,E397,$B$5:$B$634,"&gt;="&amp;(B397-Parameters!$B$12),$B$5:$B$634,"&lt;="&amp;(B397+Parameters!$B$12),$H$5:$H$634,"&lt;&gt;"&amp;H397)&gt;0),1,0)</f>
        <v>0</v>
      </c>
      <c r="K397" s="9" t="n">
        <f aca="false">IF(AND(E397&gt;=Parameters!$B$11,ROUND(MOD(ROUND(E397,2),Parameters!$B$10),2)=0),1,0)</f>
        <v>0</v>
      </c>
      <c r="L397" s="9" t="n">
        <f aca="false">IF(AND(E397&lt;Parameters!$B$7,E397&gt;=Parameters!$B$7*(1-Parameters!$B$9)),1,0)</f>
        <v>0</v>
      </c>
      <c r="M397" s="9" t="n">
        <f aca="false">IF(AND(E397&lt;Parameters!$B$7,COUNTIFS($C$5:$C$634,C397,$B$5:$B$634,B397)&gt;1,SUMIFS($E$5:$E$634,$C$5:$C$634,C397,$B$5:$B$634,B397)&gt;=Parameters!$B$7),1,0)</f>
        <v>0</v>
      </c>
      <c r="N397" s="9" t="n">
        <f aca="false">IF(AND(E397&gt;=Parameters!$B$7,F397&lt;&gt;Parameters!$B$8),1,0)</f>
        <v>0</v>
      </c>
      <c r="O397" s="9" t="n">
        <f aca="false">INDEX(Vendor_Benford!$N$6:$N$50,MATCH(C397,Vendor_Benford!$A$6:$A$50,0))</f>
        <v>0</v>
      </c>
      <c r="P397" s="9" t="n">
        <f aca="false">INDEX(Vendor_Benford!$M$6:$M$50,MATCH(C397,Vendor_Benford!$A$6:$A$50,0))</f>
        <v>0</v>
      </c>
      <c r="Q397" s="9" t="n">
        <f aca="false">I397*Parameters!$B$28+J397*Parameters!$B$29+K397*Parameters!$B$30+L397*Parameters!$B$31+M397*Parameters!$B$32+N397*Parameters!$B$33+O397*Parameters!$B$34+P397*Parameters!$B$35</f>
        <v>0</v>
      </c>
      <c r="R397" s="0" t="str">
        <f aca="false">IF(Q397&gt;=Parameters!$B$24,"High","")</f>
        <v/>
      </c>
    </row>
    <row r="398" customFormat="false" ht="15" hidden="false" customHeight="false" outlineLevel="0" collapsed="false">
      <c r="A398" s="10" t="s">
        <v>1100</v>
      </c>
      <c r="B398" s="8" t="n">
        <v>45894</v>
      </c>
      <c r="C398" s="10" t="s">
        <v>158</v>
      </c>
      <c r="D398" s="10" t="s">
        <v>1101</v>
      </c>
      <c r="E398" s="12" t="n">
        <v>27000</v>
      </c>
      <c r="F398" s="10" t="s">
        <v>40</v>
      </c>
      <c r="G398" s="9" t="n">
        <f aca="false">VALUE(LEFT(TEXT(E398,"0.00"),1))</f>
        <v>2</v>
      </c>
      <c r="H398" s="0" t="str">
        <f aca="false">UPPER(SUBSTITUTE(SUBSTITUTE(SUBSTITUTE(D398," ",""),"/",""),".",""))</f>
        <v>INV17004</v>
      </c>
      <c r="I398" s="9" t="n">
        <f aca="false">IF(COUNTIFS($C$5:C398,C398,$H$5:H398,H398,$E$5:E398,E398)&gt;1,1,0)</f>
        <v>0</v>
      </c>
      <c r="J398" s="9" t="n">
        <f aca="false">IF(AND(I398=0,COUNTIFS($C$5:$C$634,C398,$E$5:$E$634,E398,$B$5:$B$634,"&gt;="&amp;(B398-Parameters!$B$12),$B$5:$B$634,"&lt;="&amp;(B398+Parameters!$B$12),$H$5:$H$634,"&lt;&gt;"&amp;H398)&gt;0),1,0)</f>
        <v>0</v>
      </c>
      <c r="K398" s="9" t="n">
        <f aca="false">IF(AND(E398&gt;=Parameters!$B$11,ROUND(MOD(ROUND(E398,2),Parameters!$B$10),2)=0),1,0)</f>
        <v>1</v>
      </c>
      <c r="L398" s="9" t="n">
        <f aca="false">IF(AND(E398&lt;Parameters!$B$7,E398&gt;=Parameters!$B$7*(1-Parameters!$B$9)),1,0)</f>
        <v>0</v>
      </c>
      <c r="M398" s="9" t="n">
        <f aca="false">IF(AND(E398&lt;Parameters!$B$7,COUNTIFS($C$5:$C$634,C398,$B$5:$B$634,B398)&gt;1,SUMIFS($E$5:$E$634,$C$5:$C$634,C398,$B$5:$B$634,B398)&gt;=Parameters!$B$7),1,0)</f>
        <v>0</v>
      </c>
      <c r="N398" s="9" t="n">
        <f aca="false">IF(AND(E398&gt;=Parameters!$B$7,F398&lt;&gt;Parameters!$B$8),1,0)</f>
        <v>0</v>
      </c>
      <c r="O398" s="9" t="n">
        <f aca="false">INDEX(Vendor_Benford!$N$6:$N$50,MATCH(C398,Vendor_Benford!$A$6:$A$50,0))</f>
        <v>0</v>
      </c>
      <c r="P398" s="9" t="n">
        <f aca="false">INDEX(Vendor_Benford!$M$6:$M$50,MATCH(C398,Vendor_Benford!$A$6:$A$50,0))</f>
        <v>0</v>
      </c>
      <c r="Q398" s="9" t="n">
        <f aca="false">I398*Parameters!$B$28+J398*Parameters!$B$29+K398*Parameters!$B$30+L398*Parameters!$B$31+M398*Parameters!$B$32+N398*Parameters!$B$33+O398*Parameters!$B$34+P398*Parameters!$B$35</f>
        <v>2</v>
      </c>
      <c r="R398" s="0" t="str">
        <f aca="false">IF(Q398&gt;=Parameters!$B$24,"High","")</f>
        <v/>
      </c>
    </row>
    <row r="399" customFormat="false" ht="15" hidden="false" customHeight="false" outlineLevel="0" collapsed="false">
      <c r="A399" s="10" t="s">
        <v>1102</v>
      </c>
      <c r="B399" s="8" t="n">
        <v>45894</v>
      </c>
      <c r="C399" s="10" t="s">
        <v>185</v>
      </c>
      <c r="D399" s="10" t="s">
        <v>1103</v>
      </c>
      <c r="E399" s="12" t="n">
        <v>1945.78</v>
      </c>
      <c r="F399" s="10" t="s">
        <v>40</v>
      </c>
      <c r="G399" s="9" t="n">
        <f aca="false">VALUE(LEFT(TEXT(E399,"0.00"),1))</f>
        <v>1</v>
      </c>
      <c r="H399" s="0" t="str">
        <f aca="false">UPPER(SUBSTITUTE(SUBSTITUTE(SUBSTITUTE(D399," ",""),"/",""),".",""))</f>
        <v>INV26001</v>
      </c>
      <c r="I399" s="9" t="n">
        <f aca="false">IF(COUNTIFS($C$5:C399,C399,$H$5:H399,H399,$E$5:E399,E399)&gt;1,1,0)</f>
        <v>0</v>
      </c>
      <c r="J399" s="9" t="n">
        <f aca="false">IF(AND(I399=0,COUNTIFS($C$5:$C$634,C399,$E$5:$E$634,E399,$B$5:$B$634,"&gt;="&amp;(B399-Parameters!$B$12),$B$5:$B$634,"&lt;="&amp;(B399+Parameters!$B$12),$H$5:$H$634,"&lt;&gt;"&amp;H399)&gt;0),1,0)</f>
        <v>0</v>
      </c>
      <c r="K399" s="9" t="n">
        <f aca="false">IF(AND(E399&gt;=Parameters!$B$11,ROUND(MOD(ROUND(E399,2),Parameters!$B$10),2)=0),1,0)</f>
        <v>0</v>
      </c>
      <c r="L399" s="9" t="n">
        <f aca="false">IF(AND(E399&lt;Parameters!$B$7,E399&gt;=Parameters!$B$7*(1-Parameters!$B$9)),1,0)</f>
        <v>0</v>
      </c>
      <c r="M399" s="9" t="n">
        <f aca="false">IF(AND(E399&lt;Parameters!$B$7,COUNTIFS($C$5:$C$634,C399,$B$5:$B$634,B399)&gt;1,SUMIFS($E$5:$E$634,$C$5:$C$634,C399,$B$5:$B$634,B399)&gt;=Parameters!$B$7),1,0)</f>
        <v>0</v>
      </c>
      <c r="N399" s="9" t="n">
        <f aca="false">IF(AND(E399&gt;=Parameters!$B$7,F399&lt;&gt;Parameters!$B$8),1,0)</f>
        <v>0</v>
      </c>
      <c r="O399" s="9" t="n">
        <f aca="false">INDEX(Vendor_Benford!$N$6:$N$50,MATCH(C399,Vendor_Benford!$A$6:$A$50,0))</f>
        <v>0</v>
      </c>
      <c r="P399" s="9" t="n">
        <f aca="false">INDEX(Vendor_Benford!$M$6:$M$50,MATCH(C399,Vendor_Benford!$A$6:$A$50,0))</f>
        <v>0</v>
      </c>
      <c r="Q399" s="9" t="n">
        <f aca="false">I399*Parameters!$B$28+J399*Parameters!$B$29+K399*Parameters!$B$30+L399*Parameters!$B$31+M399*Parameters!$B$32+N399*Parameters!$B$33+O399*Parameters!$B$34+P399*Parameters!$B$35</f>
        <v>0</v>
      </c>
      <c r="R399" s="0" t="str">
        <f aca="false">IF(Q399&gt;=Parameters!$B$24,"High","")</f>
        <v/>
      </c>
    </row>
    <row r="400" customFormat="false" ht="15" hidden="false" customHeight="false" outlineLevel="0" collapsed="false">
      <c r="A400" s="10" t="s">
        <v>1104</v>
      </c>
      <c r="B400" s="8" t="n">
        <v>45894</v>
      </c>
      <c r="C400" s="10" t="s">
        <v>242</v>
      </c>
      <c r="D400" s="10" t="s">
        <v>1105</v>
      </c>
      <c r="E400" s="12" t="n">
        <v>187.75</v>
      </c>
      <c r="F400" s="10" t="s">
        <v>40</v>
      </c>
      <c r="G400" s="9" t="n">
        <f aca="false">VALUE(LEFT(TEXT(E400,"0.00"),1))</f>
        <v>1</v>
      </c>
      <c r="H400" s="0" t="str">
        <f aca="false">UPPER(SUBSTITUTE(SUBSTITUTE(SUBSTITUTE(D400," ",""),"/",""),".",""))</f>
        <v>INV45009</v>
      </c>
      <c r="I400" s="9" t="n">
        <f aca="false">IF(COUNTIFS($C$5:C400,C400,$H$5:H400,H400,$E$5:E400,E400)&gt;1,1,0)</f>
        <v>0</v>
      </c>
      <c r="J400" s="9" t="n">
        <f aca="false">IF(AND(I400=0,COUNTIFS($C$5:$C$634,C400,$E$5:$E$634,E400,$B$5:$B$634,"&gt;="&amp;(B400-Parameters!$B$12),$B$5:$B$634,"&lt;="&amp;(B400+Parameters!$B$12),$H$5:$H$634,"&lt;&gt;"&amp;H400)&gt;0),1,0)</f>
        <v>0</v>
      </c>
      <c r="K400" s="9" t="n">
        <f aca="false">IF(AND(E400&gt;=Parameters!$B$11,ROUND(MOD(ROUND(E400,2),Parameters!$B$10),2)=0),1,0)</f>
        <v>0</v>
      </c>
      <c r="L400" s="9" t="n">
        <f aca="false">IF(AND(E400&lt;Parameters!$B$7,E400&gt;=Parameters!$B$7*(1-Parameters!$B$9)),1,0)</f>
        <v>0</v>
      </c>
      <c r="M400" s="9" t="n">
        <f aca="false">IF(AND(E400&lt;Parameters!$B$7,COUNTIFS($C$5:$C$634,C400,$B$5:$B$634,B400)&gt;1,SUMIFS($E$5:$E$634,$C$5:$C$634,C400,$B$5:$B$634,B400)&gt;=Parameters!$B$7),1,0)</f>
        <v>0</v>
      </c>
      <c r="N400" s="9" t="n">
        <f aca="false">IF(AND(E400&gt;=Parameters!$B$7,F400&lt;&gt;Parameters!$B$8),1,0)</f>
        <v>0</v>
      </c>
      <c r="O400" s="9" t="n">
        <f aca="false">INDEX(Vendor_Benford!$N$6:$N$50,MATCH(C400,Vendor_Benford!$A$6:$A$50,0))</f>
        <v>0</v>
      </c>
      <c r="P400" s="9" t="n">
        <f aca="false">INDEX(Vendor_Benford!$M$6:$M$50,MATCH(C400,Vendor_Benford!$A$6:$A$50,0))</f>
        <v>0</v>
      </c>
      <c r="Q400" s="9" t="n">
        <f aca="false">I400*Parameters!$B$28+J400*Parameters!$B$29+K400*Parameters!$B$30+L400*Parameters!$B$31+M400*Parameters!$B$32+N400*Parameters!$B$33+O400*Parameters!$B$34+P400*Parameters!$B$35</f>
        <v>0</v>
      </c>
      <c r="R400" s="0" t="str">
        <f aca="false">IF(Q400&gt;=Parameters!$B$24,"High","")</f>
        <v/>
      </c>
    </row>
    <row r="401" customFormat="false" ht="15" hidden="false" customHeight="false" outlineLevel="0" collapsed="false">
      <c r="A401" s="10" t="s">
        <v>1106</v>
      </c>
      <c r="B401" s="8" t="n">
        <v>45895</v>
      </c>
      <c r="C401" s="10" t="s">
        <v>236</v>
      </c>
      <c r="D401" s="10" t="s">
        <v>1107</v>
      </c>
      <c r="E401" s="12" t="n">
        <v>166.13</v>
      </c>
      <c r="F401" s="10" t="s">
        <v>40</v>
      </c>
      <c r="G401" s="9" t="n">
        <f aca="false">VALUE(LEFT(TEXT(E401,"0.00"),1))</f>
        <v>1</v>
      </c>
      <c r="H401" s="0" t="str">
        <f aca="false">UPPER(SUBSTITUTE(SUBSTITUTE(SUBSTITUTE(D401," ",""),"/",""),".",""))</f>
        <v>INV43005</v>
      </c>
      <c r="I401" s="9" t="n">
        <f aca="false">IF(COUNTIFS($C$5:C401,C401,$H$5:H401,H401,$E$5:E401,E401)&gt;1,1,0)</f>
        <v>0</v>
      </c>
      <c r="J401" s="9" t="n">
        <f aca="false">IF(AND(I401=0,COUNTIFS($C$5:$C$634,C401,$E$5:$E$634,E401,$B$5:$B$634,"&gt;="&amp;(B401-Parameters!$B$12),$B$5:$B$634,"&lt;="&amp;(B401+Parameters!$B$12),$H$5:$H$634,"&lt;&gt;"&amp;H401)&gt;0),1,0)</f>
        <v>0</v>
      </c>
      <c r="K401" s="9" t="n">
        <f aca="false">IF(AND(E401&gt;=Parameters!$B$11,ROUND(MOD(ROUND(E401,2),Parameters!$B$10),2)=0),1,0)</f>
        <v>0</v>
      </c>
      <c r="L401" s="9" t="n">
        <f aca="false">IF(AND(E401&lt;Parameters!$B$7,E401&gt;=Parameters!$B$7*(1-Parameters!$B$9)),1,0)</f>
        <v>0</v>
      </c>
      <c r="M401" s="9" t="n">
        <f aca="false">IF(AND(E401&lt;Parameters!$B$7,COUNTIFS($C$5:$C$634,C401,$B$5:$B$634,B401)&gt;1,SUMIFS($E$5:$E$634,$C$5:$C$634,C401,$B$5:$B$634,B401)&gt;=Parameters!$B$7),1,0)</f>
        <v>0</v>
      </c>
      <c r="N401" s="9" t="n">
        <f aca="false">IF(AND(E401&gt;=Parameters!$B$7,F401&lt;&gt;Parameters!$B$8),1,0)</f>
        <v>0</v>
      </c>
      <c r="O401" s="9" t="n">
        <f aca="false">INDEX(Vendor_Benford!$N$6:$N$50,MATCH(C401,Vendor_Benford!$A$6:$A$50,0))</f>
        <v>0</v>
      </c>
      <c r="P401" s="9" t="n">
        <f aca="false">INDEX(Vendor_Benford!$M$6:$M$50,MATCH(C401,Vendor_Benford!$A$6:$A$50,0))</f>
        <v>0</v>
      </c>
      <c r="Q401" s="9" t="n">
        <f aca="false">I401*Parameters!$B$28+J401*Parameters!$B$29+K401*Parameters!$B$30+L401*Parameters!$B$31+M401*Parameters!$B$32+N401*Parameters!$B$33+O401*Parameters!$B$34+P401*Parameters!$B$35</f>
        <v>0</v>
      </c>
      <c r="R401" s="0" t="str">
        <f aca="false">IF(Q401&gt;=Parameters!$B$24,"High","")</f>
        <v/>
      </c>
    </row>
    <row r="402" customFormat="false" ht="15" hidden="false" customHeight="false" outlineLevel="0" collapsed="false">
      <c r="A402" s="10" t="s">
        <v>1108</v>
      </c>
      <c r="B402" s="8" t="n">
        <v>45896</v>
      </c>
      <c r="C402" s="10" t="s">
        <v>146</v>
      </c>
      <c r="D402" s="10" t="s">
        <v>1109</v>
      </c>
      <c r="E402" s="12" t="n">
        <v>67970.9</v>
      </c>
      <c r="F402" s="10" t="s">
        <v>40</v>
      </c>
      <c r="G402" s="9" t="n">
        <f aca="false">VALUE(LEFT(TEXT(E402,"0.00"),1))</f>
        <v>6</v>
      </c>
      <c r="H402" s="0" t="str">
        <f aca="false">UPPER(SUBSTITUTE(SUBSTITUTE(SUBSTITUTE(D402," ",""),"/",""),".",""))</f>
        <v>INV13005</v>
      </c>
      <c r="I402" s="9" t="n">
        <f aca="false">IF(COUNTIFS($C$5:C402,C402,$H$5:H402,H402,$E$5:E402,E402)&gt;1,1,0)</f>
        <v>0</v>
      </c>
      <c r="J402" s="9" t="n">
        <f aca="false">IF(AND(I402=0,COUNTIFS($C$5:$C$634,C402,$E$5:$E$634,E402,$B$5:$B$634,"&gt;="&amp;(B402-Parameters!$B$12),$B$5:$B$634,"&lt;="&amp;(B402+Parameters!$B$12),$H$5:$H$634,"&lt;&gt;"&amp;H402)&gt;0),1,0)</f>
        <v>0</v>
      </c>
      <c r="K402" s="9" t="n">
        <f aca="false">IF(AND(E402&gt;=Parameters!$B$11,ROUND(MOD(ROUND(E402,2),Parameters!$B$10),2)=0),1,0)</f>
        <v>0</v>
      </c>
      <c r="L402" s="9" t="n">
        <f aca="false">IF(AND(E402&lt;Parameters!$B$7,E402&gt;=Parameters!$B$7*(1-Parameters!$B$9)),1,0)</f>
        <v>0</v>
      </c>
      <c r="M402" s="9" t="n">
        <f aca="false">IF(AND(E402&lt;Parameters!$B$7,COUNTIFS($C$5:$C$634,C402,$B$5:$B$634,B402)&gt;1,SUMIFS($E$5:$E$634,$C$5:$C$634,C402,$B$5:$B$634,B402)&gt;=Parameters!$B$7),1,0)</f>
        <v>0</v>
      </c>
      <c r="N402" s="9" t="n">
        <f aca="false">IF(AND(E402&gt;=Parameters!$B$7,F402&lt;&gt;Parameters!$B$8),1,0)</f>
        <v>0</v>
      </c>
      <c r="O402" s="9" t="n">
        <f aca="false">INDEX(Vendor_Benford!$N$6:$N$50,MATCH(C402,Vendor_Benford!$A$6:$A$50,0))</f>
        <v>0</v>
      </c>
      <c r="P402" s="9" t="n">
        <f aca="false">INDEX(Vendor_Benford!$M$6:$M$50,MATCH(C402,Vendor_Benford!$A$6:$A$50,0))</f>
        <v>0</v>
      </c>
      <c r="Q402" s="9" t="n">
        <f aca="false">I402*Parameters!$B$28+J402*Parameters!$B$29+K402*Parameters!$B$30+L402*Parameters!$B$31+M402*Parameters!$B$32+N402*Parameters!$B$33+O402*Parameters!$B$34+P402*Parameters!$B$35</f>
        <v>0</v>
      </c>
      <c r="R402" s="0" t="str">
        <f aca="false">IF(Q402&gt;=Parameters!$B$24,"High","")</f>
        <v/>
      </c>
    </row>
    <row r="403" customFormat="false" ht="15" hidden="false" customHeight="false" outlineLevel="0" collapsed="false">
      <c r="A403" s="10" t="s">
        <v>1110</v>
      </c>
      <c r="B403" s="8" t="n">
        <v>45896</v>
      </c>
      <c r="C403" s="10" t="s">
        <v>164</v>
      </c>
      <c r="D403" s="10" t="s">
        <v>1111</v>
      </c>
      <c r="E403" s="12" t="n">
        <v>18437.51</v>
      </c>
      <c r="F403" s="10" t="s">
        <v>40</v>
      </c>
      <c r="G403" s="9" t="n">
        <f aca="false">VALUE(LEFT(TEXT(E403,"0.00"),1))</f>
        <v>1</v>
      </c>
      <c r="H403" s="0" t="str">
        <f aca="false">UPPER(SUBSTITUTE(SUBSTITUTE(SUBSTITUTE(D403," ",""),"/",""),".",""))</f>
        <v>INV19005</v>
      </c>
      <c r="I403" s="9" t="n">
        <f aca="false">IF(COUNTIFS($C$5:C403,C403,$H$5:H403,H403,$E$5:E403,E403)&gt;1,1,0)</f>
        <v>0</v>
      </c>
      <c r="J403" s="9" t="n">
        <f aca="false">IF(AND(I403=0,COUNTIFS($C$5:$C$634,C403,$E$5:$E$634,E403,$B$5:$B$634,"&gt;="&amp;(B403-Parameters!$B$12),$B$5:$B$634,"&lt;="&amp;(B403+Parameters!$B$12),$H$5:$H$634,"&lt;&gt;"&amp;H403)&gt;0),1,0)</f>
        <v>0</v>
      </c>
      <c r="K403" s="9" t="n">
        <f aca="false">IF(AND(E403&gt;=Parameters!$B$11,ROUND(MOD(ROUND(E403,2),Parameters!$B$10),2)=0),1,0)</f>
        <v>0</v>
      </c>
      <c r="L403" s="9" t="n">
        <f aca="false">IF(AND(E403&lt;Parameters!$B$7,E403&gt;=Parameters!$B$7*(1-Parameters!$B$9)),1,0)</f>
        <v>0</v>
      </c>
      <c r="M403" s="9" t="n">
        <f aca="false">IF(AND(E403&lt;Parameters!$B$7,COUNTIFS($C$5:$C$634,C403,$B$5:$B$634,B403)&gt;1,SUMIFS($E$5:$E$634,$C$5:$C$634,C403,$B$5:$B$634,B403)&gt;=Parameters!$B$7),1,0)</f>
        <v>0</v>
      </c>
      <c r="N403" s="9" t="n">
        <f aca="false">IF(AND(E403&gt;=Parameters!$B$7,F403&lt;&gt;Parameters!$B$8),1,0)</f>
        <v>0</v>
      </c>
      <c r="O403" s="9" t="n">
        <f aca="false">INDEX(Vendor_Benford!$N$6:$N$50,MATCH(C403,Vendor_Benford!$A$6:$A$50,0))</f>
        <v>0</v>
      </c>
      <c r="P403" s="9" t="n">
        <f aca="false">INDEX(Vendor_Benford!$M$6:$M$50,MATCH(C403,Vendor_Benford!$A$6:$A$50,0))</f>
        <v>0</v>
      </c>
      <c r="Q403" s="9" t="n">
        <f aca="false">I403*Parameters!$B$28+J403*Parameters!$B$29+K403*Parameters!$B$30+L403*Parameters!$B$31+M403*Parameters!$B$32+N403*Parameters!$B$33+O403*Parameters!$B$34+P403*Parameters!$B$35</f>
        <v>0</v>
      </c>
      <c r="R403" s="0" t="str">
        <f aca="false">IF(Q403&gt;=Parameters!$B$24,"High","")</f>
        <v/>
      </c>
    </row>
    <row r="404" customFormat="false" ht="15" hidden="false" customHeight="false" outlineLevel="0" collapsed="false">
      <c r="A404" s="10" t="s">
        <v>1112</v>
      </c>
      <c r="B404" s="8" t="n">
        <v>45896</v>
      </c>
      <c r="C404" s="10" t="s">
        <v>176</v>
      </c>
      <c r="D404" s="10" t="s">
        <v>1113</v>
      </c>
      <c r="E404" s="12" t="n">
        <v>294.1</v>
      </c>
      <c r="F404" s="10" t="s">
        <v>347</v>
      </c>
      <c r="G404" s="9" t="n">
        <f aca="false">VALUE(LEFT(TEXT(E404,"0.00"),1))</f>
        <v>2</v>
      </c>
      <c r="H404" s="0" t="str">
        <f aca="false">UPPER(SUBSTITUTE(SUBSTITUTE(SUBSTITUTE(D404," ",""),"/",""),".",""))</f>
        <v>INV23001</v>
      </c>
      <c r="I404" s="9" t="n">
        <f aca="false">IF(COUNTIFS($C$5:C404,C404,$H$5:H404,H404,$E$5:E404,E404)&gt;1,1,0)</f>
        <v>0</v>
      </c>
      <c r="J404" s="9" t="n">
        <f aca="false">IF(AND(I404=0,COUNTIFS($C$5:$C$634,C404,$E$5:$E$634,E404,$B$5:$B$634,"&gt;="&amp;(B404-Parameters!$B$12),$B$5:$B$634,"&lt;="&amp;(B404+Parameters!$B$12),$H$5:$H$634,"&lt;&gt;"&amp;H404)&gt;0),1,0)</f>
        <v>0</v>
      </c>
      <c r="K404" s="9" t="n">
        <f aca="false">IF(AND(E404&gt;=Parameters!$B$11,ROUND(MOD(ROUND(E404,2),Parameters!$B$10),2)=0),1,0)</f>
        <v>0</v>
      </c>
      <c r="L404" s="9" t="n">
        <f aca="false">IF(AND(E404&lt;Parameters!$B$7,E404&gt;=Parameters!$B$7*(1-Parameters!$B$9)),1,0)</f>
        <v>0</v>
      </c>
      <c r="M404" s="9" t="n">
        <f aca="false">IF(AND(E404&lt;Parameters!$B$7,COUNTIFS($C$5:$C$634,C404,$B$5:$B$634,B404)&gt;1,SUMIFS($E$5:$E$634,$C$5:$C$634,C404,$B$5:$B$634,B404)&gt;=Parameters!$B$7),1,0)</f>
        <v>0</v>
      </c>
      <c r="N404" s="9" t="n">
        <f aca="false">IF(AND(E404&gt;=Parameters!$B$7,F404&lt;&gt;Parameters!$B$8),1,0)</f>
        <v>0</v>
      </c>
      <c r="O404" s="9" t="n">
        <f aca="false">INDEX(Vendor_Benford!$N$6:$N$50,MATCH(C404,Vendor_Benford!$A$6:$A$50,0))</f>
        <v>0</v>
      </c>
      <c r="P404" s="9" t="n">
        <f aca="false">INDEX(Vendor_Benford!$M$6:$M$50,MATCH(C404,Vendor_Benford!$A$6:$A$50,0))</f>
        <v>0</v>
      </c>
      <c r="Q404" s="9" t="n">
        <f aca="false">I404*Parameters!$B$28+J404*Parameters!$B$29+K404*Parameters!$B$30+L404*Parameters!$B$31+M404*Parameters!$B$32+N404*Parameters!$B$33+O404*Parameters!$B$34+P404*Parameters!$B$35</f>
        <v>0</v>
      </c>
      <c r="R404" s="0" t="str">
        <f aca="false">IF(Q404&gt;=Parameters!$B$24,"High","")</f>
        <v/>
      </c>
    </row>
    <row r="405" customFormat="false" ht="15" hidden="false" customHeight="false" outlineLevel="0" collapsed="false">
      <c r="A405" s="10" t="s">
        <v>1114</v>
      </c>
      <c r="B405" s="8" t="n">
        <v>45896</v>
      </c>
      <c r="C405" s="10" t="s">
        <v>209</v>
      </c>
      <c r="D405" s="10" t="s">
        <v>1115</v>
      </c>
      <c r="E405" s="12" t="n">
        <v>456.17</v>
      </c>
      <c r="F405" s="10" t="s">
        <v>347</v>
      </c>
      <c r="G405" s="9" t="n">
        <f aca="false">VALUE(LEFT(TEXT(E405,"0.00"),1))</f>
        <v>4</v>
      </c>
      <c r="H405" s="0" t="str">
        <f aca="false">UPPER(SUBSTITUTE(SUBSTITUTE(SUBSTITUTE(D405," ",""),"/",""),".",""))</f>
        <v>INV34004</v>
      </c>
      <c r="I405" s="9" t="n">
        <f aca="false">IF(COUNTIFS($C$5:C405,C405,$H$5:H405,H405,$E$5:E405,E405)&gt;1,1,0)</f>
        <v>0</v>
      </c>
      <c r="J405" s="9" t="n">
        <f aca="false">IF(AND(I405=0,COUNTIFS($C$5:$C$634,C405,$E$5:$E$634,E405,$B$5:$B$634,"&gt;="&amp;(B405-Parameters!$B$12),$B$5:$B$634,"&lt;="&amp;(B405+Parameters!$B$12),$H$5:$H$634,"&lt;&gt;"&amp;H405)&gt;0),1,0)</f>
        <v>0</v>
      </c>
      <c r="K405" s="9" t="n">
        <f aca="false">IF(AND(E405&gt;=Parameters!$B$11,ROUND(MOD(ROUND(E405,2),Parameters!$B$10),2)=0),1,0)</f>
        <v>0</v>
      </c>
      <c r="L405" s="9" t="n">
        <f aca="false">IF(AND(E405&lt;Parameters!$B$7,E405&gt;=Parameters!$B$7*(1-Parameters!$B$9)),1,0)</f>
        <v>0</v>
      </c>
      <c r="M405" s="9" t="n">
        <f aca="false">IF(AND(E405&lt;Parameters!$B$7,COUNTIFS($C$5:$C$634,C405,$B$5:$B$634,B405)&gt;1,SUMIFS($E$5:$E$634,$C$5:$C$634,C405,$B$5:$B$634,B405)&gt;=Parameters!$B$7),1,0)</f>
        <v>0</v>
      </c>
      <c r="N405" s="9" t="n">
        <f aca="false">IF(AND(E405&gt;=Parameters!$B$7,F405&lt;&gt;Parameters!$B$8),1,0)</f>
        <v>0</v>
      </c>
      <c r="O405" s="9" t="n">
        <f aca="false">INDEX(Vendor_Benford!$N$6:$N$50,MATCH(C405,Vendor_Benford!$A$6:$A$50,0))</f>
        <v>0</v>
      </c>
      <c r="P405" s="9" t="n">
        <f aca="false">INDEX(Vendor_Benford!$M$6:$M$50,MATCH(C405,Vendor_Benford!$A$6:$A$50,0))</f>
        <v>0</v>
      </c>
      <c r="Q405" s="9" t="n">
        <f aca="false">I405*Parameters!$B$28+J405*Parameters!$B$29+K405*Parameters!$B$30+L405*Parameters!$B$31+M405*Parameters!$B$32+N405*Parameters!$B$33+O405*Parameters!$B$34+P405*Parameters!$B$35</f>
        <v>0</v>
      </c>
      <c r="R405" s="0" t="str">
        <f aca="false">IF(Q405&gt;=Parameters!$B$24,"High","")</f>
        <v/>
      </c>
    </row>
    <row r="406" customFormat="false" ht="15" hidden="false" customHeight="false" outlineLevel="0" collapsed="false">
      <c r="A406" s="10" t="s">
        <v>1116</v>
      </c>
      <c r="B406" s="8" t="n">
        <v>45896</v>
      </c>
      <c r="C406" s="10" t="s">
        <v>212</v>
      </c>
      <c r="D406" s="10" t="s">
        <v>1117</v>
      </c>
      <c r="E406" s="12" t="n">
        <v>351.23</v>
      </c>
      <c r="F406" s="10" t="s">
        <v>40</v>
      </c>
      <c r="G406" s="9" t="n">
        <f aca="false">VALUE(LEFT(TEXT(E406,"0.00"),1))</f>
        <v>3</v>
      </c>
      <c r="H406" s="0" t="str">
        <f aca="false">UPPER(SUBSTITUTE(SUBSTITUTE(SUBSTITUTE(D406," ",""),"/",""),".",""))</f>
        <v>INV35011</v>
      </c>
      <c r="I406" s="9" t="n">
        <f aca="false">IF(COUNTIFS($C$5:C406,C406,$H$5:H406,H406,$E$5:E406,E406)&gt;1,1,0)</f>
        <v>0</v>
      </c>
      <c r="J406" s="9" t="n">
        <f aca="false">IF(AND(I406=0,COUNTIFS($C$5:$C$634,C406,$E$5:$E$634,E406,$B$5:$B$634,"&gt;="&amp;(B406-Parameters!$B$12),$B$5:$B$634,"&lt;="&amp;(B406+Parameters!$B$12),$H$5:$H$634,"&lt;&gt;"&amp;H406)&gt;0),1,0)</f>
        <v>0</v>
      </c>
      <c r="K406" s="9" t="n">
        <f aca="false">IF(AND(E406&gt;=Parameters!$B$11,ROUND(MOD(ROUND(E406,2),Parameters!$B$10),2)=0),1,0)</f>
        <v>0</v>
      </c>
      <c r="L406" s="9" t="n">
        <f aca="false">IF(AND(E406&lt;Parameters!$B$7,E406&gt;=Parameters!$B$7*(1-Parameters!$B$9)),1,0)</f>
        <v>0</v>
      </c>
      <c r="M406" s="9" t="n">
        <f aca="false">IF(AND(E406&lt;Parameters!$B$7,COUNTIFS($C$5:$C$634,C406,$B$5:$B$634,B406)&gt;1,SUMIFS($E$5:$E$634,$C$5:$C$634,C406,$B$5:$B$634,B406)&gt;=Parameters!$B$7),1,0)</f>
        <v>1</v>
      </c>
      <c r="N406" s="9" t="n">
        <f aca="false">IF(AND(E406&gt;=Parameters!$B$7,F406&lt;&gt;Parameters!$B$8),1,0)</f>
        <v>0</v>
      </c>
      <c r="O406" s="9" t="n">
        <f aca="false">INDEX(Vendor_Benford!$N$6:$N$50,MATCH(C406,Vendor_Benford!$A$6:$A$50,0))</f>
        <v>0</v>
      </c>
      <c r="P406" s="9" t="n">
        <f aca="false">INDEX(Vendor_Benford!$M$6:$M$50,MATCH(C406,Vendor_Benford!$A$6:$A$50,0))</f>
        <v>0</v>
      </c>
      <c r="Q406" s="9" t="n">
        <f aca="false">I406*Parameters!$B$28+J406*Parameters!$B$29+K406*Parameters!$B$30+L406*Parameters!$B$31+M406*Parameters!$B$32+N406*Parameters!$B$33+O406*Parameters!$B$34+P406*Parameters!$B$35</f>
        <v>3</v>
      </c>
      <c r="R406" s="0" t="str">
        <f aca="false">IF(Q406&gt;=Parameters!$B$24,"High","")</f>
        <v/>
      </c>
    </row>
    <row r="407" customFormat="false" ht="15" hidden="false" customHeight="false" outlineLevel="0" collapsed="false">
      <c r="A407" s="10" t="s">
        <v>1118</v>
      </c>
      <c r="B407" s="8" t="n">
        <v>45896</v>
      </c>
      <c r="C407" s="10" t="s">
        <v>212</v>
      </c>
      <c r="D407" s="10" t="s">
        <v>1119</v>
      </c>
      <c r="E407" s="12" t="n">
        <v>73645.12</v>
      </c>
      <c r="F407" s="10" t="s">
        <v>40</v>
      </c>
      <c r="G407" s="9" t="n">
        <f aca="false">VALUE(LEFT(TEXT(E407,"0.00"),1))</f>
        <v>7</v>
      </c>
      <c r="H407" s="0" t="str">
        <f aca="false">UPPER(SUBSTITUTE(SUBSTITUTE(SUBSTITUTE(D407," ",""),"/",""),".",""))</f>
        <v>INV35017</v>
      </c>
      <c r="I407" s="9" t="n">
        <f aca="false">IF(COUNTIFS($C$5:C407,C407,$H$5:H407,H407,$E$5:E407,E407)&gt;1,1,0)</f>
        <v>0</v>
      </c>
      <c r="J407" s="9" t="n">
        <f aca="false">IF(AND(I407=0,COUNTIFS($C$5:$C$634,C407,$E$5:$E$634,E407,$B$5:$B$634,"&gt;="&amp;(B407-Parameters!$B$12),$B$5:$B$634,"&lt;="&amp;(B407+Parameters!$B$12),$H$5:$H$634,"&lt;&gt;"&amp;H407)&gt;0),1,0)</f>
        <v>0</v>
      </c>
      <c r="K407" s="9" t="n">
        <f aca="false">IF(AND(E407&gt;=Parameters!$B$11,ROUND(MOD(ROUND(E407,2),Parameters!$B$10),2)=0),1,0)</f>
        <v>0</v>
      </c>
      <c r="L407" s="9" t="n">
        <f aca="false">IF(AND(E407&lt;Parameters!$B$7,E407&gt;=Parameters!$B$7*(1-Parameters!$B$9)),1,0)</f>
        <v>0</v>
      </c>
      <c r="M407" s="9" t="n">
        <f aca="false">IF(AND(E407&lt;Parameters!$B$7,COUNTIFS($C$5:$C$634,C407,$B$5:$B$634,B407)&gt;1,SUMIFS($E$5:$E$634,$C$5:$C$634,C407,$B$5:$B$634,B407)&gt;=Parameters!$B$7),1,0)</f>
        <v>0</v>
      </c>
      <c r="N407" s="9" t="n">
        <f aca="false">IF(AND(E407&gt;=Parameters!$B$7,F407&lt;&gt;Parameters!$B$8),1,0)</f>
        <v>0</v>
      </c>
      <c r="O407" s="9" t="n">
        <f aca="false">INDEX(Vendor_Benford!$N$6:$N$50,MATCH(C407,Vendor_Benford!$A$6:$A$50,0))</f>
        <v>0</v>
      </c>
      <c r="P407" s="9" t="n">
        <f aca="false">INDEX(Vendor_Benford!$M$6:$M$50,MATCH(C407,Vendor_Benford!$A$6:$A$50,0))</f>
        <v>0</v>
      </c>
      <c r="Q407" s="9" t="n">
        <f aca="false">I407*Parameters!$B$28+J407*Parameters!$B$29+K407*Parameters!$B$30+L407*Parameters!$B$31+M407*Parameters!$B$32+N407*Parameters!$B$33+O407*Parameters!$B$34+P407*Parameters!$B$35</f>
        <v>0</v>
      </c>
      <c r="R407" s="0" t="str">
        <f aca="false">IF(Q407&gt;=Parameters!$B$24,"High","")</f>
        <v/>
      </c>
    </row>
    <row r="408" customFormat="false" ht="15" hidden="false" customHeight="false" outlineLevel="0" collapsed="false">
      <c r="A408" s="10" t="s">
        <v>1120</v>
      </c>
      <c r="B408" s="8" t="n">
        <v>45896</v>
      </c>
      <c r="C408" s="10" t="s">
        <v>236</v>
      </c>
      <c r="D408" s="10" t="s">
        <v>1121</v>
      </c>
      <c r="E408" s="12" t="n">
        <v>829.94</v>
      </c>
      <c r="F408" s="10" t="s">
        <v>347</v>
      </c>
      <c r="G408" s="9" t="n">
        <f aca="false">VALUE(LEFT(TEXT(E408,"0.00"),1))</f>
        <v>8</v>
      </c>
      <c r="H408" s="0" t="str">
        <f aca="false">UPPER(SUBSTITUTE(SUBSTITUTE(SUBSTITUTE(D408," ",""),"/",""),".",""))</f>
        <v>INV43003</v>
      </c>
      <c r="I408" s="9" t="n">
        <f aca="false">IF(COUNTIFS($C$5:C408,C408,$H$5:H408,H408,$E$5:E408,E408)&gt;1,1,0)</f>
        <v>0</v>
      </c>
      <c r="J408" s="9" t="n">
        <f aca="false">IF(AND(I408=0,COUNTIFS($C$5:$C$634,C408,$E$5:$E$634,E408,$B$5:$B$634,"&gt;="&amp;(B408-Parameters!$B$12),$B$5:$B$634,"&lt;="&amp;(B408+Parameters!$B$12),$H$5:$H$634,"&lt;&gt;"&amp;H408)&gt;0),1,0)</f>
        <v>0</v>
      </c>
      <c r="K408" s="9" t="n">
        <f aca="false">IF(AND(E408&gt;=Parameters!$B$11,ROUND(MOD(ROUND(E408,2),Parameters!$B$10),2)=0),1,0)</f>
        <v>0</v>
      </c>
      <c r="L408" s="9" t="n">
        <f aca="false">IF(AND(E408&lt;Parameters!$B$7,E408&gt;=Parameters!$B$7*(1-Parameters!$B$9)),1,0)</f>
        <v>0</v>
      </c>
      <c r="M408" s="9" t="n">
        <f aca="false">IF(AND(E408&lt;Parameters!$B$7,COUNTIFS($C$5:$C$634,C408,$B$5:$B$634,B408)&gt;1,SUMIFS($E$5:$E$634,$C$5:$C$634,C408,$B$5:$B$634,B408)&gt;=Parameters!$B$7),1,0)</f>
        <v>0</v>
      </c>
      <c r="N408" s="9" t="n">
        <f aca="false">IF(AND(E408&gt;=Parameters!$B$7,F408&lt;&gt;Parameters!$B$8),1,0)</f>
        <v>0</v>
      </c>
      <c r="O408" s="9" t="n">
        <f aca="false">INDEX(Vendor_Benford!$N$6:$N$50,MATCH(C408,Vendor_Benford!$A$6:$A$50,0))</f>
        <v>0</v>
      </c>
      <c r="P408" s="9" t="n">
        <f aca="false">INDEX(Vendor_Benford!$M$6:$M$50,MATCH(C408,Vendor_Benford!$A$6:$A$50,0))</f>
        <v>0</v>
      </c>
      <c r="Q408" s="9" t="n">
        <f aca="false">I408*Parameters!$B$28+J408*Parameters!$B$29+K408*Parameters!$B$30+L408*Parameters!$B$31+M408*Parameters!$B$32+N408*Parameters!$B$33+O408*Parameters!$B$34+P408*Parameters!$B$35</f>
        <v>0</v>
      </c>
      <c r="R408" s="0" t="str">
        <f aca="false">IF(Q408&gt;=Parameters!$B$24,"High","")</f>
        <v/>
      </c>
    </row>
    <row r="409" customFormat="false" ht="15" hidden="false" customHeight="false" outlineLevel="0" collapsed="false">
      <c r="A409" s="10" t="s">
        <v>1122</v>
      </c>
      <c r="B409" s="8" t="n">
        <v>45898</v>
      </c>
      <c r="C409" s="10" t="s">
        <v>164</v>
      </c>
      <c r="D409" s="10" t="s">
        <v>1123</v>
      </c>
      <c r="E409" s="12" t="n">
        <v>26549.01</v>
      </c>
      <c r="F409" s="10" t="s">
        <v>40</v>
      </c>
      <c r="G409" s="9" t="n">
        <f aca="false">VALUE(LEFT(TEXT(E409,"0.00"),1))</f>
        <v>2</v>
      </c>
      <c r="H409" s="0" t="str">
        <f aca="false">UPPER(SUBSTITUTE(SUBSTITUTE(SUBSTITUTE(D409," ",""),"/",""),".",""))</f>
        <v>INV19007</v>
      </c>
      <c r="I409" s="9" t="n">
        <f aca="false">IF(COUNTIFS($C$5:C409,C409,$H$5:H409,H409,$E$5:E409,E409)&gt;1,1,0)</f>
        <v>0</v>
      </c>
      <c r="J409" s="9" t="n">
        <f aca="false">IF(AND(I409=0,COUNTIFS($C$5:$C$634,C409,$E$5:$E$634,E409,$B$5:$B$634,"&gt;="&amp;(B409-Parameters!$B$12),$B$5:$B$634,"&lt;="&amp;(B409+Parameters!$B$12),$H$5:$H$634,"&lt;&gt;"&amp;H409)&gt;0),1,0)</f>
        <v>0</v>
      </c>
      <c r="K409" s="9" t="n">
        <f aca="false">IF(AND(E409&gt;=Parameters!$B$11,ROUND(MOD(ROUND(E409,2),Parameters!$B$10),2)=0),1,0)</f>
        <v>0</v>
      </c>
      <c r="L409" s="9" t="n">
        <f aca="false">IF(AND(E409&lt;Parameters!$B$7,E409&gt;=Parameters!$B$7*(1-Parameters!$B$9)),1,0)</f>
        <v>0</v>
      </c>
      <c r="M409" s="9" t="n">
        <f aca="false">IF(AND(E409&lt;Parameters!$B$7,COUNTIFS($C$5:$C$634,C409,$B$5:$B$634,B409)&gt;1,SUMIFS($E$5:$E$634,$C$5:$C$634,C409,$B$5:$B$634,B409)&gt;=Parameters!$B$7),1,0)</f>
        <v>0</v>
      </c>
      <c r="N409" s="9" t="n">
        <f aca="false">IF(AND(E409&gt;=Parameters!$B$7,F409&lt;&gt;Parameters!$B$8),1,0)</f>
        <v>0</v>
      </c>
      <c r="O409" s="9" t="n">
        <f aca="false">INDEX(Vendor_Benford!$N$6:$N$50,MATCH(C409,Vendor_Benford!$A$6:$A$50,0))</f>
        <v>0</v>
      </c>
      <c r="P409" s="9" t="n">
        <f aca="false">INDEX(Vendor_Benford!$M$6:$M$50,MATCH(C409,Vendor_Benford!$A$6:$A$50,0))</f>
        <v>0</v>
      </c>
      <c r="Q409" s="9" t="n">
        <f aca="false">I409*Parameters!$B$28+J409*Parameters!$B$29+K409*Parameters!$B$30+L409*Parameters!$B$31+M409*Parameters!$B$32+N409*Parameters!$B$33+O409*Parameters!$B$34+P409*Parameters!$B$35</f>
        <v>0</v>
      </c>
      <c r="R409" s="0" t="str">
        <f aca="false">IF(Q409&gt;=Parameters!$B$24,"High","")</f>
        <v/>
      </c>
    </row>
    <row r="410" customFormat="false" ht="15" hidden="false" customHeight="false" outlineLevel="0" collapsed="false">
      <c r="A410" s="10" t="s">
        <v>1124</v>
      </c>
      <c r="B410" s="8" t="n">
        <v>45898</v>
      </c>
      <c r="C410" s="10" t="s">
        <v>185</v>
      </c>
      <c r="D410" s="10" t="s">
        <v>1125</v>
      </c>
      <c r="E410" s="12" t="n">
        <v>2965.85</v>
      </c>
      <c r="F410" s="10" t="s">
        <v>347</v>
      </c>
      <c r="G410" s="9" t="n">
        <f aca="false">VALUE(LEFT(TEXT(E410,"0.00"),1))</f>
        <v>2</v>
      </c>
      <c r="H410" s="0" t="str">
        <f aca="false">UPPER(SUBSTITUTE(SUBSTITUTE(SUBSTITUTE(D410," ",""),"/",""),".",""))</f>
        <v>INV26003</v>
      </c>
      <c r="I410" s="9" t="n">
        <f aca="false">IF(COUNTIFS($C$5:C410,C410,$H$5:H410,H410,$E$5:E410,E410)&gt;1,1,0)</f>
        <v>0</v>
      </c>
      <c r="J410" s="9" t="n">
        <f aca="false">IF(AND(I410=0,COUNTIFS($C$5:$C$634,C410,$E$5:$E$634,E410,$B$5:$B$634,"&gt;="&amp;(B410-Parameters!$B$12),$B$5:$B$634,"&lt;="&amp;(B410+Parameters!$B$12),$H$5:$H$634,"&lt;&gt;"&amp;H410)&gt;0),1,0)</f>
        <v>0</v>
      </c>
      <c r="K410" s="9" t="n">
        <f aca="false">IF(AND(E410&gt;=Parameters!$B$11,ROUND(MOD(ROUND(E410,2),Parameters!$B$10),2)=0),1,0)</f>
        <v>0</v>
      </c>
      <c r="L410" s="9" t="n">
        <f aca="false">IF(AND(E410&lt;Parameters!$B$7,E410&gt;=Parameters!$B$7*(1-Parameters!$B$9)),1,0)</f>
        <v>0</v>
      </c>
      <c r="M410" s="9" t="n">
        <f aca="false">IF(AND(E410&lt;Parameters!$B$7,COUNTIFS($C$5:$C$634,C410,$B$5:$B$634,B410)&gt;1,SUMIFS($E$5:$E$634,$C$5:$C$634,C410,$B$5:$B$634,B410)&gt;=Parameters!$B$7),1,0)</f>
        <v>1</v>
      </c>
      <c r="N410" s="9" t="n">
        <f aca="false">IF(AND(E410&gt;=Parameters!$B$7,F410&lt;&gt;Parameters!$B$8),1,0)</f>
        <v>0</v>
      </c>
      <c r="O410" s="9" t="n">
        <f aca="false">INDEX(Vendor_Benford!$N$6:$N$50,MATCH(C410,Vendor_Benford!$A$6:$A$50,0))</f>
        <v>0</v>
      </c>
      <c r="P410" s="9" t="n">
        <f aca="false">INDEX(Vendor_Benford!$M$6:$M$50,MATCH(C410,Vendor_Benford!$A$6:$A$50,0))</f>
        <v>0</v>
      </c>
      <c r="Q410" s="9" t="n">
        <f aca="false">I410*Parameters!$B$28+J410*Parameters!$B$29+K410*Parameters!$B$30+L410*Parameters!$B$31+M410*Parameters!$B$32+N410*Parameters!$B$33+O410*Parameters!$B$34+P410*Parameters!$B$35</f>
        <v>3</v>
      </c>
      <c r="R410" s="0" t="str">
        <f aca="false">IF(Q410&gt;=Parameters!$B$24,"High","")</f>
        <v/>
      </c>
    </row>
    <row r="411" customFormat="false" ht="15" hidden="false" customHeight="false" outlineLevel="0" collapsed="false">
      <c r="A411" s="10" t="s">
        <v>1126</v>
      </c>
      <c r="B411" s="8" t="n">
        <v>45898</v>
      </c>
      <c r="C411" s="10" t="s">
        <v>185</v>
      </c>
      <c r="D411" s="10" t="s">
        <v>1127</v>
      </c>
      <c r="E411" s="12" t="n">
        <v>2988.67</v>
      </c>
      <c r="F411" s="10" t="s">
        <v>347</v>
      </c>
      <c r="G411" s="9" t="n">
        <f aca="false">VALUE(LEFT(TEXT(E411,"0.00"),1))</f>
        <v>2</v>
      </c>
      <c r="H411" s="0" t="str">
        <f aca="false">UPPER(SUBSTITUTE(SUBSTITUTE(SUBSTITUTE(D411," ",""),"/",""),".",""))</f>
        <v>INV26004</v>
      </c>
      <c r="I411" s="9" t="n">
        <f aca="false">IF(COUNTIFS($C$5:C411,C411,$H$5:H411,H411,$E$5:E411,E411)&gt;1,1,0)</f>
        <v>0</v>
      </c>
      <c r="J411" s="9" t="n">
        <f aca="false">IF(AND(I411=0,COUNTIFS($C$5:$C$634,C411,$E$5:$E$634,E411,$B$5:$B$634,"&gt;="&amp;(B411-Parameters!$B$12),$B$5:$B$634,"&lt;="&amp;(B411+Parameters!$B$12),$H$5:$H$634,"&lt;&gt;"&amp;H411)&gt;0),1,0)</f>
        <v>0</v>
      </c>
      <c r="K411" s="9" t="n">
        <f aca="false">IF(AND(E411&gt;=Parameters!$B$11,ROUND(MOD(ROUND(E411,2),Parameters!$B$10),2)=0),1,0)</f>
        <v>0</v>
      </c>
      <c r="L411" s="9" t="n">
        <f aca="false">IF(AND(E411&lt;Parameters!$B$7,E411&gt;=Parameters!$B$7*(1-Parameters!$B$9)),1,0)</f>
        <v>0</v>
      </c>
      <c r="M411" s="9" t="n">
        <f aca="false">IF(AND(E411&lt;Parameters!$B$7,COUNTIFS($C$5:$C$634,C411,$B$5:$B$634,B411)&gt;1,SUMIFS($E$5:$E$634,$C$5:$C$634,C411,$B$5:$B$634,B411)&gt;=Parameters!$B$7),1,0)</f>
        <v>1</v>
      </c>
      <c r="N411" s="9" t="n">
        <f aca="false">IF(AND(E411&gt;=Parameters!$B$7,F411&lt;&gt;Parameters!$B$8),1,0)</f>
        <v>0</v>
      </c>
      <c r="O411" s="9" t="n">
        <f aca="false">INDEX(Vendor_Benford!$N$6:$N$50,MATCH(C411,Vendor_Benford!$A$6:$A$50,0))</f>
        <v>0</v>
      </c>
      <c r="P411" s="9" t="n">
        <f aca="false">INDEX(Vendor_Benford!$M$6:$M$50,MATCH(C411,Vendor_Benford!$A$6:$A$50,0))</f>
        <v>0</v>
      </c>
      <c r="Q411" s="9" t="n">
        <f aca="false">I411*Parameters!$B$28+J411*Parameters!$B$29+K411*Parameters!$B$30+L411*Parameters!$B$31+M411*Parameters!$B$32+N411*Parameters!$B$33+O411*Parameters!$B$34+P411*Parameters!$B$35</f>
        <v>3</v>
      </c>
      <c r="R411" s="0" t="str">
        <f aca="false">IF(Q411&gt;=Parameters!$B$24,"High","")</f>
        <v/>
      </c>
    </row>
    <row r="412" customFormat="false" ht="15" hidden="false" customHeight="false" outlineLevel="0" collapsed="false">
      <c r="A412" s="10" t="s">
        <v>1128</v>
      </c>
      <c r="B412" s="8" t="n">
        <v>45901</v>
      </c>
      <c r="C412" s="10" t="s">
        <v>200</v>
      </c>
      <c r="D412" s="10" t="s">
        <v>1129</v>
      </c>
      <c r="E412" s="12" t="n">
        <v>4808.35</v>
      </c>
      <c r="F412" s="10" t="s">
        <v>347</v>
      </c>
      <c r="G412" s="9" t="n">
        <f aca="false">VALUE(LEFT(TEXT(E412,"0.00"),1))</f>
        <v>4</v>
      </c>
      <c r="H412" s="0" t="str">
        <f aca="false">UPPER(SUBSTITUTE(SUBSTITUTE(SUBSTITUTE(D412," ",""),"/",""),".",""))</f>
        <v>INV31018</v>
      </c>
      <c r="I412" s="9" t="n">
        <f aca="false">IF(COUNTIFS($C$5:C412,C412,$H$5:H412,H412,$E$5:E412,E412)&gt;1,1,0)</f>
        <v>0</v>
      </c>
      <c r="J412" s="9" t="n">
        <f aca="false">IF(AND(I412=0,COUNTIFS($C$5:$C$634,C412,$E$5:$E$634,E412,$B$5:$B$634,"&gt;="&amp;(B412-Parameters!$B$12),$B$5:$B$634,"&lt;="&amp;(B412+Parameters!$B$12),$H$5:$H$634,"&lt;&gt;"&amp;H412)&gt;0),1,0)</f>
        <v>0</v>
      </c>
      <c r="K412" s="9" t="n">
        <f aca="false">IF(AND(E412&gt;=Parameters!$B$11,ROUND(MOD(ROUND(E412,2),Parameters!$B$10),2)=0),1,0)</f>
        <v>0</v>
      </c>
      <c r="L412" s="9" t="n">
        <f aca="false">IF(AND(E412&lt;Parameters!$B$7,E412&gt;=Parameters!$B$7*(1-Parameters!$B$9)),1,0)</f>
        <v>1</v>
      </c>
      <c r="M412" s="9" t="n">
        <f aca="false">IF(AND(E412&lt;Parameters!$B$7,COUNTIFS($C$5:$C$634,C412,$B$5:$B$634,B412)&gt;1,SUMIFS($E$5:$E$634,$C$5:$C$634,C412,$B$5:$B$634,B412)&gt;=Parameters!$B$7),1,0)</f>
        <v>0</v>
      </c>
      <c r="N412" s="9" t="n">
        <f aca="false">IF(AND(E412&gt;=Parameters!$B$7,F412&lt;&gt;Parameters!$B$8),1,0)</f>
        <v>0</v>
      </c>
      <c r="O412" s="9" t="n">
        <f aca="false">INDEX(Vendor_Benford!$N$6:$N$50,MATCH(C412,Vendor_Benford!$A$6:$A$50,0))</f>
        <v>0</v>
      </c>
      <c r="P412" s="9" t="n">
        <f aca="false">INDEX(Vendor_Benford!$M$6:$M$50,MATCH(C412,Vendor_Benford!$A$6:$A$50,0))</f>
        <v>1</v>
      </c>
      <c r="Q412" s="9" t="n">
        <f aca="false">I412*Parameters!$B$28+J412*Parameters!$B$29+K412*Parameters!$B$30+L412*Parameters!$B$31+M412*Parameters!$B$32+N412*Parameters!$B$33+O412*Parameters!$B$34+P412*Parameters!$B$35</f>
        <v>4</v>
      </c>
      <c r="R412" s="0" t="str">
        <f aca="false">IF(Q412&gt;=Parameters!$B$24,"High","")</f>
        <v/>
      </c>
    </row>
    <row r="413" customFormat="false" ht="15" hidden="false" customHeight="false" outlineLevel="0" collapsed="false">
      <c r="A413" s="10" t="s">
        <v>1130</v>
      </c>
      <c r="B413" s="8" t="n">
        <v>45902</v>
      </c>
      <c r="C413" s="10" t="s">
        <v>194</v>
      </c>
      <c r="D413" s="10" t="s">
        <v>1131</v>
      </c>
      <c r="E413" s="12" t="n">
        <v>1624.41</v>
      </c>
      <c r="F413" s="10" t="s">
        <v>40</v>
      </c>
      <c r="G413" s="9" t="n">
        <f aca="false">VALUE(LEFT(TEXT(E413,"0.00"),1))</f>
        <v>1</v>
      </c>
      <c r="H413" s="0" t="str">
        <f aca="false">UPPER(SUBSTITUTE(SUBSTITUTE(SUBSTITUTE(D413," ",""),"/",""),".",""))</f>
        <v>INV29007</v>
      </c>
      <c r="I413" s="9" t="n">
        <f aca="false">IF(COUNTIFS($C$5:C413,C413,$H$5:H413,H413,$E$5:E413,E413)&gt;1,1,0)</f>
        <v>0</v>
      </c>
      <c r="J413" s="9" t="n">
        <f aca="false">IF(AND(I413=0,COUNTIFS($C$5:$C$634,C413,$E$5:$E$634,E413,$B$5:$B$634,"&gt;="&amp;(B413-Parameters!$B$12),$B$5:$B$634,"&lt;="&amp;(B413+Parameters!$B$12),$H$5:$H$634,"&lt;&gt;"&amp;H413)&gt;0),1,0)</f>
        <v>0</v>
      </c>
      <c r="K413" s="9" t="n">
        <f aca="false">IF(AND(E413&gt;=Parameters!$B$11,ROUND(MOD(ROUND(E413,2),Parameters!$B$10),2)=0),1,0)</f>
        <v>0</v>
      </c>
      <c r="L413" s="9" t="n">
        <f aca="false">IF(AND(E413&lt;Parameters!$B$7,E413&gt;=Parameters!$B$7*(1-Parameters!$B$9)),1,0)</f>
        <v>0</v>
      </c>
      <c r="M413" s="9" t="n">
        <f aca="false">IF(AND(E413&lt;Parameters!$B$7,COUNTIFS($C$5:$C$634,C413,$B$5:$B$634,B413)&gt;1,SUMIFS($E$5:$E$634,$C$5:$C$634,C413,$B$5:$B$634,B413)&gt;=Parameters!$B$7),1,0)</f>
        <v>0</v>
      </c>
      <c r="N413" s="9" t="n">
        <f aca="false">IF(AND(E413&gt;=Parameters!$B$7,F413&lt;&gt;Parameters!$B$8),1,0)</f>
        <v>0</v>
      </c>
      <c r="O413" s="9" t="n">
        <f aca="false">INDEX(Vendor_Benford!$N$6:$N$50,MATCH(C413,Vendor_Benford!$A$6:$A$50,0))</f>
        <v>0</v>
      </c>
      <c r="P413" s="9" t="n">
        <f aca="false">INDEX(Vendor_Benford!$M$6:$M$50,MATCH(C413,Vendor_Benford!$A$6:$A$50,0))</f>
        <v>0</v>
      </c>
      <c r="Q413" s="9" t="n">
        <f aca="false">I413*Parameters!$B$28+J413*Parameters!$B$29+K413*Parameters!$B$30+L413*Parameters!$B$31+M413*Parameters!$B$32+N413*Parameters!$B$33+O413*Parameters!$B$34+P413*Parameters!$B$35</f>
        <v>0</v>
      </c>
      <c r="R413" s="0" t="str">
        <f aca="false">IF(Q413&gt;=Parameters!$B$24,"High","")</f>
        <v/>
      </c>
    </row>
    <row r="414" customFormat="false" ht="15" hidden="false" customHeight="false" outlineLevel="0" collapsed="false">
      <c r="A414" s="10" t="s">
        <v>1132</v>
      </c>
      <c r="B414" s="8" t="n">
        <v>45903</v>
      </c>
      <c r="C414" s="10" t="s">
        <v>128</v>
      </c>
      <c r="D414" s="10" t="s">
        <v>1133</v>
      </c>
      <c r="E414" s="12" t="n">
        <v>29286.57</v>
      </c>
      <c r="F414" s="10" t="s">
        <v>40</v>
      </c>
      <c r="G414" s="9" t="n">
        <f aca="false">VALUE(LEFT(TEXT(E414,"0.00"),1))</f>
        <v>2</v>
      </c>
      <c r="H414" s="0" t="str">
        <f aca="false">UPPER(SUBSTITUTE(SUBSTITUTE(SUBSTITUTE(D414," ",""),"/",""),".",""))</f>
        <v>INV7015</v>
      </c>
      <c r="I414" s="9" t="n">
        <f aca="false">IF(COUNTIFS($C$5:C414,C414,$H$5:H414,H414,$E$5:E414,E414)&gt;1,1,0)</f>
        <v>0</v>
      </c>
      <c r="J414" s="9" t="n">
        <f aca="false">IF(AND(I414=0,COUNTIFS($C$5:$C$634,C414,$E$5:$E$634,E414,$B$5:$B$634,"&gt;="&amp;(B414-Parameters!$B$12),$B$5:$B$634,"&lt;="&amp;(B414+Parameters!$B$12),$H$5:$H$634,"&lt;&gt;"&amp;H414)&gt;0),1,0)</f>
        <v>0</v>
      </c>
      <c r="K414" s="9" t="n">
        <f aca="false">IF(AND(E414&gt;=Parameters!$B$11,ROUND(MOD(ROUND(E414,2),Parameters!$B$10),2)=0),1,0)</f>
        <v>0</v>
      </c>
      <c r="L414" s="9" t="n">
        <f aca="false">IF(AND(E414&lt;Parameters!$B$7,E414&gt;=Parameters!$B$7*(1-Parameters!$B$9)),1,0)</f>
        <v>0</v>
      </c>
      <c r="M414" s="9" t="n">
        <f aca="false">IF(AND(E414&lt;Parameters!$B$7,COUNTIFS($C$5:$C$634,C414,$B$5:$B$634,B414)&gt;1,SUMIFS($E$5:$E$634,$C$5:$C$634,C414,$B$5:$B$634,B414)&gt;=Parameters!$B$7),1,0)</f>
        <v>0</v>
      </c>
      <c r="N414" s="9" t="n">
        <f aca="false">IF(AND(E414&gt;=Parameters!$B$7,F414&lt;&gt;Parameters!$B$8),1,0)</f>
        <v>0</v>
      </c>
      <c r="O414" s="9" t="n">
        <f aca="false">INDEX(Vendor_Benford!$N$6:$N$50,MATCH(C414,Vendor_Benford!$A$6:$A$50,0))</f>
        <v>0</v>
      </c>
      <c r="P414" s="9" t="n">
        <f aca="false">INDEX(Vendor_Benford!$M$6:$M$50,MATCH(C414,Vendor_Benford!$A$6:$A$50,0))</f>
        <v>0</v>
      </c>
      <c r="Q414" s="9" t="n">
        <f aca="false">I414*Parameters!$B$28+J414*Parameters!$B$29+K414*Parameters!$B$30+L414*Parameters!$B$31+M414*Parameters!$B$32+N414*Parameters!$B$33+O414*Parameters!$B$34+P414*Parameters!$B$35</f>
        <v>0</v>
      </c>
      <c r="R414" s="0" t="str">
        <f aca="false">IF(Q414&gt;=Parameters!$B$24,"High","")</f>
        <v/>
      </c>
    </row>
    <row r="415" customFormat="false" ht="15" hidden="false" customHeight="false" outlineLevel="0" collapsed="false">
      <c r="A415" s="10" t="s">
        <v>1134</v>
      </c>
      <c r="B415" s="8" t="n">
        <v>45903</v>
      </c>
      <c r="C415" s="10" t="s">
        <v>236</v>
      </c>
      <c r="D415" s="10" t="s">
        <v>1135</v>
      </c>
      <c r="E415" s="12" t="n">
        <v>48000</v>
      </c>
      <c r="F415" s="10" t="s">
        <v>40</v>
      </c>
      <c r="G415" s="9" t="n">
        <f aca="false">VALUE(LEFT(TEXT(E415,"0.00"),1))</f>
        <v>4</v>
      </c>
      <c r="H415" s="0" t="str">
        <f aca="false">UPPER(SUBSTITUTE(SUBSTITUTE(SUBSTITUTE(D415," ",""),"/",""),".",""))</f>
        <v>INV43010</v>
      </c>
      <c r="I415" s="9" t="n">
        <f aca="false">IF(COUNTIFS($C$5:C415,C415,$H$5:H415,H415,$E$5:E415,E415)&gt;1,1,0)</f>
        <v>0</v>
      </c>
      <c r="J415" s="9" t="n">
        <f aca="false">IF(AND(I415=0,COUNTIFS($C$5:$C$634,C415,$E$5:$E$634,E415,$B$5:$B$634,"&gt;="&amp;(B415-Parameters!$B$12),$B$5:$B$634,"&lt;="&amp;(B415+Parameters!$B$12),$H$5:$H$634,"&lt;&gt;"&amp;H415)&gt;0),1,0)</f>
        <v>0</v>
      </c>
      <c r="K415" s="9" t="n">
        <f aca="false">IF(AND(E415&gt;=Parameters!$B$11,ROUND(MOD(ROUND(E415,2),Parameters!$B$10),2)=0),1,0)</f>
        <v>1</v>
      </c>
      <c r="L415" s="9" t="n">
        <f aca="false">IF(AND(E415&lt;Parameters!$B$7,E415&gt;=Parameters!$B$7*(1-Parameters!$B$9)),1,0)</f>
        <v>0</v>
      </c>
      <c r="M415" s="9" t="n">
        <f aca="false">IF(AND(E415&lt;Parameters!$B$7,COUNTIFS($C$5:$C$634,C415,$B$5:$B$634,B415)&gt;1,SUMIFS($E$5:$E$634,$C$5:$C$634,C415,$B$5:$B$634,B415)&gt;=Parameters!$B$7),1,0)</f>
        <v>0</v>
      </c>
      <c r="N415" s="9" t="n">
        <f aca="false">IF(AND(E415&gt;=Parameters!$B$7,F415&lt;&gt;Parameters!$B$8),1,0)</f>
        <v>0</v>
      </c>
      <c r="O415" s="9" t="n">
        <f aca="false">INDEX(Vendor_Benford!$N$6:$N$50,MATCH(C415,Vendor_Benford!$A$6:$A$50,0))</f>
        <v>0</v>
      </c>
      <c r="P415" s="9" t="n">
        <f aca="false">INDEX(Vendor_Benford!$M$6:$M$50,MATCH(C415,Vendor_Benford!$A$6:$A$50,0))</f>
        <v>0</v>
      </c>
      <c r="Q415" s="9" t="n">
        <f aca="false">I415*Parameters!$B$28+J415*Parameters!$B$29+K415*Parameters!$B$30+L415*Parameters!$B$31+M415*Parameters!$B$32+N415*Parameters!$B$33+O415*Parameters!$B$34+P415*Parameters!$B$35</f>
        <v>2</v>
      </c>
      <c r="R415" s="0" t="str">
        <f aca="false">IF(Q415&gt;=Parameters!$B$24,"High","")</f>
        <v/>
      </c>
    </row>
    <row r="416" customFormat="false" ht="15" hidden="false" customHeight="false" outlineLevel="0" collapsed="false">
      <c r="A416" s="10" t="s">
        <v>1136</v>
      </c>
      <c r="B416" s="8" t="n">
        <v>45904</v>
      </c>
      <c r="C416" s="10" t="s">
        <v>140</v>
      </c>
      <c r="D416" s="10" t="s">
        <v>1137</v>
      </c>
      <c r="E416" s="12" t="n">
        <v>153.76</v>
      </c>
      <c r="F416" s="10" t="s">
        <v>40</v>
      </c>
      <c r="G416" s="9" t="n">
        <f aca="false">VALUE(LEFT(TEXT(E416,"0.00"),1))</f>
        <v>1</v>
      </c>
      <c r="H416" s="0" t="str">
        <f aca="false">UPPER(SUBSTITUTE(SUBSTITUTE(SUBSTITUTE(D416," ",""),"/",""),".",""))</f>
        <v>INV11004</v>
      </c>
      <c r="I416" s="9" t="n">
        <f aca="false">IF(COUNTIFS($C$5:C416,C416,$H$5:H416,H416,$E$5:E416,E416)&gt;1,1,0)</f>
        <v>0</v>
      </c>
      <c r="J416" s="9" t="n">
        <f aca="false">IF(AND(I416=0,COUNTIFS($C$5:$C$634,C416,$E$5:$E$634,E416,$B$5:$B$634,"&gt;="&amp;(B416-Parameters!$B$12),$B$5:$B$634,"&lt;="&amp;(B416+Parameters!$B$12),$H$5:$H$634,"&lt;&gt;"&amp;H416)&gt;0),1,0)</f>
        <v>0</v>
      </c>
      <c r="K416" s="9" t="n">
        <f aca="false">IF(AND(E416&gt;=Parameters!$B$11,ROUND(MOD(ROUND(E416,2),Parameters!$B$10),2)=0),1,0)</f>
        <v>0</v>
      </c>
      <c r="L416" s="9" t="n">
        <f aca="false">IF(AND(E416&lt;Parameters!$B$7,E416&gt;=Parameters!$B$7*(1-Parameters!$B$9)),1,0)</f>
        <v>0</v>
      </c>
      <c r="M416" s="9" t="n">
        <f aca="false">IF(AND(E416&lt;Parameters!$B$7,COUNTIFS($C$5:$C$634,C416,$B$5:$B$634,B416)&gt;1,SUMIFS($E$5:$E$634,$C$5:$C$634,C416,$B$5:$B$634,B416)&gt;=Parameters!$B$7),1,0)</f>
        <v>0</v>
      </c>
      <c r="N416" s="9" t="n">
        <f aca="false">IF(AND(E416&gt;=Parameters!$B$7,F416&lt;&gt;Parameters!$B$8),1,0)</f>
        <v>0</v>
      </c>
      <c r="O416" s="9" t="n">
        <f aca="false">INDEX(Vendor_Benford!$N$6:$N$50,MATCH(C416,Vendor_Benford!$A$6:$A$50,0))</f>
        <v>0</v>
      </c>
      <c r="P416" s="9" t="n">
        <f aca="false">INDEX(Vendor_Benford!$M$6:$M$50,MATCH(C416,Vendor_Benford!$A$6:$A$50,0))</f>
        <v>0</v>
      </c>
      <c r="Q416" s="9" t="n">
        <f aca="false">I416*Parameters!$B$28+J416*Parameters!$B$29+K416*Parameters!$B$30+L416*Parameters!$B$31+M416*Parameters!$B$32+N416*Parameters!$B$33+O416*Parameters!$B$34+P416*Parameters!$B$35</f>
        <v>0</v>
      </c>
      <c r="R416" s="0" t="str">
        <f aca="false">IF(Q416&gt;=Parameters!$B$24,"High","")</f>
        <v/>
      </c>
    </row>
    <row r="417" customFormat="false" ht="15" hidden="false" customHeight="false" outlineLevel="0" collapsed="false">
      <c r="A417" s="10" t="s">
        <v>1138</v>
      </c>
      <c r="B417" s="8" t="n">
        <v>45904</v>
      </c>
      <c r="C417" s="10" t="s">
        <v>224</v>
      </c>
      <c r="D417" s="10" t="s">
        <v>1139</v>
      </c>
      <c r="E417" s="12" t="n">
        <v>64958.87</v>
      </c>
      <c r="F417" s="10" t="s">
        <v>40</v>
      </c>
      <c r="G417" s="9" t="n">
        <f aca="false">VALUE(LEFT(TEXT(E417,"0.00"),1))</f>
        <v>6</v>
      </c>
      <c r="H417" s="0" t="str">
        <f aca="false">UPPER(SUBSTITUTE(SUBSTITUTE(SUBSTITUTE(D417," ",""),"/",""),".",""))</f>
        <v>INV39008</v>
      </c>
      <c r="I417" s="9" t="n">
        <f aca="false">IF(COUNTIFS($C$5:C417,C417,$H$5:H417,H417,$E$5:E417,E417)&gt;1,1,0)</f>
        <v>0</v>
      </c>
      <c r="J417" s="9" t="n">
        <f aca="false">IF(AND(I417=0,COUNTIFS($C$5:$C$634,C417,$E$5:$E$634,E417,$B$5:$B$634,"&gt;="&amp;(B417-Parameters!$B$12),$B$5:$B$634,"&lt;="&amp;(B417+Parameters!$B$12),$H$5:$H$634,"&lt;&gt;"&amp;H417)&gt;0),1,0)</f>
        <v>0</v>
      </c>
      <c r="K417" s="9" t="n">
        <f aca="false">IF(AND(E417&gt;=Parameters!$B$11,ROUND(MOD(ROUND(E417,2),Parameters!$B$10),2)=0),1,0)</f>
        <v>0</v>
      </c>
      <c r="L417" s="9" t="n">
        <f aca="false">IF(AND(E417&lt;Parameters!$B$7,E417&gt;=Parameters!$B$7*(1-Parameters!$B$9)),1,0)</f>
        <v>0</v>
      </c>
      <c r="M417" s="9" t="n">
        <f aca="false">IF(AND(E417&lt;Parameters!$B$7,COUNTIFS($C$5:$C$634,C417,$B$5:$B$634,B417)&gt;1,SUMIFS($E$5:$E$634,$C$5:$C$634,C417,$B$5:$B$634,B417)&gt;=Parameters!$B$7),1,0)</f>
        <v>0</v>
      </c>
      <c r="N417" s="9" t="n">
        <f aca="false">IF(AND(E417&gt;=Parameters!$B$7,F417&lt;&gt;Parameters!$B$8),1,0)</f>
        <v>0</v>
      </c>
      <c r="O417" s="9" t="n">
        <f aca="false">INDEX(Vendor_Benford!$N$6:$N$50,MATCH(C417,Vendor_Benford!$A$6:$A$50,0))</f>
        <v>0</v>
      </c>
      <c r="P417" s="9" t="n">
        <f aca="false">INDEX(Vendor_Benford!$M$6:$M$50,MATCH(C417,Vendor_Benford!$A$6:$A$50,0))</f>
        <v>0</v>
      </c>
      <c r="Q417" s="9" t="n">
        <f aca="false">I417*Parameters!$B$28+J417*Parameters!$B$29+K417*Parameters!$B$30+L417*Parameters!$B$31+M417*Parameters!$B$32+N417*Parameters!$B$33+O417*Parameters!$B$34+P417*Parameters!$B$35</f>
        <v>0</v>
      </c>
      <c r="R417" s="0" t="str">
        <f aca="false">IF(Q417&gt;=Parameters!$B$24,"High","")</f>
        <v/>
      </c>
    </row>
    <row r="418" customFormat="false" ht="15" hidden="false" customHeight="false" outlineLevel="0" collapsed="false">
      <c r="A418" s="10" t="s">
        <v>1140</v>
      </c>
      <c r="B418" s="8" t="n">
        <v>45904</v>
      </c>
      <c r="C418" s="10" t="s">
        <v>239</v>
      </c>
      <c r="D418" s="10" t="s">
        <v>1141</v>
      </c>
      <c r="E418" s="12" t="n">
        <v>246.05</v>
      </c>
      <c r="F418" s="10" t="s">
        <v>40</v>
      </c>
      <c r="G418" s="9" t="n">
        <f aca="false">VALUE(LEFT(TEXT(E418,"0.00"),1))</f>
        <v>2</v>
      </c>
      <c r="H418" s="0" t="str">
        <f aca="false">UPPER(SUBSTITUTE(SUBSTITUTE(SUBSTITUTE(D418," ",""),"/",""),".",""))</f>
        <v>INV44014</v>
      </c>
      <c r="I418" s="9" t="n">
        <f aca="false">IF(COUNTIFS($C$5:C418,C418,$H$5:H418,H418,$E$5:E418,E418)&gt;1,1,0)</f>
        <v>0</v>
      </c>
      <c r="J418" s="9" t="n">
        <f aca="false">IF(AND(I418=0,COUNTIFS($C$5:$C$634,C418,$E$5:$E$634,E418,$B$5:$B$634,"&gt;="&amp;(B418-Parameters!$B$12),$B$5:$B$634,"&lt;="&amp;(B418+Parameters!$B$12),$H$5:$H$634,"&lt;&gt;"&amp;H418)&gt;0),1,0)</f>
        <v>0</v>
      </c>
      <c r="K418" s="9" t="n">
        <f aca="false">IF(AND(E418&gt;=Parameters!$B$11,ROUND(MOD(ROUND(E418,2),Parameters!$B$10),2)=0),1,0)</f>
        <v>0</v>
      </c>
      <c r="L418" s="9" t="n">
        <f aca="false">IF(AND(E418&lt;Parameters!$B$7,E418&gt;=Parameters!$B$7*(1-Parameters!$B$9)),1,0)</f>
        <v>0</v>
      </c>
      <c r="M418" s="9" t="n">
        <f aca="false">IF(AND(E418&lt;Parameters!$B$7,COUNTIFS($C$5:$C$634,C418,$B$5:$B$634,B418)&gt;1,SUMIFS($E$5:$E$634,$C$5:$C$634,C418,$B$5:$B$634,B418)&gt;=Parameters!$B$7),1,0)</f>
        <v>0</v>
      </c>
      <c r="N418" s="9" t="n">
        <f aca="false">IF(AND(E418&gt;=Parameters!$B$7,F418&lt;&gt;Parameters!$B$8),1,0)</f>
        <v>0</v>
      </c>
      <c r="O418" s="9" t="n">
        <f aca="false">INDEX(Vendor_Benford!$N$6:$N$50,MATCH(C418,Vendor_Benford!$A$6:$A$50,0))</f>
        <v>0</v>
      </c>
      <c r="P418" s="9" t="n">
        <f aca="false">INDEX(Vendor_Benford!$M$6:$M$50,MATCH(C418,Vendor_Benford!$A$6:$A$50,0))</f>
        <v>0</v>
      </c>
      <c r="Q418" s="9" t="n">
        <f aca="false">I418*Parameters!$B$28+J418*Parameters!$B$29+K418*Parameters!$B$30+L418*Parameters!$B$31+M418*Parameters!$B$32+N418*Parameters!$B$33+O418*Parameters!$B$34+P418*Parameters!$B$35</f>
        <v>0</v>
      </c>
      <c r="R418" s="0" t="str">
        <f aca="false">IF(Q418&gt;=Parameters!$B$24,"High","")</f>
        <v/>
      </c>
    </row>
    <row r="419" customFormat="false" ht="15" hidden="false" customHeight="false" outlineLevel="0" collapsed="false">
      <c r="A419" s="10" t="s">
        <v>1142</v>
      </c>
      <c r="B419" s="8" t="n">
        <v>45905</v>
      </c>
      <c r="C419" s="10" t="s">
        <v>110</v>
      </c>
      <c r="D419" s="10" t="s">
        <v>1143</v>
      </c>
      <c r="E419" s="12" t="n">
        <v>85000</v>
      </c>
      <c r="F419" s="10" t="s">
        <v>40</v>
      </c>
      <c r="G419" s="9" t="n">
        <f aca="false">VALUE(LEFT(TEXT(E419,"0.00"),1))</f>
        <v>8</v>
      </c>
      <c r="H419" s="0" t="str">
        <f aca="false">UPPER(SUBSTITUTE(SUBSTITUTE(SUBSTITUTE(D419," ",""),"/",""),".",""))</f>
        <v>RENT2509</v>
      </c>
      <c r="I419" s="9" t="n">
        <f aca="false">IF(COUNTIFS($C$5:C419,C419,$H$5:H419,H419,$E$5:E419,E419)&gt;1,1,0)</f>
        <v>0</v>
      </c>
      <c r="J419" s="9" t="n">
        <f aca="false">IF(AND(I419=0,COUNTIFS($C$5:$C$634,C419,$E$5:$E$634,E419,$B$5:$B$634,"&gt;="&amp;(B419-Parameters!$B$12),$B$5:$B$634,"&lt;="&amp;(B419+Parameters!$B$12),$H$5:$H$634,"&lt;&gt;"&amp;H419)&gt;0),1,0)</f>
        <v>0</v>
      </c>
      <c r="K419" s="9" t="n">
        <f aca="false">IF(AND(E419&gt;=Parameters!$B$11,ROUND(MOD(ROUND(E419,2),Parameters!$B$10),2)=0),1,0)</f>
        <v>1</v>
      </c>
      <c r="L419" s="9" t="n">
        <f aca="false">IF(AND(E419&lt;Parameters!$B$7,E419&gt;=Parameters!$B$7*(1-Parameters!$B$9)),1,0)</f>
        <v>0</v>
      </c>
      <c r="M419" s="9" t="n">
        <f aca="false">IF(AND(E419&lt;Parameters!$B$7,COUNTIFS($C$5:$C$634,C419,$B$5:$B$634,B419)&gt;1,SUMIFS($E$5:$E$634,$C$5:$C$634,C419,$B$5:$B$634,B419)&gt;=Parameters!$B$7),1,0)</f>
        <v>0</v>
      </c>
      <c r="N419" s="9" t="n">
        <f aca="false">IF(AND(E419&gt;=Parameters!$B$7,F419&lt;&gt;Parameters!$B$8),1,0)</f>
        <v>0</v>
      </c>
      <c r="O419" s="9" t="n">
        <f aca="false">INDEX(Vendor_Benford!$N$6:$N$50,MATCH(C419,Vendor_Benford!$A$6:$A$50,0))</f>
        <v>0</v>
      </c>
      <c r="P419" s="9" t="n">
        <f aca="false">INDEX(Vendor_Benford!$M$6:$M$50,MATCH(C419,Vendor_Benford!$A$6:$A$50,0))</f>
        <v>0</v>
      </c>
      <c r="Q419" s="9" t="n">
        <f aca="false">I419*Parameters!$B$28+J419*Parameters!$B$29+K419*Parameters!$B$30+L419*Parameters!$B$31+M419*Parameters!$B$32+N419*Parameters!$B$33+O419*Parameters!$B$34+P419*Parameters!$B$35</f>
        <v>2</v>
      </c>
      <c r="R419" s="0" t="str">
        <f aca="false">IF(Q419&gt;=Parameters!$B$24,"High","")</f>
        <v/>
      </c>
    </row>
    <row r="420" customFormat="false" ht="15" hidden="false" customHeight="false" outlineLevel="0" collapsed="false">
      <c r="A420" s="10" t="s">
        <v>1144</v>
      </c>
      <c r="B420" s="8" t="n">
        <v>45905</v>
      </c>
      <c r="C420" s="10" t="s">
        <v>140</v>
      </c>
      <c r="D420" s="10" t="s">
        <v>1145</v>
      </c>
      <c r="E420" s="12" t="n">
        <v>16852.36</v>
      </c>
      <c r="F420" s="10" t="s">
        <v>40</v>
      </c>
      <c r="G420" s="9" t="n">
        <f aca="false">VALUE(LEFT(TEXT(E420,"0.00"),1))</f>
        <v>1</v>
      </c>
      <c r="H420" s="0" t="str">
        <f aca="false">UPPER(SUBSTITUTE(SUBSTITUTE(SUBSTITUTE(D420," ",""),"/",""),".",""))</f>
        <v>INV11010</v>
      </c>
      <c r="I420" s="9" t="n">
        <f aca="false">IF(COUNTIFS($C$5:C420,C420,$H$5:H420,H420,$E$5:E420,E420)&gt;1,1,0)</f>
        <v>0</v>
      </c>
      <c r="J420" s="9" t="n">
        <f aca="false">IF(AND(I420=0,COUNTIFS($C$5:$C$634,C420,$E$5:$E$634,E420,$B$5:$B$634,"&gt;="&amp;(B420-Parameters!$B$12),$B$5:$B$634,"&lt;="&amp;(B420+Parameters!$B$12),$H$5:$H$634,"&lt;&gt;"&amp;H420)&gt;0),1,0)</f>
        <v>0</v>
      </c>
      <c r="K420" s="9" t="n">
        <f aca="false">IF(AND(E420&gt;=Parameters!$B$11,ROUND(MOD(ROUND(E420,2),Parameters!$B$10),2)=0),1,0)</f>
        <v>0</v>
      </c>
      <c r="L420" s="9" t="n">
        <f aca="false">IF(AND(E420&lt;Parameters!$B$7,E420&gt;=Parameters!$B$7*(1-Parameters!$B$9)),1,0)</f>
        <v>0</v>
      </c>
      <c r="M420" s="9" t="n">
        <f aca="false">IF(AND(E420&lt;Parameters!$B$7,COUNTIFS($C$5:$C$634,C420,$B$5:$B$634,B420)&gt;1,SUMIFS($E$5:$E$634,$C$5:$C$634,C420,$B$5:$B$634,B420)&gt;=Parameters!$B$7),1,0)</f>
        <v>0</v>
      </c>
      <c r="N420" s="9" t="n">
        <f aca="false">IF(AND(E420&gt;=Parameters!$B$7,F420&lt;&gt;Parameters!$B$8),1,0)</f>
        <v>0</v>
      </c>
      <c r="O420" s="9" t="n">
        <f aca="false">INDEX(Vendor_Benford!$N$6:$N$50,MATCH(C420,Vendor_Benford!$A$6:$A$50,0))</f>
        <v>0</v>
      </c>
      <c r="P420" s="9" t="n">
        <f aca="false">INDEX(Vendor_Benford!$M$6:$M$50,MATCH(C420,Vendor_Benford!$A$6:$A$50,0))</f>
        <v>0</v>
      </c>
      <c r="Q420" s="9" t="n">
        <f aca="false">I420*Parameters!$B$28+J420*Parameters!$B$29+K420*Parameters!$B$30+L420*Parameters!$B$31+M420*Parameters!$B$32+N420*Parameters!$B$33+O420*Parameters!$B$34+P420*Parameters!$B$35</f>
        <v>0</v>
      </c>
      <c r="R420" s="0" t="str">
        <f aca="false">IF(Q420&gt;=Parameters!$B$24,"High","")</f>
        <v/>
      </c>
    </row>
    <row r="421" customFormat="false" ht="15" hidden="false" customHeight="false" outlineLevel="0" collapsed="false">
      <c r="A421" s="10" t="s">
        <v>1146</v>
      </c>
      <c r="B421" s="8" t="n">
        <v>45905</v>
      </c>
      <c r="C421" s="10" t="s">
        <v>218</v>
      </c>
      <c r="D421" s="10" t="s">
        <v>1147</v>
      </c>
      <c r="E421" s="12" t="n">
        <v>2188.89</v>
      </c>
      <c r="F421" s="10" t="s">
        <v>347</v>
      </c>
      <c r="G421" s="9" t="n">
        <f aca="false">VALUE(LEFT(TEXT(E421,"0.00"),1))</f>
        <v>2</v>
      </c>
      <c r="H421" s="0" t="str">
        <f aca="false">UPPER(SUBSTITUTE(SUBSTITUTE(SUBSTITUTE(D421," ",""),"/",""),".",""))</f>
        <v>INV37011</v>
      </c>
      <c r="I421" s="9" t="n">
        <f aca="false">IF(COUNTIFS($C$5:C421,C421,$H$5:H421,H421,$E$5:E421,E421)&gt;1,1,0)</f>
        <v>0</v>
      </c>
      <c r="J421" s="9" t="n">
        <f aca="false">IF(AND(I421=0,COUNTIFS($C$5:$C$634,C421,$E$5:$E$634,E421,$B$5:$B$634,"&gt;="&amp;(B421-Parameters!$B$12),$B$5:$B$634,"&lt;="&amp;(B421+Parameters!$B$12),$H$5:$H$634,"&lt;&gt;"&amp;H421)&gt;0),1,0)</f>
        <v>0</v>
      </c>
      <c r="K421" s="9" t="n">
        <f aca="false">IF(AND(E421&gt;=Parameters!$B$11,ROUND(MOD(ROUND(E421,2),Parameters!$B$10),2)=0),1,0)</f>
        <v>0</v>
      </c>
      <c r="L421" s="9" t="n">
        <f aca="false">IF(AND(E421&lt;Parameters!$B$7,E421&gt;=Parameters!$B$7*(1-Parameters!$B$9)),1,0)</f>
        <v>0</v>
      </c>
      <c r="M421" s="9" t="n">
        <f aca="false">IF(AND(E421&lt;Parameters!$B$7,COUNTIFS($C$5:$C$634,C421,$B$5:$B$634,B421)&gt;1,SUMIFS($E$5:$E$634,$C$5:$C$634,C421,$B$5:$B$634,B421)&gt;=Parameters!$B$7),1,0)</f>
        <v>0</v>
      </c>
      <c r="N421" s="9" t="n">
        <f aca="false">IF(AND(E421&gt;=Parameters!$B$7,F421&lt;&gt;Parameters!$B$8),1,0)</f>
        <v>0</v>
      </c>
      <c r="O421" s="9" t="n">
        <f aca="false">INDEX(Vendor_Benford!$N$6:$N$50,MATCH(C421,Vendor_Benford!$A$6:$A$50,0))</f>
        <v>0</v>
      </c>
      <c r="P421" s="9" t="n">
        <f aca="false">INDEX(Vendor_Benford!$M$6:$M$50,MATCH(C421,Vendor_Benford!$A$6:$A$50,0))</f>
        <v>0</v>
      </c>
      <c r="Q421" s="9" t="n">
        <f aca="false">I421*Parameters!$B$28+J421*Parameters!$B$29+K421*Parameters!$B$30+L421*Parameters!$B$31+M421*Parameters!$B$32+N421*Parameters!$B$33+O421*Parameters!$B$34+P421*Parameters!$B$35</f>
        <v>0</v>
      </c>
      <c r="R421" s="0" t="str">
        <f aca="false">IF(Q421&gt;=Parameters!$B$24,"High","")</f>
        <v/>
      </c>
    </row>
    <row r="422" customFormat="false" ht="15" hidden="false" customHeight="false" outlineLevel="0" collapsed="false">
      <c r="A422" s="10" t="s">
        <v>1148</v>
      </c>
      <c r="B422" s="8" t="n">
        <v>45905</v>
      </c>
      <c r="C422" s="10" t="s">
        <v>239</v>
      </c>
      <c r="D422" s="10" t="s">
        <v>1149</v>
      </c>
      <c r="E422" s="12" t="n">
        <v>13130.96</v>
      </c>
      <c r="F422" s="10" t="s">
        <v>40</v>
      </c>
      <c r="G422" s="9" t="n">
        <f aca="false">VALUE(LEFT(TEXT(E422,"0.00"),1))</f>
        <v>1</v>
      </c>
      <c r="H422" s="0" t="str">
        <f aca="false">UPPER(SUBSTITUTE(SUBSTITUTE(SUBSTITUTE(D422," ",""),"/",""),".",""))</f>
        <v>INV44015</v>
      </c>
      <c r="I422" s="9" t="n">
        <f aca="false">IF(COUNTIFS($C$5:C422,C422,$H$5:H422,H422,$E$5:E422,E422)&gt;1,1,0)</f>
        <v>0</v>
      </c>
      <c r="J422" s="9" t="n">
        <f aca="false">IF(AND(I422=0,COUNTIFS($C$5:$C$634,C422,$E$5:$E$634,E422,$B$5:$B$634,"&gt;="&amp;(B422-Parameters!$B$12),$B$5:$B$634,"&lt;="&amp;(B422+Parameters!$B$12),$H$5:$H$634,"&lt;&gt;"&amp;H422)&gt;0),1,0)</f>
        <v>0</v>
      </c>
      <c r="K422" s="9" t="n">
        <f aca="false">IF(AND(E422&gt;=Parameters!$B$11,ROUND(MOD(ROUND(E422,2),Parameters!$B$10),2)=0),1,0)</f>
        <v>0</v>
      </c>
      <c r="L422" s="9" t="n">
        <f aca="false">IF(AND(E422&lt;Parameters!$B$7,E422&gt;=Parameters!$B$7*(1-Parameters!$B$9)),1,0)</f>
        <v>0</v>
      </c>
      <c r="M422" s="9" t="n">
        <f aca="false">IF(AND(E422&lt;Parameters!$B$7,COUNTIFS($C$5:$C$634,C422,$B$5:$B$634,B422)&gt;1,SUMIFS($E$5:$E$634,$C$5:$C$634,C422,$B$5:$B$634,B422)&gt;=Parameters!$B$7),1,0)</f>
        <v>0</v>
      </c>
      <c r="N422" s="9" t="n">
        <f aca="false">IF(AND(E422&gt;=Parameters!$B$7,F422&lt;&gt;Parameters!$B$8),1,0)</f>
        <v>0</v>
      </c>
      <c r="O422" s="9" t="n">
        <f aca="false">INDEX(Vendor_Benford!$N$6:$N$50,MATCH(C422,Vendor_Benford!$A$6:$A$50,0))</f>
        <v>0</v>
      </c>
      <c r="P422" s="9" t="n">
        <f aca="false">INDEX(Vendor_Benford!$M$6:$M$50,MATCH(C422,Vendor_Benford!$A$6:$A$50,0))</f>
        <v>0</v>
      </c>
      <c r="Q422" s="9" t="n">
        <f aca="false">I422*Parameters!$B$28+J422*Parameters!$B$29+K422*Parameters!$B$30+L422*Parameters!$B$31+M422*Parameters!$B$32+N422*Parameters!$B$33+O422*Parameters!$B$34+P422*Parameters!$B$35</f>
        <v>0</v>
      </c>
      <c r="R422" s="0" t="str">
        <f aca="false">IF(Q422&gt;=Parameters!$B$24,"High","")</f>
        <v/>
      </c>
    </row>
    <row r="423" customFormat="false" ht="15" hidden="false" customHeight="false" outlineLevel="0" collapsed="false">
      <c r="A423" s="10" t="s">
        <v>1150</v>
      </c>
      <c r="B423" s="8" t="n">
        <v>45908</v>
      </c>
      <c r="C423" s="10" t="s">
        <v>116</v>
      </c>
      <c r="D423" s="10" t="s">
        <v>1151</v>
      </c>
      <c r="E423" s="12" t="n">
        <v>1337.24</v>
      </c>
      <c r="F423" s="10" t="s">
        <v>347</v>
      </c>
      <c r="G423" s="9" t="n">
        <f aca="false">VALUE(LEFT(TEXT(E423,"0.00"),1))</f>
        <v>1</v>
      </c>
      <c r="H423" s="0" t="str">
        <f aca="false">UPPER(SUBSTITUTE(SUBSTITUTE(SUBSTITUTE(D423," ",""),"/",""),".",""))</f>
        <v>INV3005</v>
      </c>
      <c r="I423" s="9" t="n">
        <f aca="false">IF(COUNTIFS($C$5:C423,C423,$H$5:H423,H423,$E$5:E423,E423)&gt;1,1,0)</f>
        <v>0</v>
      </c>
      <c r="J423" s="9" t="n">
        <f aca="false">IF(AND(I423=0,COUNTIFS($C$5:$C$634,C423,$E$5:$E$634,E423,$B$5:$B$634,"&gt;="&amp;(B423-Parameters!$B$12),$B$5:$B$634,"&lt;="&amp;(B423+Parameters!$B$12),$H$5:$H$634,"&lt;&gt;"&amp;H423)&gt;0),1,0)</f>
        <v>0</v>
      </c>
      <c r="K423" s="9" t="n">
        <f aca="false">IF(AND(E423&gt;=Parameters!$B$11,ROUND(MOD(ROUND(E423,2),Parameters!$B$10),2)=0),1,0)</f>
        <v>0</v>
      </c>
      <c r="L423" s="9" t="n">
        <f aca="false">IF(AND(E423&lt;Parameters!$B$7,E423&gt;=Parameters!$B$7*(1-Parameters!$B$9)),1,0)</f>
        <v>0</v>
      </c>
      <c r="M423" s="9" t="n">
        <f aca="false">IF(AND(E423&lt;Parameters!$B$7,COUNTIFS($C$5:$C$634,C423,$B$5:$B$634,B423)&gt;1,SUMIFS($E$5:$E$634,$C$5:$C$634,C423,$B$5:$B$634,B423)&gt;=Parameters!$B$7),1,0)</f>
        <v>0</v>
      </c>
      <c r="N423" s="9" t="n">
        <f aca="false">IF(AND(E423&gt;=Parameters!$B$7,F423&lt;&gt;Parameters!$B$8),1,0)</f>
        <v>0</v>
      </c>
      <c r="O423" s="9" t="n">
        <f aca="false">INDEX(Vendor_Benford!$N$6:$N$50,MATCH(C423,Vendor_Benford!$A$6:$A$50,0))</f>
        <v>0</v>
      </c>
      <c r="P423" s="9" t="n">
        <f aca="false">INDEX(Vendor_Benford!$M$6:$M$50,MATCH(C423,Vendor_Benford!$A$6:$A$50,0))</f>
        <v>0</v>
      </c>
      <c r="Q423" s="9" t="n">
        <f aca="false">I423*Parameters!$B$28+J423*Parameters!$B$29+K423*Parameters!$B$30+L423*Parameters!$B$31+M423*Parameters!$B$32+N423*Parameters!$B$33+O423*Parameters!$B$34+P423*Parameters!$B$35</f>
        <v>0</v>
      </c>
      <c r="R423" s="0" t="str">
        <f aca="false">IF(Q423&gt;=Parameters!$B$24,"High","")</f>
        <v/>
      </c>
    </row>
    <row r="424" customFormat="false" ht="15" hidden="false" customHeight="false" outlineLevel="0" collapsed="false">
      <c r="A424" s="10" t="s">
        <v>1152</v>
      </c>
      <c r="B424" s="8" t="n">
        <v>45908</v>
      </c>
      <c r="C424" s="10" t="s">
        <v>146</v>
      </c>
      <c r="D424" s="10" t="s">
        <v>1153</v>
      </c>
      <c r="E424" s="12" t="n">
        <v>35000</v>
      </c>
      <c r="F424" s="10" t="s">
        <v>40</v>
      </c>
      <c r="G424" s="9" t="n">
        <f aca="false">VALUE(LEFT(TEXT(E424,"0.00"),1))</f>
        <v>3</v>
      </c>
      <c r="H424" s="0" t="str">
        <f aca="false">UPPER(SUBSTITUTE(SUBSTITUTE(SUBSTITUTE(D424," ",""),"/",""),".",""))</f>
        <v>INV13016</v>
      </c>
      <c r="I424" s="9" t="n">
        <f aca="false">IF(COUNTIFS($C$5:C424,C424,$H$5:H424,H424,$E$5:E424,E424)&gt;1,1,0)</f>
        <v>0</v>
      </c>
      <c r="J424" s="9" t="n">
        <f aca="false">IF(AND(I424=0,COUNTIFS($C$5:$C$634,C424,$E$5:$E$634,E424,$B$5:$B$634,"&gt;="&amp;(B424-Parameters!$B$12),$B$5:$B$634,"&lt;="&amp;(B424+Parameters!$B$12),$H$5:$H$634,"&lt;&gt;"&amp;H424)&gt;0),1,0)</f>
        <v>0</v>
      </c>
      <c r="K424" s="9" t="n">
        <f aca="false">IF(AND(E424&gt;=Parameters!$B$11,ROUND(MOD(ROUND(E424,2),Parameters!$B$10),2)=0),1,0)</f>
        <v>1</v>
      </c>
      <c r="L424" s="9" t="n">
        <f aca="false">IF(AND(E424&lt;Parameters!$B$7,E424&gt;=Parameters!$B$7*(1-Parameters!$B$9)),1,0)</f>
        <v>0</v>
      </c>
      <c r="M424" s="9" t="n">
        <f aca="false">IF(AND(E424&lt;Parameters!$B$7,COUNTIFS($C$5:$C$634,C424,$B$5:$B$634,B424)&gt;1,SUMIFS($E$5:$E$634,$C$5:$C$634,C424,$B$5:$B$634,B424)&gt;=Parameters!$B$7),1,0)</f>
        <v>0</v>
      </c>
      <c r="N424" s="9" t="n">
        <f aca="false">IF(AND(E424&gt;=Parameters!$B$7,F424&lt;&gt;Parameters!$B$8),1,0)</f>
        <v>0</v>
      </c>
      <c r="O424" s="9" t="n">
        <f aca="false">INDEX(Vendor_Benford!$N$6:$N$50,MATCH(C424,Vendor_Benford!$A$6:$A$50,0))</f>
        <v>0</v>
      </c>
      <c r="P424" s="9" t="n">
        <f aca="false">INDEX(Vendor_Benford!$M$6:$M$50,MATCH(C424,Vendor_Benford!$A$6:$A$50,0))</f>
        <v>0</v>
      </c>
      <c r="Q424" s="9" t="n">
        <f aca="false">I424*Parameters!$B$28+J424*Parameters!$B$29+K424*Parameters!$B$30+L424*Parameters!$B$31+M424*Parameters!$B$32+N424*Parameters!$B$33+O424*Parameters!$B$34+P424*Parameters!$B$35</f>
        <v>2</v>
      </c>
      <c r="R424" s="0" t="str">
        <f aca="false">IF(Q424&gt;=Parameters!$B$24,"High","")</f>
        <v/>
      </c>
    </row>
    <row r="425" customFormat="false" ht="15" hidden="false" customHeight="false" outlineLevel="0" collapsed="false">
      <c r="A425" s="10" t="s">
        <v>1154</v>
      </c>
      <c r="B425" s="8" t="n">
        <v>45909</v>
      </c>
      <c r="C425" s="10" t="s">
        <v>173</v>
      </c>
      <c r="D425" s="10" t="s">
        <v>1155</v>
      </c>
      <c r="E425" s="12" t="n">
        <v>329.04</v>
      </c>
      <c r="F425" s="10" t="s">
        <v>347</v>
      </c>
      <c r="G425" s="9" t="n">
        <f aca="false">VALUE(LEFT(TEXT(E425,"0.00"),1))</f>
        <v>3</v>
      </c>
      <c r="H425" s="0" t="str">
        <f aca="false">UPPER(SUBSTITUTE(SUBSTITUTE(SUBSTITUTE(D425," ",""),"/",""),".",""))</f>
        <v>INV22017</v>
      </c>
      <c r="I425" s="9" t="n">
        <f aca="false">IF(COUNTIFS($C$5:C425,C425,$H$5:H425,H425,$E$5:E425,E425)&gt;1,1,0)</f>
        <v>0</v>
      </c>
      <c r="J425" s="9" t="n">
        <f aca="false">IF(AND(I425=0,COUNTIFS($C$5:$C$634,C425,$E$5:$E$634,E425,$B$5:$B$634,"&gt;="&amp;(B425-Parameters!$B$12),$B$5:$B$634,"&lt;="&amp;(B425+Parameters!$B$12),$H$5:$H$634,"&lt;&gt;"&amp;H425)&gt;0),1,0)</f>
        <v>0</v>
      </c>
      <c r="K425" s="9" t="n">
        <f aca="false">IF(AND(E425&gt;=Parameters!$B$11,ROUND(MOD(ROUND(E425,2),Parameters!$B$10),2)=0),1,0)</f>
        <v>0</v>
      </c>
      <c r="L425" s="9" t="n">
        <f aca="false">IF(AND(E425&lt;Parameters!$B$7,E425&gt;=Parameters!$B$7*(1-Parameters!$B$9)),1,0)</f>
        <v>0</v>
      </c>
      <c r="M425" s="9" t="n">
        <f aca="false">IF(AND(E425&lt;Parameters!$B$7,COUNTIFS($C$5:$C$634,C425,$B$5:$B$634,B425)&gt;1,SUMIFS($E$5:$E$634,$C$5:$C$634,C425,$B$5:$B$634,B425)&gt;=Parameters!$B$7),1,0)</f>
        <v>0</v>
      </c>
      <c r="N425" s="9" t="n">
        <f aca="false">IF(AND(E425&gt;=Parameters!$B$7,F425&lt;&gt;Parameters!$B$8),1,0)</f>
        <v>0</v>
      </c>
      <c r="O425" s="9" t="n">
        <f aca="false">INDEX(Vendor_Benford!$N$6:$N$50,MATCH(C425,Vendor_Benford!$A$6:$A$50,0))</f>
        <v>0</v>
      </c>
      <c r="P425" s="9" t="n">
        <f aca="false">INDEX(Vendor_Benford!$M$6:$M$50,MATCH(C425,Vendor_Benford!$A$6:$A$50,0))</f>
        <v>0</v>
      </c>
      <c r="Q425" s="9" t="n">
        <f aca="false">I425*Parameters!$B$28+J425*Parameters!$B$29+K425*Parameters!$B$30+L425*Parameters!$B$31+M425*Parameters!$B$32+N425*Parameters!$B$33+O425*Parameters!$B$34+P425*Parameters!$B$35</f>
        <v>0</v>
      </c>
      <c r="R425" s="0" t="str">
        <f aca="false">IF(Q425&gt;=Parameters!$B$24,"High","")</f>
        <v/>
      </c>
    </row>
    <row r="426" customFormat="false" ht="15" hidden="false" customHeight="false" outlineLevel="0" collapsed="false">
      <c r="A426" s="10" t="s">
        <v>1156</v>
      </c>
      <c r="B426" s="8" t="n">
        <v>45909</v>
      </c>
      <c r="C426" s="10" t="s">
        <v>209</v>
      </c>
      <c r="D426" s="10" t="s">
        <v>1157</v>
      </c>
      <c r="E426" s="12" t="n">
        <v>1396.28</v>
      </c>
      <c r="F426" s="10" t="s">
        <v>347</v>
      </c>
      <c r="G426" s="9" t="n">
        <f aca="false">VALUE(LEFT(TEXT(E426,"0.00"),1))</f>
        <v>1</v>
      </c>
      <c r="H426" s="0" t="str">
        <f aca="false">UPPER(SUBSTITUTE(SUBSTITUTE(SUBSTITUTE(D426," ",""),"/",""),".",""))</f>
        <v>INV34005</v>
      </c>
      <c r="I426" s="9" t="n">
        <f aca="false">IF(COUNTIFS($C$5:C426,C426,$H$5:H426,H426,$E$5:E426,E426)&gt;1,1,0)</f>
        <v>0</v>
      </c>
      <c r="J426" s="9" t="n">
        <f aca="false">IF(AND(I426=0,COUNTIFS($C$5:$C$634,C426,$E$5:$E$634,E426,$B$5:$B$634,"&gt;="&amp;(B426-Parameters!$B$12),$B$5:$B$634,"&lt;="&amp;(B426+Parameters!$B$12),$H$5:$H$634,"&lt;&gt;"&amp;H426)&gt;0),1,0)</f>
        <v>0</v>
      </c>
      <c r="K426" s="9" t="n">
        <f aca="false">IF(AND(E426&gt;=Parameters!$B$11,ROUND(MOD(ROUND(E426,2),Parameters!$B$10),2)=0),1,0)</f>
        <v>0</v>
      </c>
      <c r="L426" s="9" t="n">
        <f aca="false">IF(AND(E426&lt;Parameters!$B$7,E426&gt;=Parameters!$B$7*(1-Parameters!$B$9)),1,0)</f>
        <v>0</v>
      </c>
      <c r="M426" s="9" t="n">
        <f aca="false">IF(AND(E426&lt;Parameters!$B$7,COUNTIFS($C$5:$C$634,C426,$B$5:$B$634,B426)&gt;1,SUMIFS($E$5:$E$634,$C$5:$C$634,C426,$B$5:$B$634,B426)&gt;=Parameters!$B$7),1,0)</f>
        <v>0</v>
      </c>
      <c r="N426" s="9" t="n">
        <f aca="false">IF(AND(E426&gt;=Parameters!$B$7,F426&lt;&gt;Parameters!$B$8),1,0)</f>
        <v>0</v>
      </c>
      <c r="O426" s="9" t="n">
        <f aca="false">INDEX(Vendor_Benford!$N$6:$N$50,MATCH(C426,Vendor_Benford!$A$6:$A$50,0))</f>
        <v>0</v>
      </c>
      <c r="P426" s="9" t="n">
        <f aca="false">INDEX(Vendor_Benford!$M$6:$M$50,MATCH(C426,Vendor_Benford!$A$6:$A$50,0))</f>
        <v>0</v>
      </c>
      <c r="Q426" s="9" t="n">
        <f aca="false">I426*Parameters!$B$28+J426*Parameters!$B$29+K426*Parameters!$B$30+L426*Parameters!$B$31+M426*Parameters!$B$32+N426*Parameters!$B$33+O426*Parameters!$B$34+P426*Parameters!$B$35</f>
        <v>0</v>
      </c>
      <c r="R426" s="0" t="str">
        <f aca="false">IF(Q426&gt;=Parameters!$B$24,"High","")</f>
        <v/>
      </c>
    </row>
    <row r="427" customFormat="false" ht="15" hidden="false" customHeight="false" outlineLevel="0" collapsed="false">
      <c r="A427" s="10" t="s">
        <v>1158</v>
      </c>
      <c r="B427" s="8" t="n">
        <v>45909</v>
      </c>
      <c r="C427" s="10" t="s">
        <v>224</v>
      </c>
      <c r="D427" s="10" t="s">
        <v>1159</v>
      </c>
      <c r="E427" s="12" t="n">
        <v>5741.5</v>
      </c>
      <c r="F427" s="10" t="s">
        <v>40</v>
      </c>
      <c r="G427" s="9" t="n">
        <f aca="false">VALUE(LEFT(TEXT(E427,"0.00"),1))</f>
        <v>5</v>
      </c>
      <c r="H427" s="0" t="str">
        <f aca="false">UPPER(SUBSTITUTE(SUBSTITUTE(SUBSTITUTE(D427," ",""),"/",""),".",""))</f>
        <v>INV39006</v>
      </c>
      <c r="I427" s="9" t="n">
        <f aca="false">IF(COUNTIFS($C$5:C427,C427,$H$5:H427,H427,$E$5:E427,E427)&gt;1,1,0)</f>
        <v>0</v>
      </c>
      <c r="J427" s="9" t="n">
        <f aca="false">IF(AND(I427=0,COUNTIFS($C$5:$C$634,C427,$E$5:$E$634,E427,$B$5:$B$634,"&gt;="&amp;(B427-Parameters!$B$12),$B$5:$B$634,"&lt;="&amp;(B427+Parameters!$B$12),$H$5:$H$634,"&lt;&gt;"&amp;H427)&gt;0),1,0)</f>
        <v>0</v>
      </c>
      <c r="K427" s="9" t="n">
        <f aca="false">IF(AND(E427&gt;=Parameters!$B$11,ROUND(MOD(ROUND(E427,2),Parameters!$B$10),2)=0),1,0)</f>
        <v>0</v>
      </c>
      <c r="L427" s="9" t="n">
        <f aca="false">IF(AND(E427&lt;Parameters!$B$7,E427&gt;=Parameters!$B$7*(1-Parameters!$B$9)),1,0)</f>
        <v>0</v>
      </c>
      <c r="M427" s="9" t="n">
        <f aca="false">IF(AND(E427&lt;Parameters!$B$7,COUNTIFS($C$5:$C$634,C427,$B$5:$B$634,B427)&gt;1,SUMIFS($E$5:$E$634,$C$5:$C$634,C427,$B$5:$B$634,B427)&gt;=Parameters!$B$7),1,0)</f>
        <v>0</v>
      </c>
      <c r="N427" s="9" t="n">
        <f aca="false">IF(AND(E427&gt;=Parameters!$B$7,F427&lt;&gt;Parameters!$B$8),1,0)</f>
        <v>0</v>
      </c>
      <c r="O427" s="9" t="n">
        <f aca="false">INDEX(Vendor_Benford!$N$6:$N$50,MATCH(C427,Vendor_Benford!$A$6:$A$50,0))</f>
        <v>0</v>
      </c>
      <c r="P427" s="9" t="n">
        <f aca="false">INDEX(Vendor_Benford!$M$6:$M$50,MATCH(C427,Vendor_Benford!$A$6:$A$50,0))</f>
        <v>0</v>
      </c>
      <c r="Q427" s="9" t="n">
        <f aca="false">I427*Parameters!$B$28+J427*Parameters!$B$29+K427*Parameters!$B$30+L427*Parameters!$B$31+M427*Parameters!$B$32+N427*Parameters!$B$33+O427*Parameters!$B$34+P427*Parameters!$B$35</f>
        <v>0</v>
      </c>
      <c r="R427" s="0" t="str">
        <f aca="false">IF(Q427&gt;=Parameters!$B$24,"High","")</f>
        <v/>
      </c>
    </row>
    <row r="428" customFormat="false" ht="15" hidden="false" customHeight="false" outlineLevel="0" collapsed="false">
      <c r="A428" s="10" t="s">
        <v>1160</v>
      </c>
      <c r="B428" s="8" t="n">
        <v>45910</v>
      </c>
      <c r="C428" s="10" t="s">
        <v>122</v>
      </c>
      <c r="D428" s="10" t="s">
        <v>1161</v>
      </c>
      <c r="E428" s="12" t="n">
        <v>14969.9</v>
      </c>
      <c r="F428" s="10" t="s">
        <v>40</v>
      </c>
      <c r="G428" s="9" t="n">
        <f aca="false">VALUE(LEFT(TEXT(E428,"0.00"),1))</f>
        <v>1</v>
      </c>
      <c r="H428" s="0" t="str">
        <f aca="false">UPPER(SUBSTITUTE(SUBSTITUTE(SUBSTITUTE(D428," ",""),"/",""),".",""))</f>
        <v>INV5010</v>
      </c>
      <c r="I428" s="9" t="n">
        <f aca="false">IF(COUNTIFS($C$5:C428,C428,$H$5:H428,H428,$E$5:E428,E428)&gt;1,1,0)</f>
        <v>0</v>
      </c>
      <c r="J428" s="9" t="n">
        <f aca="false">IF(AND(I428=0,COUNTIFS($C$5:$C$634,C428,$E$5:$E$634,E428,$B$5:$B$634,"&gt;="&amp;(B428-Parameters!$B$12),$B$5:$B$634,"&lt;="&amp;(B428+Parameters!$B$12),$H$5:$H$634,"&lt;&gt;"&amp;H428)&gt;0),1,0)</f>
        <v>0</v>
      </c>
      <c r="K428" s="9" t="n">
        <f aca="false">IF(AND(E428&gt;=Parameters!$B$11,ROUND(MOD(ROUND(E428,2),Parameters!$B$10),2)=0),1,0)</f>
        <v>0</v>
      </c>
      <c r="L428" s="9" t="n">
        <f aca="false">IF(AND(E428&lt;Parameters!$B$7,E428&gt;=Parameters!$B$7*(1-Parameters!$B$9)),1,0)</f>
        <v>0</v>
      </c>
      <c r="M428" s="9" t="n">
        <f aca="false">IF(AND(E428&lt;Parameters!$B$7,COUNTIFS($C$5:$C$634,C428,$B$5:$B$634,B428)&gt;1,SUMIFS($E$5:$E$634,$C$5:$C$634,C428,$B$5:$B$634,B428)&gt;=Parameters!$B$7),1,0)</f>
        <v>0</v>
      </c>
      <c r="N428" s="9" t="n">
        <f aca="false">IF(AND(E428&gt;=Parameters!$B$7,F428&lt;&gt;Parameters!$B$8),1,0)</f>
        <v>0</v>
      </c>
      <c r="O428" s="9" t="n">
        <f aca="false">INDEX(Vendor_Benford!$N$6:$N$50,MATCH(C428,Vendor_Benford!$A$6:$A$50,0))</f>
        <v>0</v>
      </c>
      <c r="P428" s="9" t="n">
        <f aca="false">INDEX(Vendor_Benford!$M$6:$M$50,MATCH(C428,Vendor_Benford!$A$6:$A$50,0))</f>
        <v>0</v>
      </c>
      <c r="Q428" s="9" t="n">
        <f aca="false">I428*Parameters!$B$28+J428*Parameters!$B$29+K428*Parameters!$B$30+L428*Parameters!$B$31+M428*Parameters!$B$32+N428*Parameters!$B$33+O428*Parameters!$B$34+P428*Parameters!$B$35</f>
        <v>0</v>
      </c>
      <c r="R428" s="0" t="str">
        <f aca="false">IF(Q428&gt;=Parameters!$B$24,"High","")</f>
        <v/>
      </c>
    </row>
    <row r="429" customFormat="false" ht="15" hidden="false" customHeight="false" outlineLevel="0" collapsed="false">
      <c r="A429" s="10" t="s">
        <v>1162</v>
      </c>
      <c r="B429" s="8" t="n">
        <v>45910</v>
      </c>
      <c r="C429" s="10" t="s">
        <v>164</v>
      </c>
      <c r="D429" s="10" t="s">
        <v>1163</v>
      </c>
      <c r="E429" s="12" t="n">
        <v>3083.74</v>
      </c>
      <c r="F429" s="10" t="s">
        <v>347</v>
      </c>
      <c r="G429" s="9" t="n">
        <f aca="false">VALUE(LEFT(TEXT(E429,"0.00"),1))</f>
        <v>3</v>
      </c>
      <c r="H429" s="0" t="str">
        <f aca="false">UPPER(SUBSTITUTE(SUBSTITUTE(SUBSTITUTE(D429," ",""),"/",""),".",""))</f>
        <v>INV19009</v>
      </c>
      <c r="I429" s="9" t="n">
        <f aca="false">IF(COUNTIFS($C$5:C429,C429,$H$5:H429,H429,$E$5:E429,E429)&gt;1,1,0)</f>
        <v>0</v>
      </c>
      <c r="J429" s="9" t="n">
        <f aca="false">IF(AND(I429=0,COUNTIFS($C$5:$C$634,C429,$E$5:$E$634,E429,$B$5:$B$634,"&gt;="&amp;(B429-Parameters!$B$12),$B$5:$B$634,"&lt;="&amp;(B429+Parameters!$B$12),$H$5:$H$634,"&lt;&gt;"&amp;H429)&gt;0),1,0)</f>
        <v>0</v>
      </c>
      <c r="K429" s="9" t="n">
        <f aca="false">IF(AND(E429&gt;=Parameters!$B$11,ROUND(MOD(ROUND(E429,2),Parameters!$B$10),2)=0),1,0)</f>
        <v>0</v>
      </c>
      <c r="L429" s="9" t="n">
        <f aca="false">IF(AND(E429&lt;Parameters!$B$7,E429&gt;=Parameters!$B$7*(1-Parameters!$B$9)),1,0)</f>
        <v>0</v>
      </c>
      <c r="M429" s="9" t="n">
        <f aca="false">IF(AND(E429&lt;Parameters!$B$7,COUNTIFS($C$5:$C$634,C429,$B$5:$B$634,B429)&gt;1,SUMIFS($E$5:$E$634,$C$5:$C$634,C429,$B$5:$B$634,B429)&gt;=Parameters!$B$7),1,0)</f>
        <v>1</v>
      </c>
      <c r="N429" s="9" t="n">
        <f aca="false">IF(AND(E429&gt;=Parameters!$B$7,F429&lt;&gt;Parameters!$B$8),1,0)</f>
        <v>0</v>
      </c>
      <c r="O429" s="9" t="n">
        <f aca="false">INDEX(Vendor_Benford!$N$6:$N$50,MATCH(C429,Vendor_Benford!$A$6:$A$50,0))</f>
        <v>0</v>
      </c>
      <c r="P429" s="9" t="n">
        <f aca="false">INDEX(Vendor_Benford!$M$6:$M$50,MATCH(C429,Vendor_Benford!$A$6:$A$50,0))</f>
        <v>0</v>
      </c>
      <c r="Q429" s="9" t="n">
        <f aca="false">I429*Parameters!$B$28+J429*Parameters!$B$29+K429*Parameters!$B$30+L429*Parameters!$B$31+M429*Parameters!$B$32+N429*Parameters!$B$33+O429*Parameters!$B$34+P429*Parameters!$B$35</f>
        <v>3</v>
      </c>
      <c r="R429" s="0" t="str">
        <f aca="false">IF(Q429&gt;=Parameters!$B$24,"High","")</f>
        <v/>
      </c>
    </row>
    <row r="430" customFormat="false" ht="15" hidden="false" customHeight="false" outlineLevel="0" collapsed="false">
      <c r="A430" s="10" t="s">
        <v>1164</v>
      </c>
      <c r="B430" s="8" t="n">
        <v>45910</v>
      </c>
      <c r="C430" s="10" t="s">
        <v>164</v>
      </c>
      <c r="D430" s="10" t="s">
        <v>1165</v>
      </c>
      <c r="E430" s="12" t="n">
        <v>2571.46</v>
      </c>
      <c r="F430" s="10" t="s">
        <v>347</v>
      </c>
      <c r="G430" s="9" t="n">
        <f aca="false">VALUE(LEFT(TEXT(E430,"0.00"),1))</f>
        <v>2</v>
      </c>
      <c r="H430" s="0" t="str">
        <f aca="false">UPPER(SUBSTITUTE(SUBSTITUTE(SUBSTITUTE(D430," ",""),"/",""),".",""))</f>
        <v>INV19010</v>
      </c>
      <c r="I430" s="9" t="n">
        <f aca="false">IF(COUNTIFS($C$5:C430,C430,$H$5:H430,H430,$E$5:E430,E430)&gt;1,1,0)</f>
        <v>0</v>
      </c>
      <c r="J430" s="9" t="n">
        <f aca="false">IF(AND(I430=0,COUNTIFS($C$5:$C$634,C430,$E$5:$E$634,E430,$B$5:$B$634,"&gt;="&amp;(B430-Parameters!$B$12),$B$5:$B$634,"&lt;="&amp;(B430+Parameters!$B$12),$H$5:$H$634,"&lt;&gt;"&amp;H430)&gt;0),1,0)</f>
        <v>0</v>
      </c>
      <c r="K430" s="9" t="n">
        <f aca="false">IF(AND(E430&gt;=Parameters!$B$11,ROUND(MOD(ROUND(E430,2),Parameters!$B$10),2)=0),1,0)</f>
        <v>0</v>
      </c>
      <c r="L430" s="9" t="n">
        <f aca="false">IF(AND(E430&lt;Parameters!$B$7,E430&gt;=Parameters!$B$7*(1-Parameters!$B$9)),1,0)</f>
        <v>0</v>
      </c>
      <c r="M430" s="9" t="n">
        <f aca="false">IF(AND(E430&lt;Parameters!$B$7,COUNTIFS($C$5:$C$634,C430,$B$5:$B$634,B430)&gt;1,SUMIFS($E$5:$E$634,$C$5:$C$634,C430,$B$5:$B$634,B430)&gt;=Parameters!$B$7),1,0)</f>
        <v>1</v>
      </c>
      <c r="N430" s="9" t="n">
        <f aca="false">IF(AND(E430&gt;=Parameters!$B$7,F430&lt;&gt;Parameters!$B$8),1,0)</f>
        <v>0</v>
      </c>
      <c r="O430" s="9" t="n">
        <f aca="false">INDEX(Vendor_Benford!$N$6:$N$50,MATCH(C430,Vendor_Benford!$A$6:$A$50,0))</f>
        <v>0</v>
      </c>
      <c r="P430" s="9" t="n">
        <f aca="false">INDEX(Vendor_Benford!$M$6:$M$50,MATCH(C430,Vendor_Benford!$A$6:$A$50,0))</f>
        <v>0</v>
      </c>
      <c r="Q430" s="9" t="n">
        <f aca="false">I430*Parameters!$B$28+J430*Parameters!$B$29+K430*Parameters!$B$30+L430*Parameters!$B$31+M430*Parameters!$B$32+N430*Parameters!$B$33+O430*Parameters!$B$34+P430*Parameters!$B$35</f>
        <v>3</v>
      </c>
      <c r="R430" s="0" t="str">
        <f aca="false">IF(Q430&gt;=Parameters!$B$24,"High","")</f>
        <v/>
      </c>
    </row>
    <row r="431" customFormat="false" ht="15" hidden="false" customHeight="false" outlineLevel="0" collapsed="false">
      <c r="A431" s="10" t="s">
        <v>1166</v>
      </c>
      <c r="B431" s="8" t="n">
        <v>45910</v>
      </c>
      <c r="C431" s="10" t="s">
        <v>173</v>
      </c>
      <c r="D431" s="10" t="s">
        <v>1167</v>
      </c>
      <c r="E431" s="12" t="n">
        <v>9106.17</v>
      </c>
      <c r="F431" s="10" t="s">
        <v>40</v>
      </c>
      <c r="G431" s="9" t="n">
        <f aca="false">VALUE(LEFT(TEXT(E431,"0.00"),1))</f>
        <v>9</v>
      </c>
      <c r="H431" s="0" t="str">
        <f aca="false">UPPER(SUBSTITUTE(SUBSTITUTE(SUBSTITUTE(D431," ",""),"/",""),".",""))</f>
        <v>INV22002</v>
      </c>
      <c r="I431" s="9" t="n">
        <f aca="false">IF(COUNTIFS($C$5:C431,C431,$H$5:H431,H431,$E$5:E431,E431)&gt;1,1,0)</f>
        <v>0</v>
      </c>
      <c r="J431" s="9" t="n">
        <f aca="false">IF(AND(I431=0,COUNTIFS($C$5:$C$634,C431,$E$5:$E$634,E431,$B$5:$B$634,"&gt;="&amp;(B431-Parameters!$B$12),$B$5:$B$634,"&lt;="&amp;(B431+Parameters!$B$12),$H$5:$H$634,"&lt;&gt;"&amp;H431)&gt;0),1,0)</f>
        <v>0</v>
      </c>
      <c r="K431" s="9" t="n">
        <f aca="false">IF(AND(E431&gt;=Parameters!$B$11,ROUND(MOD(ROUND(E431,2),Parameters!$B$10),2)=0),1,0)</f>
        <v>0</v>
      </c>
      <c r="L431" s="9" t="n">
        <f aca="false">IF(AND(E431&lt;Parameters!$B$7,E431&gt;=Parameters!$B$7*(1-Parameters!$B$9)),1,0)</f>
        <v>0</v>
      </c>
      <c r="M431" s="9" t="n">
        <f aca="false">IF(AND(E431&lt;Parameters!$B$7,COUNTIFS($C$5:$C$634,C431,$B$5:$B$634,B431)&gt;1,SUMIFS($E$5:$E$634,$C$5:$C$634,C431,$B$5:$B$634,B431)&gt;=Parameters!$B$7),1,0)</f>
        <v>0</v>
      </c>
      <c r="N431" s="9" t="n">
        <f aca="false">IF(AND(E431&gt;=Parameters!$B$7,F431&lt;&gt;Parameters!$B$8),1,0)</f>
        <v>0</v>
      </c>
      <c r="O431" s="9" t="n">
        <f aca="false">INDEX(Vendor_Benford!$N$6:$N$50,MATCH(C431,Vendor_Benford!$A$6:$A$50,0))</f>
        <v>0</v>
      </c>
      <c r="P431" s="9" t="n">
        <f aca="false">INDEX(Vendor_Benford!$M$6:$M$50,MATCH(C431,Vendor_Benford!$A$6:$A$50,0))</f>
        <v>0</v>
      </c>
      <c r="Q431" s="9" t="n">
        <f aca="false">I431*Parameters!$B$28+J431*Parameters!$B$29+K431*Parameters!$B$30+L431*Parameters!$B$31+M431*Parameters!$B$32+N431*Parameters!$B$33+O431*Parameters!$B$34+P431*Parameters!$B$35</f>
        <v>0</v>
      </c>
      <c r="R431" s="0" t="str">
        <f aca="false">IF(Q431&gt;=Parameters!$B$24,"High","")</f>
        <v/>
      </c>
    </row>
    <row r="432" customFormat="false" ht="15" hidden="false" customHeight="false" outlineLevel="0" collapsed="false">
      <c r="A432" s="10" t="s">
        <v>1168</v>
      </c>
      <c r="B432" s="8" t="n">
        <v>45911</v>
      </c>
      <c r="C432" s="10" t="s">
        <v>239</v>
      </c>
      <c r="D432" s="10" t="s">
        <v>1169</v>
      </c>
      <c r="E432" s="12" t="n">
        <v>973.04</v>
      </c>
      <c r="F432" s="10" t="s">
        <v>40</v>
      </c>
      <c r="G432" s="9" t="n">
        <f aca="false">VALUE(LEFT(TEXT(E432,"0.00"),1))</f>
        <v>9</v>
      </c>
      <c r="H432" s="0" t="str">
        <f aca="false">UPPER(SUBSTITUTE(SUBSTITUTE(SUBSTITUTE(D432," ",""),"/",""),".",""))</f>
        <v>INV44008</v>
      </c>
      <c r="I432" s="9" t="n">
        <f aca="false">IF(COUNTIFS($C$5:C432,C432,$H$5:H432,H432,$E$5:E432,E432)&gt;1,1,0)</f>
        <v>0</v>
      </c>
      <c r="J432" s="9" t="n">
        <f aca="false">IF(AND(I432=0,COUNTIFS($C$5:$C$634,C432,$E$5:$E$634,E432,$B$5:$B$634,"&gt;="&amp;(B432-Parameters!$B$12),$B$5:$B$634,"&lt;="&amp;(B432+Parameters!$B$12),$H$5:$H$634,"&lt;&gt;"&amp;H432)&gt;0),1,0)</f>
        <v>0</v>
      </c>
      <c r="K432" s="9" t="n">
        <f aca="false">IF(AND(E432&gt;=Parameters!$B$11,ROUND(MOD(ROUND(E432,2),Parameters!$B$10),2)=0),1,0)</f>
        <v>0</v>
      </c>
      <c r="L432" s="9" t="n">
        <f aca="false">IF(AND(E432&lt;Parameters!$B$7,E432&gt;=Parameters!$B$7*(1-Parameters!$B$9)),1,0)</f>
        <v>0</v>
      </c>
      <c r="M432" s="9" t="n">
        <f aca="false">IF(AND(E432&lt;Parameters!$B$7,COUNTIFS($C$5:$C$634,C432,$B$5:$B$634,B432)&gt;1,SUMIFS($E$5:$E$634,$C$5:$C$634,C432,$B$5:$B$634,B432)&gt;=Parameters!$B$7),1,0)</f>
        <v>0</v>
      </c>
      <c r="N432" s="9" t="n">
        <f aca="false">IF(AND(E432&gt;=Parameters!$B$7,F432&lt;&gt;Parameters!$B$8),1,0)</f>
        <v>0</v>
      </c>
      <c r="O432" s="9" t="n">
        <f aca="false">INDEX(Vendor_Benford!$N$6:$N$50,MATCH(C432,Vendor_Benford!$A$6:$A$50,0))</f>
        <v>0</v>
      </c>
      <c r="P432" s="9" t="n">
        <f aca="false">INDEX(Vendor_Benford!$M$6:$M$50,MATCH(C432,Vendor_Benford!$A$6:$A$50,0))</f>
        <v>0</v>
      </c>
      <c r="Q432" s="9" t="n">
        <f aca="false">I432*Parameters!$B$28+J432*Parameters!$B$29+K432*Parameters!$B$30+L432*Parameters!$B$31+M432*Parameters!$B$32+N432*Parameters!$B$33+O432*Parameters!$B$34+P432*Parameters!$B$35</f>
        <v>0</v>
      </c>
      <c r="R432" s="0" t="str">
        <f aca="false">IF(Q432&gt;=Parameters!$B$24,"High","")</f>
        <v/>
      </c>
    </row>
    <row r="433" customFormat="false" ht="15" hidden="false" customHeight="false" outlineLevel="0" collapsed="false">
      <c r="A433" s="10" t="s">
        <v>1170</v>
      </c>
      <c r="B433" s="8" t="n">
        <v>45911</v>
      </c>
      <c r="C433" s="10" t="s">
        <v>242</v>
      </c>
      <c r="D433" s="10" t="s">
        <v>1171</v>
      </c>
      <c r="E433" s="12" t="n">
        <v>1992.61</v>
      </c>
      <c r="F433" s="10" t="s">
        <v>347</v>
      </c>
      <c r="G433" s="9" t="n">
        <f aca="false">VALUE(LEFT(TEXT(E433,"0.00"),1))</f>
        <v>1</v>
      </c>
      <c r="H433" s="0" t="str">
        <f aca="false">UPPER(SUBSTITUTE(SUBSTITUTE(SUBSTITUTE(D433," ",""),"/",""),".",""))</f>
        <v>INV45005</v>
      </c>
      <c r="I433" s="9" t="n">
        <f aca="false">IF(COUNTIFS($C$5:C433,C433,$H$5:H433,H433,$E$5:E433,E433)&gt;1,1,0)</f>
        <v>0</v>
      </c>
      <c r="J433" s="9" t="n">
        <f aca="false">IF(AND(I433=0,COUNTIFS($C$5:$C$634,C433,$E$5:$E$634,E433,$B$5:$B$634,"&gt;="&amp;(B433-Parameters!$B$12),$B$5:$B$634,"&lt;="&amp;(B433+Parameters!$B$12),$H$5:$H$634,"&lt;&gt;"&amp;H433)&gt;0),1,0)</f>
        <v>0</v>
      </c>
      <c r="K433" s="9" t="n">
        <f aca="false">IF(AND(E433&gt;=Parameters!$B$11,ROUND(MOD(ROUND(E433,2),Parameters!$B$10),2)=0),1,0)</f>
        <v>0</v>
      </c>
      <c r="L433" s="9" t="n">
        <f aca="false">IF(AND(E433&lt;Parameters!$B$7,E433&gt;=Parameters!$B$7*(1-Parameters!$B$9)),1,0)</f>
        <v>0</v>
      </c>
      <c r="M433" s="9" t="n">
        <f aca="false">IF(AND(E433&lt;Parameters!$B$7,COUNTIFS($C$5:$C$634,C433,$B$5:$B$634,B433)&gt;1,SUMIFS($E$5:$E$634,$C$5:$C$634,C433,$B$5:$B$634,B433)&gt;=Parameters!$B$7),1,0)</f>
        <v>0</v>
      </c>
      <c r="N433" s="9" t="n">
        <f aca="false">IF(AND(E433&gt;=Parameters!$B$7,F433&lt;&gt;Parameters!$B$8),1,0)</f>
        <v>0</v>
      </c>
      <c r="O433" s="9" t="n">
        <f aca="false">INDEX(Vendor_Benford!$N$6:$N$50,MATCH(C433,Vendor_Benford!$A$6:$A$50,0))</f>
        <v>0</v>
      </c>
      <c r="P433" s="9" t="n">
        <f aca="false">INDEX(Vendor_Benford!$M$6:$M$50,MATCH(C433,Vendor_Benford!$A$6:$A$50,0))</f>
        <v>0</v>
      </c>
      <c r="Q433" s="9" t="n">
        <f aca="false">I433*Parameters!$B$28+J433*Parameters!$B$29+K433*Parameters!$B$30+L433*Parameters!$B$31+M433*Parameters!$B$32+N433*Parameters!$B$33+O433*Parameters!$B$34+P433*Parameters!$B$35</f>
        <v>0</v>
      </c>
      <c r="R433" s="0" t="str">
        <f aca="false">IF(Q433&gt;=Parameters!$B$24,"High","")</f>
        <v/>
      </c>
    </row>
    <row r="434" customFormat="false" ht="15" hidden="false" customHeight="false" outlineLevel="0" collapsed="false">
      <c r="A434" s="10" t="s">
        <v>1172</v>
      </c>
      <c r="B434" s="8" t="n">
        <v>45912</v>
      </c>
      <c r="C434" s="10" t="s">
        <v>161</v>
      </c>
      <c r="D434" s="10" t="s">
        <v>1173</v>
      </c>
      <c r="E434" s="12" t="n">
        <v>4240.79</v>
      </c>
      <c r="F434" s="10" t="s">
        <v>347</v>
      </c>
      <c r="G434" s="9" t="n">
        <f aca="false">VALUE(LEFT(TEXT(E434,"0.00"),1))</f>
        <v>4</v>
      </c>
      <c r="H434" s="0" t="str">
        <f aca="false">UPPER(SUBSTITUTE(SUBSTITUTE(SUBSTITUTE(D434," ",""),"/",""),".",""))</f>
        <v>INV18014</v>
      </c>
      <c r="I434" s="9" t="n">
        <f aca="false">IF(COUNTIFS($C$5:C434,C434,$H$5:H434,H434,$E$5:E434,E434)&gt;1,1,0)</f>
        <v>0</v>
      </c>
      <c r="J434" s="9" t="n">
        <f aca="false">IF(AND(I434=0,COUNTIFS($C$5:$C$634,C434,$E$5:$E$634,E434,$B$5:$B$634,"&gt;="&amp;(B434-Parameters!$B$12),$B$5:$B$634,"&lt;="&amp;(B434+Parameters!$B$12),$H$5:$H$634,"&lt;&gt;"&amp;H434)&gt;0),1,0)</f>
        <v>0</v>
      </c>
      <c r="K434" s="9" t="n">
        <f aca="false">IF(AND(E434&gt;=Parameters!$B$11,ROUND(MOD(ROUND(E434,2),Parameters!$B$10),2)=0),1,0)</f>
        <v>0</v>
      </c>
      <c r="L434" s="9" t="n">
        <f aca="false">IF(AND(E434&lt;Parameters!$B$7,E434&gt;=Parameters!$B$7*(1-Parameters!$B$9)),1,0)</f>
        <v>0</v>
      </c>
      <c r="M434" s="9" t="n">
        <f aca="false">IF(AND(E434&lt;Parameters!$B$7,COUNTIFS($C$5:$C$634,C434,$B$5:$B$634,B434)&gt;1,SUMIFS($E$5:$E$634,$C$5:$C$634,C434,$B$5:$B$634,B434)&gt;=Parameters!$B$7),1,0)</f>
        <v>0</v>
      </c>
      <c r="N434" s="9" t="n">
        <f aca="false">IF(AND(E434&gt;=Parameters!$B$7,F434&lt;&gt;Parameters!$B$8),1,0)</f>
        <v>0</v>
      </c>
      <c r="O434" s="9" t="n">
        <f aca="false">INDEX(Vendor_Benford!$N$6:$N$50,MATCH(C434,Vendor_Benford!$A$6:$A$50,0))</f>
        <v>0</v>
      </c>
      <c r="P434" s="9" t="n">
        <f aca="false">INDEX(Vendor_Benford!$M$6:$M$50,MATCH(C434,Vendor_Benford!$A$6:$A$50,0))</f>
        <v>0</v>
      </c>
      <c r="Q434" s="9" t="n">
        <f aca="false">I434*Parameters!$B$28+J434*Parameters!$B$29+K434*Parameters!$B$30+L434*Parameters!$B$31+M434*Parameters!$B$32+N434*Parameters!$B$33+O434*Parameters!$B$34+P434*Parameters!$B$35</f>
        <v>0</v>
      </c>
      <c r="R434" s="0" t="str">
        <f aca="false">IF(Q434&gt;=Parameters!$B$24,"High","")</f>
        <v/>
      </c>
    </row>
    <row r="435" customFormat="false" ht="15" hidden="false" customHeight="false" outlineLevel="0" collapsed="false">
      <c r="A435" s="10" t="s">
        <v>1174</v>
      </c>
      <c r="B435" s="8" t="n">
        <v>45912</v>
      </c>
      <c r="C435" s="10" t="s">
        <v>194</v>
      </c>
      <c r="D435" s="10" t="s">
        <v>1175</v>
      </c>
      <c r="E435" s="12" t="n">
        <v>490.64</v>
      </c>
      <c r="F435" s="10" t="s">
        <v>347</v>
      </c>
      <c r="G435" s="9" t="n">
        <f aca="false">VALUE(LEFT(TEXT(E435,"0.00"),1))</f>
        <v>4</v>
      </c>
      <c r="H435" s="0" t="str">
        <f aca="false">UPPER(SUBSTITUTE(SUBSTITUTE(SUBSTITUTE(D435," ",""),"/",""),".",""))</f>
        <v>INV29003</v>
      </c>
      <c r="I435" s="9" t="n">
        <f aca="false">IF(COUNTIFS($C$5:C435,C435,$H$5:H435,H435,$E$5:E435,E435)&gt;1,1,0)</f>
        <v>0</v>
      </c>
      <c r="J435" s="9" t="n">
        <f aca="false">IF(AND(I435=0,COUNTIFS($C$5:$C$634,C435,$E$5:$E$634,E435,$B$5:$B$634,"&gt;="&amp;(B435-Parameters!$B$12),$B$5:$B$634,"&lt;="&amp;(B435+Parameters!$B$12),$H$5:$H$634,"&lt;&gt;"&amp;H435)&gt;0),1,0)</f>
        <v>0</v>
      </c>
      <c r="K435" s="9" t="n">
        <f aca="false">IF(AND(E435&gt;=Parameters!$B$11,ROUND(MOD(ROUND(E435,2),Parameters!$B$10),2)=0),1,0)</f>
        <v>0</v>
      </c>
      <c r="L435" s="9" t="n">
        <f aca="false">IF(AND(E435&lt;Parameters!$B$7,E435&gt;=Parameters!$B$7*(1-Parameters!$B$9)),1,0)</f>
        <v>0</v>
      </c>
      <c r="M435" s="9" t="n">
        <f aca="false">IF(AND(E435&lt;Parameters!$B$7,COUNTIFS($C$5:$C$634,C435,$B$5:$B$634,B435)&gt;1,SUMIFS($E$5:$E$634,$C$5:$C$634,C435,$B$5:$B$634,B435)&gt;=Parameters!$B$7),1,0)</f>
        <v>0</v>
      </c>
      <c r="N435" s="9" t="n">
        <f aca="false">IF(AND(E435&gt;=Parameters!$B$7,F435&lt;&gt;Parameters!$B$8),1,0)</f>
        <v>0</v>
      </c>
      <c r="O435" s="9" t="n">
        <f aca="false">INDEX(Vendor_Benford!$N$6:$N$50,MATCH(C435,Vendor_Benford!$A$6:$A$50,0))</f>
        <v>0</v>
      </c>
      <c r="P435" s="9" t="n">
        <f aca="false">INDEX(Vendor_Benford!$M$6:$M$50,MATCH(C435,Vendor_Benford!$A$6:$A$50,0))</f>
        <v>0</v>
      </c>
      <c r="Q435" s="9" t="n">
        <f aca="false">I435*Parameters!$B$28+J435*Parameters!$B$29+K435*Parameters!$B$30+L435*Parameters!$B$31+M435*Parameters!$B$32+N435*Parameters!$B$33+O435*Parameters!$B$34+P435*Parameters!$B$35</f>
        <v>0</v>
      </c>
      <c r="R435" s="0" t="str">
        <f aca="false">IF(Q435&gt;=Parameters!$B$24,"High","")</f>
        <v/>
      </c>
    </row>
    <row r="436" customFormat="false" ht="15" hidden="false" customHeight="false" outlineLevel="0" collapsed="false">
      <c r="A436" s="10" t="s">
        <v>1176</v>
      </c>
      <c r="B436" s="8" t="n">
        <v>45912</v>
      </c>
      <c r="C436" s="10" t="s">
        <v>197</v>
      </c>
      <c r="D436" s="10" t="s">
        <v>1177</v>
      </c>
      <c r="E436" s="12" t="n">
        <v>2687.63</v>
      </c>
      <c r="F436" s="10" t="s">
        <v>347</v>
      </c>
      <c r="G436" s="9" t="n">
        <f aca="false">VALUE(LEFT(TEXT(E436,"0.00"),1))</f>
        <v>2</v>
      </c>
      <c r="H436" s="0" t="str">
        <f aca="false">UPPER(SUBSTITUTE(SUBSTITUTE(SUBSTITUTE(D436," ",""),"/",""),".",""))</f>
        <v>INV30008</v>
      </c>
      <c r="I436" s="9" t="n">
        <f aca="false">IF(COUNTIFS($C$5:C436,C436,$H$5:H436,H436,$E$5:E436,E436)&gt;1,1,0)</f>
        <v>0</v>
      </c>
      <c r="J436" s="9" t="n">
        <f aca="false">IF(AND(I436=0,COUNTIFS($C$5:$C$634,C436,$E$5:$E$634,E436,$B$5:$B$634,"&gt;="&amp;(B436-Parameters!$B$12),$B$5:$B$634,"&lt;="&amp;(B436+Parameters!$B$12),$H$5:$H$634,"&lt;&gt;"&amp;H436)&gt;0),1,0)</f>
        <v>0</v>
      </c>
      <c r="K436" s="9" t="n">
        <f aca="false">IF(AND(E436&gt;=Parameters!$B$11,ROUND(MOD(ROUND(E436,2),Parameters!$B$10),2)=0),1,0)</f>
        <v>0</v>
      </c>
      <c r="L436" s="9" t="n">
        <f aca="false">IF(AND(E436&lt;Parameters!$B$7,E436&gt;=Parameters!$B$7*(1-Parameters!$B$9)),1,0)</f>
        <v>0</v>
      </c>
      <c r="M436" s="9" t="n">
        <f aca="false">IF(AND(E436&lt;Parameters!$B$7,COUNTIFS($C$5:$C$634,C436,$B$5:$B$634,B436)&gt;1,SUMIFS($E$5:$E$634,$C$5:$C$634,C436,$B$5:$B$634,B436)&gt;=Parameters!$B$7),1,0)</f>
        <v>0</v>
      </c>
      <c r="N436" s="9" t="n">
        <f aca="false">IF(AND(E436&gt;=Parameters!$B$7,F436&lt;&gt;Parameters!$B$8),1,0)</f>
        <v>0</v>
      </c>
      <c r="O436" s="9" t="n">
        <f aca="false">INDEX(Vendor_Benford!$N$6:$N$50,MATCH(C436,Vendor_Benford!$A$6:$A$50,0))</f>
        <v>0</v>
      </c>
      <c r="P436" s="9" t="n">
        <f aca="false">INDEX(Vendor_Benford!$M$6:$M$50,MATCH(C436,Vendor_Benford!$A$6:$A$50,0))</f>
        <v>0</v>
      </c>
      <c r="Q436" s="9" t="n">
        <f aca="false">I436*Parameters!$B$28+J436*Parameters!$B$29+K436*Parameters!$B$30+L436*Parameters!$B$31+M436*Parameters!$B$32+N436*Parameters!$B$33+O436*Parameters!$B$34+P436*Parameters!$B$35</f>
        <v>0</v>
      </c>
      <c r="R436" s="0" t="str">
        <f aca="false">IF(Q436&gt;=Parameters!$B$24,"High","")</f>
        <v/>
      </c>
    </row>
    <row r="437" customFormat="false" ht="15" hidden="false" customHeight="false" outlineLevel="0" collapsed="false">
      <c r="A437" s="10" t="s">
        <v>1178</v>
      </c>
      <c r="B437" s="8" t="n">
        <v>45912</v>
      </c>
      <c r="C437" s="10" t="s">
        <v>224</v>
      </c>
      <c r="D437" s="10" t="s">
        <v>1179</v>
      </c>
      <c r="E437" s="12" t="n">
        <v>42399.33</v>
      </c>
      <c r="F437" s="10" t="s">
        <v>40</v>
      </c>
      <c r="G437" s="9" t="n">
        <f aca="false">VALUE(LEFT(TEXT(E437,"0.00"),1))</f>
        <v>4</v>
      </c>
      <c r="H437" s="0" t="str">
        <f aca="false">UPPER(SUBSTITUTE(SUBSTITUTE(SUBSTITUTE(D437," ",""),"/",""),".",""))</f>
        <v>INV39013</v>
      </c>
      <c r="I437" s="9" t="n">
        <f aca="false">IF(COUNTIFS($C$5:C437,C437,$H$5:H437,H437,$E$5:E437,E437)&gt;1,1,0)</f>
        <v>0</v>
      </c>
      <c r="J437" s="9" t="n">
        <f aca="false">IF(AND(I437=0,COUNTIFS($C$5:$C$634,C437,$E$5:$E$634,E437,$B$5:$B$634,"&gt;="&amp;(B437-Parameters!$B$12),$B$5:$B$634,"&lt;="&amp;(B437+Parameters!$B$12),$H$5:$H$634,"&lt;&gt;"&amp;H437)&gt;0),1,0)</f>
        <v>0</v>
      </c>
      <c r="K437" s="9" t="n">
        <f aca="false">IF(AND(E437&gt;=Parameters!$B$11,ROUND(MOD(ROUND(E437,2),Parameters!$B$10),2)=0),1,0)</f>
        <v>0</v>
      </c>
      <c r="L437" s="9" t="n">
        <f aca="false">IF(AND(E437&lt;Parameters!$B$7,E437&gt;=Parameters!$B$7*(1-Parameters!$B$9)),1,0)</f>
        <v>0</v>
      </c>
      <c r="M437" s="9" t="n">
        <f aca="false">IF(AND(E437&lt;Parameters!$B$7,COUNTIFS($C$5:$C$634,C437,$B$5:$B$634,B437)&gt;1,SUMIFS($E$5:$E$634,$C$5:$C$634,C437,$B$5:$B$634,B437)&gt;=Parameters!$B$7),1,0)</f>
        <v>0</v>
      </c>
      <c r="N437" s="9" t="n">
        <f aca="false">IF(AND(E437&gt;=Parameters!$B$7,F437&lt;&gt;Parameters!$B$8),1,0)</f>
        <v>0</v>
      </c>
      <c r="O437" s="9" t="n">
        <f aca="false">INDEX(Vendor_Benford!$N$6:$N$50,MATCH(C437,Vendor_Benford!$A$6:$A$50,0))</f>
        <v>0</v>
      </c>
      <c r="P437" s="9" t="n">
        <f aca="false">INDEX(Vendor_Benford!$M$6:$M$50,MATCH(C437,Vendor_Benford!$A$6:$A$50,0))</f>
        <v>0</v>
      </c>
      <c r="Q437" s="9" t="n">
        <f aca="false">I437*Parameters!$B$28+J437*Parameters!$B$29+K437*Parameters!$B$30+L437*Parameters!$B$31+M437*Parameters!$B$32+N437*Parameters!$B$33+O437*Parameters!$B$34+P437*Parameters!$B$35</f>
        <v>0</v>
      </c>
      <c r="R437" s="0" t="str">
        <f aca="false">IF(Q437&gt;=Parameters!$B$24,"High","")</f>
        <v/>
      </c>
    </row>
    <row r="438" customFormat="false" ht="15" hidden="false" customHeight="false" outlineLevel="0" collapsed="false">
      <c r="A438" s="10" t="s">
        <v>1180</v>
      </c>
      <c r="B438" s="8" t="n">
        <v>45915</v>
      </c>
      <c r="C438" s="10" t="s">
        <v>113</v>
      </c>
      <c r="D438" s="10" t="s">
        <v>1181</v>
      </c>
      <c r="E438" s="12" t="n">
        <v>4900</v>
      </c>
      <c r="F438" s="10" t="s">
        <v>347</v>
      </c>
      <c r="G438" s="9" t="n">
        <f aca="false">VALUE(LEFT(TEXT(E438,"0.00"),1))</f>
        <v>4</v>
      </c>
      <c r="H438" s="0" t="str">
        <f aca="false">UPPER(SUBSTITUTE(SUBSTITUTE(SUBSTITUTE(D438," ",""),"/",""),".",""))</f>
        <v>LIC2509</v>
      </c>
      <c r="I438" s="9" t="n">
        <f aca="false">IF(COUNTIFS($C$5:C438,C438,$H$5:H438,H438,$E$5:E438,E438)&gt;1,1,0)</f>
        <v>0</v>
      </c>
      <c r="J438" s="9" t="n">
        <f aca="false">IF(AND(I438=0,COUNTIFS($C$5:$C$634,C438,$E$5:$E$634,E438,$B$5:$B$634,"&gt;="&amp;(B438-Parameters!$B$12),$B$5:$B$634,"&lt;="&amp;(B438+Parameters!$B$12),$H$5:$H$634,"&lt;&gt;"&amp;H438)&gt;0),1,0)</f>
        <v>1</v>
      </c>
      <c r="K438" s="9" t="n">
        <f aca="false">IF(AND(E438&gt;=Parameters!$B$11,ROUND(MOD(ROUND(E438,2),Parameters!$B$10),2)=0),1,0)</f>
        <v>0</v>
      </c>
      <c r="L438" s="9" t="n">
        <f aca="false">IF(AND(E438&lt;Parameters!$B$7,E438&gt;=Parameters!$B$7*(1-Parameters!$B$9)),1,0)</f>
        <v>1</v>
      </c>
      <c r="M438" s="9" t="n">
        <f aca="false">IF(AND(E438&lt;Parameters!$B$7,COUNTIFS($C$5:$C$634,C438,$B$5:$B$634,B438)&gt;1,SUMIFS($E$5:$E$634,$C$5:$C$634,C438,$B$5:$B$634,B438)&gt;=Parameters!$B$7),1,0)</f>
        <v>0</v>
      </c>
      <c r="N438" s="9" t="n">
        <f aca="false">IF(AND(E438&gt;=Parameters!$B$7,F438&lt;&gt;Parameters!$B$8),1,0)</f>
        <v>0</v>
      </c>
      <c r="O438" s="9" t="n">
        <f aca="false">INDEX(Vendor_Benford!$N$6:$N$50,MATCH(C438,Vendor_Benford!$A$6:$A$50,0))</f>
        <v>0</v>
      </c>
      <c r="P438" s="9" t="n">
        <f aca="false">INDEX(Vendor_Benford!$M$6:$M$50,MATCH(C438,Vendor_Benford!$A$6:$A$50,0))</f>
        <v>0</v>
      </c>
      <c r="Q438" s="9" t="n">
        <f aca="false">I438*Parameters!$B$28+J438*Parameters!$B$29+K438*Parameters!$B$30+L438*Parameters!$B$31+M438*Parameters!$B$32+N438*Parameters!$B$33+O438*Parameters!$B$34+P438*Parameters!$B$35</f>
        <v>5</v>
      </c>
      <c r="R438" s="0" t="str">
        <f aca="false">IF(Q438&gt;=Parameters!$B$24,"High","")</f>
        <v>High</v>
      </c>
    </row>
    <row r="439" customFormat="false" ht="15" hidden="false" customHeight="false" outlineLevel="0" collapsed="false">
      <c r="A439" s="10" t="s">
        <v>1182</v>
      </c>
      <c r="B439" s="8" t="n">
        <v>45915</v>
      </c>
      <c r="C439" s="10" t="s">
        <v>143</v>
      </c>
      <c r="D439" s="10" t="s">
        <v>1183</v>
      </c>
      <c r="E439" s="12" t="n">
        <v>21689.43</v>
      </c>
      <c r="F439" s="10" t="s">
        <v>40</v>
      </c>
      <c r="G439" s="9" t="n">
        <f aca="false">VALUE(LEFT(TEXT(E439,"0.00"),1))</f>
        <v>2</v>
      </c>
      <c r="H439" s="0" t="str">
        <f aca="false">UPPER(SUBSTITUTE(SUBSTITUTE(SUBSTITUTE(D439," ",""),"/",""),".",""))</f>
        <v>INV12004</v>
      </c>
      <c r="I439" s="9" t="n">
        <f aca="false">IF(COUNTIFS($C$5:C439,C439,$H$5:H439,H439,$E$5:E439,E439)&gt;1,1,0)</f>
        <v>0</v>
      </c>
      <c r="J439" s="9" t="n">
        <f aca="false">IF(AND(I439=0,COUNTIFS($C$5:$C$634,C439,$E$5:$E$634,E439,$B$5:$B$634,"&gt;="&amp;(B439-Parameters!$B$12),$B$5:$B$634,"&lt;="&amp;(B439+Parameters!$B$12),$H$5:$H$634,"&lt;&gt;"&amp;H439)&gt;0),1,0)</f>
        <v>1</v>
      </c>
      <c r="K439" s="9" t="n">
        <f aca="false">IF(AND(E439&gt;=Parameters!$B$11,ROUND(MOD(ROUND(E439,2),Parameters!$B$10),2)=0),1,0)</f>
        <v>0</v>
      </c>
      <c r="L439" s="9" t="n">
        <f aca="false">IF(AND(E439&lt;Parameters!$B$7,E439&gt;=Parameters!$B$7*(1-Parameters!$B$9)),1,0)</f>
        <v>0</v>
      </c>
      <c r="M439" s="9" t="n">
        <f aca="false">IF(AND(E439&lt;Parameters!$B$7,COUNTIFS($C$5:$C$634,C439,$B$5:$B$634,B439)&gt;1,SUMIFS($E$5:$E$634,$C$5:$C$634,C439,$B$5:$B$634,B439)&gt;=Parameters!$B$7),1,0)</f>
        <v>0</v>
      </c>
      <c r="N439" s="9" t="n">
        <f aca="false">IF(AND(E439&gt;=Parameters!$B$7,F439&lt;&gt;Parameters!$B$8),1,0)</f>
        <v>0</v>
      </c>
      <c r="O439" s="9" t="n">
        <f aca="false">INDEX(Vendor_Benford!$N$6:$N$50,MATCH(C439,Vendor_Benford!$A$6:$A$50,0))</f>
        <v>0</v>
      </c>
      <c r="P439" s="9" t="n">
        <f aca="false">INDEX(Vendor_Benford!$M$6:$M$50,MATCH(C439,Vendor_Benford!$A$6:$A$50,0))</f>
        <v>0</v>
      </c>
      <c r="Q439" s="9" t="n">
        <f aca="false">I439*Parameters!$B$28+J439*Parameters!$B$29+K439*Parameters!$B$30+L439*Parameters!$B$31+M439*Parameters!$B$32+N439*Parameters!$B$33+O439*Parameters!$B$34+P439*Parameters!$B$35</f>
        <v>3</v>
      </c>
      <c r="R439" s="0" t="str">
        <f aca="false">IF(Q439&gt;=Parameters!$B$24,"High","")</f>
        <v/>
      </c>
    </row>
    <row r="440" customFormat="false" ht="15" hidden="false" customHeight="false" outlineLevel="0" collapsed="false">
      <c r="A440" s="10" t="s">
        <v>1184</v>
      </c>
      <c r="B440" s="8" t="n">
        <v>45915</v>
      </c>
      <c r="C440" s="10" t="s">
        <v>167</v>
      </c>
      <c r="D440" s="10" t="s">
        <v>1185</v>
      </c>
      <c r="E440" s="12" t="n">
        <v>395.2</v>
      </c>
      <c r="F440" s="10" t="s">
        <v>347</v>
      </c>
      <c r="G440" s="9" t="n">
        <f aca="false">VALUE(LEFT(TEXT(E440,"0.00"),1))</f>
        <v>3</v>
      </c>
      <c r="H440" s="0" t="str">
        <f aca="false">UPPER(SUBSTITUTE(SUBSTITUTE(SUBSTITUTE(D440," ",""),"/",""),".",""))</f>
        <v>INV20001</v>
      </c>
      <c r="I440" s="9" t="n">
        <f aca="false">IF(COUNTIFS($C$5:C440,C440,$H$5:H440,H440,$E$5:E440,E440)&gt;1,1,0)</f>
        <v>0</v>
      </c>
      <c r="J440" s="9" t="n">
        <f aca="false">IF(AND(I440=0,COUNTIFS($C$5:$C$634,C440,$E$5:$E$634,E440,$B$5:$B$634,"&gt;="&amp;(B440-Parameters!$B$12),$B$5:$B$634,"&lt;="&amp;(B440+Parameters!$B$12),$H$5:$H$634,"&lt;&gt;"&amp;H440)&gt;0),1,0)</f>
        <v>0</v>
      </c>
      <c r="K440" s="9" t="n">
        <f aca="false">IF(AND(E440&gt;=Parameters!$B$11,ROUND(MOD(ROUND(E440,2),Parameters!$B$10),2)=0),1,0)</f>
        <v>0</v>
      </c>
      <c r="L440" s="9" t="n">
        <f aca="false">IF(AND(E440&lt;Parameters!$B$7,E440&gt;=Parameters!$B$7*(1-Parameters!$B$9)),1,0)</f>
        <v>0</v>
      </c>
      <c r="M440" s="9" t="n">
        <f aca="false">IF(AND(E440&lt;Parameters!$B$7,COUNTIFS($C$5:$C$634,C440,$B$5:$B$634,B440)&gt;1,SUMIFS($E$5:$E$634,$C$5:$C$634,C440,$B$5:$B$634,B440)&gt;=Parameters!$B$7),1,0)</f>
        <v>0</v>
      </c>
      <c r="N440" s="9" t="n">
        <f aca="false">IF(AND(E440&gt;=Parameters!$B$7,F440&lt;&gt;Parameters!$B$8),1,0)</f>
        <v>0</v>
      </c>
      <c r="O440" s="9" t="n">
        <f aca="false">INDEX(Vendor_Benford!$N$6:$N$50,MATCH(C440,Vendor_Benford!$A$6:$A$50,0))</f>
        <v>0</v>
      </c>
      <c r="P440" s="9" t="n">
        <f aca="false">INDEX(Vendor_Benford!$M$6:$M$50,MATCH(C440,Vendor_Benford!$A$6:$A$50,0))</f>
        <v>0</v>
      </c>
      <c r="Q440" s="9" t="n">
        <f aca="false">I440*Parameters!$B$28+J440*Parameters!$B$29+K440*Parameters!$B$30+L440*Parameters!$B$31+M440*Parameters!$B$32+N440*Parameters!$B$33+O440*Parameters!$B$34+P440*Parameters!$B$35</f>
        <v>0</v>
      </c>
      <c r="R440" s="0" t="str">
        <f aca="false">IF(Q440&gt;=Parameters!$B$24,"High","")</f>
        <v/>
      </c>
    </row>
    <row r="441" customFormat="false" ht="15" hidden="false" customHeight="false" outlineLevel="0" collapsed="false">
      <c r="A441" s="10" t="s">
        <v>1186</v>
      </c>
      <c r="B441" s="8" t="n">
        <v>45915</v>
      </c>
      <c r="C441" s="10" t="s">
        <v>200</v>
      </c>
      <c r="D441" s="10" t="s">
        <v>1187</v>
      </c>
      <c r="E441" s="12" t="n">
        <v>4891.38</v>
      </c>
      <c r="F441" s="10" t="s">
        <v>347</v>
      </c>
      <c r="G441" s="9" t="n">
        <f aca="false">VALUE(LEFT(TEXT(E441,"0.00"),1))</f>
        <v>4</v>
      </c>
      <c r="H441" s="0" t="str">
        <f aca="false">UPPER(SUBSTITUTE(SUBSTITUTE(SUBSTITUTE(D441," ",""),"/",""),".",""))</f>
        <v>INV31034</v>
      </c>
      <c r="I441" s="9" t="n">
        <f aca="false">IF(COUNTIFS($C$5:C441,C441,$H$5:H441,H441,$E$5:E441,E441)&gt;1,1,0)</f>
        <v>0</v>
      </c>
      <c r="J441" s="9" t="n">
        <f aca="false">IF(AND(I441=0,COUNTIFS($C$5:$C$634,C441,$E$5:$E$634,E441,$B$5:$B$634,"&gt;="&amp;(B441-Parameters!$B$12),$B$5:$B$634,"&lt;="&amp;(B441+Parameters!$B$12),$H$5:$H$634,"&lt;&gt;"&amp;H441)&gt;0),1,0)</f>
        <v>0</v>
      </c>
      <c r="K441" s="9" t="n">
        <f aca="false">IF(AND(E441&gt;=Parameters!$B$11,ROUND(MOD(ROUND(E441,2),Parameters!$B$10),2)=0),1,0)</f>
        <v>0</v>
      </c>
      <c r="L441" s="9" t="n">
        <f aca="false">IF(AND(E441&lt;Parameters!$B$7,E441&gt;=Parameters!$B$7*(1-Parameters!$B$9)),1,0)</f>
        <v>1</v>
      </c>
      <c r="M441" s="9" t="n">
        <f aca="false">IF(AND(E441&lt;Parameters!$B$7,COUNTIFS($C$5:$C$634,C441,$B$5:$B$634,B441)&gt;1,SUMIFS($E$5:$E$634,$C$5:$C$634,C441,$B$5:$B$634,B441)&gt;=Parameters!$B$7),1,0)</f>
        <v>0</v>
      </c>
      <c r="N441" s="9" t="n">
        <f aca="false">IF(AND(E441&gt;=Parameters!$B$7,F441&lt;&gt;Parameters!$B$8),1,0)</f>
        <v>0</v>
      </c>
      <c r="O441" s="9" t="n">
        <f aca="false">INDEX(Vendor_Benford!$N$6:$N$50,MATCH(C441,Vendor_Benford!$A$6:$A$50,0))</f>
        <v>0</v>
      </c>
      <c r="P441" s="9" t="n">
        <f aca="false">INDEX(Vendor_Benford!$M$6:$M$50,MATCH(C441,Vendor_Benford!$A$6:$A$50,0))</f>
        <v>1</v>
      </c>
      <c r="Q441" s="9" t="n">
        <f aca="false">I441*Parameters!$B$28+J441*Parameters!$B$29+K441*Parameters!$B$30+L441*Parameters!$B$31+M441*Parameters!$B$32+N441*Parameters!$B$33+O441*Parameters!$B$34+P441*Parameters!$B$35</f>
        <v>4</v>
      </c>
      <c r="R441" s="0" t="str">
        <f aca="false">IF(Q441&gt;=Parameters!$B$24,"High","")</f>
        <v/>
      </c>
    </row>
    <row r="442" customFormat="false" ht="15" hidden="false" customHeight="false" outlineLevel="0" collapsed="false">
      <c r="A442" s="10" t="s">
        <v>1188</v>
      </c>
      <c r="B442" s="8" t="n">
        <v>45916</v>
      </c>
      <c r="C442" s="10" t="s">
        <v>182</v>
      </c>
      <c r="D442" s="10" t="s">
        <v>1189</v>
      </c>
      <c r="E442" s="12" t="n">
        <v>577.2</v>
      </c>
      <c r="F442" s="10" t="s">
        <v>40</v>
      </c>
      <c r="G442" s="9" t="n">
        <f aca="false">VALUE(LEFT(TEXT(E442,"0.00"),1))</f>
        <v>5</v>
      </c>
      <c r="H442" s="0" t="str">
        <f aca="false">UPPER(SUBSTITUTE(SUBSTITUTE(SUBSTITUTE(D442," ",""),"/",""),".",""))</f>
        <v>INV25012</v>
      </c>
      <c r="I442" s="9" t="n">
        <f aca="false">IF(COUNTIFS($C$5:C442,C442,$H$5:H442,H442,$E$5:E442,E442)&gt;1,1,0)</f>
        <v>0</v>
      </c>
      <c r="J442" s="9" t="n">
        <f aca="false">IF(AND(I442=0,COUNTIFS($C$5:$C$634,C442,$E$5:$E$634,E442,$B$5:$B$634,"&gt;="&amp;(B442-Parameters!$B$12),$B$5:$B$634,"&lt;="&amp;(B442+Parameters!$B$12),$H$5:$H$634,"&lt;&gt;"&amp;H442)&gt;0),1,0)</f>
        <v>0</v>
      </c>
      <c r="K442" s="9" t="n">
        <f aca="false">IF(AND(E442&gt;=Parameters!$B$11,ROUND(MOD(ROUND(E442,2),Parameters!$B$10),2)=0),1,0)</f>
        <v>0</v>
      </c>
      <c r="L442" s="9" t="n">
        <f aca="false">IF(AND(E442&lt;Parameters!$B$7,E442&gt;=Parameters!$B$7*(1-Parameters!$B$9)),1,0)</f>
        <v>0</v>
      </c>
      <c r="M442" s="9" t="n">
        <f aca="false">IF(AND(E442&lt;Parameters!$B$7,COUNTIFS($C$5:$C$634,C442,$B$5:$B$634,B442)&gt;1,SUMIFS($E$5:$E$634,$C$5:$C$634,C442,$B$5:$B$634,B442)&gt;=Parameters!$B$7),1,0)</f>
        <v>0</v>
      </c>
      <c r="N442" s="9" t="n">
        <f aca="false">IF(AND(E442&gt;=Parameters!$B$7,F442&lt;&gt;Parameters!$B$8),1,0)</f>
        <v>0</v>
      </c>
      <c r="O442" s="9" t="n">
        <f aca="false">INDEX(Vendor_Benford!$N$6:$N$50,MATCH(C442,Vendor_Benford!$A$6:$A$50,0))</f>
        <v>0</v>
      </c>
      <c r="P442" s="9" t="n">
        <f aca="false">INDEX(Vendor_Benford!$M$6:$M$50,MATCH(C442,Vendor_Benford!$A$6:$A$50,0))</f>
        <v>0</v>
      </c>
      <c r="Q442" s="9" t="n">
        <f aca="false">I442*Parameters!$B$28+J442*Parameters!$B$29+K442*Parameters!$B$30+L442*Parameters!$B$31+M442*Parameters!$B$32+N442*Parameters!$B$33+O442*Parameters!$B$34+P442*Parameters!$B$35</f>
        <v>0</v>
      </c>
      <c r="R442" s="0" t="str">
        <f aca="false">IF(Q442&gt;=Parameters!$B$24,"High","")</f>
        <v/>
      </c>
    </row>
    <row r="443" customFormat="false" ht="15" hidden="false" customHeight="false" outlineLevel="0" collapsed="false">
      <c r="A443" s="10" t="s">
        <v>1190</v>
      </c>
      <c r="B443" s="8" t="n">
        <v>45916</v>
      </c>
      <c r="C443" s="10" t="s">
        <v>236</v>
      </c>
      <c r="D443" s="10" t="s">
        <v>1191</v>
      </c>
      <c r="E443" s="12" t="n">
        <v>22091.3</v>
      </c>
      <c r="F443" s="10" t="s">
        <v>40</v>
      </c>
      <c r="G443" s="9" t="n">
        <f aca="false">VALUE(LEFT(TEXT(E443,"0.00"),1))</f>
        <v>2</v>
      </c>
      <c r="H443" s="0" t="str">
        <f aca="false">UPPER(SUBSTITUTE(SUBSTITUTE(SUBSTITUTE(D443," ",""),"/",""),".",""))</f>
        <v>INV43004</v>
      </c>
      <c r="I443" s="9" t="n">
        <f aca="false">IF(COUNTIFS($C$5:C443,C443,$H$5:H443,H443,$E$5:E443,E443)&gt;1,1,0)</f>
        <v>0</v>
      </c>
      <c r="J443" s="9" t="n">
        <f aca="false">IF(AND(I443=0,COUNTIFS($C$5:$C$634,C443,$E$5:$E$634,E443,$B$5:$B$634,"&gt;="&amp;(B443-Parameters!$B$12),$B$5:$B$634,"&lt;="&amp;(B443+Parameters!$B$12),$H$5:$H$634,"&lt;&gt;"&amp;H443)&gt;0),1,0)</f>
        <v>0</v>
      </c>
      <c r="K443" s="9" t="n">
        <f aca="false">IF(AND(E443&gt;=Parameters!$B$11,ROUND(MOD(ROUND(E443,2),Parameters!$B$10),2)=0),1,0)</f>
        <v>0</v>
      </c>
      <c r="L443" s="9" t="n">
        <f aca="false">IF(AND(E443&lt;Parameters!$B$7,E443&gt;=Parameters!$B$7*(1-Parameters!$B$9)),1,0)</f>
        <v>0</v>
      </c>
      <c r="M443" s="9" t="n">
        <f aca="false">IF(AND(E443&lt;Parameters!$B$7,COUNTIFS($C$5:$C$634,C443,$B$5:$B$634,B443)&gt;1,SUMIFS($E$5:$E$634,$C$5:$C$634,C443,$B$5:$B$634,B443)&gt;=Parameters!$B$7),1,0)</f>
        <v>0</v>
      </c>
      <c r="N443" s="9" t="n">
        <f aca="false">IF(AND(E443&gt;=Parameters!$B$7,F443&lt;&gt;Parameters!$B$8),1,0)</f>
        <v>0</v>
      </c>
      <c r="O443" s="9" t="n">
        <f aca="false">INDEX(Vendor_Benford!$N$6:$N$50,MATCH(C443,Vendor_Benford!$A$6:$A$50,0))</f>
        <v>0</v>
      </c>
      <c r="P443" s="9" t="n">
        <f aca="false">INDEX(Vendor_Benford!$M$6:$M$50,MATCH(C443,Vendor_Benford!$A$6:$A$50,0))</f>
        <v>0</v>
      </c>
      <c r="Q443" s="9" t="n">
        <f aca="false">I443*Parameters!$B$28+J443*Parameters!$B$29+K443*Parameters!$B$30+L443*Parameters!$B$31+M443*Parameters!$B$32+N443*Parameters!$B$33+O443*Parameters!$B$34+P443*Parameters!$B$35</f>
        <v>0</v>
      </c>
      <c r="R443" s="0" t="str">
        <f aca="false">IF(Q443&gt;=Parameters!$B$24,"High","")</f>
        <v/>
      </c>
    </row>
    <row r="444" customFormat="false" ht="15" hidden="false" customHeight="false" outlineLevel="0" collapsed="false">
      <c r="A444" s="10" t="s">
        <v>1192</v>
      </c>
      <c r="B444" s="8" t="n">
        <v>45917</v>
      </c>
      <c r="C444" s="10" t="s">
        <v>173</v>
      </c>
      <c r="D444" s="10" t="s">
        <v>1193</v>
      </c>
      <c r="E444" s="12" t="n">
        <v>1428.33</v>
      </c>
      <c r="F444" s="10" t="s">
        <v>40</v>
      </c>
      <c r="G444" s="9" t="n">
        <f aca="false">VALUE(LEFT(TEXT(E444,"0.00"),1))</f>
        <v>1</v>
      </c>
      <c r="H444" s="0" t="str">
        <f aca="false">UPPER(SUBSTITUTE(SUBSTITUTE(SUBSTITUTE(D444," ",""),"/",""),".",""))</f>
        <v>INV22018</v>
      </c>
      <c r="I444" s="9" t="n">
        <f aca="false">IF(COUNTIFS($C$5:C444,C444,$H$5:H444,H444,$E$5:E444,E444)&gt;1,1,0)</f>
        <v>0</v>
      </c>
      <c r="J444" s="9" t="n">
        <f aca="false">IF(AND(I444=0,COUNTIFS($C$5:$C$634,C444,$E$5:$E$634,E444,$B$5:$B$634,"&gt;="&amp;(B444-Parameters!$B$12),$B$5:$B$634,"&lt;="&amp;(B444+Parameters!$B$12),$H$5:$H$634,"&lt;&gt;"&amp;H444)&gt;0),1,0)</f>
        <v>0</v>
      </c>
      <c r="K444" s="9" t="n">
        <f aca="false">IF(AND(E444&gt;=Parameters!$B$11,ROUND(MOD(ROUND(E444,2),Parameters!$B$10),2)=0),1,0)</f>
        <v>0</v>
      </c>
      <c r="L444" s="9" t="n">
        <f aca="false">IF(AND(E444&lt;Parameters!$B$7,E444&gt;=Parameters!$B$7*(1-Parameters!$B$9)),1,0)</f>
        <v>0</v>
      </c>
      <c r="M444" s="9" t="n">
        <f aca="false">IF(AND(E444&lt;Parameters!$B$7,COUNTIFS($C$5:$C$634,C444,$B$5:$B$634,B444)&gt;1,SUMIFS($E$5:$E$634,$C$5:$C$634,C444,$B$5:$B$634,B444)&gt;=Parameters!$B$7),1,0)</f>
        <v>0</v>
      </c>
      <c r="N444" s="9" t="n">
        <f aca="false">IF(AND(E444&gt;=Parameters!$B$7,F444&lt;&gt;Parameters!$B$8),1,0)</f>
        <v>0</v>
      </c>
      <c r="O444" s="9" t="n">
        <f aca="false">INDEX(Vendor_Benford!$N$6:$N$50,MATCH(C444,Vendor_Benford!$A$6:$A$50,0))</f>
        <v>0</v>
      </c>
      <c r="P444" s="9" t="n">
        <f aca="false">INDEX(Vendor_Benford!$M$6:$M$50,MATCH(C444,Vendor_Benford!$A$6:$A$50,0))</f>
        <v>0</v>
      </c>
      <c r="Q444" s="9" t="n">
        <f aca="false">I444*Parameters!$B$28+J444*Parameters!$B$29+K444*Parameters!$B$30+L444*Parameters!$B$31+M444*Parameters!$B$32+N444*Parameters!$B$33+O444*Parameters!$B$34+P444*Parameters!$B$35</f>
        <v>0</v>
      </c>
      <c r="R444" s="0" t="str">
        <f aca="false">IF(Q444&gt;=Parameters!$B$24,"High","")</f>
        <v/>
      </c>
    </row>
    <row r="445" customFormat="false" ht="15" hidden="false" customHeight="false" outlineLevel="0" collapsed="false">
      <c r="A445" s="10" t="s">
        <v>1194</v>
      </c>
      <c r="B445" s="8" t="n">
        <v>45918</v>
      </c>
      <c r="C445" s="10" t="s">
        <v>140</v>
      </c>
      <c r="D445" s="10" t="s">
        <v>1195</v>
      </c>
      <c r="E445" s="12" t="n">
        <v>1474.64</v>
      </c>
      <c r="F445" s="10" t="s">
        <v>40</v>
      </c>
      <c r="G445" s="9" t="n">
        <f aca="false">VALUE(LEFT(TEXT(E445,"0.00"),1))</f>
        <v>1</v>
      </c>
      <c r="H445" s="0" t="str">
        <f aca="false">UPPER(SUBSTITUTE(SUBSTITUTE(SUBSTITUTE(D445," ",""),"/",""),".",""))</f>
        <v>INV11014</v>
      </c>
      <c r="I445" s="9" t="n">
        <f aca="false">IF(COUNTIFS($C$5:C445,C445,$H$5:H445,H445,$E$5:E445,E445)&gt;1,1,0)</f>
        <v>0</v>
      </c>
      <c r="J445" s="9" t="n">
        <f aca="false">IF(AND(I445=0,COUNTIFS($C$5:$C$634,C445,$E$5:$E$634,E445,$B$5:$B$634,"&gt;="&amp;(B445-Parameters!$B$12),$B$5:$B$634,"&lt;="&amp;(B445+Parameters!$B$12),$H$5:$H$634,"&lt;&gt;"&amp;H445)&gt;0),1,0)</f>
        <v>0</v>
      </c>
      <c r="K445" s="9" t="n">
        <f aca="false">IF(AND(E445&gt;=Parameters!$B$11,ROUND(MOD(ROUND(E445,2),Parameters!$B$10),2)=0),1,0)</f>
        <v>0</v>
      </c>
      <c r="L445" s="9" t="n">
        <f aca="false">IF(AND(E445&lt;Parameters!$B$7,E445&gt;=Parameters!$B$7*(1-Parameters!$B$9)),1,0)</f>
        <v>0</v>
      </c>
      <c r="M445" s="9" t="n">
        <f aca="false">IF(AND(E445&lt;Parameters!$B$7,COUNTIFS($C$5:$C$634,C445,$B$5:$B$634,B445)&gt;1,SUMIFS($E$5:$E$634,$C$5:$C$634,C445,$B$5:$B$634,B445)&gt;=Parameters!$B$7),1,0)</f>
        <v>0</v>
      </c>
      <c r="N445" s="9" t="n">
        <f aca="false">IF(AND(E445&gt;=Parameters!$B$7,F445&lt;&gt;Parameters!$B$8),1,0)</f>
        <v>0</v>
      </c>
      <c r="O445" s="9" t="n">
        <f aca="false">INDEX(Vendor_Benford!$N$6:$N$50,MATCH(C445,Vendor_Benford!$A$6:$A$50,0))</f>
        <v>0</v>
      </c>
      <c r="P445" s="9" t="n">
        <f aca="false">INDEX(Vendor_Benford!$M$6:$M$50,MATCH(C445,Vendor_Benford!$A$6:$A$50,0))</f>
        <v>0</v>
      </c>
      <c r="Q445" s="9" t="n">
        <f aca="false">I445*Parameters!$B$28+J445*Parameters!$B$29+K445*Parameters!$B$30+L445*Parameters!$B$31+M445*Parameters!$B$32+N445*Parameters!$B$33+O445*Parameters!$B$34+P445*Parameters!$B$35</f>
        <v>0</v>
      </c>
      <c r="R445" s="0" t="str">
        <f aca="false">IF(Q445&gt;=Parameters!$B$24,"High","")</f>
        <v/>
      </c>
    </row>
    <row r="446" customFormat="false" ht="15" hidden="false" customHeight="false" outlineLevel="0" collapsed="false">
      <c r="A446" s="10" t="s">
        <v>1196</v>
      </c>
      <c r="B446" s="8" t="n">
        <v>45919</v>
      </c>
      <c r="C446" s="10" t="s">
        <v>200</v>
      </c>
      <c r="D446" s="10" t="s">
        <v>1197</v>
      </c>
      <c r="E446" s="12" t="n">
        <v>4735.18</v>
      </c>
      <c r="F446" s="10" t="s">
        <v>347</v>
      </c>
      <c r="G446" s="9" t="n">
        <f aca="false">VALUE(LEFT(TEXT(E446,"0.00"),1))</f>
        <v>4</v>
      </c>
      <c r="H446" s="0" t="str">
        <f aca="false">UPPER(SUBSTITUTE(SUBSTITUTE(SUBSTITUTE(D446," ",""),"/",""),".",""))</f>
        <v>INV31009</v>
      </c>
      <c r="I446" s="9" t="n">
        <f aca="false">IF(COUNTIFS($C$5:C446,C446,$H$5:H446,H446,$E$5:E446,E446)&gt;1,1,0)</f>
        <v>0</v>
      </c>
      <c r="J446" s="9" t="n">
        <f aca="false">IF(AND(I446=0,COUNTIFS($C$5:$C$634,C446,$E$5:$E$634,E446,$B$5:$B$634,"&gt;="&amp;(B446-Parameters!$B$12),$B$5:$B$634,"&lt;="&amp;(B446+Parameters!$B$12),$H$5:$H$634,"&lt;&gt;"&amp;H446)&gt;0),1,0)</f>
        <v>0</v>
      </c>
      <c r="K446" s="9" t="n">
        <f aca="false">IF(AND(E446&gt;=Parameters!$B$11,ROUND(MOD(ROUND(E446,2),Parameters!$B$10),2)=0),1,0)</f>
        <v>0</v>
      </c>
      <c r="L446" s="9" t="n">
        <f aca="false">IF(AND(E446&lt;Parameters!$B$7,E446&gt;=Parameters!$B$7*(1-Parameters!$B$9)),1,0)</f>
        <v>0</v>
      </c>
      <c r="M446" s="9" t="n">
        <f aca="false">IF(AND(E446&lt;Parameters!$B$7,COUNTIFS($C$5:$C$634,C446,$B$5:$B$634,B446)&gt;1,SUMIFS($E$5:$E$634,$C$5:$C$634,C446,$B$5:$B$634,B446)&gt;=Parameters!$B$7),1,0)</f>
        <v>0</v>
      </c>
      <c r="N446" s="9" t="n">
        <f aca="false">IF(AND(E446&gt;=Parameters!$B$7,F446&lt;&gt;Parameters!$B$8),1,0)</f>
        <v>0</v>
      </c>
      <c r="O446" s="9" t="n">
        <f aca="false">INDEX(Vendor_Benford!$N$6:$N$50,MATCH(C446,Vendor_Benford!$A$6:$A$50,0))</f>
        <v>0</v>
      </c>
      <c r="P446" s="9" t="n">
        <f aca="false">INDEX(Vendor_Benford!$M$6:$M$50,MATCH(C446,Vendor_Benford!$A$6:$A$50,0))</f>
        <v>1</v>
      </c>
      <c r="Q446" s="9" t="n">
        <f aca="false">I446*Parameters!$B$28+J446*Parameters!$B$29+K446*Parameters!$B$30+L446*Parameters!$B$31+M446*Parameters!$B$32+N446*Parameters!$B$33+O446*Parameters!$B$34+P446*Parameters!$B$35</f>
        <v>2</v>
      </c>
      <c r="R446" s="0" t="str">
        <f aca="false">IF(Q446&gt;=Parameters!$B$24,"High","")</f>
        <v/>
      </c>
    </row>
    <row r="447" customFormat="false" ht="15" hidden="false" customHeight="false" outlineLevel="0" collapsed="false">
      <c r="A447" s="10" t="s">
        <v>1198</v>
      </c>
      <c r="B447" s="8" t="n">
        <v>45923</v>
      </c>
      <c r="C447" s="10" t="s">
        <v>170</v>
      </c>
      <c r="D447" s="10" t="s">
        <v>1199</v>
      </c>
      <c r="E447" s="12" t="n">
        <v>958.13</v>
      </c>
      <c r="F447" s="10" t="s">
        <v>40</v>
      </c>
      <c r="G447" s="9" t="n">
        <f aca="false">VALUE(LEFT(TEXT(E447,"0.00"),1))</f>
        <v>9</v>
      </c>
      <c r="H447" s="0" t="str">
        <f aca="false">UPPER(SUBSTITUTE(SUBSTITUTE(SUBSTITUTE(D447," ",""),"/",""),".",""))</f>
        <v>INV21007</v>
      </c>
      <c r="I447" s="9" t="n">
        <f aca="false">IF(COUNTIFS($C$5:C447,C447,$H$5:H447,H447,$E$5:E447,E447)&gt;1,1,0)</f>
        <v>0</v>
      </c>
      <c r="J447" s="9" t="n">
        <f aca="false">IF(AND(I447=0,COUNTIFS($C$5:$C$634,C447,$E$5:$E$634,E447,$B$5:$B$634,"&gt;="&amp;(B447-Parameters!$B$12),$B$5:$B$634,"&lt;="&amp;(B447+Parameters!$B$12),$H$5:$H$634,"&lt;&gt;"&amp;H447)&gt;0),1,0)</f>
        <v>0</v>
      </c>
      <c r="K447" s="9" t="n">
        <f aca="false">IF(AND(E447&gt;=Parameters!$B$11,ROUND(MOD(ROUND(E447,2),Parameters!$B$10),2)=0),1,0)</f>
        <v>0</v>
      </c>
      <c r="L447" s="9" t="n">
        <f aca="false">IF(AND(E447&lt;Parameters!$B$7,E447&gt;=Parameters!$B$7*(1-Parameters!$B$9)),1,0)</f>
        <v>0</v>
      </c>
      <c r="M447" s="9" t="n">
        <f aca="false">IF(AND(E447&lt;Parameters!$B$7,COUNTIFS($C$5:$C$634,C447,$B$5:$B$634,B447)&gt;1,SUMIFS($E$5:$E$634,$C$5:$C$634,C447,$B$5:$B$634,B447)&gt;=Parameters!$B$7),1,0)</f>
        <v>0</v>
      </c>
      <c r="N447" s="9" t="n">
        <f aca="false">IF(AND(E447&gt;=Parameters!$B$7,F447&lt;&gt;Parameters!$B$8),1,0)</f>
        <v>0</v>
      </c>
      <c r="O447" s="9" t="n">
        <f aca="false">INDEX(Vendor_Benford!$N$6:$N$50,MATCH(C447,Vendor_Benford!$A$6:$A$50,0))</f>
        <v>0</v>
      </c>
      <c r="P447" s="9" t="n">
        <f aca="false">INDEX(Vendor_Benford!$M$6:$M$50,MATCH(C447,Vendor_Benford!$A$6:$A$50,0))</f>
        <v>0</v>
      </c>
      <c r="Q447" s="9" t="n">
        <f aca="false">I447*Parameters!$B$28+J447*Parameters!$B$29+K447*Parameters!$B$30+L447*Parameters!$B$31+M447*Parameters!$B$32+N447*Parameters!$B$33+O447*Parameters!$B$34+P447*Parameters!$B$35</f>
        <v>0</v>
      </c>
      <c r="R447" s="0" t="str">
        <f aca="false">IF(Q447&gt;=Parameters!$B$24,"High","")</f>
        <v/>
      </c>
    </row>
    <row r="448" customFormat="false" ht="15" hidden="false" customHeight="false" outlineLevel="0" collapsed="false">
      <c r="A448" s="10" t="s">
        <v>1200</v>
      </c>
      <c r="B448" s="8" t="n">
        <v>45923</v>
      </c>
      <c r="C448" s="10" t="s">
        <v>173</v>
      </c>
      <c r="D448" s="10" t="s">
        <v>1201</v>
      </c>
      <c r="E448" s="12" t="n">
        <v>1188.54</v>
      </c>
      <c r="F448" s="10" t="s">
        <v>347</v>
      </c>
      <c r="G448" s="9" t="n">
        <f aca="false">VALUE(LEFT(TEXT(E448,"0.00"),1))</f>
        <v>1</v>
      </c>
      <c r="H448" s="0" t="str">
        <f aca="false">UPPER(SUBSTITUTE(SUBSTITUTE(SUBSTITUTE(D448," ",""),"/",""),".",""))</f>
        <v>INV22003</v>
      </c>
      <c r="I448" s="9" t="n">
        <f aca="false">IF(COUNTIFS($C$5:C448,C448,$H$5:H448,H448,$E$5:E448,E448)&gt;1,1,0)</f>
        <v>0</v>
      </c>
      <c r="J448" s="9" t="n">
        <f aca="false">IF(AND(I448=0,COUNTIFS($C$5:$C$634,C448,$E$5:$E$634,E448,$B$5:$B$634,"&gt;="&amp;(B448-Parameters!$B$12),$B$5:$B$634,"&lt;="&amp;(B448+Parameters!$B$12),$H$5:$H$634,"&lt;&gt;"&amp;H448)&gt;0),1,0)</f>
        <v>0</v>
      </c>
      <c r="K448" s="9" t="n">
        <f aca="false">IF(AND(E448&gt;=Parameters!$B$11,ROUND(MOD(ROUND(E448,2),Parameters!$B$10),2)=0),1,0)</f>
        <v>0</v>
      </c>
      <c r="L448" s="9" t="n">
        <f aca="false">IF(AND(E448&lt;Parameters!$B$7,E448&gt;=Parameters!$B$7*(1-Parameters!$B$9)),1,0)</f>
        <v>0</v>
      </c>
      <c r="M448" s="9" t="n">
        <f aca="false">IF(AND(E448&lt;Parameters!$B$7,COUNTIFS($C$5:$C$634,C448,$B$5:$B$634,B448)&gt;1,SUMIFS($E$5:$E$634,$C$5:$C$634,C448,$B$5:$B$634,B448)&gt;=Parameters!$B$7),1,0)</f>
        <v>0</v>
      </c>
      <c r="N448" s="9" t="n">
        <f aca="false">IF(AND(E448&gt;=Parameters!$B$7,F448&lt;&gt;Parameters!$B$8),1,0)</f>
        <v>0</v>
      </c>
      <c r="O448" s="9" t="n">
        <f aca="false">INDEX(Vendor_Benford!$N$6:$N$50,MATCH(C448,Vendor_Benford!$A$6:$A$50,0))</f>
        <v>0</v>
      </c>
      <c r="P448" s="9" t="n">
        <f aca="false">INDEX(Vendor_Benford!$M$6:$M$50,MATCH(C448,Vendor_Benford!$A$6:$A$50,0))</f>
        <v>0</v>
      </c>
      <c r="Q448" s="9" t="n">
        <f aca="false">I448*Parameters!$B$28+J448*Parameters!$B$29+K448*Parameters!$B$30+L448*Parameters!$B$31+M448*Parameters!$B$32+N448*Parameters!$B$33+O448*Parameters!$B$34+P448*Parameters!$B$35</f>
        <v>0</v>
      </c>
      <c r="R448" s="0" t="str">
        <f aca="false">IF(Q448&gt;=Parameters!$B$24,"High","")</f>
        <v/>
      </c>
    </row>
    <row r="449" customFormat="false" ht="15" hidden="false" customHeight="false" outlineLevel="0" collapsed="false">
      <c r="A449" s="10" t="s">
        <v>1202</v>
      </c>
      <c r="B449" s="8" t="n">
        <v>45923</v>
      </c>
      <c r="C449" s="10" t="s">
        <v>191</v>
      </c>
      <c r="D449" s="10" t="s">
        <v>1203</v>
      </c>
      <c r="E449" s="12" t="n">
        <v>4198.11</v>
      </c>
      <c r="F449" s="10" t="s">
        <v>347</v>
      </c>
      <c r="G449" s="9" t="n">
        <f aca="false">VALUE(LEFT(TEXT(E449,"0.00"),1))</f>
        <v>4</v>
      </c>
      <c r="H449" s="0" t="str">
        <f aca="false">UPPER(SUBSTITUTE(SUBSTITUTE(SUBSTITUTE(D449," ",""),"/",""),".",""))</f>
        <v>INV28006</v>
      </c>
      <c r="I449" s="9" t="n">
        <f aca="false">IF(COUNTIFS($C$5:C449,C449,$H$5:H449,H449,$E$5:E449,E449)&gt;1,1,0)</f>
        <v>0</v>
      </c>
      <c r="J449" s="9" t="n">
        <f aca="false">IF(AND(I449=0,COUNTIFS($C$5:$C$634,C449,$E$5:$E$634,E449,$B$5:$B$634,"&gt;="&amp;(B449-Parameters!$B$12),$B$5:$B$634,"&lt;="&amp;(B449+Parameters!$B$12),$H$5:$H$634,"&lt;&gt;"&amp;H449)&gt;0),1,0)</f>
        <v>0</v>
      </c>
      <c r="K449" s="9" t="n">
        <f aca="false">IF(AND(E449&gt;=Parameters!$B$11,ROUND(MOD(ROUND(E449,2),Parameters!$B$10),2)=0),1,0)</f>
        <v>0</v>
      </c>
      <c r="L449" s="9" t="n">
        <f aca="false">IF(AND(E449&lt;Parameters!$B$7,E449&gt;=Parameters!$B$7*(1-Parameters!$B$9)),1,0)</f>
        <v>0</v>
      </c>
      <c r="M449" s="9" t="n">
        <f aca="false">IF(AND(E449&lt;Parameters!$B$7,COUNTIFS($C$5:$C$634,C449,$B$5:$B$634,B449)&gt;1,SUMIFS($E$5:$E$634,$C$5:$C$634,C449,$B$5:$B$634,B449)&gt;=Parameters!$B$7),1,0)</f>
        <v>0</v>
      </c>
      <c r="N449" s="9" t="n">
        <f aca="false">IF(AND(E449&gt;=Parameters!$B$7,F449&lt;&gt;Parameters!$B$8),1,0)</f>
        <v>0</v>
      </c>
      <c r="O449" s="9" t="n">
        <f aca="false">INDEX(Vendor_Benford!$N$6:$N$50,MATCH(C449,Vendor_Benford!$A$6:$A$50,0))</f>
        <v>0</v>
      </c>
      <c r="P449" s="9" t="n">
        <f aca="false">INDEX(Vendor_Benford!$M$6:$M$50,MATCH(C449,Vendor_Benford!$A$6:$A$50,0))</f>
        <v>0</v>
      </c>
      <c r="Q449" s="9" t="n">
        <f aca="false">I449*Parameters!$B$28+J449*Parameters!$B$29+K449*Parameters!$B$30+L449*Parameters!$B$31+M449*Parameters!$B$32+N449*Parameters!$B$33+O449*Parameters!$B$34+P449*Parameters!$B$35</f>
        <v>0</v>
      </c>
      <c r="R449" s="0" t="str">
        <f aca="false">IF(Q449&gt;=Parameters!$B$24,"High","")</f>
        <v/>
      </c>
    </row>
    <row r="450" customFormat="false" ht="15" hidden="false" customHeight="false" outlineLevel="0" collapsed="false">
      <c r="A450" s="10" t="s">
        <v>1204</v>
      </c>
      <c r="B450" s="8" t="n">
        <v>45923</v>
      </c>
      <c r="C450" s="10" t="s">
        <v>218</v>
      </c>
      <c r="D450" s="10" t="s">
        <v>1205</v>
      </c>
      <c r="E450" s="12" t="n">
        <v>10092.77</v>
      </c>
      <c r="F450" s="10" t="s">
        <v>40</v>
      </c>
      <c r="G450" s="9" t="n">
        <f aca="false">VALUE(LEFT(TEXT(E450,"0.00"),1))</f>
        <v>1</v>
      </c>
      <c r="H450" s="0" t="str">
        <f aca="false">UPPER(SUBSTITUTE(SUBSTITUTE(SUBSTITUTE(D450," ",""),"/",""),".",""))</f>
        <v>INV37010</v>
      </c>
      <c r="I450" s="9" t="n">
        <f aca="false">IF(COUNTIFS($C$5:C450,C450,$H$5:H450,H450,$E$5:E450,E450)&gt;1,1,0)</f>
        <v>0</v>
      </c>
      <c r="J450" s="9" t="n">
        <f aca="false">IF(AND(I450=0,COUNTIFS($C$5:$C$634,C450,$E$5:$E$634,E450,$B$5:$B$634,"&gt;="&amp;(B450-Parameters!$B$12),$B$5:$B$634,"&lt;="&amp;(B450+Parameters!$B$12),$H$5:$H$634,"&lt;&gt;"&amp;H450)&gt;0),1,0)</f>
        <v>0</v>
      </c>
      <c r="K450" s="9" t="n">
        <f aca="false">IF(AND(E450&gt;=Parameters!$B$11,ROUND(MOD(ROUND(E450,2),Parameters!$B$10),2)=0),1,0)</f>
        <v>0</v>
      </c>
      <c r="L450" s="9" t="n">
        <f aca="false">IF(AND(E450&lt;Parameters!$B$7,E450&gt;=Parameters!$B$7*(1-Parameters!$B$9)),1,0)</f>
        <v>0</v>
      </c>
      <c r="M450" s="9" t="n">
        <f aca="false">IF(AND(E450&lt;Parameters!$B$7,COUNTIFS($C$5:$C$634,C450,$B$5:$B$634,B450)&gt;1,SUMIFS($E$5:$E$634,$C$5:$C$634,C450,$B$5:$B$634,B450)&gt;=Parameters!$B$7),1,0)</f>
        <v>0</v>
      </c>
      <c r="N450" s="9" t="n">
        <f aca="false">IF(AND(E450&gt;=Parameters!$B$7,F450&lt;&gt;Parameters!$B$8),1,0)</f>
        <v>0</v>
      </c>
      <c r="O450" s="9" t="n">
        <f aca="false">INDEX(Vendor_Benford!$N$6:$N$50,MATCH(C450,Vendor_Benford!$A$6:$A$50,0))</f>
        <v>0</v>
      </c>
      <c r="P450" s="9" t="n">
        <f aca="false">INDEX(Vendor_Benford!$M$6:$M$50,MATCH(C450,Vendor_Benford!$A$6:$A$50,0))</f>
        <v>0</v>
      </c>
      <c r="Q450" s="9" t="n">
        <f aca="false">I450*Parameters!$B$28+J450*Parameters!$B$29+K450*Parameters!$B$30+L450*Parameters!$B$31+M450*Parameters!$B$32+N450*Parameters!$B$33+O450*Parameters!$B$34+P450*Parameters!$B$35</f>
        <v>0</v>
      </c>
      <c r="R450" s="0" t="str">
        <f aca="false">IF(Q450&gt;=Parameters!$B$24,"High","")</f>
        <v/>
      </c>
    </row>
    <row r="451" customFormat="false" ht="15" hidden="false" customHeight="false" outlineLevel="0" collapsed="false">
      <c r="A451" s="10" t="s">
        <v>1206</v>
      </c>
      <c r="B451" s="8" t="n">
        <v>45923</v>
      </c>
      <c r="C451" s="10" t="s">
        <v>221</v>
      </c>
      <c r="D451" s="10" t="s">
        <v>1207</v>
      </c>
      <c r="E451" s="12" t="n">
        <v>341.51</v>
      </c>
      <c r="F451" s="10" t="s">
        <v>347</v>
      </c>
      <c r="G451" s="9" t="n">
        <f aca="false">VALUE(LEFT(TEXT(E451,"0.00"),1))</f>
        <v>3</v>
      </c>
      <c r="H451" s="0" t="str">
        <f aca="false">UPPER(SUBSTITUTE(SUBSTITUTE(SUBSTITUTE(D451," ",""),"/",""),".",""))</f>
        <v>INV38003</v>
      </c>
      <c r="I451" s="9" t="n">
        <f aca="false">IF(COUNTIFS($C$5:C451,C451,$H$5:H451,H451,$E$5:E451,E451)&gt;1,1,0)</f>
        <v>0</v>
      </c>
      <c r="J451" s="9" t="n">
        <f aca="false">IF(AND(I451=0,COUNTIFS($C$5:$C$634,C451,$E$5:$E$634,E451,$B$5:$B$634,"&gt;="&amp;(B451-Parameters!$B$12),$B$5:$B$634,"&lt;="&amp;(B451+Parameters!$B$12),$H$5:$H$634,"&lt;&gt;"&amp;H451)&gt;0),1,0)</f>
        <v>0</v>
      </c>
      <c r="K451" s="9" t="n">
        <f aca="false">IF(AND(E451&gt;=Parameters!$B$11,ROUND(MOD(ROUND(E451,2),Parameters!$B$10),2)=0),1,0)</f>
        <v>0</v>
      </c>
      <c r="L451" s="9" t="n">
        <f aca="false">IF(AND(E451&lt;Parameters!$B$7,E451&gt;=Parameters!$B$7*(1-Parameters!$B$9)),1,0)</f>
        <v>0</v>
      </c>
      <c r="M451" s="9" t="n">
        <f aca="false">IF(AND(E451&lt;Parameters!$B$7,COUNTIFS($C$5:$C$634,C451,$B$5:$B$634,B451)&gt;1,SUMIFS($E$5:$E$634,$C$5:$C$634,C451,$B$5:$B$634,B451)&gt;=Parameters!$B$7),1,0)</f>
        <v>0</v>
      </c>
      <c r="N451" s="9" t="n">
        <f aca="false">IF(AND(E451&gt;=Parameters!$B$7,F451&lt;&gt;Parameters!$B$8),1,0)</f>
        <v>0</v>
      </c>
      <c r="O451" s="9" t="n">
        <f aca="false">INDEX(Vendor_Benford!$N$6:$N$50,MATCH(C451,Vendor_Benford!$A$6:$A$50,0))</f>
        <v>1</v>
      </c>
      <c r="P451" s="9" t="n">
        <f aca="false">INDEX(Vendor_Benford!$M$6:$M$50,MATCH(C451,Vendor_Benford!$A$6:$A$50,0))</f>
        <v>0</v>
      </c>
      <c r="Q451" s="9" t="n">
        <f aca="false">I451*Parameters!$B$28+J451*Parameters!$B$29+K451*Parameters!$B$30+L451*Parameters!$B$31+M451*Parameters!$B$32+N451*Parameters!$B$33+O451*Parameters!$B$34+P451*Parameters!$B$35</f>
        <v>5</v>
      </c>
      <c r="R451" s="0" t="str">
        <f aca="false">IF(Q451&gt;=Parameters!$B$24,"High","")</f>
        <v>High</v>
      </c>
    </row>
    <row r="452" customFormat="false" ht="15" hidden="false" customHeight="false" outlineLevel="0" collapsed="false">
      <c r="A452" s="10" t="s">
        <v>1208</v>
      </c>
      <c r="B452" s="8" t="n">
        <v>45924</v>
      </c>
      <c r="C452" s="10" t="s">
        <v>131</v>
      </c>
      <c r="D452" s="10" t="s">
        <v>1209</v>
      </c>
      <c r="E452" s="12" t="n">
        <v>1026.57</v>
      </c>
      <c r="F452" s="10" t="s">
        <v>347</v>
      </c>
      <c r="G452" s="9" t="n">
        <f aca="false">VALUE(LEFT(TEXT(E452,"0.00"),1))</f>
        <v>1</v>
      </c>
      <c r="H452" s="0" t="str">
        <f aca="false">UPPER(SUBSTITUTE(SUBSTITUTE(SUBSTITUTE(D452," ",""),"/",""),".",""))</f>
        <v>INV8003</v>
      </c>
      <c r="I452" s="9" t="n">
        <f aca="false">IF(COUNTIFS($C$5:C452,C452,$H$5:H452,H452,$E$5:E452,E452)&gt;1,1,0)</f>
        <v>0</v>
      </c>
      <c r="J452" s="9" t="n">
        <f aca="false">IF(AND(I452=0,COUNTIFS($C$5:$C$634,C452,$E$5:$E$634,E452,$B$5:$B$634,"&gt;="&amp;(B452-Parameters!$B$12),$B$5:$B$634,"&lt;="&amp;(B452+Parameters!$B$12),$H$5:$H$634,"&lt;&gt;"&amp;H452)&gt;0),1,0)</f>
        <v>0</v>
      </c>
      <c r="K452" s="9" t="n">
        <f aca="false">IF(AND(E452&gt;=Parameters!$B$11,ROUND(MOD(ROUND(E452,2),Parameters!$B$10),2)=0),1,0)</f>
        <v>0</v>
      </c>
      <c r="L452" s="9" t="n">
        <f aca="false">IF(AND(E452&lt;Parameters!$B$7,E452&gt;=Parameters!$B$7*(1-Parameters!$B$9)),1,0)</f>
        <v>0</v>
      </c>
      <c r="M452" s="9" t="n">
        <f aca="false">IF(AND(E452&lt;Parameters!$B$7,COUNTIFS($C$5:$C$634,C452,$B$5:$B$634,B452)&gt;1,SUMIFS($E$5:$E$634,$C$5:$C$634,C452,$B$5:$B$634,B452)&gt;=Parameters!$B$7),1,0)</f>
        <v>0</v>
      </c>
      <c r="N452" s="9" t="n">
        <f aca="false">IF(AND(E452&gt;=Parameters!$B$7,F452&lt;&gt;Parameters!$B$8),1,0)</f>
        <v>0</v>
      </c>
      <c r="O452" s="9" t="n">
        <f aca="false">INDEX(Vendor_Benford!$N$6:$N$50,MATCH(C452,Vendor_Benford!$A$6:$A$50,0))</f>
        <v>0</v>
      </c>
      <c r="P452" s="9" t="n">
        <f aca="false">INDEX(Vendor_Benford!$M$6:$M$50,MATCH(C452,Vendor_Benford!$A$6:$A$50,0))</f>
        <v>0</v>
      </c>
      <c r="Q452" s="9" t="n">
        <f aca="false">I452*Parameters!$B$28+J452*Parameters!$B$29+K452*Parameters!$B$30+L452*Parameters!$B$31+M452*Parameters!$B$32+N452*Parameters!$B$33+O452*Parameters!$B$34+P452*Parameters!$B$35</f>
        <v>0</v>
      </c>
      <c r="R452" s="0" t="str">
        <f aca="false">IF(Q452&gt;=Parameters!$B$24,"High","")</f>
        <v/>
      </c>
    </row>
    <row r="453" customFormat="false" ht="15" hidden="false" customHeight="false" outlineLevel="0" collapsed="false">
      <c r="A453" s="10" t="s">
        <v>1210</v>
      </c>
      <c r="B453" s="8" t="n">
        <v>45924</v>
      </c>
      <c r="C453" s="10" t="s">
        <v>155</v>
      </c>
      <c r="D453" s="10" t="s">
        <v>1211</v>
      </c>
      <c r="E453" s="12" t="n">
        <v>43861.38</v>
      </c>
      <c r="F453" s="10" t="s">
        <v>40</v>
      </c>
      <c r="G453" s="9" t="n">
        <f aca="false">VALUE(LEFT(TEXT(E453,"0.00"),1))</f>
        <v>4</v>
      </c>
      <c r="H453" s="0" t="str">
        <f aca="false">UPPER(SUBSTITUTE(SUBSTITUTE(SUBSTITUTE(D453," ",""),"/",""),".",""))</f>
        <v>INV16001</v>
      </c>
      <c r="I453" s="9" t="n">
        <f aca="false">IF(COUNTIFS($C$5:C453,C453,$H$5:H453,H453,$E$5:E453,E453)&gt;1,1,0)</f>
        <v>0</v>
      </c>
      <c r="J453" s="9" t="n">
        <f aca="false">IF(AND(I453=0,COUNTIFS($C$5:$C$634,C453,$E$5:$E$634,E453,$B$5:$B$634,"&gt;="&amp;(B453-Parameters!$B$12),$B$5:$B$634,"&lt;="&amp;(B453+Parameters!$B$12),$H$5:$H$634,"&lt;&gt;"&amp;H453)&gt;0),1,0)</f>
        <v>0</v>
      </c>
      <c r="K453" s="9" t="n">
        <f aca="false">IF(AND(E453&gt;=Parameters!$B$11,ROUND(MOD(ROUND(E453,2),Parameters!$B$10),2)=0),1,0)</f>
        <v>0</v>
      </c>
      <c r="L453" s="9" t="n">
        <f aca="false">IF(AND(E453&lt;Parameters!$B$7,E453&gt;=Parameters!$B$7*(1-Parameters!$B$9)),1,0)</f>
        <v>0</v>
      </c>
      <c r="M453" s="9" t="n">
        <f aca="false">IF(AND(E453&lt;Parameters!$B$7,COUNTIFS($C$5:$C$634,C453,$B$5:$B$634,B453)&gt;1,SUMIFS($E$5:$E$634,$C$5:$C$634,C453,$B$5:$B$634,B453)&gt;=Parameters!$B$7),1,0)</f>
        <v>0</v>
      </c>
      <c r="N453" s="9" t="n">
        <f aca="false">IF(AND(E453&gt;=Parameters!$B$7,F453&lt;&gt;Parameters!$B$8),1,0)</f>
        <v>0</v>
      </c>
      <c r="O453" s="9" t="n">
        <f aca="false">INDEX(Vendor_Benford!$N$6:$N$50,MATCH(C453,Vendor_Benford!$A$6:$A$50,0))</f>
        <v>0</v>
      </c>
      <c r="P453" s="9" t="n">
        <f aca="false">INDEX(Vendor_Benford!$M$6:$M$50,MATCH(C453,Vendor_Benford!$A$6:$A$50,0))</f>
        <v>0</v>
      </c>
      <c r="Q453" s="9" t="n">
        <f aca="false">I453*Parameters!$B$28+J453*Parameters!$B$29+K453*Parameters!$B$30+L453*Parameters!$B$31+M453*Parameters!$B$32+N453*Parameters!$B$33+O453*Parameters!$B$34+P453*Parameters!$B$35</f>
        <v>0</v>
      </c>
      <c r="R453" s="0" t="str">
        <f aca="false">IF(Q453&gt;=Parameters!$B$24,"High","")</f>
        <v/>
      </c>
    </row>
    <row r="454" customFormat="false" ht="15" hidden="false" customHeight="false" outlineLevel="0" collapsed="false">
      <c r="A454" s="10" t="s">
        <v>1212</v>
      </c>
      <c r="B454" s="8" t="n">
        <v>45925</v>
      </c>
      <c r="C454" s="10" t="s">
        <v>119</v>
      </c>
      <c r="D454" s="10" t="s">
        <v>1213</v>
      </c>
      <c r="E454" s="12" t="n">
        <v>11844.12</v>
      </c>
      <c r="F454" s="10" t="s">
        <v>40</v>
      </c>
      <c r="G454" s="9" t="n">
        <f aca="false">VALUE(LEFT(TEXT(E454,"0.00"),1))</f>
        <v>1</v>
      </c>
      <c r="H454" s="0" t="str">
        <f aca="false">UPPER(SUBSTITUTE(SUBSTITUTE(SUBSTITUTE(D454," ",""),"/",""),".",""))</f>
        <v>INV4009</v>
      </c>
      <c r="I454" s="9" t="n">
        <f aca="false">IF(COUNTIFS($C$5:C454,C454,$H$5:H454,H454,$E$5:E454,E454)&gt;1,1,0)</f>
        <v>0</v>
      </c>
      <c r="J454" s="9" t="n">
        <f aca="false">IF(AND(I454=0,COUNTIFS($C$5:$C$634,C454,$E$5:$E$634,E454,$B$5:$B$634,"&gt;="&amp;(B454-Parameters!$B$12),$B$5:$B$634,"&lt;="&amp;(B454+Parameters!$B$12),$H$5:$H$634,"&lt;&gt;"&amp;H454)&gt;0),1,0)</f>
        <v>0</v>
      </c>
      <c r="K454" s="9" t="n">
        <f aca="false">IF(AND(E454&gt;=Parameters!$B$11,ROUND(MOD(ROUND(E454,2),Parameters!$B$10),2)=0),1,0)</f>
        <v>0</v>
      </c>
      <c r="L454" s="9" t="n">
        <f aca="false">IF(AND(E454&lt;Parameters!$B$7,E454&gt;=Parameters!$B$7*(1-Parameters!$B$9)),1,0)</f>
        <v>0</v>
      </c>
      <c r="M454" s="9" t="n">
        <f aca="false">IF(AND(E454&lt;Parameters!$B$7,COUNTIFS($C$5:$C$634,C454,$B$5:$B$634,B454)&gt;1,SUMIFS($E$5:$E$634,$C$5:$C$634,C454,$B$5:$B$634,B454)&gt;=Parameters!$B$7),1,0)</f>
        <v>0</v>
      </c>
      <c r="N454" s="9" t="n">
        <f aca="false">IF(AND(E454&gt;=Parameters!$B$7,F454&lt;&gt;Parameters!$B$8),1,0)</f>
        <v>0</v>
      </c>
      <c r="O454" s="9" t="n">
        <f aca="false">INDEX(Vendor_Benford!$N$6:$N$50,MATCH(C454,Vendor_Benford!$A$6:$A$50,0))</f>
        <v>0</v>
      </c>
      <c r="P454" s="9" t="n">
        <f aca="false">INDEX(Vendor_Benford!$M$6:$M$50,MATCH(C454,Vendor_Benford!$A$6:$A$50,0))</f>
        <v>0</v>
      </c>
      <c r="Q454" s="9" t="n">
        <f aca="false">I454*Parameters!$B$28+J454*Parameters!$B$29+K454*Parameters!$B$30+L454*Parameters!$B$31+M454*Parameters!$B$32+N454*Parameters!$B$33+O454*Parameters!$B$34+P454*Parameters!$B$35</f>
        <v>0</v>
      </c>
      <c r="R454" s="0" t="str">
        <f aca="false">IF(Q454&gt;=Parameters!$B$24,"High","")</f>
        <v/>
      </c>
    </row>
    <row r="455" customFormat="false" ht="15" hidden="false" customHeight="false" outlineLevel="0" collapsed="false">
      <c r="A455" s="10" t="s">
        <v>1214</v>
      </c>
      <c r="B455" s="8" t="n">
        <v>45925</v>
      </c>
      <c r="C455" s="10" t="s">
        <v>173</v>
      </c>
      <c r="D455" s="10" t="s">
        <v>1215</v>
      </c>
      <c r="E455" s="12" t="n">
        <v>930.47</v>
      </c>
      <c r="F455" s="10" t="s">
        <v>347</v>
      </c>
      <c r="G455" s="9" t="n">
        <f aca="false">VALUE(LEFT(TEXT(E455,"0.00"),1))</f>
        <v>9</v>
      </c>
      <c r="H455" s="0" t="str">
        <f aca="false">UPPER(SUBSTITUTE(SUBSTITUTE(SUBSTITUTE(D455," ",""),"/",""),".",""))</f>
        <v>INV22009</v>
      </c>
      <c r="I455" s="9" t="n">
        <f aca="false">IF(COUNTIFS($C$5:C455,C455,$H$5:H455,H455,$E$5:E455,E455)&gt;1,1,0)</f>
        <v>0</v>
      </c>
      <c r="J455" s="9" t="n">
        <f aca="false">IF(AND(I455=0,COUNTIFS($C$5:$C$634,C455,$E$5:$E$634,E455,$B$5:$B$634,"&gt;="&amp;(B455-Parameters!$B$12),$B$5:$B$634,"&lt;="&amp;(B455+Parameters!$B$12),$H$5:$H$634,"&lt;&gt;"&amp;H455)&gt;0),1,0)</f>
        <v>0</v>
      </c>
      <c r="K455" s="9" t="n">
        <f aca="false">IF(AND(E455&gt;=Parameters!$B$11,ROUND(MOD(ROUND(E455,2),Parameters!$B$10),2)=0),1,0)</f>
        <v>0</v>
      </c>
      <c r="L455" s="9" t="n">
        <f aca="false">IF(AND(E455&lt;Parameters!$B$7,E455&gt;=Parameters!$B$7*(1-Parameters!$B$9)),1,0)</f>
        <v>0</v>
      </c>
      <c r="M455" s="9" t="n">
        <f aca="false">IF(AND(E455&lt;Parameters!$B$7,COUNTIFS($C$5:$C$634,C455,$B$5:$B$634,B455)&gt;1,SUMIFS($E$5:$E$634,$C$5:$C$634,C455,$B$5:$B$634,B455)&gt;=Parameters!$B$7),1,0)</f>
        <v>0</v>
      </c>
      <c r="N455" s="9" t="n">
        <f aca="false">IF(AND(E455&gt;=Parameters!$B$7,F455&lt;&gt;Parameters!$B$8),1,0)</f>
        <v>0</v>
      </c>
      <c r="O455" s="9" t="n">
        <f aca="false">INDEX(Vendor_Benford!$N$6:$N$50,MATCH(C455,Vendor_Benford!$A$6:$A$50,0))</f>
        <v>0</v>
      </c>
      <c r="P455" s="9" t="n">
        <f aca="false">INDEX(Vendor_Benford!$M$6:$M$50,MATCH(C455,Vendor_Benford!$A$6:$A$50,0))</f>
        <v>0</v>
      </c>
      <c r="Q455" s="9" t="n">
        <f aca="false">I455*Parameters!$B$28+J455*Parameters!$B$29+K455*Parameters!$B$30+L455*Parameters!$B$31+M455*Parameters!$B$32+N455*Parameters!$B$33+O455*Parameters!$B$34+P455*Parameters!$B$35</f>
        <v>0</v>
      </c>
      <c r="R455" s="0" t="str">
        <f aca="false">IF(Q455&gt;=Parameters!$B$24,"High","")</f>
        <v/>
      </c>
    </row>
    <row r="456" customFormat="false" ht="15" hidden="false" customHeight="false" outlineLevel="0" collapsed="false">
      <c r="A456" s="10" t="s">
        <v>1216</v>
      </c>
      <c r="B456" s="8" t="n">
        <v>45925</v>
      </c>
      <c r="C456" s="10" t="s">
        <v>209</v>
      </c>
      <c r="D456" s="10" t="s">
        <v>1217</v>
      </c>
      <c r="E456" s="12" t="n">
        <v>537.99</v>
      </c>
      <c r="F456" s="10" t="s">
        <v>347</v>
      </c>
      <c r="G456" s="9" t="n">
        <f aca="false">VALUE(LEFT(TEXT(E456,"0.00"),1))</f>
        <v>5</v>
      </c>
      <c r="H456" s="0" t="str">
        <f aca="false">UPPER(SUBSTITUTE(SUBSTITUTE(SUBSTITUTE(D456," ",""),"/",""),".",""))</f>
        <v>INV34008</v>
      </c>
      <c r="I456" s="9" t="n">
        <f aca="false">IF(COUNTIFS($C$5:C456,C456,$H$5:H456,H456,$E$5:E456,E456)&gt;1,1,0)</f>
        <v>0</v>
      </c>
      <c r="J456" s="9" t="n">
        <f aca="false">IF(AND(I456=0,COUNTIFS($C$5:$C$634,C456,$E$5:$E$634,E456,$B$5:$B$634,"&gt;="&amp;(B456-Parameters!$B$12),$B$5:$B$634,"&lt;="&amp;(B456+Parameters!$B$12),$H$5:$H$634,"&lt;&gt;"&amp;H456)&gt;0),1,0)</f>
        <v>0</v>
      </c>
      <c r="K456" s="9" t="n">
        <f aca="false">IF(AND(E456&gt;=Parameters!$B$11,ROUND(MOD(ROUND(E456,2),Parameters!$B$10),2)=0),1,0)</f>
        <v>0</v>
      </c>
      <c r="L456" s="9" t="n">
        <f aca="false">IF(AND(E456&lt;Parameters!$B$7,E456&gt;=Parameters!$B$7*(1-Parameters!$B$9)),1,0)</f>
        <v>0</v>
      </c>
      <c r="M456" s="9" t="n">
        <f aca="false">IF(AND(E456&lt;Parameters!$B$7,COUNTIFS($C$5:$C$634,C456,$B$5:$B$634,B456)&gt;1,SUMIFS($E$5:$E$634,$C$5:$C$634,C456,$B$5:$B$634,B456)&gt;=Parameters!$B$7),1,0)</f>
        <v>0</v>
      </c>
      <c r="N456" s="9" t="n">
        <f aca="false">IF(AND(E456&gt;=Parameters!$B$7,F456&lt;&gt;Parameters!$B$8),1,0)</f>
        <v>0</v>
      </c>
      <c r="O456" s="9" t="n">
        <f aca="false">INDEX(Vendor_Benford!$N$6:$N$50,MATCH(C456,Vendor_Benford!$A$6:$A$50,0))</f>
        <v>0</v>
      </c>
      <c r="P456" s="9" t="n">
        <f aca="false">INDEX(Vendor_Benford!$M$6:$M$50,MATCH(C456,Vendor_Benford!$A$6:$A$50,0))</f>
        <v>0</v>
      </c>
      <c r="Q456" s="9" t="n">
        <f aca="false">I456*Parameters!$B$28+J456*Parameters!$B$29+K456*Parameters!$B$30+L456*Parameters!$B$31+M456*Parameters!$B$32+N456*Parameters!$B$33+O456*Parameters!$B$34+P456*Parameters!$B$35</f>
        <v>0</v>
      </c>
      <c r="R456" s="0" t="str">
        <f aca="false">IF(Q456&gt;=Parameters!$B$24,"High","")</f>
        <v/>
      </c>
    </row>
    <row r="457" customFormat="false" ht="15" hidden="false" customHeight="false" outlineLevel="0" collapsed="false">
      <c r="A457" s="10" t="s">
        <v>1218</v>
      </c>
      <c r="B457" s="8" t="n">
        <v>45925</v>
      </c>
      <c r="C457" s="10" t="s">
        <v>218</v>
      </c>
      <c r="D457" s="10" t="s">
        <v>1219</v>
      </c>
      <c r="E457" s="12" t="n">
        <v>28458.91</v>
      </c>
      <c r="F457" s="10" t="s">
        <v>40</v>
      </c>
      <c r="G457" s="9" t="n">
        <f aca="false">VALUE(LEFT(TEXT(E457,"0.00"),1))</f>
        <v>2</v>
      </c>
      <c r="H457" s="0" t="str">
        <f aca="false">UPPER(SUBSTITUTE(SUBSTITUTE(SUBSTITUTE(D457," ",""),"/",""),".",""))</f>
        <v>INV37003</v>
      </c>
      <c r="I457" s="9" t="n">
        <f aca="false">IF(COUNTIFS($C$5:C457,C457,$H$5:H457,H457,$E$5:E457,E457)&gt;1,1,0)</f>
        <v>0</v>
      </c>
      <c r="J457" s="9" t="n">
        <f aca="false">IF(AND(I457=0,COUNTIFS($C$5:$C$634,C457,$E$5:$E$634,E457,$B$5:$B$634,"&gt;="&amp;(B457-Parameters!$B$12),$B$5:$B$634,"&lt;="&amp;(B457+Parameters!$B$12),$H$5:$H$634,"&lt;&gt;"&amp;H457)&gt;0),1,0)</f>
        <v>0</v>
      </c>
      <c r="K457" s="9" t="n">
        <f aca="false">IF(AND(E457&gt;=Parameters!$B$11,ROUND(MOD(ROUND(E457,2),Parameters!$B$10),2)=0),1,0)</f>
        <v>0</v>
      </c>
      <c r="L457" s="9" t="n">
        <f aca="false">IF(AND(E457&lt;Parameters!$B$7,E457&gt;=Parameters!$B$7*(1-Parameters!$B$9)),1,0)</f>
        <v>0</v>
      </c>
      <c r="M457" s="9" t="n">
        <f aca="false">IF(AND(E457&lt;Parameters!$B$7,COUNTIFS($C$5:$C$634,C457,$B$5:$B$634,B457)&gt;1,SUMIFS($E$5:$E$634,$C$5:$C$634,C457,$B$5:$B$634,B457)&gt;=Parameters!$B$7),1,0)</f>
        <v>0</v>
      </c>
      <c r="N457" s="9" t="n">
        <f aca="false">IF(AND(E457&gt;=Parameters!$B$7,F457&lt;&gt;Parameters!$B$8),1,0)</f>
        <v>0</v>
      </c>
      <c r="O457" s="9" t="n">
        <f aca="false">INDEX(Vendor_Benford!$N$6:$N$50,MATCH(C457,Vendor_Benford!$A$6:$A$50,0))</f>
        <v>0</v>
      </c>
      <c r="P457" s="9" t="n">
        <f aca="false">INDEX(Vendor_Benford!$M$6:$M$50,MATCH(C457,Vendor_Benford!$A$6:$A$50,0))</f>
        <v>0</v>
      </c>
      <c r="Q457" s="9" t="n">
        <f aca="false">I457*Parameters!$B$28+J457*Parameters!$B$29+K457*Parameters!$B$30+L457*Parameters!$B$31+M457*Parameters!$B$32+N457*Parameters!$B$33+O457*Parameters!$B$34+P457*Parameters!$B$35</f>
        <v>0</v>
      </c>
      <c r="R457" s="0" t="str">
        <f aca="false">IF(Q457&gt;=Parameters!$B$24,"High","")</f>
        <v/>
      </c>
    </row>
    <row r="458" customFormat="false" ht="15" hidden="false" customHeight="false" outlineLevel="0" collapsed="false">
      <c r="A458" s="10" t="s">
        <v>1220</v>
      </c>
      <c r="B458" s="8" t="n">
        <v>45926</v>
      </c>
      <c r="C458" s="10" t="s">
        <v>173</v>
      </c>
      <c r="D458" s="10" t="s">
        <v>1201</v>
      </c>
      <c r="E458" s="12" t="n">
        <v>1188.54</v>
      </c>
      <c r="F458" s="10" t="s">
        <v>347</v>
      </c>
      <c r="G458" s="9" t="n">
        <f aca="false">VALUE(LEFT(TEXT(E458,"0.00"),1))</f>
        <v>1</v>
      </c>
      <c r="H458" s="0" t="str">
        <f aca="false">UPPER(SUBSTITUTE(SUBSTITUTE(SUBSTITUTE(D458," ",""),"/",""),".",""))</f>
        <v>INV22003</v>
      </c>
      <c r="I458" s="9" t="n">
        <f aca="false">IF(COUNTIFS($C$5:C458,C458,$H$5:H458,H458,$E$5:E458,E458)&gt;1,1,0)</f>
        <v>1</v>
      </c>
      <c r="J458" s="9" t="n">
        <f aca="false">IF(AND(I458=0,COUNTIFS($C$5:$C$634,C458,$E$5:$E$634,E458,$B$5:$B$634,"&gt;="&amp;(B458-Parameters!$B$12),$B$5:$B$634,"&lt;="&amp;(B458+Parameters!$B$12),$H$5:$H$634,"&lt;&gt;"&amp;H458)&gt;0),1,0)</f>
        <v>0</v>
      </c>
      <c r="K458" s="9" t="n">
        <f aca="false">IF(AND(E458&gt;=Parameters!$B$11,ROUND(MOD(ROUND(E458,2),Parameters!$B$10),2)=0),1,0)</f>
        <v>0</v>
      </c>
      <c r="L458" s="9" t="n">
        <f aca="false">IF(AND(E458&lt;Parameters!$B$7,E458&gt;=Parameters!$B$7*(1-Parameters!$B$9)),1,0)</f>
        <v>0</v>
      </c>
      <c r="M458" s="9" t="n">
        <f aca="false">IF(AND(E458&lt;Parameters!$B$7,COUNTIFS($C$5:$C$634,C458,$B$5:$B$634,B458)&gt;1,SUMIFS($E$5:$E$634,$C$5:$C$634,C458,$B$5:$B$634,B458)&gt;=Parameters!$B$7),1,0)</f>
        <v>0</v>
      </c>
      <c r="N458" s="9" t="n">
        <f aca="false">IF(AND(E458&gt;=Parameters!$B$7,F458&lt;&gt;Parameters!$B$8),1,0)</f>
        <v>0</v>
      </c>
      <c r="O458" s="9" t="n">
        <f aca="false">INDEX(Vendor_Benford!$N$6:$N$50,MATCH(C458,Vendor_Benford!$A$6:$A$50,0))</f>
        <v>0</v>
      </c>
      <c r="P458" s="9" t="n">
        <f aca="false">INDEX(Vendor_Benford!$M$6:$M$50,MATCH(C458,Vendor_Benford!$A$6:$A$50,0))</f>
        <v>0</v>
      </c>
      <c r="Q458" s="9" t="n">
        <f aca="false">I458*Parameters!$B$28+J458*Parameters!$B$29+K458*Parameters!$B$30+L458*Parameters!$B$31+M458*Parameters!$B$32+N458*Parameters!$B$33+O458*Parameters!$B$34+P458*Parameters!$B$35</f>
        <v>5</v>
      </c>
      <c r="R458" s="0" t="str">
        <f aca="false">IF(Q458&gt;=Parameters!$B$24,"High","")</f>
        <v>High</v>
      </c>
    </row>
    <row r="459" customFormat="false" ht="15" hidden="false" customHeight="false" outlineLevel="0" collapsed="false">
      <c r="A459" s="10" t="s">
        <v>1221</v>
      </c>
      <c r="B459" s="8" t="n">
        <v>45929</v>
      </c>
      <c r="C459" s="10" t="s">
        <v>152</v>
      </c>
      <c r="D459" s="10" t="s">
        <v>1222</v>
      </c>
      <c r="E459" s="12" t="n">
        <v>143.62</v>
      </c>
      <c r="F459" s="10" t="s">
        <v>347</v>
      </c>
      <c r="G459" s="9" t="n">
        <f aca="false">VALUE(LEFT(TEXT(E459,"0.00"),1))</f>
        <v>1</v>
      </c>
      <c r="H459" s="0" t="str">
        <f aca="false">UPPER(SUBSTITUTE(SUBSTITUTE(SUBSTITUTE(D459," ",""),"/",""),".",""))</f>
        <v>INV15020</v>
      </c>
      <c r="I459" s="9" t="n">
        <f aca="false">IF(COUNTIFS($C$5:C459,C459,$H$5:H459,H459,$E$5:E459,E459)&gt;1,1,0)</f>
        <v>0</v>
      </c>
      <c r="J459" s="9" t="n">
        <f aca="false">IF(AND(I459=0,COUNTIFS($C$5:$C$634,C459,$E$5:$E$634,E459,$B$5:$B$634,"&gt;="&amp;(B459-Parameters!$B$12),$B$5:$B$634,"&lt;="&amp;(B459+Parameters!$B$12),$H$5:$H$634,"&lt;&gt;"&amp;H459)&gt;0),1,0)</f>
        <v>0</v>
      </c>
      <c r="K459" s="9" t="n">
        <f aca="false">IF(AND(E459&gt;=Parameters!$B$11,ROUND(MOD(ROUND(E459,2),Parameters!$B$10),2)=0),1,0)</f>
        <v>0</v>
      </c>
      <c r="L459" s="9" t="n">
        <f aca="false">IF(AND(E459&lt;Parameters!$B$7,E459&gt;=Parameters!$B$7*(1-Parameters!$B$9)),1,0)</f>
        <v>0</v>
      </c>
      <c r="M459" s="9" t="n">
        <f aca="false">IF(AND(E459&lt;Parameters!$B$7,COUNTIFS($C$5:$C$634,C459,$B$5:$B$634,B459)&gt;1,SUMIFS($E$5:$E$634,$C$5:$C$634,C459,$B$5:$B$634,B459)&gt;=Parameters!$B$7),1,0)</f>
        <v>0</v>
      </c>
      <c r="N459" s="9" t="n">
        <f aca="false">IF(AND(E459&gt;=Parameters!$B$7,F459&lt;&gt;Parameters!$B$8),1,0)</f>
        <v>0</v>
      </c>
      <c r="O459" s="9" t="n">
        <f aca="false">INDEX(Vendor_Benford!$N$6:$N$50,MATCH(C459,Vendor_Benford!$A$6:$A$50,0))</f>
        <v>0</v>
      </c>
      <c r="P459" s="9" t="n">
        <f aca="false">INDEX(Vendor_Benford!$M$6:$M$50,MATCH(C459,Vendor_Benford!$A$6:$A$50,0))</f>
        <v>0</v>
      </c>
      <c r="Q459" s="9" t="n">
        <f aca="false">I459*Parameters!$B$28+J459*Parameters!$B$29+K459*Parameters!$B$30+L459*Parameters!$B$31+M459*Parameters!$B$32+N459*Parameters!$B$33+O459*Parameters!$B$34+P459*Parameters!$B$35</f>
        <v>0</v>
      </c>
      <c r="R459" s="0" t="str">
        <f aca="false">IF(Q459&gt;=Parameters!$B$24,"High","")</f>
        <v/>
      </c>
    </row>
    <row r="460" customFormat="false" ht="15" hidden="false" customHeight="false" outlineLevel="0" collapsed="false">
      <c r="A460" s="10" t="s">
        <v>1223</v>
      </c>
      <c r="B460" s="8" t="n">
        <v>45929</v>
      </c>
      <c r="C460" s="10" t="s">
        <v>173</v>
      </c>
      <c r="D460" s="10" t="s">
        <v>1224</v>
      </c>
      <c r="E460" s="12" t="n">
        <v>10123.14</v>
      </c>
      <c r="F460" s="10" t="s">
        <v>40</v>
      </c>
      <c r="G460" s="9" t="n">
        <f aca="false">VALUE(LEFT(TEXT(E460,"0.00"),1))</f>
        <v>1</v>
      </c>
      <c r="H460" s="0" t="str">
        <f aca="false">UPPER(SUBSTITUTE(SUBSTITUTE(SUBSTITUTE(D460," ",""),"/",""),".",""))</f>
        <v>INV22006</v>
      </c>
      <c r="I460" s="9" t="n">
        <f aca="false">IF(COUNTIFS($C$5:C460,C460,$H$5:H460,H460,$E$5:E460,E460)&gt;1,1,0)</f>
        <v>0</v>
      </c>
      <c r="J460" s="9" t="n">
        <f aca="false">IF(AND(I460=0,COUNTIFS($C$5:$C$634,C460,$E$5:$E$634,E460,$B$5:$B$634,"&gt;="&amp;(B460-Parameters!$B$12),$B$5:$B$634,"&lt;="&amp;(B460+Parameters!$B$12),$H$5:$H$634,"&lt;&gt;"&amp;H460)&gt;0),1,0)</f>
        <v>1</v>
      </c>
      <c r="K460" s="9" t="n">
        <f aca="false">IF(AND(E460&gt;=Parameters!$B$11,ROUND(MOD(ROUND(E460,2),Parameters!$B$10),2)=0),1,0)</f>
        <v>0</v>
      </c>
      <c r="L460" s="9" t="n">
        <f aca="false">IF(AND(E460&lt;Parameters!$B$7,E460&gt;=Parameters!$B$7*(1-Parameters!$B$9)),1,0)</f>
        <v>0</v>
      </c>
      <c r="M460" s="9" t="n">
        <f aca="false">IF(AND(E460&lt;Parameters!$B$7,COUNTIFS($C$5:$C$634,C460,$B$5:$B$634,B460)&gt;1,SUMIFS($E$5:$E$634,$C$5:$C$634,C460,$B$5:$B$634,B460)&gt;=Parameters!$B$7),1,0)</f>
        <v>0</v>
      </c>
      <c r="N460" s="9" t="n">
        <f aca="false">IF(AND(E460&gt;=Parameters!$B$7,F460&lt;&gt;Parameters!$B$8),1,0)</f>
        <v>0</v>
      </c>
      <c r="O460" s="9" t="n">
        <f aca="false">INDEX(Vendor_Benford!$N$6:$N$50,MATCH(C460,Vendor_Benford!$A$6:$A$50,0))</f>
        <v>0</v>
      </c>
      <c r="P460" s="9" t="n">
        <f aca="false">INDEX(Vendor_Benford!$M$6:$M$50,MATCH(C460,Vendor_Benford!$A$6:$A$50,0))</f>
        <v>0</v>
      </c>
      <c r="Q460" s="9" t="n">
        <f aca="false">I460*Parameters!$B$28+J460*Parameters!$B$29+K460*Parameters!$B$30+L460*Parameters!$B$31+M460*Parameters!$B$32+N460*Parameters!$B$33+O460*Parameters!$B$34+P460*Parameters!$B$35</f>
        <v>3</v>
      </c>
      <c r="R460" s="0" t="str">
        <f aca="false">IF(Q460&gt;=Parameters!$B$24,"High","")</f>
        <v/>
      </c>
    </row>
    <row r="461" customFormat="false" ht="15" hidden="false" customHeight="false" outlineLevel="0" collapsed="false">
      <c r="A461" s="10" t="s">
        <v>1225</v>
      </c>
      <c r="B461" s="8" t="n">
        <v>45929</v>
      </c>
      <c r="C461" s="10" t="s">
        <v>173</v>
      </c>
      <c r="D461" s="10" t="s">
        <v>1226</v>
      </c>
      <c r="E461" s="12" t="n">
        <v>86555.01</v>
      </c>
      <c r="F461" s="10" t="s">
        <v>40</v>
      </c>
      <c r="G461" s="9" t="n">
        <f aca="false">VALUE(LEFT(TEXT(E461,"0.00"),1))</f>
        <v>8</v>
      </c>
      <c r="H461" s="0" t="str">
        <f aca="false">UPPER(SUBSTITUTE(SUBSTITUTE(SUBSTITUTE(D461," ",""),"/",""),".",""))</f>
        <v>INV22008</v>
      </c>
      <c r="I461" s="9" t="n">
        <f aca="false">IF(COUNTIFS($C$5:C461,C461,$H$5:H461,H461,$E$5:E461,E461)&gt;1,1,0)</f>
        <v>0</v>
      </c>
      <c r="J461" s="9" t="n">
        <f aca="false">IF(AND(I461=0,COUNTIFS($C$5:$C$634,C461,$E$5:$E$634,E461,$B$5:$B$634,"&gt;="&amp;(B461-Parameters!$B$12),$B$5:$B$634,"&lt;="&amp;(B461+Parameters!$B$12),$H$5:$H$634,"&lt;&gt;"&amp;H461)&gt;0),1,0)</f>
        <v>0</v>
      </c>
      <c r="K461" s="9" t="n">
        <f aca="false">IF(AND(E461&gt;=Parameters!$B$11,ROUND(MOD(ROUND(E461,2),Parameters!$B$10),2)=0),1,0)</f>
        <v>0</v>
      </c>
      <c r="L461" s="9" t="n">
        <f aca="false">IF(AND(E461&lt;Parameters!$B$7,E461&gt;=Parameters!$B$7*(1-Parameters!$B$9)),1,0)</f>
        <v>0</v>
      </c>
      <c r="M461" s="9" t="n">
        <f aca="false">IF(AND(E461&lt;Parameters!$B$7,COUNTIFS($C$5:$C$634,C461,$B$5:$B$634,B461)&gt;1,SUMIFS($E$5:$E$634,$C$5:$C$634,C461,$B$5:$B$634,B461)&gt;=Parameters!$B$7),1,0)</f>
        <v>0</v>
      </c>
      <c r="N461" s="9" t="n">
        <f aca="false">IF(AND(E461&gt;=Parameters!$B$7,F461&lt;&gt;Parameters!$B$8),1,0)</f>
        <v>0</v>
      </c>
      <c r="O461" s="9" t="n">
        <f aca="false">INDEX(Vendor_Benford!$N$6:$N$50,MATCH(C461,Vendor_Benford!$A$6:$A$50,0))</f>
        <v>0</v>
      </c>
      <c r="P461" s="9" t="n">
        <f aca="false">INDEX(Vendor_Benford!$M$6:$M$50,MATCH(C461,Vendor_Benford!$A$6:$A$50,0))</f>
        <v>0</v>
      </c>
      <c r="Q461" s="9" t="n">
        <f aca="false">I461*Parameters!$B$28+J461*Parameters!$B$29+K461*Parameters!$B$30+L461*Parameters!$B$31+M461*Parameters!$B$32+N461*Parameters!$B$33+O461*Parameters!$B$34+P461*Parameters!$B$35</f>
        <v>0</v>
      </c>
      <c r="R461" s="0" t="str">
        <f aca="false">IF(Q461&gt;=Parameters!$B$24,"High","")</f>
        <v/>
      </c>
    </row>
    <row r="462" customFormat="false" ht="15" hidden="false" customHeight="false" outlineLevel="0" collapsed="false">
      <c r="A462" s="10" t="s">
        <v>1227</v>
      </c>
      <c r="B462" s="8" t="n">
        <v>45929</v>
      </c>
      <c r="C462" s="10" t="s">
        <v>215</v>
      </c>
      <c r="D462" s="10" t="s">
        <v>1228</v>
      </c>
      <c r="E462" s="12" t="n">
        <v>60378.09</v>
      </c>
      <c r="F462" s="10" t="s">
        <v>40</v>
      </c>
      <c r="G462" s="9" t="n">
        <f aca="false">VALUE(LEFT(TEXT(E462,"0.00"),1))</f>
        <v>6</v>
      </c>
      <c r="H462" s="0" t="str">
        <f aca="false">UPPER(SUBSTITUTE(SUBSTITUTE(SUBSTITUTE(D462," ",""),"/",""),".",""))</f>
        <v>INV36004</v>
      </c>
      <c r="I462" s="9" t="n">
        <f aca="false">IF(COUNTIFS($C$5:C462,C462,$H$5:H462,H462,$E$5:E462,E462)&gt;1,1,0)</f>
        <v>0</v>
      </c>
      <c r="J462" s="9" t="n">
        <f aca="false">IF(AND(I462=0,COUNTIFS($C$5:$C$634,C462,$E$5:$E$634,E462,$B$5:$B$634,"&gt;="&amp;(B462-Parameters!$B$12),$B$5:$B$634,"&lt;="&amp;(B462+Parameters!$B$12),$H$5:$H$634,"&lt;&gt;"&amp;H462)&gt;0),1,0)</f>
        <v>0</v>
      </c>
      <c r="K462" s="9" t="n">
        <f aca="false">IF(AND(E462&gt;=Parameters!$B$11,ROUND(MOD(ROUND(E462,2),Parameters!$B$10),2)=0),1,0)</f>
        <v>0</v>
      </c>
      <c r="L462" s="9" t="n">
        <f aca="false">IF(AND(E462&lt;Parameters!$B$7,E462&gt;=Parameters!$B$7*(1-Parameters!$B$9)),1,0)</f>
        <v>0</v>
      </c>
      <c r="M462" s="9" t="n">
        <f aca="false">IF(AND(E462&lt;Parameters!$B$7,COUNTIFS($C$5:$C$634,C462,$B$5:$B$634,B462)&gt;1,SUMIFS($E$5:$E$634,$C$5:$C$634,C462,$B$5:$B$634,B462)&gt;=Parameters!$B$7),1,0)</f>
        <v>0</v>
      </c>
      <c r="N462" s="9" t="n">
        <f aca="false">IF(AND(E462&gt;=Parameters!$B$7,F462&lt;&gt;Parameters!$B$8),1,0)</f>
        <v>0</v>
      </c>
      <c r="O462" s="9" t="n">
        <f aca="false">INDEX(Vendor_Benford!$N$6:$N$50,MATCH(C462,Vendor_Benford!$A$6:$A$50,0))</f>
        <v>0</v>
      </c>
      <c r="P462" s="9" t="n">
        <f aca="false">INDEX(Vendor_Benford!$M$6:$M$50,MATCH(C462,Vendor_Benford!$A$6:$A$50,0))</f>
        <v>0</v>
      </c>
      <c r="Q462" s="9" t="n">
        <f aca="false">I462*Parameters!$B$28+J462*Parameters!$B$29+K462*Parameters!$B$30+L462*Parameters!$B$31+M462*Parameters!$B$32+N462*Parameters!$B$33+O462*Parameters!$B$34+P462*Parameters!$B$35</f>
        <v>0</v>
      </c>
      <c r="R462" s="0" t="str">
        <f aca="false">IF(Q462&gt;=Parameters!$B$24,"High","")</f>
        <v/>
      </c>
    </row>
    <row r="463" customFormat="false" ht="15" hidden="false" customHeight="false" outlineLevel="0" collapsed="false">
      <c r="A463" s="10" t="s">
        <v>1229</v>
      </c>
      <c r="B463" s="8" t="n">
        <v>45930</v>
      </c>
      <c r="C463" s="10" t="s">
        <v>161</v>
      </c>
      <c r="D463" s="10" t="s">
        <v>1230</v>
      </c>
      <c r="E463" s="12" t="n">
        <v>1271.54</v>
      </c>
      <c r="F463" s="10" t="s">
        <v>347</v>
      </c>
      <c r="G463" s="9" t="n">
        <f aca="false">VALUE(LEFT(TEXT(E463,"0.00"),1))</f>
        <v>1</v>
      </c>
      <c r="H463" s="0" t="str">
        <f aca="false">UPPER(SUBSTITUTE(SUBSTITUTE(SUBSTITUTE(D463," ",""),"/",""),".",""))</f>
        <v>INV18021</v>
      </c>
      <c r="I463" s="9" t="n">
        <f aca="false">IF(COUNTIFS($C$5:C463,C463,$H$5:H463,H463,$E$5:E463,E463)&gt;1,1,0)</f>
        <v>0</v>
      </c>
      <c r="J463" s="9" t="n">
        <f aca="false">IF(AND(I463=0,COUNTIFS($C$5:$C$634,C463,$E$5:$E$634,E463,$B$5:$B$634,"&gt;="&amp;(B463-Parameters!$B$12),$B$5:$B$634,"&lt;="&amp;(B463+Parameters!$B$12),$H$5:$H$634,"&lt;&gt;"&amp;H463)&gt;0),1,0)</f>
        <v>0</v>
      </c>
      <c r="K463" s="9" t="n">
        <f aca="false">IF(AND(E463&gt;=Parameters!$B$11,ROUND(MOD(ROUND(E463,2),Parameters!$B$10),2)=0),1,0)</f>
        <v>0</v>
      </c>
      <c r="L463" s="9" t="n">
        <f aca="false">IF(AND(E463&lt;Parameters!$B$7,E463&gt;=Parameters!$B$7*(1-Parameters!$B$9)),1,0)</f>
        <v>0</v>
      </c>
      <c r="M463" s="9" t="n">
        <f aca="false">IF(AND(E463&lt;Parameters!$B$7,COUNTIFS($C$5:$C$634,C463,$B$5:$B$634,B463)&gt;1,SUMIFS($E$5:$E$634,$C$5:$C$634,C463,$B$5:$B$634,B463)&gt;=Parameters!$B$7),1,0)</f>
        <v>0</v>
      </c>
      <c r="N463" s="9" t="n">
        <f aca="false">IF(AND(E463&gt;=Parameters!$B$7,F463&lt;&gt;Parameters!$B$8),1,0)</f>
        <v>0</v>
      </c>
      <c r="O463" s="9" t="n">
        <f aca="false">INDEX(Vendor_Benford!$N$6:$N$50,MATCH(C463,Vendor_Benford!$A$6:$A$50,0))</f>
        <v>0</v>
      </c>
      <c r="P463" s="9" t="n">
        <f aca="false">INDEX(Vendor_Benford!$M$6:$M$50,MATCH(C463,Vendor_Benford!$A$6:$A$50,0))</f>
        <v>0</v>
      </c>
      <c r="Q463" s="9" t="n">
        <f aca="false">I463*Parameters!$B$28+J463*Parameters!$B$29+K463*Parameters!$B$30+L463*Parameters!$B$31+M463*Parameters!$B$32+N463*Parameters!$B$33+O463*Parameters!$B$34+P463*Parameters!$B$35</f>
        <v>0</v>
      </c>
      <c r="R463" s="0" t="str">
        <f aca="false">IF(Q463&gt;=Parameters!$B$24,"High","")</f>
        <v/>
      </c>
    </row>
    <row r="464" customFormat="false" ht="15" hidden="false" customHeight="false" outlineLevel="0" collapsed="false">
      <c r="A464" s="10" t="s">
        <v>1231</v>
      </c>
      <c r="B464" s="8" t="n">
        <v>45931</v>
      </c>
      <c r="C464" s="10" t="s">
        <v>143</v>
      </c>
      <c r="D464" s="10" t="s">
        <v>1232</v>
      </c>
      <c r="E464" s="12" t="n">
        <v>21689.43</v>
      </c>
      <c r="F464" s="10" t="s">
        <v>40</v>
      </c>
      <c r="G464" s="9" t="n">
        <f aca="false">VALUE(LEFT(TEXT(E464,"0.00"),1))</f>
        <v>2</v>
      </c>
      <c r="H464" s="0" t="str">
        <f aca="false">UPPER(SUBSTITUTE(SUBSTITUTE(SUBSTITUTE(D464," ",""),"/",""),".",""))</f>
        <v>INV12021</v>
      </c>
      <c r="I464" s="9" t="n">
        <f aca="false">IF(COUNTIFS($C$5:C464,C464,$H$5:H464,H464,$E$5:E464,E464)&gt;1,1,0)</f>
        <v>0</v>
      </c>
      <c r="J464" s="9" t="n">
        <f aca="false">IF(AND(I464=0,COUNTIFS($C$5:$C$634,C464,$E$5:$E$634,E464,$B$5:$B$634,"&gt;="&amp;(B464-Parameters!$B$12),$B$5:$B$634,"&lt;="&amp;(B464+Parameters!$B$12),$H$5:$H$634,"&lt;&gt;"&amp;H464)&gt;0),1,0)</f>
        <v>1</v>
      </c>
      <c r="K464" s="9" t="n">
        <f aca="false">IF(AND(E464&gt;=Parameters!$B$11,ROUND(MOD(ROUND(E464,2),Parameters!$B$10),2)=0),1,0)</f>
        <v>0</v>
      </c>
      <c r="L464" s="9" t="n">
        <f aca="false">IF(AND(E464&lt;Parameters!$B$7,E464&gt;=Parameters!$B$7*(1-Parameters!$B$9)),1,0)</f>
        <v>0</v>
      </c>
      <c r="M464" s="9" t="n">
        <f aca="false">IF(AND(E464&lt;Parameters!$B$7,COUNTIFS($C$5:$C$634,C464,$B$5:$B$634,B464)&gt;1,SUMIFS($E$5:$E$634,$C$5:$C$634,C464,$B$5:$B$634,B464)&gt;=Parameters!$B$7),1,0)</f>
        <v>0</v>
      </c>
      <c r="N464" s="9" t="n">
        <f aca="false">IF(AND(E464&gt;=Parameters!$B$7,F464&lt;&gt;Parameters!$B$8),1,0)</f>
        <v>0</v>
      </c>
      <c r="O464" s="9" t="n">
        <f aca="false">INDEX(Vendor_Benford!$N$6:$N$50,MATCH(C464,Vendor_Benford!$A$6:$A$50,0))</f>
        <v>0</v>
      </c>
      <c r="P464" s="9" t="n">
        <f aca="false">INDEX(Vendor_Benford!$M$6:$M$50,MATCH(C464,Vendor_Benford!$A$6:$A$50,0))</f>
        <v>0</v>
      </c>
      <c r="Q464" s="9" t="n">
        <f aca="false">I464*Parameters!$B$28+J464*Parameters!$B$29+K464*Parameters!$B$30+L464*Parameters!$B$31+M464*Parameters!$B$32+N464*Parameters!$B$33+O464*Parameters!$B$34+P464*Parameters!$B$35</f>
        <v>3</v>
      </c>
      <c r="R464" s="0" t="str">
        <f aca="false">IF(Q464&gt;=Parameters!$B$24,"High","")</f>
        <v/>
      </c>
    </row>
    <row r="465" customFormat="false" ht="15" hidden="false" customHeight="false" outlineLevel="0" collapsed="false">
      <c r="A465" s="10" t="s">
        <v>1233</v>
      </c>
      <c r="B465" s="8" t="n">
        <v>45931</v>
      </c>
      <c r="C465" s="10" t="s">
        <v>197</v>
      </c>
      <c r="D465" s="10" t="s">
        <v>1234</v>
      </c>
      <c r="E465" s="12" t="n">
        <v>13006.29</v>
      </c>
      <c r="F465" s="10" t="s">
        <v>40</v>
      </c>
      <c r="G465" s="9" t="n">
        <f aca="false">VALUE(LEFT(TEXT(E465,"0.00"),1))</f>
        <v>1</v>
      </c>
      <c r="H465" s="0" t="str">
        <f aca="false">UPPER(SUBSTITUTE(SUBSTITUTE(SUBSTITUTE(D465," ",""),"/",""),".",""))</f>
        <v>INV30010</v>
      </c>
      <c r="I465" s="9" t="n">
        <f aca="false">IF(COUNTIFS($C$5:C465,C465,$H$5:H465,H465,$E$5:E465,E465)&gt;1,1,0)</f>
        <v>0</v>
      </c>
      <c r="J465" s="9" t="n">
        <f aca="false">IF(AND(I465=0,COUNTIFS($C$5:$C$634,C465,$E$5:$E$634,E465,$B$5:$B$634,"&gt;="&amp;(B465-Parameters!$B$12),$B$5:$B$634,"&lt;="&amp;(B465+Parameters!$B$12),$H$5:$H$634,"&lt;&gt;"&amp;H465)&gt;0),1,0)</f>
        <v>0</v>
      </c>
      <c r="K465" s="9" t="n">
        <f aca="false">IF(AND(E465&gt;=Parameters!$B$11,ROUND(MOD(ROUND(E465,2),Parameters!$B$10),2)=0),1,0)</f>
        <v>0</v>
      </c>
      <c r="L465" s="9" t="n">
        <f aca="false">IF(AND(E465&lt;Parameters!$B$7,E465&gt;=Parameters!$B$7*(1-Parameters!$B$9)),1,0)</f>
        <v>0</v>
      </c>
      <c r="M465" s="9" t="n">
        <f aca="false">IF(AND(E465&lt;Parameters!$B$7,COUNTIFS($C$5:$C$634,C465,$B$5:$B$634,B465)&gt;1,SUMIFS($E$5:$E$634,$C$5:$C$634,C465,$B$5:$B$634,B465)&gt;=Parameters!$B$7),1,0)</f>
        <v>0</v>
      </c>
      <c r="N465" s="9" t="n">
        <f aca="false">IF(AND(E465&gt;=Parameters!$B$7,F465&lt;&gt;Parameters!$B$8),1,0)</f>
        <v>0</v>
      </c>
      <c r="O465" s="9" t="n">
        <f aca="false">INDEX(Vendor_Benford!$N$6:$N$50,MATCH(C465,Vendor_Benford!$A$6:$A$50,0))</f>
        <v>0</v>
      </c>
      <c r="P465" s="9" t="n">
        <f aca="false">INDEX(Vendor_Benford!$M$6:$M$50,MATCH(C465,Vendor_Benford!$A$6:$A$50,0))</f>
        <v>0</v>
      </c>
      <c r="Q465" s="9" t="n">
        <f aca="false">I465*Parameters!$B$28+J465*Parameters!$B$29+K465*Parameters!$B$30+L465*Parameters!$B$31+M465*Parameters!$B$32+N465*Parameters!$B$33+O465*Parameters!$B$34+P465*Parameters!$B$35</f>
        <v>0</v>
      </c>
      <c r="R465" s="0" t="str">
        <f aca="false">IF(Q465&gt;=Parameters!$B$24,"High","")</f>
        <v/>
      </c>
    </row>
    <row r="466" customFormat="false" ht="15" hidden="false" customHeight="false" outlineLevel="0" collapsed="false">
      <c r="A466" s="10" t="s">
        <v>1235</v>
      </c>
      <c r="B466" s="8" t="n">
        <v>45931</v>
      </c>
      <c r="C466" s="10" t="s">
        <v>203</v>
      </c>
      <c r="D466" s="10" t="s">
        <v>1236</v>
      </c>
      <c r="E466" s="12" t="n">
        <v>35658.85</v>
      </c>
      <c r="F466" s="10" t="s">
        <v>40</v>
      </c>
      <c r="G466" s="9" t="n">
        <f aca="false">VALUE(LEFT(TEXT(E466,"0.00"),1))</f>
        <v>3</v>
      </c>
      <c r="H466" s="0" t="str">
        <f aca="false">UPPER(SUBSTITUTE(SUBSTITUTE(SUBSTITUTE(D466," ",""),"/",""),".",""))</f>
        <v>INV32004</v>
      </c>
      <c r="I466" s="9" t="n">
        <f aca="false">IF(COUNTIFS($C$5:C466,C466,$H$5:H466,H466,$E$5:E466,E466)&gt;1,1,0)</f>
        <v>0</v>
      </c>
      <c r="J466" s="9" t="n">
        <f aca="false">IF(AND(I466=0,COUNTIFS($C$5:$C$634,C466,$E$5:$E$634,E466,$B$5:$B$634,"&gt;="&amp;(B466-Parameters!$B$12),$B$5:$B$634,"&lt;="&amp;(B466+Parameters!$B$12),$H$5:$H$634,"&lt;&gt;"&amp;H466)&gt;0),1,0)</f>
        <v>0</v>
      </c>
      <c r="K466" s="9" t="n">
        <f aca="false">IF(AND(E466&gt;=Parameters!$B$11,ROUND(MOD(ROUND(E466,2),Parameters!$B$10),2)=0),1,0)</f>
        <v>0</v>
      </c>
      <c r="L466" s="9" t="n">
        <f aca="false">IF(AND(E466&lt;Parameters!$B$7,E466&gt;=Parameters!$B$7*(1-Parameters!$B$9)),1,0)</f>
        <v>0</v>
      </c>
      <c r="M466" s="9" t="n">
        <f aca="false">IF(AND(E466&lt;Parameters!$B$7,COUNTIFS($C$5:$C$634,C466,$B$5:$B$634,B466)&gt;1,SUMIFS($E$5:$E$634,$C$5:$C$634,C466,$B$5:$B$634,B466)&gt;=Parameters!$B$7),1,0)</f>
        <v>0</v>
      </c>
      <c r="N466" s="9" t="n">
        <f aca="false">IF(AND(E466&gt;=Parameters!$B$7,F466&lt;&gt;Parameters!$B$8),1,0)</f>
        <v>0</v>
      </c>
      <c r="O466" s="9" t="n">
        <f aca="false">INDEX(Vendor_Benford!$N$6:$N$50,MATCH(C466,Vendor_Benford!$A$6:$A$50,0))</f>
        <v>0</v>
      </c>
      <c r="P466" s="9" t="n">
        <f aca="false">INDEX(Vendor_Benford!$M$6:$M$50,MATCH(C466,Vendor_Benford!$A$6:$A$50,0))</f>
        <v>0</v>
      </c>
      <c r="Q466" s="9" t="n">
        <f aca="false">I466*Parameters!$B$28+J466*Parameters!$B$29+K466*Parameters!$B$30+L466*Parameters!$B$31+M466*Parameters!$B$32+N466*Parameters!$B$33+O466*Parameters!$B$34+P466*Parameters!$B$35</f>
        <v>0</v>
      </c>
      <c r="R466" s="0" t="str">
        <f aca="false">IF(Q466&gt;=Parameters!$B$24,"High","")</f>
        <v/>
      </c>
    </row>
    <row r="467" customFormat="false" ht="15" hidden="false" customHeight="false" outlineLevel="0" collapsed="false">
      <c r="A467" s="10" t="s">
        <v>1237</v>
      </c>
      <c r="B467" s="8" t="n">
        <v>45931</v>
      </c>
      <c r="C467" s="10" t="s">
        <v>203</v>
      </c>
      <c r="D467" s="10" t="s">
        <v>1238</v>
      </c>
      <c r="E467" s="12" t="n">
        <v>51939.57</v>
      </c>
      <c r="F467" s="10" t="s">
        <v>40</v>
      </c>
      <c r="G467" s="9" t="n">
        <f aca="false">VALUE(LEFT(TEXT(E467,"0.00"),1))</f>
        <v>5</v>
      </c>
      <c r="H467" s="0" t="str">
        <f aca="false">UPPER(SUBSTITUTE(SUBSTITUTE(SUBSTITUTE(D467," ",""),"/",""),".",""))</f>
        <v>INV32013</v>
      </c>
      <c r="I467" s="9" t="n">
        <f aca="false">IF(COUNTIFS($C$5:C467,C467,$H$5:H467,H467,$E$5:E467,E467)&gt;1,1,0)</f>
        <v>0</v>
      </c>
      <c r="J467" s="9" t="n">
        <f aca="false">IF(AND(I467=0,COUNTIFS($C$5:$C$634,C467,$E$5:$E$634,E467,$B$5:$B$634,"&gt;="&amp;(B467-Parameters!$B$12),$B$5:$B$634,"&lt;="&amp;(B467+Parameters!$B$12),$H$5:$H$634,"&lt;&gt;"&amp;H467)&gt;0),1,0)</f>
        <v>0</v>
      </c>
      <c r="K467" s="9" t="n">
        <f aca="false">IF(AND(E467&gt;=Parameters!$B$11,ROUND(MOD(ROUND(E467,2),Parameters!$B$10),2)=0),1,0)</f>
        <v>0</v>
      </c>
      <c r="L467" s="9" t="n">
        <f aca="false">IF(AND(E467&lt;Parameters!$B$7,E467&gt;=Parameters!$B$7*(1-Parameters!$B$9)),1,0)</f>
        <v>0</v>
      </c>
      <c r="M467" s="9" t="n">
        <f aca="false">IF(AND(E467&lt;Parameters!$B$7,COUNTIFS($C$5:$C$634,C467,$B$5:$B$634,B467)&gt;1,SUMIFS($E$5:$E$634,$C$5:$C$634,C467,$B$5:$B$634,B467)&gt;=Parameters!$B$7),1,0)</f>
        <v>0</v>
      </c>
      <c r="N467" s="9" t="n">
        <f aca="false">IF(AND(E467&gt;=Parameters!$B$7,F467&lt;&gt;Parameters!$B$8),1,0)</f>
        <v>0</v>
      </c>
      <c r="O467" s="9" t="n">
        <f aca="false">INDEX(Vendor_Benford!$N$6:$N$50,MATCH(C467,Vendor_Benford!$A$6:$A$50,0))</f>
        <v>0</v>
      </c>
      <c r="P467" s="9" t="n">
        <f aca="false">INDEX(Vendor_Benford!$M$6:$M$50,MATCH(C467,Vendor_Benford!$A$6:$A$50,0))</f>
        <v>0</v>
      </c>
      <c r="Q467" s="9" t="n">
        <f aca="false">I467*Parameters!$B$28+J467*Parameters!$B$29+K467*Parameters!$B$30+L467*Parameters!$B$31+M467*Parameters!$B$32+N467*Parameters!$B$33+O467*Parameters!$B$34+P467*Parameters!$B$35</f>
        <v>0</v>
      </c>
      <c r="R467" s="0" t="str">
        <f aca="false">IF(Q467&gt;=Parameters!$B$24,"High","")</f>
        <v/>
      </c>
    </row>
    <row r="468" customFormat="false" ht="15" hidden="false" customHeight="false" outlineLevel="0" collapsed="false">
      <c r="A468" s="10" t="s">
        <v>1239</v>
      </c>
      <c r="B468" s="8" t="n">
        <v>45932</v>
      </c>
      <c r="C468" s="10" t="s">
        <v>173</v>
      </c>
      <c r="D468" s="10" t="s">
        <v>1240</v>
      </c>
      <c r="E468" s="12" t="n">
        <v>1914.54</v>
      </c>
      <c r="F468" s="10" t="s">
        <v>40</v>
      </c>
      <c r="G468" s="9" t="n">
        <f aca="false">VALUE(LEFT(TEXT(E468,"0.00"),1))</f>
        <v>1</v>
      </c>
      <c r="H468" s="0" t="str">
        <f aca="false">UPPER(SUBSTITUTE(SUBSTITUTE(SUBSTITUTE(D468," ",""),"/",""),".",""))</f>
        <v>INV22004</v>
      </c>
      <c r="I468" s="9" t="n">
        <f aca="false">IF(COUNTIFS($C$5:C468,C468,$H$5:H468,H468,$E$5:E468,E468)&gt;1,1,0)</f>
        <v>0</v>
      </c>
      <c r="J468" s="9" t="n">
        <f aca="false">IF(AND(I468=0,COUNTIFS($C$5:$C$634,C468,$E$5:$E$634,E468,$B$5:$B$634,"&gt;="&amp;(B468-Parameters!$B$12),$B$5:$B$634,"&lt;="&amp;(B468+Parameters!$B$12),$H$5:$H$634,"&lt;&gt;"&amp;H468)&gt;0),1,0)</f>
        <v>0</v>
      </c>
      <c r="K468" s="9" t="n">
        <f aca="false">IF(AND(E468&gt;=Parameters!$B$11,ROUND(MOD(ROUND(E468,2),Parameters!$B$10),2)=0),1,0)</f>
        <v>0</v>
      </c>
      <c r="L468" s="9" t="n">
        <f aca="false">IF(AND(E468&lt;Parameters!$B$7,E468&gt;=Parameters!$B$7*(1-Parameters!$B$9)),1,0)</f>
        <v>0</v>
      </c>
      <c r="M468" s="9" t="n">
        <f aca="false">IF(AND(E468&lt;Parameters!$B$7,COUNTIFS($C$5:$C$634,C468,$B$5:$B$634,B468)&gt;1,SUMIFS($E$5:$E$634,$C$5:$C$634,C468,$B$5:$B$634,B468)&gt;=Parameters!$B$7),1,0)</f>
        <v>0</v>
      </c>
      <c r="N468" s="9" t="n">
        <f aca="false">IF(AND(E468&gt;=Parameters!$B$7,F468&lt;&gt;Parameters!$B$8),1,0)</f>
        <v>0</v>
      </c>
      <c r="O468" s="9" t="n">
        <f aca="false">INDEX(Vendor_Benford!$N$6:$N$50,MATCH(C468,Vendor_Benford!$A$6:$A$50,0))</f>
        <v>0</v>
      </c>
      <c r="P468" s="9" t="n">
        <f aca="false">INDEX(Vendor_Benford!$M$6:$M$50,MATCH(C468,Vendor_Benford!$A$6:$A$50,0))</f>
        <v>0</v>
      </c>
      <c r="Q468" s="9" t="n">
        <f aca="false">I468*Parameters!$B$28+J468*Parameters!$B$29+K468*Parameters!$B$30+L468*Parameters!$B$31+M468*Parameters!$B$32+N468*Parameters!$B$33+O468*Parameters!$B$34+P468*Parameters!$B$35</f>
        <v>0</v>
      </c>
      <c r="R468" s="0" t="str">
        <f aca="false">IF(Q468&gt;=Parameters!$B$24,"High","")</f>
        <v/>
      </c>
    </row>
    <row r="469" customFormat="false" ht="15" hidden="false" customHeight="false" outlineLevel="0" collapsed="false">
      <c r="A469" s="10" t="s">
        <v>1241</v>
      </c>
      <c r="B469" s="8" t="n">
        <v>45933</v>
      </c>
      <c r="C469" s="10" t="s">
        <v>182</v>
      </c>
      <c r="D469" s="10" t="s">
        <v>1242</v>
      </c>
      <c r="E469" s="12" t="n">
        <v>2358.65</v>
      </c>
      <c r="F469" s="10" t="s">
        <v>347</v>
      </c>
      <c r="G469" s="9" t="n">
        <f aca="false">VALUE(LEFT(TEXT(E469,"0.00"),1))</f>
        <v>2</v>
      </c>
      <c r="H469" s="0" t="str">
        <f aca="false">UPPER(SUBSTITUTE(SUBSTITUTE(SUBSTITUTE(D469," ",""),"/",""),".",""))</f>
        <v>INV25013</v>
      </c>
      <c r="I469" s="9" t="n">
        <f aca="false">IF(COUNTIFS($C$5:C469,C469,$H$5:H469,H469,$E$5:E469,E469)&gt;1,1,0)</f>
        <v>0</v>
      </c>
      <c r="J469" s="9" t="n">
        <f aca="false">IF(AND(I469=0,COUNTIFS($C$5:$C$634,C469,$E$5:$E$634,E469,$B$5:$B$634,"&gt;="&amp;(B469-Parameters!$B$12),$B$5:$B$634,"&lt;="&amp;(B469+Parameters!$B$12),$H$5:$H$634,"&lt;&gt;"&amp;H469)&gt;0),1,0)</f>
        <v>0</v>
      </c>
      <c r="K469" s="9" t="n">
        <f aca="false">IF(AND(E469&gt;=Parameters!$B$11,ROUND(MOD(ROUND(E469,2),Parameters!$B$10),2)=0),1,0)</f>
        <v>0</v>
      </c>
      <c r="L469" s="9" t="n">
        <f aca="false">IF(AND(E469&lt;Parameters!$B$7,E469&gt;=Parameters!$B$7*(1-Parameters!$B$9)),1,0)</f>
        <v>0</v>
      </c>
      <c r="M469" s="9" t="n">
        <f aca="false">IF(AND(E469&lt;Parameters!$B$7,COUNTIFS($C$5:$C$634,C469,$B$5:$B$634,B469)&gt;1,SUMIFS($E$5:$E$634,$C$5:$C$634,C469,$B$5:$B$634,B469)&gt;=Parameters!$B$7),1,0)</f>
        <v>0</v>
      </c>
      <c r="N469" s="9" t="n">
        <f aca="false">IF(AND(E469&gt;=Parameters!$B$7,F469&lt;&gt;Parameters!$B$8),1,0)</f>
        <v>0</v>
      </c>
      <c r="O469" s="9" t="n">
        <f aca="false">INDEX(Vendor_Benford!$N$6:$N$50,MATCH(C469,Vendor_Benford!$A$6:$A$50,0))</f>
        <v>0</v>
      </c>
      <c r="P469" s="9" t="n">
        <f aca="false">INDEX(Vendor_Benford!$M$6:$M$50,MATCH(C469,Vendor_Benford!$A$6:$A$50,0))</f>
        <v>0</v>
      </c>
      <c r="Q469" s="9" t="n">
        <f aca="false">I469*Parameters!$B$28+J469*Parameters!$B$29+K469*Parameters!$B$30+L469*Parameters!$B$31+M469*Parameters!$B$32+N469*Parameters!$B$33+O469*Parameters!$B$34+P469*Parameters!$B$35</f>
        <v>0</v>
      </c>
      <c r="R469" s="0" t="str">
        <f aca="false">IF(Q469&gt;=Parameters!$B$24,"High","")</f>
        <v/>
      </c>
    </row>
    <row r="470" customFormat="false" ht="15" hidden="false" customHeight="false" outlineLevel="0" collapsed="false">
      <c r="A470" s="10" t="s">
        <v>1243</v>
      </c>
      <c r="B470" s="8" t="n">
        <v>45933</v>
      </c>
      <c r="C470" s="10" t="s">
        <v>218</v>
      </c>
      <c r="D470" s="10" t="s">
        <v>1244</v>
      </c>
      <c r="E470" s="12" t="n">
        <v>1374.3</v>
      </c>
      <c r="F470" s="10" t="s">
        <v>347</v>
      </c>
      <c r="G470" s="9" t="n">
        <f aca="false">VALUE(LEFT(TEXT(E470,"0.00"),1))</f>
        <v>1</v>
      </c>
      <c r="H470" s="0" t="str">
        <f aca="false">UPPER(SUBSTITUTE(SUBSTITUTE(SUBSTITUTE(D470," ",""),"/",""),".",""))</f>
        <v>INV37016</v>
      </c>
      <c r="I470" s="9" t="n">
        <f aca="false">IF(COUNTIFS($C$5:C470,C470,$H$5:H470,H470,$E$5:E470,E470)&gt;1,1,0)</f>
        <v>0</v>
      </c>
      <c r="J470" s="9" t="n">
        <f aca="false">IF(AND(I470=0,COUNTIFS($C$5:$C$634,C470,$E$5:$E$634,E470,$B$5:$B$634,"&gt;="&amp;(B470-Parameters!$B$12),$B$5:$B$634,"&lt;="&amp;(B470+Parameters!$B$12),$H$5:$H$634,"&lt;&gt;"&amp;H470)&gt;0),1,0)</f>
        <v>0</v>
      </c>
      <c r="K470" s="9" t="n">
        <f aca="false">IF(AND(E470&gt;=Parameters!$B$11,ROUND(MOD(ROUND(E470,2),Parameters!$B$10),2)=0),1,0)</f>
        <v>0</v>
      </c>
      <c r="L470" s="9" t="n">
        <f aca="false">IF(AND(E470&lt;Parameters!$B$7,E470&gt;=Parameters!$B$7*(1-Parameters!$B$9)),1,0)</f>
        <v>0</v>
      </c>
      <c r="M470" s="9" t="n">
        <f aca="false">IF(AND(E470&lt;Parameters!$B$7,COUNTIFS($C$5:$C$634,C470,$B$5:$B$634,B470)&gt;1,SUMIFS($E$5:$E$634,$C$5:$C$634,C470,$B$5:$B$634,B470)&gt;=Parameters!$B$7),1,0)</f>
        <v>0</v>
      </c>
      <c r="N470" s="9" t="n">
        <f aca="false">IF(AND(E470&gt;=Parameters!$B$7,F470&lt;&gt;Parameters!$B$8),1,0)</f>
        <v>0</v>
      </c>
      <c r="O470" s="9" t="n">
        <f aca="false">INDEX(Vendor_Benford!$N$6:$N$50,MATCH(C470,Vendor_Benford!$A$6:$A$50,0))</f>
        <v>0</v>
      </c>
      <c r="P470" s="9" t="n">
        <f aca="false">INDEX(Vendor_Benford!$M$6:$M$50,MATCH(C470,Vendor_Benford!$A$6:$A$50,0))</f>
        <v>0</v>
      </c>
      <c r="Q470" s="9" t="n">
        <f aca="false">I470*Parameters!$B$28+J470*Parameters!$B$29+K470*Parameters!$B$30+L470*Parameters!$B$31+M470*Parameters!$B$32+N470*Parameters!$B$33+O470*Parameters!$B$34+P470*Parameters!$B$35</f>
        <v>0</v>
      </c>
      <c r="R470" s="0" t="str">
        <f aca="false">IF(Q470&gt;=Parameters!$B$24,"High","")</f>
        <v/>
      </c>
    </row>
    <row r="471" customFormat="false" ht="15" hidden="false" customHeight="false" outlineLevel="0" collapsed="false">
      <c r="A471" s="10" t="s">
        <v>1245</v>
      </c>
      <c r="B471" s="8" t="n">
        <v>45936</v>
      </c>
      <c r="C471" s="10" t="s">
        <v>110</v>
      </c>
      <c r="D471" s="10" t="s">
        <v>1246</v>
      </c>
      <c r="E471" s="12" t="n">
        <v>85000</v>
      </c>
      <c r="F471" s="10" t="s">
        <v>40</v>
      </c>
      <c r="G471" s="9" t="n">
        <f aca="false">VALUE(LEFT(TEXT(E471,"0.00"),1))</f>
        <v>8</v>
      </c>
      <c r="H471" s="0" t="str">
        <f aca="false">UPPER(SUBSTITUTE(SUBSTITUTE(SUBSTITUTE(D471," ",""),"/",""),".",""))</f>
        <v>RENT2510</v>
      </c>
      <c r="I471" s="9" t="n">
        <f aca="false">IF(COUNTIFS($C$5:C471,C471,$H$5:H471,H471,$E$5:E471,E471)&gt;1,1,0)</f>
        <v>0</v>
      </c>
      <c r="J471" s="9" t="n">
        <f aca="false">IF(AND(I471=0,COUNTIFS($C$5:$C$634,C471,$E$5:$E$634,E471,$B$5:$B$634,"&gt;="&amp;(B471-Parameters!$B$12),$B$5:$B$634,"&lt;="&amp;(B471+Parameters!$B$12),$H$5:$H$634,"&lt;&gt;"&amp;H471)&gt;0),1,0)</f>
        <v>0</v>
      </c>
      <c r="K471" s="9" t="n">
        <f aca="false">IF(AND(E471&gt;=Parameters!$B$11,ROUND(MOD(ROUND(E471,2),Parameters!$B$10),2)=0),1,0)</f>
        <v>1</v>
      </c>
      <c r="L471" s="9" t="n">
        <f aca="false">IF(AND(E471&lt;Parameters!$B$7,E471&gt;=Parameters!$B$7*(1-Parameters!$B$9)),1,0)</f>
        <v>0</v>
      </c>
      <c r="M471" s="9" t="n">
        <f aca="false">IF(AND(E471&lt;Parameters!$B$7,COUNTIFS($C$5:$C$634,C471,$B$5:$B$634,B471)&gt;1,SUMIFS($E$5:$E$634,$C$5:$C$634,C471,$B$5:$B$634,B471)&gt;=Parameters!$B$7),1,0)</f>
        <v>0</v>
      </c>
      <c r="N471" s="9" t="n">
        <f aca="false">IF(AND(E471&gt;=Parameters!$B$7,F471&lt;&gt;Parameters!$B$8),1,0)</f>
        <v>0</v>
      </c>
      <c r="O471" s="9" t="n">
        <f aca="false">INDEX(Vendor_Benford!$N$6:$N$50,MATCH(C471,Vendor_Benford!$A$6:$A$50,0))</f>
        <v>0</v>
      </c>
      <c r="P471" s="9" t="n">
        <f aca="false">INDEX(Vendor_Benford!$M$6:$M$50,MATCH(C471,Vendor_Benford!$A$6:$A$50,0))</f>
        <v>0</v>
      </c>
      <c r="Q471" s="9" t="n">
        <f aca="false">I471*Parameters!$B$28+J471*Parameters!$B$29+K471*Parameters!$B$30+L471*Parameters!$B$31+M471*Parameters!$B$32+N471*Parameters!$B$33+O471*Parameters!$B$34+P471*Parameters!$B$35</f>
        <v>2</v>
      </c>
      <c r="R471" s="0" t="str">
        <f aca="false">IF(Q471&gt;=Parameters!$B$24,"High","")</f>
        <v/>
      </c>
    </row>
    <row r="472" customFormat="false" ht="15" hidden="false" customHeight="false" outlineLevel="0" collapsed="false">
      <c r="A472" s="10" t="s">
        <v>1247</v>
      </c>
      <c r="B472" s="8" t="n">
        <v>45936</v>
      </c>
      <c r="C472" s="10" t="s">
        <v>134</v>
      </c>
      <c r="D472" s="10" t="s">
        <v>1248</v>
      </c>
      <c r="E472" s="12" t="n">
        <v>23752.45</v>
      </c>
      <c r="F472" s="10" t="s">
        <v>40</v>
      </c>
      <c r="G472" s="9" t="n">
        <f aca="false">VALUE(LEFT(TEXT(E472,"0.00"),1))</f>
        <v>2</v>
      </c>
      <c r="H472" s="0" t="str">
        <f aca="false">UPPER(SUBSTITUTE(SUBSTITUTE(SUBSTITUTE(D472," ",""),"/",""),".",""))</f>
        <v>INV9021</v>
      </c>
      <c r="I472" s="9" t="n">
        <f aca="false">IF(COUNTIFS($C$5:C472,C472,$H$5:H472,H472,$E$5:E472,E472)&gt;1,1,0)</f>
        <v>0</v>
      </c>
      <c r="J472" s="9" t="n">
        <f aca="false">IF(AND(I472=0,COUNTIFS($C$5:$C$634,C472,$E$5:$E$634,E472,$B$5:$B$634,"&gt;="&amp;(B472-Parameters!$B$12),$B$5:$B$634,"&lt;="&amp;(B472+Parameters!$B$12),$H$5:$H$634,"&lt;&gt;"&amp;H472)&gt;0),1,0)</f>
        <v>0</v>
      </c>
      <c r="K472" s="9" t="n">
        <f aca="false">IF(AND(E472&gt;=Parameters!$B$11,ROUND(MOD(ROUND(E472,2),Parameters!$B$10),2)=0),1,0)</f>
        <v>0</v>
      </c>
      <c r="L472" s="9" t="n">
        <f aca="false">IF(AND(E472&lt;Parameters!$B$7,E472&gt;=Parameters!$B$7*(1-Parameters!$B$9)),1,0)</f>
        <v>0</v>
      </c>
      <c r="M472" s="9" t="n">
        <f aca="false">IF(AND(E472&lt;Parameters!$B$7,COUNTIFS($C$5:$C$634,C472,$B$5:$B$634,B472)&gt;1,SUMIFS($E$5:$E$634,$C$5:$C$634,C472,$B$5:$B$634,B472)&gt;=Parameters!$B$7),1,0)</f>
        <v>0</v>
      </c>
      <c r="N472" s="9" t="n">
        <f aca="false">IF(AND(E472&gt;=Parameters!$B$7,F472&lt;&gt;Parameters!$B$8),1,0)</f>
        <v>0</v>
      </c>
      <c r="O472" s="9" t="n">
        <f aca="false">INDEX(Vendor_Benford!$N$6:$N$50,MATCH(C472,Vendor_Benford!$A$6:$A$50,0))</f>
        <v>0</v>
      </c>
      <c r="P472" s="9" t="n">
        <f aca="false">INDEX(Vendor_Benford!$M$6:$M$50,MATCH(C472,Vendor_Benford!$A$6:$A$50,0))</f>
        <v>0</v>
      </c>
      <c r="Q472" s="9" t="n">
        <f aca="false">I472*Parameters!$B$28+J472*Parameters!$B$29+K472*Parameters!$B$30+L472*Parameters!$B$31+M472*Parameters!$B$32+N472*Parameters!$B$33+O472*Parameters!$B$34+P472*Parameters!$B$35</f>
        <v>0</v>
      </c>
      <c r="R472" s="0" t="str">
        <f aca="false">IF(Q472&gt;=Parameters!$B$24,"High","")</f>
        <v/>
      </c>
    </row>
    <row r="473" customFormat="false" ht="15" hidden="false" customHeight="false" outlineLevel="0" collapsed="false">
      <c r="A473" s="10" t="s">
        <v>1249</v>
      </c>
      <c r="B473" s="8" t="n">
        <v>45936</v>
      </c>
      <c r="C473" s="10" t="s">
        <v>146</v>
      </c>
      <c r="D473" s="10" t="s">
        <v>1250</v>
      </c>
      <c r="E473" s="12" t="n">
        <v>181.49</v>
      </c>
      <c r="F473" s="10" t="s">
        <v>347</v>
      </c>
      <c r="G473" s="9" t="n">
        <f aca="false">VALUE(LEFT(TEXT(E473,"0.00"),1))</f>
        <v>1</v>
      </c>
      <c r="H473" s="0" t="str">
        <f aca="false">UPPER(SUBSTITUTE(SUBSTITUTE(SUBSTITUTE(D473," ",""),"/",""),".",""))</f>
        <v>INV13003</v>
      </c>
      <c r="I473" s="9" t="n">
        <f aca="false">IF(COUNTIFS($C$5:C473,C473,$H$5:H473,H473,$E$5:E473,E473)&gt;1,1,0)</f>
        <v>0</v>
      </c>
      <c r="J473" s="9" t="n">
        <f aca="false">IF(AND(I473=0,COUNTIFS($C$5:$C$634,C473,$E$5:$E$634,E473,$B$5:$B$634,"&gt;="&amp;(B473-Parameters!$B$12),$B$5:$B$634,"&lt;="&amp;(B473+Parameters!$B$12),$H$5:$H$634,"&lt;&gt;"&amp;H473)&gt;0),1,0)</f>
        <v>0</v>
      </c>
      <c r="K473" s="9" t="n">
        <f aca="false">IF(AND(E473&gt;=Parameters!$B$11,ROUND(MOD(ROUND(E473,2),Parameters!$B$10),2)=0),1,0)</f>
        <v>0</v>
      </c>
      <c r="L473" s="9" t="n">
        <f aca="false">IF(AND(E473&lt;Parameters!$B$7,E473&gt;=Parameters!$B$7*(1-Parameters!$B$9)),1,0)</f>
        <v>0</v>
      </c>
      <c r="M473" s="9" t="n">
        <f aca="false">IF(AND(E473&lt;Parameters!$B$7,COUNTIFS($C$5:$C$634,C473,$B$5:$B$634,B473)&gt;1,SUMIFS($E$5:$E$634,$C$5:$C$634,C473,$B$5:$B$634,B473)&gt;=Parameters!$B$7),1,0)</f>
        <v>0</v>
      </c>
      <c r="N473" s="9" t="n">
        <f aca="false">IF(AND(E473&gt;=Parameters!$B$7,F473&lt;&gt;Parameters!$B$8),1,0)</f>
        <v>0</v>
      </c>
      <c r="O473" s="9" t="n">
        <f aca="false">INDEX(Vendor_Benford!$N$6:$N$50,MATCH(C473,Vendor_Benford!$A$6:$A$50,0))</f>
        <v>0</v>
      </c>
      <c r="P473" s="9" t="n">
        <f aca="false">INDEX(Vendor_Benford!$M$6:$M$50,MATCH(C473,Vendor_Benford!$A$6:$A$50,0))</f>
        <v>0</v>
      </c>
      <c r="Q473" s="9" t="n">
        <f aca="false">I473*Parameters!$B$28+J473*Parameters!$B$29+K473*Parameters!$B$30+L473*Parameters!$B$31+M473*Parameters!$B$32+N473*Parameters!$B$33+O473*Parameters!$B$34+P473*Parameters!$B$35</f>
        <v>0</v>
      </c>
      <c r="R473" s="0" t="str">
        <f aca="false">IF(Q473&gt;=Parameters!$B$24,"High","")</f>
        <v/>
      </c>
    </row>
    <row r="474" customFormat="false" ht="15" hidden="false" customHeight="false" outlineLevel="0" collapsed="false">
      <c r="A474" s="10" t="s">
        <v>1251</v>
      </c>
      <c r="B474" s="8" t="n">
        <v>45937</v>
      </c>
      <c r="C474" s="10" t="s">
        <v>143</v>
      </c>
      <c r="D474" s="10" t="s">
        <v>1252</v>
      </c>
      <c r="E474" s="12" t="n">
        <v>70819.58</v>
      </c>
      <c r="F474" s="10" t="s">
        <v>40</v>
      </c>
      <c r="G474" s="9" t="n">
        <f aca="false">VALUE(LEFT(TEXT(E474,"0.00"),1))</f>
        <v>7</v>
      </c>
      <c r="H474" s="0" t="str">
        <f aca="false">UPPER(SUBSTITUTE(SUBSTITUTE(SUBSTITUTE(D474," ",""),"/",""),".",""))</f>
        <v>INV12003</v>
      </c>
      <c r="I474" s="9" t="n">
        <f aca="false">IF(COUNTIFS($C$5:C474,C474,$H$5:H474,H474,$E$5:E474,E474)&gt;1,1,0)</f>
        <v>0</v>
      </c>
      <c r="J474" s="9" t="n">
        <f aca="false">IF(AND(I474=0,COUNTIFS($C$5:$C$634,C474,$E$5:$E$634,E474,$B$5:$B$634,"&gt;="&amp;(B474-Parameters!$B$12),$B$5:$B$634,"&lt;="&amp;(B474+Parameters!$B$12),$H$5:$H$634,"&lt;&gt;"&amp;H474)&gt;0),1,0)</f>
        <v>0</v>
      </c>
      <c r="K474" s="9" t="n">
        <f aca="false">IF(AND(E474&gt;=Parameters!$B$11,ROUND(MOD(ROUND(E474,2),Parameters!$B$10),2)=0),1,0)</f>
        <v>0</v>
      </c>
      <c r="L474" s="9" t="n">
        <f aca="false">IF(AND(E474&lt;Parameters!$B$7,E474&gt;=Parameters!$B$7*(1-Parameters!$B$9)),1,0)</f>
        <v>0</v>
      </c>
      <c r="M474" s="9" t="n">
        <f aca="false">IF(AND(E474&lt;Parameters!$B$7,COUNTIFS($C$5:$C$634,C474,$B$5:$B$634,B474)&gt;1,SUMIFS($E$5:$E$634,$C$5:$C$634,C474,$B$5:$B$634,B474)&gt;=Parameters!$B$7),1,0)</f>
        <v>0</v>
      </c>
      <c r="N474" s="9" t="n">
        <f aca="false">IF(AND(E474&gt;=Parameters!$B$7,F474&lt;&gt;Parameters!$B$8),1,0)</f>
        <v>0</v>
      </c>
      <c r="O474" s="9" t="n">
        <f aca="false">INDEX(Vendor_Benford!$N$6:$N$50,MATCH(C474,Vendor_Benford!$A$6:$A$50,0))</f>
        <v>0</v>
      </c>
      <c r="P474" s="9" t="n">
        <f aca="false">INDEX(Vendor_Benford!$M$6:$M$50,MATCH(C474,Vendor_Benford!$A$6:$A$50,0))</f>
        <v>0</v>
      </c>
      <c r="Q474" s="9" t="n">
        <f aca="false">I474*Parameters!$B$28+J474*Parameters!$B$29+K474*Parameters!$B$30+L474*Parameters!$B$31+M474*Parameters!$B$32+N474*Parameters!$B$33+O474*Parameters!$B$34+P474*Parameters!$B$35</f>
        <v>0</v>
      </c>
      <c r="R474" s="0" t="str">
        <f aca="false">IF(Q474&gt;=Parameters!$B$24,"High","")</f>
        <v/>
      </c>
    </row>
    <row r="475" customFormat="false" ht="15" hidden="false" customHeight="false" outlineLevel="0" collapsed="false">
      <c r="A475" s="10" t="s">
        <v>1253</v>
      </c>
      <c r="B475" s="8" t="n">
        <v>45937</v>
      </c>
      <c r="C475" s="10" t="s">
        <v>188</v>
      </c>
      <c r="D475" s="10" t="s">
        <v>1254</v>
      </c>
      <c r="E475" s="12" t="n">
        <v>66723.14</v>
      </c>
      <c r="F475" s="10" t="s">
        <v>40</v>
      </c>
      <c r="G475" s="9" t="n">
        <f aca="false">VALUE(LEFT(TEXT(E475,"0.00"),1))</f>
        <v>6</v>
      </c>
      <c r="H475" s="0" t="str">
        <f aca="false">UPPER(SUBSTITUTE(SUBSTITUTE(SUBSTITUTE(D475," ",""),"/",""),".",""))</f>
        <v>INV27002</v>
      </c>
      <c r="I475" s="9" t="n">
        <f aca="false">IF(COUNTIFS($C$5:C475,C475,$H$5:H475,H475,$E$5:E475,E475)&gt;1,1,0)</f>
        <v>0</v>
      </c>
      <c r="J475" s="9" t="n">
        <f aca="false">IF(AND(I475=0,COUNTIFS($C$5:$C$634,C475,$E$5:$E$634,E475,$B$5:$B$634,"&gt;="&amp;(B475-Parameters!$B$12),$B$5:$B$634,"&lt;="&amp;(B475+Parameters!$B$12),$H$5:$H$634,"&lt;&gt;"&amp;H475)&gt;0),1,0)</f>
        <v>0</v>
      </c>
      <c r="K475" s="9" t="n">
        <f aca="false">IF(AND(E475&gt;=Parameters!$B$11,ROUND(MOD(ROUND(E475,2),Parameters!$B$10),2)=0),1,0)</f>
        <v>0</v>
      </c>
      <c r="L475" s="9" t="n">
        <f aca="false">IF(AND(E475&lt;Parameters!$B$7,E475&gt;=Parameters!$B$7*(1-Parameters!$B$9)),1,0)</f>
        <v>0</v>
      </c>
      <c r="M475" s="9" t="n">
        <f aca="false">IF(AND(E475&lt;Parameters!$B$7,COUNTIFS($C$5:$C$634,C475,$B$5:$B$634,B475)&gt;1,SUMIFS($E$5:$E$634,$C$5:$C$634,C475,$B$5:$B$634,B475)&gt;=Parameters!$B$7),1,0)</f>
        <v>0</v>
      </c>
      <c r="N475" s="9" t="n">
        <f aca="false">IF(AND(E475&gt;=Parameters!$B$7,F475&lt;&gt;Parameters!$B$8),1,0)</f>
        <v>0</v>
      </c>
      <c r="O475" s="9" t="n">
        <f aca="false">INDEX(Vendor_Benford!$N$6:$N$50,MATCH(C475,Vendor_Benford!$A$6:$A$50,0))</f>
        <v>0</v>
      </c>
      <c r="P475" s="9" t="n">
        <f aca="false">INDEX(Vendor_Benford!$M$6:$M$50,MATCH(C475,Vendor_Benford!$A$6:$A$50,0))</f>
        <v>0</v>
      </c>
      <c r="Q475" s="9" t="n">
        <f aca="false">I475*Parameters!$B$28+J475*Parameters!$B$29+K475*Parameters!$B$30+L475*Parameters!$B$31+M475*Parameters!$B$32+N475*Parameters!$B$33+O475*Parameters!$B$34+P475*Parameters!$B$35</f>
        <v>0</v>
      </c>
      <c r="R475" s="0" t="str">
        <f aca="false">IF(Q475&gt;=Parameters!$B$24,"High","")</f>
        <v/>
      </c>
    </row>
    <row r="476" customFormat="false" ht="15" hidden="false" customHeight="false" outlineLevel="0" collapsed="false">
      <c r="A476" s="10" t="s">
        <v>1255</v>
      </c>
      <c r="B476" s="8" t="n">
        <v>45937</v>
      </c>
      <c r="C476" s="10" t="s">
        <v>200</v>
      </c>
      <c r="D476" s="10" t="s">
        <v>1256</v>
      </c>
      <c r="E476" s="12" t="n">
        <v>4792.9</v>
      </c>
      <c r="F476" s="10" t="s">
        <v>347</v>
      </c>
      <c r="G476" s="9" t="n">
        <f aca="false">VALUE(LEFT(TEXT(E476,"0.00"),1))</f>
        <v>4</v>
      </c>
      <c r="H476" s="0" t="str">
        <f aca="false">UPPER(SUBSTITUTE(SUBSTITUTE(SUBSTITUTE(D476," ",""),"/",""),".",""))</f>
        <v>INV31033</v>
      </c>
      <c r="I476" s="9" t="n">
        <f aca="false">IF(COUNTIFS($C$5:C476,C476,$H$5:H476,H476,$E$5:E476,E476)&gt;1,1,0)</f>
        <v>0</v>
      </c>
      <c r="J476" s="9" t="n">
        <f aca="false">IF(AND(I476=0,COUNTIFS($C$5:$C$634,C476,$E$5:$E$634,E476,$B$5:$B$634,"&gt;="&amp;(B476-Parameters!$B$12),$B$5:$B$634,"&lt;="&amp;(B476+Parameters!$B$12),$H$5:$H$634,"&lt;&gt;"&amp;H476)&gt;0),1,0)</f>
        <v>0</v>
      </c>
      <c r="K476" s="9" t="n">
        <f aca="false">IF(AND(E476&gt;=Parameters!$B$11,ROUND(MOD(ROUND(E476,2),Parameters!$B$10),2)=0),1,0)</f>
        <v>0</v>
      </c>
      <c r="L476" s="9" t="n">
        <f aca="false">IF(AND(E476&lt;Parameters!$B$7,E476&gt;=Parameters!$B$7*(1-Parameters!$B$9)),1,0)</f>
        <v>1</v>
      </c>
      <c r="M476" s="9" t="n">
        <f aca="false">IF(AND(E476&lt;Parameters!$B$7,COUNTIFS($C$5:$C$634,C476,$B$5:$B$634,B476)&gt;1,SUMIFS($E$5:$E$634,$C$5:$C$634,C476,$B$5:$B$634,B476)&gt;=Parameters!$B$7),1,0)</f>
        <v>0</v>
      </c>
      <c r="N476" s="9" t="n">
        <f aca="false">IF(AND(E476&gt;=Parameters!$B$7,F476&lt;&gt;Parameters!$B$8),1,0)</f>
        <v>0</v>
      </c>
      <c r="O476" s="9" t="n">
        <f aca="false">INDEX(Vendor_Benford!$N$6:$N$50,MATCH(C476,Vendor_Benford!$A$6:$A$50,0))</f>
        <v>0</v>
      </c>
      <c r="P476" s="9" t="n">
        <f aca="false">INDEX(Vendor_Benford!$M$6:$M$50,MATCH(C476,Vendor_Benford!$A$6:$A$50,0))</f>
        <v>1</v>
      </c>
      <c r="Q476" s="9" t="n">
        <f aca="false">I476*Parameters!$B$28+J476*Parameters!$B$29+K476*Parameters!$B$30+L476*Parameters!$B$31+M476*Parameters!$B$32+N476*Parameters!$B$33+O476*Parameters!$B$34+P476*Parameters!$B$35</f>
        <v>4</v>
      </c>
      <c r="R476" s="0" t="str">
        <f aca="false">IF(Q476&gt;=Parameters!$B$24,"High","")</f>
        <v/>
      </c>
    </row>
    <row r="477" customFormat="false" ht="15" hidden="false" customHeight="false" outlineLevel="0" collapsed="false">
      <c r="A477" s="10" t="s">
        <v>1257</v>
      </c>
      <c r="B477" s="8" t="n">
        <v>45938</v>
      </c>
      <c r="C477" s="10" t="s">
        <v>128</v>
      </c>
      <c r="D477" s="10" t="s">
        <v>1258</v>
      </c>
      <c r="E477" s="12" t="n">
        <v>379.62</v>
      </c>
      <c r="F477" s="10" t="s">
        <v>347</v>
      </c>
      <c r="G477" s="9" t="n">
        <f aca="false">VALUE(LEFT(TEXT(E477,"0.00"),1))</f>
        <v>3</v>
      </c>
      <c r="H477" s="0" t="str">
        <f aca="false">UPPER(SUBSTITUTE(SUBSTITUTE(SUBSTITUTE(D477," ",""),"/",""),".",""))</f>
        <v>INV7001</v>
      </c>
      <c r="I477" s="9" t="n">
        <f aca="false">IF(COUNTIFS($C$5:C477,C477,$H$5:H477,H477,$E$5:E477,E477)&gt;1,1,0)</f>
        <v>0</v>
      </c>
      <c r="J477" s="9" t="n">
        <f aca="false">IF(AND(I477=0,COUNTIFS($C$5:$C$634,C477,$E$5:$E$634,E477,$B$5:$B$634,"&gt;="&amp;(B477-Parameters!$B$12),$B$5:$B$634,"&lt;="&amp;(B477+Parameters!$B$12),$H$5:$H$634,"&lt;&gt;"&amp;H477)&gt;0),1,0)</f>
        <v>0</v>
      </c>
      <c r="K477" s="9" t="n">
        <f aca="false">IF(AND(E477&gt;=Parameters!$B$11,ROUND(MOD(ROUND(E477,2),Parameters!$B$10),2)=0),1,0)</f>
        <v>0</v>
      </c>
      <c r="L477" s="9" t="n">
        <f aca="false">IF(AND(E477&lt;Parameters!$B$7,E477&gt;=Parameters!$B$7*(1-Parameters!$B$9)),1,0)</f>
        <v>0</v>
      </c>
      <c r="M477" s="9" t="n">
        <f aca="false">IF(AND(E477&lt;Parameters!$B$7,COUNTIFS($C$5:$C$634,C477,$B$5:$B$634,B477)&gt;1,SUMIFS($E$5:$E$634,$C$5:$C$634,C477,$B$5:$B$634,B477)&gt;=Parameters!$B$7),1,0)</f>
        <v>0</v>
      </c>
      <c r="N477" s="9" t="n">
        <f aca="false">IF(AND(E477&gt;=Parameters!$B$7,F477&lt;&gt;Parameters!$B$8),1,0)</f>
        <v>0</v>
      </c>
      <c r="O477" s="9" t="n">
        <f aca="false">INDEX(Vendor_Benford!$N$6:$N$50,MATCH(C477,Vendor_Benford!$A$6:$A$50,0))</f>
        <v>0</v>
      </c>
      <c r="P477" s="9" t="n">
        <f aca="false">INDEX(Vendor_Benford!$M$6:$M$50,MATCH(C477,Vendor_Benford!$A$6:$A$50,0))</f>
        <v>0</v>
      </c>
      <c r="Q477" s="9" t="n">
        <f aca="false">I477*Parameters!$B$28+J477*Parameters!$B$29+K477*Parameters!$B$30+L477*Parameters!$B$31+M477*Parameters!$B$32+N477*Parameters!$B$33+O477*Parameters!$B$34+P477*Parameters!$B$35</f>
        <v>0</v>
      </c>
      <c r="R477" s="0" t="str">
        <f aca="false">IF(Q477&gt;=Parameters!$B$24,"High","")</f>
        <v/>
      </c>
    </row>
    <row r="478" customFormat="false" ht="15" hidden="false" customHeight="false" outlineLevel="0" collapsed="false">
      <c r="A478" s="10" t="s">
        <v>1259</v>
      </c>
      <c r="B478" s="8" t="n">
        <v>45938</v>
      </c>
      <c r="C478" s="10" t="s">
        <v>155</v>
      </c>
      <c r="D478" s="10" t="s">
        <v>1260</v>
      </c>
      <c r="E478" s="12" t="n">
        <v>31770.36</v>
      </c>
      <c r="F478" s="10" t="s">
        <v>40</v>
      </c>
      <c r="G478" s="9" t="n">
        <f aca="false">VALUE(LEFT(TEXT(E478,"0.00"),1))</f>
        <v>3</v>
      </c>
      <c r="H478" s="0" t="str">
        <f aca="false">UPPER(SUBSTITUTE(SUBSTITUTE(SUBSTITUTE(D478," ",""),"/",""),".",""))</f>
        <v>INV16017</v>
      </c>
      <c r="I478" s="9" t="n">
        <f aca="false">IF(COUNTIFS($C$5:C478,C478,$H$5:H478,H478,$E$5:E478,E478)&gt;1,1,0)</f>
        <v>0</v>
      </c>
      <c r="J478" s="9" t="n">
        <f aca="false">IF(AND(I478=0,COUNTIFS($C$5:$C$634,C478,$E$5:$E$634,E478,$B$5:$B$634,"&gt;="&amp;(B478-Parameters!$B$12),$B$5:$B$634,"&lt;="&amp;(B478+Parameters!$B$12),$H$5:$H$634,"&lt;&gt;"&amp;H478)&gt;0),1,0)</f>
        <v>0</v>
      </c>
      <c r="K478" s="9" t="n">
        <f aca="false">IF(AND(E478&gt;=Parameters!$B$11,ROUND(MOD(ROUND(E478,2),Parameters!$B$10),2)=0),1,0)</f>
        <v>0</v>
      </c>
      <c r="L478" s="9" t="n">
        <f aca="false">IF(AND(E478&lt;Parameters!$B$7,E478&gt;=Parameters!$B$7*(1-Parameters!$B$9)),1,0)</f>
        <v>0</v>
      </c>
      <c r="M478" s="9" t="n">
        <f aca="false">IF(AND(E478&lt;Parameters!$B$7,COUNTIFS($C$5:$C$634,C478,$B$5:$B$634,B478)&gt;1,SUMIFS($E$5:$E$634,$C$5:$C$634,C478,$B$5:$B$634,B478)&gt;=Parameters!$B$7),1,0)</f>
        <v>0</v>
      </c>
      <c r="N478" s="9" t="n">
        <f aca="false">IF(AND(E478&gt;=Parameters!$B$7,F478&lt;&gt;Parameters!$B$8),1,0)</f>
        <v>0</v>
      </c>
      <c r="O478" s="9" t="n">
        <f aca="false">INDEX(Vendor_Benford!$N$6:$N$50,MATCH(C478,Vendor_Benford!$A$6:$A$50,0))</f>
        <v>0</v>
      </c>
      <c r="P478" s="9" t="n">
        <f aca="false">INDEX(Vendor_Benford!$M$6:$M$50,MATCH(C478,Vendor_Benford!$A$6:$A$50,0))</f>
        <v>0</v>
      </c>
      <c r="Q478" s="9" t="n">
        <f aca="false">I478*Parameters!$B$28+J478*Parameters!$B$29+K478*Parameters!$B$30+L478*Parameters!$B$31+M478*Parameters!$B$32+N478*Parameters!$B$33+O478*Parameters!$B$34+P478*Parameters!$B$35</f>
        <v>0</v>
      </c>
      <c r="R478" s="0" t="str">
        <f aca="false">IF(Q478&gt;=Parameters!$B$24,"High","")</f>
        <v/>
      </c>
    </row>
    <row r="479" customFormat="false" ht="15" hidden="false" customHeight="false" outlineLevel="0" collapsed="false">
      <c r="A479" s="10" t="s">
        <v>1261</v>
      </c>
      <c r="B479" s="8" t="n">
        <v>45939</v>
      </c>
      <c r="C479" s="10" t="s">
        <v>179</v>
      </c>
      <c r="D479" s="10" t="s">
        <v>1262</v>
      </c>
      <c r="E479" s="12" t="n">
        <v>298.34</v>
      </c>
      <c r="F479" s="10" t="s">
        <v>347</v>
      </c>
      <c r="G479" s="9" t="n">
        <f aca="false">VALUE(LEFT(TEXT(E479,"0.00"),1))</f>
        <v>2</v>
      </c>
      <c r="H479" s="0" t="str">
        <f aca="false">UPPER(SUBSTITUTE(SUBSTITUTE(SUBSTITUTE(D479," ",""),"/",""),".",""))</f>
        <v>INV24002</v>
      </c>
      <c r="I479" s="9" t="n">
        <f aca="false">IF(COUNTIFS($C$5:C479,C479,$H$5:H479,H479,$E$5:E479,E479)&gt;1,1,0)</f>
        <v>0</v>
      </c>
      <c r="J479" s="9" t="n">
        <f aca="false">IF(AND(I479=0,COUNTIFS($C$5:$C$634,C479,$E$5:$E$634,E479,$B$5:$B$634,"&gt;="&amp;(B479-Parameters!$B$12),$B$5:$B$634,"&lt;="&amp;(B479+Parameters!$B$12),$H$5:$H$634,"&lt;&gt;"&amp;H479)&gt;0),1,0)</f>
        <v>0</v>
      </c>
      <c r="K479" s="9" t="n">
        <f aca="false">IF(AND(E479&gt;=Parameters!$B$11,ROUND(MOD(ROUND(E479,2),Parameters!$B$10),2)=0),1,0)</f>
        <v>0</v>
      </c>
      <c r="L479" s="9" t="n">
        <f aca="false">IF(AND(E479&lt;Parameters!$B$7,E479&gt;=Parameters!$B$7*(1-Parameters!$B$9)),1,0)</f>
        <v>0</v>
      </c>
      <c r="M479" s="9" t="n">
        <f aca="false">IF(AND(E479&lt;Parameters!$B$7,COUNTIFS($C$5:$C$634,C479,$B$5:$B$634,B479)&gt;1,SUMIFS($E$5:$E$634,$C$5:$C$634,C479,$B$5:$B$634,B479)&gt;=Parameters!$B$7),1,0)</f>
        <v>0</v>
      </c>
      <c r="N479" s="9" t="n">
        <f aca="false">IF(AND(E479&gt;=Parameters!$B$7,F479&lt;&gt;Parameters!$B$8),1,0)</f>
        <v>0</v>
      </c>
      <c r="O479" s="9" t="n">
        <f aca="false">INDEX(Vendor_Benford!$N$6:$N$50,MATCH(C479,Vendor_Benford!$A$6:$A$50,0))</f>
        <v>0</v>
      </c>
      <c r="P479" s="9" t="n">
        <f aca="false">INDEX(Vendor_Benford!$M$6:$M$50,MATCH(C479,Vendor_Benford!$A$6:$A$50,0))</f>
        <v>0</v>
      </c>
      <c r="Q479" s="9" t="n">
        <f aca="false">I479*Parameters!$B$28+J479*Parameters!$B$29+K479*Parameters!$B$30+L479*Parameters!$B$31+M479*Parameters!$B$32+N479*Parameters!$B$33+O479*Parameters!$B$34+P479*Parameters!$B$35</f>
        <v>0</v>
      </c>
      <c r="R479" s="0" t="str">
        <f aca="false">IF(Q479&gt;=Parameters!$B$24,"High","")</f>
        <v/>
      </c>
    </row>
    <row r="480" customFormat="false" ht="15" hidden="false" customHeight="false" outlineLevel="0" collapsed="false">
      <c r="A480" s="10" t="s">
        <v>1263</v>
      </c>
      <c r="B480" s="8" t="n">
        <v>45939</v>
      </c>
      <c r="C480" s="10" t="s">
        <v>179</v>
      </c>
      <c r="D480" s="10" t="s">
        <v>1264</v>
      </c>
      <c r="E480" s="12" t="n">
        <v>1855.45</v>
      </c>
      <c r="F480" s="10" t="s">
        <v>347</v>
      </c>
      <c r="G480" s="9" t="n">
        <f aca="false">VALUE(LEFT(TEXT(E480,"0.00"),1))</f>
        <v>1</v>
      </c>
      <c r="H480" s="0" t="str">
        <f aca="false">UPPER(SUBSTITUTE(SUBSTITUTE(SUBSTITUTE(D480," ",""),"/",""),".",""))</f>
        <v>INV24004</v>
      </c>
      <c r="I480" s="9" t="n">
        <f aca="false">IF(COUNTIFS($C$5:C480,C480,$H$5:H480,H480,$E$5:E480,E480)&gt;1,1,0)</f>
        <v>0</v>
      </c>
      <c r="J480" s="9" t="n">
        <f aca="false">IF(AND(I480=0,COUNTIFS($C$5:$C$634,C480,$E$5:$E$634,E480,$B$5:$B$634,"&gt;="&amp;(B480-Parameters!$B$12),$B$5:$B$634,"&lt;="&amp;(B480+Parameters!$B$12),$H$5:$H$634,"&lt;&gt;"&amp;H480)&gt;0),1,0)</f>
        <v>0</v>
      </c>
      <c r="K480" s="9" t="n">
        <f aca="false">IF(AND(E480&gt;=Parameters!$B$11,ROUND(MOD(ROUND(E480,2),Parameters!$B$10),2)=0),1,0)</f>
        <v>0</v>
      </c>
      <c r="L480" s="9" t="n">
        <f aca="false">IF(AND(E480&lt;Parameters!$B$7,E480&gt;=Parameters!$B$7*(1-Parameters!$B$9)),1,0)</f>
        <v>0</v>
      </c>
      <c r="M480" s="9" t="n">
        <f aca="false">IF(AND(E480&lt;Parameters!$B$7,COUNTIFS($C$5:$C$634,C480,$B$5:$B$634,B480)&gt;1,SUMIFS($E$5:$E$634,$C$5:$C$634,C480,$B$5:$B$634,B480)&gt;=Parameters!$B$7),1,0)</f>
        <v>0</v>
      </c>
      <c r="N480" s="9" t="n">
        <f aca="false">IF(AND(E480&gt;=Parameters!$B$7,F480&lt;&gt;Parameters!$B$8),1,0)</f>
        <v>0</v>
      </c>
      <c r="O480" s="9" t="n">
        <f aca="false">INDEX(Vendor_Benford!$N$6:$N$50,MATCH(C480,Vendor_Benford!$A$6:$A$50,0))</f>
        <v>0</v>
      </c>
      <c r="P480" s="9" t="n">
        <f aca="false">INDEX(Vendor_Benford!$M$6:$M$50,MATCH(C480,Vendor_Benford!$A$6:$A$50,0))</f>
        <v>0</v>
      </c>
      <c r="Q480" s="9" t="n">
        <f aca="false">I480*Parameters!$B$28+J480*Parameters!$B$29+K480*Parameters!$B$30+L480*Parameters!$B$31+M480*Parameters!$B$32+N480*Parameters!$B$33+O480*Parameters!$B$34+P480*Parameters!$B$35</f>
        <v>0</v>
      </c>
      <c r="R480" s="0" t="str">
        <f aca="false">IF(Q480&gt;=Parameters!$B$24,"High","")</f>
        <v/>
      </c>
    </row>
    <row r="481" customFormat="false" ht="15" hidden="false" customHeight="false" outlineLevel="0" collapsed="false">
      <c r="A481" s="10" t="s">
        <v>1265</v>
      </c>
      <c r="B481" s="8" t="n">
        <v>45939</v>
      </c>
      <c r="C481" s="10" t="s">
        <v>206</v>
      </c>
      <c r="D481" s="10" t="s">
        <v>1266</v>
      </c>
      <c r="E481" s="12" t="n">
        <v>7843.07</v>
      </c>
      <c r="F481" s="10" t="s">
        <v>40</v>
      </c>
      <c r="G481" s="9" t="n">
        <f aca="false">VALUE(LEFT(TEXT(E481,"0.00"),1))</f>
        <v>7</v>
      </c>
      <c r="H481" s="0" t="str">
        <f aca="false">UPPER(SUBSTITUTE(SUBSTITUTE(SUBSTITUTE(D481," ",""),"/",""),".",""))</f>
        <v>INV33019</v>
      </c>
      <c r="I481" s="9" t="n">
        <f aca="false">IF(COUNTIFS($C$5:C481,C481,$H$5:H481,H481,$E$5:E481,E481)&gt;1,1,0)</f>
        <v>0</v>
      </c>
      <c r="J481" s="9" t="n">
        <f aca="false">IF(AND(I481=0,COUNTIFS($C$5:$C$634,C481,$E$5:$E$634,E481,$B$5:$B$634,"&gt;="&amp;(B481-Parameters!$B$12),$B$5:$B$634,"&lt;="&amp;(B481+Parameters!$B$12),$H$5:$H$634,"&lt;&gt;"&amp;H481)&gt;0),1,0)</f>
        <v>0</v>
      </c>
      <c r="K481" s="9" t="n">
        <f aca="false">IF(AND(E481&gt;=Parameters!$B$11,ROUND(MOD(ROUND(E481,2),Parameters!$B$10),2)=0),1,0)</f>
        <v>0</v>
      </c>
      <c r="L481" s="9" t="n">
        <f aca="false">IF(AND(E481&lt;Parameters!$B$7,E481&gt;=Parameters!$B$7*(1-Parameters!$B$9)),1,0)</f>
        <v>0</v>
      </c>
      <c r="M481" s="9" t="n">
        <f aca="false">IF(AND(E481&lt;Parameters!$B$7,COUNTIFS($C$5:$C$634,C481,$B$5:$B$634,B481)&gt;1,SUMIFS($E$5:$E$634,$C$5:$C$634,C481,$B$5:$B$634,B481)&gt;=Parameters!$B$7),1,0)</f>
        <v>0</v>
      </c>
      <c r="N481" s="9" t="n">
        <f aca="false">IF(AND(E481&gt;=Parameters!$B$7,F481&lt;&gt;Parameters!$B$8),1,0)</f>
        <v>0</v>
      </c>
      <c r="O481" s="9" t="n">
        <f aca="false">INDEX(Vendor_Benford!$N$6:$N$50,MATCH(C481,Vendor_Benford!$A$6:$A$50,0))</f>
        <v>0</v>
      </c>
      <c r="P481" s="9" t="n">
        <f aca="false">INDEX(Vendor_Benford!$M$6:$M$50,MATCH(C481,Vendor_Benford!$A$6:$A$50,0))</f>
        <v>0</v>
      </c>
      <c r="Q481" s="9" t="n">
        <f aca="false">I481*Parameters!$B$28+J481*Parameters!$B$29+K481*Parameters!$B$30+L481*Parameters!$B$31+M481*Parameters!$B$32+N481*Parameters!$B$33+O481*Parameters!$B$34+P481*Parameters!$B$35</f>
        <v>0</v>
      </c>
      <c r="R481" s="0" t="str">
        <f aca="false">IF(Q481&gt;=Parameters!$B$24,"High","")</f>
        <v/>
      </c>
    </row>
    <row r="482" customFormat="false" ht="15" hidden="false" customHeight="false" outlineLevel="0" collapsed="false">
      <c r="A482" s="10" t="s">
        <v>1267</v>
      </c>
      <c r="B482" s="8" t="n">
        <v>45940</v>
      </c>
      <c r="C482" s="10" t="s">
        <v>155</v>
      </c>
      <c r="D482" s="10" t="s">
        <v>1268</v>
      </c>
      <c r="E482" s="12" t="n">
        <v>103.6</v>
      </c>
      <c r="F482" s="10" t="s">
        <v>40</v>
      </c>
      <c r="G482" s="9" t="n">
        <f aca="false">VALUE(LEFT(TEXT(E482,"0.00"),1))</f>
        <v>1</v>
      </c>
      <c r="H482" s="0" t="str">
        <f aca="false">UPPER(SUBSTITUTE(SUBSTITUTE(SUBSTITUTE(D482," ",""),"/",""),".",""))</f>
        <v>INV16021</v>
      </c>
      <c r="I482" s="9" t="n">
        <f aca="false">IF(COUNTIFS($C$5:C482,C482,$H$5:H482,H482,$E$5:E482,E482)&gt;1,1,0)</f>
        <v>0</v>
      </c>
      <c r="J482" s="9" t="n">
        <f aca="false">IF(AND(I482=0,COUNTIFS($C$5:$C$634,C482,$E$5:$E$634,E482,$B$5:$B$634,"&gt;="&amp;(B482-Parameters!$B$12),$B$5:$B$634,"&lt;="&amp;(B482+Parameters!$B$12),$H$5:$H$634,"&lt;&gt;"&amp;H482)&gt;0),1,0)</f>
        <v>0</v>
      </c>
      <c r="K482" s="9" t="n">
        <f aca="false">IF(AND(E482&gt;=Parameters!$B$11,ROUND(MOD(ROUND(E482,2),Parameters!$B$10),2)=0),1,0)</f>
        <v>0</v>
      </c>
      <c r="L482" s="9" t="n">
        <f aca="false">IF(AND(E482&lt;Parameters!$B$7,E482&gt;=Parameters!$B$7*(1-Parameters!$B$9)),1,0)</f>
        <v>0</v>
      </c>
      <c r="M482" s="9" t="n">
        <f aca="false">IF(AND(E482&lt;Parameters!$B$7,COUNTIFS($C$5:$C$634,C482,$B$5:$B$634,B482)&gt;1,SUMIFS($E$5:$E$634,$C$5:$C$634,C482,$B$5:$B$634,B482)&gt;=Parameters!$B$7),1,0)</f>
        <v>0</v>
      </c>
      <c r="N482" s="9" t="n">
        <f aca="false">IF(AND(E482&gt;=Parameters!$B$7,F482&lt;&gt;Parameters!$B$8),1,0)</f>
        <v>0</v>
      </c>
      <c r="O482" s="9" t="n">
        <f aca="false">INDEX(Vendor_Benford!$N$6:$N$50,MATCH(C482,Vendor_Benford!$A$6:$A$50,0))</f>
        <v>0</v>
      </c>
      <c r="P482" s="9" t="n">
        <f aca="false">INDEX(Vendor_Benford!$M$6:$M$50,MATCH(C482,Vendor_Benford!$A$6:$A$50,0))</f>
        <v>0</v>
      </c>
      <c r="Q482" s="9" t="n">
        <f aca="false">I482*Parameters!$B$28+J482*Parameters!$B$29+K482*Parameters!$B$30+L482*Parameters!$B$31+M482*Parameters!$B$32+N482*Parameters!$B$33+O482*Parameters!$B$34+P482*Parameters!$B$35</f>
        <v>0</v>
      </c>
      <c r="R482" s="0" t="str">
        <f aca="false">IF(Q482&gt;=Parameters!$B$24,"High","")</f>
        <v/>
      </c>
    </row>
    <row r="483" customFormat="false" ht="15" hidden="false" customHeight="false" outlineLevel="0" collapsed="false">
      <c r="A483" s="10" t="s">
        <v>1269</v>
      </c>
      <c r="B483" s="8" t="n">
        <v>45940</v>
      </c>
      <c r="C483" s="10" t="s">
        <v>182</v>
      </c>
      <c r="D483" s="10" t="s">
        <v>1270</v>
      </c>
      <c r="E483" s="12" t="n">
        <v>6692.04</v>
      </c>
      <c r="F483" s="10" t="s">
        <v>40</v>
      </c>
      <c r="G483" s="9" t="n">
        <f aca="false">VALUE(LEFT(TEXT(E483,"0.00"),1))</f>
        <v>6</v>
      </c>
      <c r="H483" s="0" t="str">
        <f aca="false">UPPER(SUBSTITUTE(SUBSTITUTE(SUBSTITUTE(D483," ",""),"/",""),".",""))</f>
        <v>INV25008</v>
      </c>
      <c r="I483" s="9" t="n">
        <f aca="false">IF(COUNTIFS($C$5:C483,C483,$H$5:H483,H483,$E$5:E483,E483)&gt;1,1,0)</f>
        <v>0</v>
      </c>
      <c r="J483" s="9" t="n">
        <f aca="false">IF(AND(I483=0,COUNTIFS($C$5:$C$634,C483,$E$5:$E$634,E483,$B$5:$B$634,"&gt;="&amp;(B483-Parameters!$B$12),$B$5:$B$634,"&lt;="&amp;(B483+Parameters!$B$12),$H$5:$H$634,"&lt;&gt;"&amp;H483)&gt;0),1,0)</f>
        <v>0</v>
      </c>
      <c r="K483" s="9" t="n">
        <f aca="false">IF(AND(E483&gt;=Parameters!$B$11,ROUND(MOD(ROUND(E483,2),Parameters!$B$10),2)=0),1,0)</f>
        <v>0</v>
      </c>
      <c r="L483" s="9" t="n">
        <f aca="false">IF(AND(E483&lt;Parameters!$B$7,E483&gt;=Parameters!$B$7*(1-Parameters!$B$9)),1,0)</f>
        <v>0</v>
      </c>
      <c r="M483" s="9" t="n">
        <f aca="false">IF(AND(E483&lt;Parameters!$B$7,COUNTIFS($C$5:$C$634,C483,$B$5:$B$634,B483)&gt;1,SUMIFS($E$5:$E$634,$C$5:$C$634,C483,$B$5:$B$634,B483)&gt;=Parameters!$B$7),1,0)</f>
        <v>0</v>
      </c>
      <c r="N483" s="9" t="n">
        <f aca="false">IF(AND(E483&gt;=Parameters!$B$7,F483&lt;&gt;Parameters!$B$8),1,0)</f>
        <v>0</v>
      </c>
      <c r="O483" s="9" t="n">
        <f aca="false">INDEX(Vendor_Benford!$N$6:$N$50,MATCH(C483,Vendor_Benford!$A$6:$A$50,0))</f>
        <v>0</v>
      </c>
      <c r="P483" s="9" t="n">
        <f aca="false">INDEX(Vendor_Benford!$M$6:$M$50,MATCH(C483,Vendor_Benford!$A$6:$A$50,0))</f>
        <v>0</v>
      </c>
      <c r="Q483" s="9" t="n">
        <f aca="false">I483*Parameters!$B$28+J483*Parameters!$B$29+K483*Parameters!$B$30+L483*Parameters!$B$31+M483*Parameters!$B$32+N483*Parameters!$B$33+O483*Parameters!$B$34+P483*Parameters!$B$35</f>
        <v>0</v>
      </c>
      <c r="R483" s="0" t="str">
        <f aca="false">IF(Q483&gt;=Parameters!$B$24,"High","")</f>
        <v/>
      </c>
    </row>
    <row r="484" customFormat="false" ht="15" hidden="false" customHeight="false" outlineLevel="0" collapsed="false">
      <c r="A484" s="10" t="s">
        <v>1271</v>
      </c>
      <c r="B484" s="8" t="n">
        <v>45940</v>
      </c>
      <c r="C484" s="10" t="s">
        <v>206</v>
      </c>
      <c r="D484" s="10" t="s">
        <v>1272</v>
      </c>
      <c r="E484" s="12" t="n">
        <v>297.75</v>
      </c>
      <c r="F484" s="10" t="s">
        <v>347</v>
      </c>
      <c r="G484" s="9" t="n">
        <f aca="false">VALUE(LEFT(TEXT(E484,"0.00"),1))</f>
        <v>2</v>
      </c>
      <c r="H484" s="0" t="str">
        <f aca="false">UPPER(SUBSTITUTE(SUBSTITUTE(SUBSTITUTE(D484," ",""),"/",""),".",""))</f>
        <v>INV33012</v>
      </c>
      <c r="I484" s="9" t="n">
        <f aca="false">IF(COUNTIFS($C$5:C484,C484,$H$5:H484,H484,$E$5:E484,E484)&gt;1,1,0)</f>
        <v>0</v>
      </c>
      <c r="J484" s="9" t="n">
        <f aca="false">IF(AND(I484=0,COUNTIFS($C$5:$C$634,C484,$E$5:$E$634,E484,$B$5:$B$634,"&gt;="&amp;(B484-Parameters!$B$12),$B$5:$B$634,"&lt;="&amp;(B484+Parameters!$B$12),$H$5:$H$634,"&lt;&gt;"&amp;H484)&gt;0),1,0)</f>
        <v>0</v>
      </c>
      <c r="K484" s="9" t="n">
        <f aca="false">IF(AND(E484&gt;=Parameters!$B$11,ROUND(MOD(ROUND(E484,2),Parameters!$B$10),2)=0),1,0)</f>
        <v>0</v>
      </c>
      <c r="L484" s="9" t="n">
        <f aca="false">IF(AND(E484&lt;Parameters!$B$7,E484&gt;=Parameters!$B$7*(1-Parameters!$B$9)),1,0)</f>
        <v>0</v>
      </c>
      <c r="M484" s="9" t="n">
        <f aca="false">IF(AND(E484&lt;Parameters!$B$7,COUNTIFS($C$5:$C$634,C484,$B$5:$B$634,B484)&gt;1,SUMIFS($E$5:$E$634,$C$5:$C$634,C484,$B$5:$B$634,B484)&gt;=Parameters!$B$7),1,0)</f>
        <v>0</v>
      </c>
      <c r="N484" s="9" t="n">
        <f aca="false">IF(AND(E484&gt;=Parameters!$B$7,F484&lt;&gt;Parameters!$B$8),1,0)</f>
        <v>0</v>
      </c>
      <c r="O484" s="9" t="n">
        <f aca="false">INDEX(Vendor_Benford!$N$6:$N$50,MATCH(C484,Vendor_Benford!$A$6:$A$50,0))</f>
        <v>0</v>
      </c>
      <c r="P484" s="9" t="n">
        <f aca="false">INDEX(Vendor_Benford!$M$6:$M$50,MATCH(C484,Vendor_Benford!$A$6:$A$50,0))</f>
        <v>0</v>
      </c>
      <c r="Q484" s="9" t="n">
        <f aca="false">I484*Parameters!$B$28+J484*Parameters!$B$29+K484*Parameters!$B$30+L484*Parameters!$B$31+M484*Parameters!$B$32+N484*Parameters!$B$33+O484*Parameters!$B$34+P484*Parameters!$B$35</f>
        <v>0</v>
      </c>
      <c r="R484" s="0" t="str">
        <f aca="false">IF(Q484&gt;=Parameters!$B$24,"High","")</f>
        <v/>
      </c>
    </row>
    <row r="485" customFormat="false" ht="15" hidden="false" customHeight="false" outlineLevel="0" collapsed="false">
      <c r="A485" s="10" t="s">
        <v>1273</v>
      </c>
      <c r="B485" s="8" t="n">
        <v>45943</v>
      </c>
      <c r="C485" s="10" t="s">
        <v>179</v>
      </c>
      <c r="D485" s="10" t="s">
        <v>1274</v>
      </c>
      <c r="E485" s="12" t="n">
        <v>20000</v>
      </c>
      <c r="F485" s="10" t="s">
        <v>40</v>
      </c>
      <c r="G485" s="9" t="n">
        <f aca="false">VALUE(LEFT(TEXT(E485,"0.00"),1))</f>
        <v>2</v>
      </c>
      <c r="H485" s="0" t="str">
        <f aca="false">UPPER(SUBSTITUTE(SUBSTITUTE(SUBSTITUTE(D485," ",""),"/",""),".",""))</f>
        <v>INV24006</v>
      </c>
      <c r="I485" s="9" t="n">
        <f aca="false">IF(COUNTIFS($C$5:C485,C485,$H$5:H485,H485,$E$5:E485,E485)&gt;1,1,0)</f>
        <v>0</v>
      </c>
      <c r="J485" s="9" t="n">
        <f aca="false">IF(AND(I485=0,COUNTIFS($C$5:$C$634,C485,$E$5:$E$634,E485,$B$5:$B$634,"&gt;="&amp;(B485-Parameters!$B$12),$B$5:$B$634,"&lt;="&amp;(B485+Parameters!$B$12),$H$5:$H$634,"&lt;&gt;"&amp;H485)&gt;0),1,0)</f>
        <v>0</v>
      </c>
      <c r="K485" s="9" t="n">
        <f aca="false">IF(AND(E485&gt;=Parameters!$B$11,ROUND(MOD(ROUND(E485,2),Parameters!$B$10),2)=0),1,0)</f>
        <v>1</v>
      </c>
      <c r="L485" s="9" t="n">
        <f aca="false">IF(AND(E485&lt;Parameters!$B$7,E485&gt;=Parameters!$B$7*(1-Parameters!$B$9)),1,0)</f>
        <v>0</v>
      </c>
      <c r="M485" s="9" t="n">
        <f aca="false">IF(AND(E485&lt;Parameters!$B$7,COUNTIFS($C$5:$C$634,C485,$B$5:$B$634,B485)&gt;1,SUMIFS($E$5:$E$634,$C$5:$C$634,C485,$B$5:$B$634,B485)&gt;=Parameters!$B$7),1,0)</f>
        <v>0</v>
      </c>
      <c r="N485" s="9" t="n">
        <f aca="false">IF(AND(E485&gt;=Parameters!$B$7,F485&lt;&gt;Parameters!$B$8),1,0)</f>
        <v>0</v>
      </c>
      <c r="O485" s="9" t="n">
        <f aca="false">INDEX(Vendor_Benford!$N$6:$N$50,MATCH(C485,Vendor_Benford!$A$6:$A$50,0))</f>
        <v>0</v>
      </c>
      <c r="P485" s="9" t="n">
        <f aca="false">INDEX(Vendor_Benford!$M$6:$M$50,MATCH(C485,Vendor_Benford!$A$6:$A$50,0))</f>
        <v>0</v>
      </c>
      <c r="Q485" s="9" t="n">
        <f aca="false">I485*Parameters!$B$28+J485*Parameters!$B$29+K485*Parameters!$B$30+L485*Parameters!$B$31+M485*Parameters!$B$32+N485*Parameters!$B$33+O485*Parameters!$B$34+P485*Parameters!$B$35</f>
        <v>2</v>
      </c>
      <c r="R485" s="0" t="str">
        <f aca="false">IF(Q485&gt;=Parameters!$B$24,"High","")</f>
        <v/>
      </c>
    </row>
    <row r="486" customFormat="false" ht="15" hidden="false" customHeight="false" outlineLevel="0" collapsed="false">
      <c r="A486" s="10" t="s">
        <v>1275</v>
      </c>
      <c r="B486" s="8" t="n">
        <v>45943</v>
      </c>
      <c r="C486" s="10" t="s">
        <v>239</v>
      </c>
      <c r="D486" s="10" t="s">
        <v>1276</v>
      </c>
      <c r="E486" s="12" t="n">
        <v>3225.39</v>
      </c>
      <c r="F486" s="10" t="s">
        <v>347</v>
      </c>
      <c r="G486" s="9" t="n">
        <f aca="false">VALUE(LEFT(TEXT(E486,"0.00"),1))</f>
        <v>3</v>
      </c>
      <c r="H486" s="0" t="str">
        <f aca="false">UPPER(SUBSTITUTE(SUBSTITUTE(SUBSTITUTE(D486," ",""),"/",""),".",""))</f>
        <v>INV44013</v>
      </c>
      <c r="I486" s="9" t="n">
        <f aca="false">IF(COUNTIFS($C$5:C486,C486,$H$5:H486,H486,$E$5:E486,E486)&gt;1,1,0)</f>
        <v>0</v>
      </c>
      <c r="J486" s="9" t="n">
        <f aca="false">IF(AND(I486=0,COUNTIFS($C$5:$C$634,C486,$E$5:$E$634,E486,$B$5:$B$634,"&gt;="&amp;(B486-Parameters!$B$12),$B$5:$B$634,"&lt;="&amp;(B486+Parameters!$B$12),$H$5:$H$634,"&lt;&gt;"&amp;H486)&gt;0),1,0)</f>
        <v>0</v>
      </c>
      <c r="K486" s="9" t="n">
        <f aca="false">IF(AND(E486&gt;=Parameters!$B$11,ROUND(MOD(ROUND(E486,2),Parameters!$B$10),2)=0),1,0)</f>
        <v>0</v>
      </c>
      <c r="L486" s="9" t="n">
        <f aca="false">IF(AND(E486&lt;Parameters!$B$7,E486&gt;=Parameters!$B$7*(1-Parameters!$B$9)),1,0)</f>
        <v>0</v>
      </c>
      <c r="M486" s="9" t="n">
        <f aca="false">IF(AND(E486&lt;Parameters!$B$7,COUNTIFS($C$5:$C$634,C486,$B$5:$B$634,B486)&gt;1,SUMIFS($E$5:$E$634,$C$5:$C$634,C486,$B$5:$B$634,B486)&gt;=Parameters!$B$7),1,0)</f>
        <v>0</v>
      </c>
      <c r="N486" s="9" t="n">
        <f aca="false">IF(AND(E486&gt;=Parameters!$B$7,F486&lt;&gt;Parameters!$B$8),1,0)</f>
        <v>0</v>
      </c>
      <c r="O486" s="9" t="n">
        <f aca="false">INDEX(Vendor_Benford!$N$6:$N$50,MATCH(C486,Vendor_Benford!$A$6:$A$50,0))</f>
        <v>0</v>
      </c>
      <c r="P486" s="9" t="n">
        <f aca="false">INDEX(Vendor_Benford!$M$6:$M$50,MATCH(C486,Vendor_Benford!$A$6:$A$50,0))</f>
        <v>0</v>
      </c>
      <c r="Q486" s="9" t="n">
        <f aca="false">I486*Parameters!$B$28+J486*Parameters!$B$29+K486*Parameters!$B$30+L486*Parameters!$B$31+M486*Parameters!$B$32+N486*Parameters!$B$33+O486*Parameters!$B$34+P486*Parameters!$B$35</f>
        <v>0</v>
      </c>
      <c r="R486" s="0" t="str">
        <f aca="false">IF(Q486&gt;=Parameters!$B$24,"High","")</f>
        <v/>
      </c>
    </row>
    <row r="487" customFormat="false" ht="15" hidden="false" customHeight="false" outlineLevel="0" collapsed="false">
      <c r="A487" s="10" t="s">
        <v>1277</v>
      </c>
      <c r="B487" s="8" t="n">
        <v>45944</v>
      </c>
      <c r="C487" s="10" t="s">
        <v>143</v>
      </c>
      <c r="D487" s="10" t="s">
        <v>1278</v>
      </c>
      <c r="E487" s="12" t="n">
        <v>662.87</v>
      </c>
      <c r="F487" s="10" t="s">
        <v>40</v>
      </c>
      <c r="G487" s="9" t="n">
        <f aca="false">VALUE(LEFT(TEXT(E487,"0.00"),1))</f>
        <v>6</v>
      </c>
      <c r="H487" s="0" t="str">
        <f aca="false">UPPER(SUBSTITUTE(SUBSTITUTE(SUBSTITUTE(D487," ",""),"/",""),".",""))</f>
        <v>INV12001</v>
      </c>
      <c r="I487" s="9" t="n">
        <f aca="false">IF(COUNTIFS($C$5:C487,C487,$H$5:H487,H487,$E$5:E487,E487)&gt;1,1,0)</f>
        <v>0</v>
      </c>
      <c r="J487" s="9" t="n">
        <f aca="false">IF(AND(I487=0,COUNTIFS($C$5:$C$634,C487,$E$5:$E$634,E487,$B$5:$B$634,"&gt;="&amp;(B487-Parameters!$B$12),$B$5:$B$634,"&lt;="&amp;(B487+Parameters!$B$12),$H$5:$H$634,"&lt;&gt;"&amp;H487)&gt;0),1,0)</f>
        <v>0</v>
      </c>
      <c r="K487" s="9" t="n">
        <f aca="false">IF(AND(E487&gt;=Parameters!$B$11,ROUND(MOD(ROUND(E487,2),Parameters!$B$10),2)=0),1,0)</f>
        <v>0</v>
      </c>
      <c r="L487" s="9" t="n">
        <f aca="false">IF(AND(E487&lt;Parameters!$B$7,E487&gt;=Parameters!$B$7*(1-Parameters!$B$9)),1,0)</f>
        <v>0</v>
      </c>
      <c r="M487" s="9" t="n">
        <f aca="false">IF(AND(E487&lt;Parameters!$B$7,COUNTIFS($C$5:$C$634,C487,$B$5:$B$634,B487)&gt;1,SUMIFS($E$5:$E$634,$C$5:$C$634,C487,$B$5:$B$634,B487)&gt;=Parameters!$B$7),1,0)</f>
        <v>0</v>
      </c>
      <c r="N487" s="9" t="n">
        <f aca="false">IF(AND(E487&gt;=Parameters!$B$7,F487&lt;&gt;Parameters!$B$8),1,0)</f>
        <v>0</v>
      </c>
      <c r="O487" s="9" t="n">
        <f aca="false">INDEX(Vendor_Benford!$N$6:$N$50,MATCH(C487,Vendor_Benford!$A$6:$A$50,0))</f>
        <v>0</v>
      </c>
      <c r="P487" s="9" t="n">
        <f aca="false">INDEX(Vendor_Benford!$M$6:$M$50,MATCH(C487,Vendor_Benford!$A$6:$A$50,0))</f>
        <v>0</v>
      </c>
      <c r="Q487" s="9" t="n">
        <f aca="false">I487*Parameters!$B$28+J487*Parameters!$B$29+K487*Parameters!$B$30+L487*Parameters!$B$31+M487*Parameters!$B$32+N487*Parameters!$B$33+O487*Parameters!$B$34+P487*Parameters!$B$35</f>
        <v>0</v>
      </c>
      <c r="R487" s="0" t="str">
        <f aca="false">IF(Q487&gt;=Parameters!$B$24,"High","")</f>
        <v/>
      </c>
    </row>
    <row r="488" customFormat="false" ht="15" hidden="false" customHeight="false" outlineLevel="0" collapsed="false">
      <c r="A488" s="10" t="s">
        <v>1279</v>
      </c>
      <c r="B488" s="8" t="n">
        <v>45944</v>
      </c>
      <c r="C488" s="10" t="s">
        <v>173</v>
      </c>
      <c r="D488" s="10" t="s">
        <v>1280</v>
      </c>
      <c r="E488" s="12" t="n">
        <v>10123.14</v>
      </c>
      <c r="F488" s="10" t="s">
        <v>40</v>
      </c>
      <c r="G488" s="9" t="n">
        <f aca="false">VALUE(LEFT(TEXT(E488,"0.00"),1))</f>
        <v>1</v>
      </c>
      <c r="H488" s="0" t="str">
        <f aca="false">UPPER(SUBSTITUTE(SUBSTITUTE(SUBSTITUTE(D488," ",""),"/",""),".",""))</f>
        <v>INV22020</v>
      </c>
      <c r="I488" s="9" t="n">
        <f aca="false">IF(COUNTIFS($C$5:C488,C488,$H$5:H488,H488,$E$5:E488,E488)&gt;1,1,0)</f>
        <v>0</v>
      </c>
      <c r="J488" s="9" t="n">
        <f aca="false">IF(AND(I488=0,COUNTIFS($C$5:$C$634,C488,$E$5:$E$634,E488,$B$5:$B$634,"&gt;="&amp;(B488-Parameters!$B$12),$B$5:$B$634,"&lt;="&amp;(B488+Parameters!$B$12),$H$5:$H$634,"&lt;&gt;"&amp;H488)&gt;0),1,0)</f>
        <v>1</v>
      </c>
      <c r="K488" s="9" t="n">
        <f aca="false">IF(AND(E488&gt;=Parameters!$B$11,ROUND(MOD(ROUND(E488,2),Parameters!$B$10),2)=0),1,0)</f>
        <v>0</v>
      </c>
      <c r="L488" s="9" t="n">
        <f aca="false">IF(AND(E488&lt;Parameters!$B$7,E488&gt;=Parameters!$B$7*(1-Parameters!$B$9)),1,0)</f>
        <v>0</v>
      </c>
      <c r="M488" s="9" t="n">
        <f aca="false">IF(AND(E488&lt;Parameters!$B$7,COUNTIFS($C$5:$C$634,C488,$B$5:$B$634,B488)&gt;1,SUMIFS($E$5:$E$634,$C$5:$C$634,C488,$B$5:$B$634,B488)&gt;=Parameters!$B$7),1,0)</f>
        <v>0</v>
      </c>
      <c r="N488" s="9" t="n">
        <f aca="false">IF(AND(E488&gt;=Parameters!$B$7,F488&lt;&gt;Parameters!$B$8),1,0)</f>
        <v>0</v>
      </c>
      <c r="O488" s="9" t="n">
        <f aca="false">INDEX(Vendor_Benford!$N$6:$N$50,MATCH(C488,Vendor_Benford!$A$6:$A$50,0))</f>
        <v>0</v>
      </c>
      <c r="P488" s="9" t="n">
        <f aca="false">INDEX(Vendor_Benford!$M$6:$M$50,MATCH(C488,Vendor_Benford!$A$6:$A$50,0))</f>
        <v>0</v>
      </c>
      <c r="Q488" s="9" t="n">
        <f aca="false">I488*Parameters!$B$28+J488*Parameters!$B$29+K488*Parameters!$B$30+L488*Parameters!$B$31+M488*Parameters!$B$32+N488*Parameters!$B$33+O488*Parameters!$B$34+P488*Parameters!$B$35</f>
        <v>3</v>
      </c>
      <c r="R488" s="0" t="str">
        <f aca="false">IF(Q488&gt;=Parameters!$B$24,"High","")</f>
        <v/>
      </c>
    </row>
    <row r="489" customFormat="false" ht="15" hidden="false" customHeight="false" outlineLevel="0" collapsed="false">
      <c r="A489" s="10" t="s">
        <v>1281</v>
      </c>
      <c r="B489" s="8" t="n">
        <v>45945</v>
      </c>
      <c r="C489" s="10" t="s">
        <v>113</v>
      </c>
      <c r="D489" s="10" t="s">
        <v>1282</v>
      </c>
      <c r="E489" s="12" t="n">
        <v>4900</v>
      </c>
      <c r="F489" s="10" t="s">
        <v>347</v>
      </c>
      <c r="G489" s="9" t="n">
        <f aca="false">VALUE(LEFT(TEXT(E489,"0.00"),1))</f>
        <v>4</v>
      </c>
      <c r="H489" s="0" t="str">
        <f aca="false">UPPER(SUBSTITUTE(SUBSTITUTE(SUBSTITUTE(D489," ",""),"/",""),".",""))</f>
        <v>LIC2510</v>
      </c>
      <c r="I489" s="9" t="n">
        <f aca="false">IF(COUNTIFS($C$5:C489,C489,$H$5:H489,H489,$E$5:E489,E489)&gt;1,1,0)</f>
        <v>0</v>
      </c>
      <c r="J489" s="9" t="n">
        <f aca="false">IF(AND(I489=0,COUNTIFS($C$5:$C$634,C489,$E$5:$E$634,E489,$B$5:$B$634,"&gt;="&amp;(B489-Parameters!$B$12),$B$5:$B$634,"&lt;="&amp;(B489+Parameters!$B$12),$H$5:$H$634,"&lt;&gt;"&amp;H489)&gt;0),1,0)</f>
        <v>1</v>
      </c>
      <c r="K489" s="9" t="n">
        <f aca="false">IF(AND(E489&gt;=Parameters!$B$11,ROUND(MOD(ROUND(E489,2),Parameters!$B$10),2)=0),1,0)</f>
        <v>0</v>
      </c>
      <c r="L489" s="9" t="n">
        <f aca="false">IF(AND(E489&lt;Parameters!$B$7,E489&gt;=Parameters!$B$7*(1-Parameters!$B$9)),1,0)</f>
        <v>1</v>
      </c>
      <c r="M489" s="9" t="n">
        <f aca="false">IF(AND(E489&lt;Parameters!$B$7,COUNTIFS($C$5:$C$634,C489,$B$5:$B$634,B489)&gt;1,SUMIFS($E$5:$E$634,$C$5:$C$634,C489,$B$5:$B$634,B489)&gt;=Parameters!$B$7),1,0)</f>
        <v>0</v>
      </c>
      <c r="N489" s="9" t="n">
        <f aca="false">IF(AND(E489&gt;=Parameters!$B$7,F489&lt;&gt;Parameters!$B$8),1,0)</f>
        <v>0</v>
      </c>
      <c r="O489" s="9" t="n">
        <f aca="false">INDEX(Vendor_Benford!$N$6:$N$50,MATCH(C489,Vendor_Benford!$A$6:$A$50,0))</f>
        <v>0</v>
      </c>
      <c r="P489" s="9" t="n">
        <f aca="false">INDEX(Vendor_Benford!$M$6:$M$50,MATCH(C489,Vendor_Benford!$A$6:$A$50,0))</f>
        <v>0</v>
      </c>
      <c r="Q489" s="9" t="n">
        <f aca="false">I489*Parameters!$B$28+J489*Parameters!$B$29+K489*Parameters!$B$30+L489*Parameters!$B$31+M489*Parameters!$B$32+N489*Parameters!$B$33+O489*Parameters!$B$34+P489*Parameters!$B$35</f>
        <v>5</v>
      </c>
      <c r="R489" s="0" t="str">
        <f aca="false">IF(Q489&gt;=Parameters!$B$24,"High","")</f>
        <v>High</v>
      </c>
    </row>
    <row r="490" customFormat="false" ht="15" hidden="false" customHeight="false" outlineLevel="0" collapsed="false">
      <c r="A490" s="10" t="s">
        <v>1283</v>
      </c>
      <c r="B490" s="8" t="n">
        <v>45945</v>
      </c>
      <c r="C490" s="10" t="s">
        <v>176</v>
      </c>
      <c r="D490" s="10" t="s">
        <v>1284</v>
      </c>
      <c r="E490" s="12" t="n">
        <v>989.47</v>
      </c>
      <c r="F490" s="10" t="s">
        <v>40</v>
      </c>
      <c r="G490" s="9" t="n">
        <f aca="false">VALUE(LEFT(TEXT(E490,"0.00"),1))</f>
        <v>9</v>
      </c>
      <c r="H490" s="0" t="str">
        <f aca="false">UPPER(SUBSTITUTE(SUBSTITUTE(SUBSTITUTE(D490," ",""),"/",""),".",""))</f>
        <v>INV23002</v>
      </c>
      <c r="I490" s="9" t="n">
        <f aca="false">IF(COUNTIFS($C$5:C490,C490,$H$5:H490,H490,$E$5:E490,E490)&gt;1,1,0)</f>
        <v>0</v>
      </c>
      <c r="J490" s="9" t="n">
        <f aca="false">IF(AND(I490=0,COUNTIFS($C$5:$C$634,C490,$E$5:$E$634,E490,$B$5:$B$634,"&gt;="&amp;(B490-Parameters!$B$12),$B$5:$B$634,"&lt;="&amp;(B490+Parameters!$B$12),$H$5:$H$634,"&lt;&gt;"&amp;H490)&gt;0),1,0)</f>
        <v>0</v>
      </c>
      <c r="K490" s="9" t="n">
        <f aca="false">IF(AND(E490&gt;=Parameters!$B$11,ROUND(MOD(ROUND(E490,2),Parameters!$B$10),2)=0),1,0)</f>
        <v>0</v>
      </c>
      <c r="L490" s="9" t="n">
        <f aca="false">IF(AND(E490&lt;Parameters!$B$7,E490&gt;=Parameters!$B$7*(1-Parameters!$B$9)),1,0)</f>
        <v>0</v>
      </c>
      <c r="M490" s="9" t="n">
        <f aca="false">IF(AND(E490&lt;Parameters!$B$7,COUNTIFS($C$5:$C$634,C490,$B$5:$B$634,B490)&gt;1,SUMIFS($E$5:$E$634,$C$5:$C$634,C490,$B$5:$B$634,B490)&gt;=Parameters!$B$7),1,0)</f>
        <v>0</v>
      </c>
      <c r="N490" s="9" t="n">
        <f aca="false">IF(AND(E490&gt;=Parameters!$B$7,F490&lt;&gt;Parameters!$B$8),1,0)</f>
        <v>0</v>
      </c>
      <c r="O490" s="9" t="n">
        <f aca="false">INDEX(Vendor_Benford!$N$6:$N$50,MATCH(C490,Vendor_Benford!$A$6:$A$50,0))</f>
        <v>0</v>
      </c>
      <c r="P490" s="9" t="n">
        <f aca="false">INDEX(Vendor_Benford!$M$6:$M$50,MATCH(C490,Vendor_Benford!$A$6:$A$50,0))</f>
        <v>0</v>
      </c>
      <c r="Q490" s="9" t="n">
        <f aca="false">I490*Parameters!$B$28+J490*Parameters!$B$29+K490*Parameters!$B$30+L490*Parameters!$B$31+M490*Parameters!$B$32+N490*Parameters!$B$33+O490*Parameters!$B$34+P490*Parameters!$B$35</f>
        <v>0</v>
      </c>
      <c r="R490" s="0" t="str">
        <f aca="false">IF(Q490&gt;=Parameters!$B$24,"High","")</f>
        <v/>
      </c>
    </row>
    <row r="491" customFormat="false" ht="15" hidden="false" customHeight="false" outlineLevel="0" collapsed="false">
      <c r="A491" s="10" t="s">
        <v>1285</v>
      </c>
      <c r="B491" s="8" t="n">
        <v>45945</v>
      </c>
      <c r="C491" s="10" t="s">
        <v>182</v>
      </c>
      <c r="D491" s="10" t="s">
        <v>1286</v>
      </c>
      <c r="E491" s="12" t="n">
        <v>77992.62</v>
      </c>
      <c r="F491" s="10" t="s">
        <v>40</v>
      </c>
      <c r="G491" s="9" t="n">
        <f aca="false">VALUE(LEFT(TEXT(E491,"0.00"),1))</f>
        <v>7</v>
      </c>
      <c r="H491" s="0" t="str">
        <f aca="false">UPPER(SUBSTITUTE(SUBSTITUTE(SUBSTITUTE(D491," ",""),"/",""),".",""))</f>
        <v>INV25009</v>
      </c>
      <c r="I491" s="9" t="n">
        <f aca="false">IF(COUNTIFS($C$5:C491,C491,$H$5:H491,H491,$E$5:E491,E491)&gt;1,1,0)</f>
        <v>0</v>
      </c>
      <c r="J491" s="9" t="n">
        <f aca="false">IF(AND(I491=0,COUNTIFS($C$5:$C$634,C491,$E$5:$E$634,E491,$B$5:$B$634,"&gt;="&amp;(B491-Parameters!$B$12),$B$5:$B$634,"&lt;="&amp;(B491+Parameters!$B$12),$H$5:$H$634,"&lt;&gt;"&amp;H491)&gt;0),1,0)</f>
        <v>0</v>
      </c>
      <c r="K491" s="9" t="n">
        <f aca="false">IF(AND(E491&gt;=Parameters!$B$11,ROUND(MOD(ROUND(E491,2),Parameters!$B$10),2)=0),1,0)</f>
        <v>0</v>
      </c>
      <c r="L491" s="9" t="n">
        <f aca="false">IF(AND(E491&lt;Parameters!$B$7,E491&gt;=Parameters!$B$7*(1-Parameters!$B$9)),1,0)</f>
        <v>0</v>
      </c>
      <c r="M491" s="9" t="n">
        <f aca="false">IF(AND(E491&lt;Parameters!$B$7,COUNTIFS($C$5:$C$634,C491,$B$5:$B$634,B491)&gt;1,SUMIFS($E$5:$E$634,$C$5:$C$634,C491,$B$5:$B$634,B491)&gt;=Parameters!$B$7),1,0)</f>
        <v>0</v>
      </c>
      <c r="N491" s="9" t="n">
        <f aca="false">IF(AND(E491&gt;=Parameters!$B$7,F491&lt;&gt;Parameters!$B$8),1,0)</f>
        <v>0</v>
      </c>
      <c r="O491" s="9" t="n">
        <f aca="false">INDEX(Vendor_Benford!$N$6:$N$50,MATCH(C491,Vendor_Benford!$A$6:$A$50,0))</f>
        <v>0</v>
      </c>
      <c r="P491" s="9" t="n">
        <f aca="false">INDEX(Vendor_Benford!$M$6:$M$50,MATCH(C491,Vendor_Benford!$A$6:$A$50,0))</f>
        <v>0</v>
      </c>
      <c r="Q491" s="9" t="n">
        <f aca="false">I491*Parameters!$B$28+J491*Parameters!$B$29+K491*Parameters!$B$30+L491*Parameters!$B$31+M491*Parameters!$B$32+N491*Parameters!$B$33+O491*Parameters!$B$34+P491*Parameters!$B$35</f>
        <v>0</v>
      </c>
      <c r="R491" s="0" t="str">
        <f aca="false">IF(Q491&gt;=Parameters!$B$24,"High","")</f>
        <v/>
      </c>
    </row>
    <row r="492" customFormat="false" ht="15" hidden="false" customHeight="false" outlineLevel="0" collapsed="false">
      <c r="A492" s="10" t="s">
        <v>1287</v>
      </c>
      <c r="B492" s="8" t="n">
        <v>45946</v>
      </c>
      <c r="C492" s="10" t="s">
        <v>206</v>
      </c>
      <c r="D492" s="10" t="s">
        <v>1288</v>
      </c>
      <c r="E492" s="12" t="n">
        <v>45928.66</v>
      </c>
      <c r="F492" s="10" t="s">
        <v>40</v>
      </c>
      <c r="G492" s="9" t="n">
        <f aca="false">VALUE(LEFT(TEXT(E492,"0.00"),1))</f>
        <v>4</v>
      </c>
      <c r="H492" s="0" t="str">
        <f aca="false">UPPER(SUBSTITUTE(SUBSTITUTE(SUBSTITUTE(D492," ",""),"/",""),".",""))</f>
        <v>INV33020</v>
      </c>
      <c r="I492" s="9" t="n">
        <f aca="false">IF(COUNTIFS($C$5:C492,C492,$H$5:H492,H492,$E$5:E492,E492)&gt;1,1,0)</f>
        <v>0</v>
      </c>
      <c r="J492" s="9" t="n">
        <f aca="false">IF(AND(I492=0,COUNTIFS($C$5:$C$634,C492,$E$5:$E$634,E492,$B$5:$B$634,"&gt;="&amp;(B492-Parameters!$B$12),$B$5:$B$634,"&lt;="&amp;(B492+Parameters!$B$12),$H$5:$H$634,"&lt;&gt;"&amp;H492)&gt;0),1,0)</f>
        <v>0</v>
      </c>
      <c r="K492" s="9" t="n">
        <f aca="false">IF(AND(E492&gt;=Parameters!$B$11,ROUND(MOD(ROUND(E492,2),Parameters!$B$10),2)=0),1,0)</f>
        <v>0</v>
      </c>
      <c r="L492" s="9" t="n">
        <f aca="false">IF(AND(E492&lt;Parameters!$B$7,E492&gt;=Parameters!$B$7*(1-Parameters!$B$9)),1,0)</f>
        <v>0</v>
      </c>
      <c r="M492" s="9" t="n">
        <f aca="false">IF(AND(E492&lt;Parameters!$B$7,COUNTIFS($C$5:$C$634,C492,$B$5:$B$634,B492)&gt;1,SUMIFS($E$5:$E$634,$C$5:$C$634,C492,$B$5:$B$634,B492)&gt;=Parameters!$B$7),1,0)</f>
        <v>0</v>
      </c>
      <c r="N492" s="9" t="n">
        <f aca="false">IF(AND(E492&gt;=Parameters!$B$7,F492&lt;&gt;Parameters!$B$8),1,0)</f>
        <v>0</v>
      </c>
      <c r="O492" s="9" t="n">
        <f aca="false">INDEX(Vendor_Benford!$N$6:$N$50,MATCH(C492,Vendor_Benford!$A$6:$A$50,0))</f>
        <v>0</v>
      </c>
      <c r="P492" s="9" t="n">
        <f aca="false">INDEX(Vendor_Benford!$M$6:$M$50,MATCH(C492,Vendor_Benford!$A$6:$A$50,0))</f>
        <v>0</v>
      </c>
      <c r="Q492" s="9" t="n">
        <f aca="false">I492*Parameters!$B$28+J492*Parameters!$B$29+K492*Parameters!$B$30+L492*Parameters!$B$31+M492*Parameters!$B$32+N492*Parameters!$B$33+O492*Parameters!$B$34+P492*Parameters!$B$35</f>
        <v>0</v>
      </c>
      <c r="R492" s="0" t="str">
        <f aca="false">IF(Q492&gt;=Parameters!$B$24,"High","")</f>
        <v/>
      </c>
    </row>
    <row r="493" customFormat="false" ht="15" hidden="false" customHeight="false" outlineLevel="0" collapsed="false">
      <c r="A493" s="10" t="s">
        <v>1289</v>
      </c>
      <c r="B493" s="8" t="n">
        <v>45947</v>
      </c>
      <c r="C493" s="10" t="s">
        <v>236</v>
      </c>
      <c r="D493" s="10" t="s">
        <v>1290</v>
      </c>
      <c r="E493" s="12" t="n">
        <v>206.91</v>
      </c>
      <c r="F493" s="10" t="s">
        <v>40</v>
      </c>
      <c r="G493" s="9" t="n">
        <f aca="false">VALUE(LEFT(TEXT(E493,"0.00"),1))</f>
        <v>2</v>
      </c>
      <c r="H493" s="0" t="str">
        <f aca="false">UPPER(SUBSTITUTE(SUBSTITUTE(SUBSTITUTE(D493," ",""),"/",""),".",""))</f>
        <v>INV43008</v>
      </c>
      <c r="I493" s="9" t="n">
        <f aca="false">IF(COUNTIFS($C$5:C493,C493,$H$5:H493,H493,$E$5:E493,E493)&gt;1,1,0)</f>
        <v>0</v>
      </c>
      <c r="J493" s="9" t="n">
        <f aca="false">IF(AND(I493=0,COUNTIFS($C$5:$C$634,C493,$E$5:$E$634,E493,$B$5:$B$634,"&gt;="&amp;(B493-Parameters!$B$12),$B$5:$B$634,"&lt;="&amp;(B493+Parameters!$B$12),$H$5:$H$634,"&lt;&gt;"&amp;H493)&gt;0),1,0)</f>
        <v>0</v>
      </c>
      <c r="K493" s="9" t="n">
        <f aca="false">IF(AND(E493&gt;=Parameters!$B$11,ROUND(MOD(ROUND(E493,2),Parameters!$B$10),2)=0),1,0)</f>
        <v>0</v>
      </c>
      <c r="L493" s="9" t="n">
        <f aca="false">IF(AND(E493&lt;Parameters!$B$7,E493&gt;=Parameters!$B$7*(1-Parameters!$B$9)),1,0)</f>
        <v>0</v>
      </c>
      <c r="M493" s="9" t="n">
        <f aca="false">IF(AND(E493&lt;Parameters!$B$7,COUNTIFS($C$5:$C$634,C493,$B$5:$B$634,B493)&gt;1,SUMIFS($E$5:$E$634,$C$5:$C$634,C493,$B$5:$B$634,B493)&gt;=Parameters!$B$7),1,0)</f>
        <v>0</v>
      </c>
      <c r="N493" s="9" t="n">
        <f aca="false">IF(AND(E493&gt;=Parameters!$B$7,F493&lt;&gt;Parameters!$B$8),1,0)</f>
        <v>0</v>
      </c>
      <c r="O493" s="9" t="n">
        <f aca="false">INDEX(Vendor_Benford!$N$6:$N$50,MATCH(C493,Vendor_Benford!$A$6:$A$50,0))</f>
        <v>0</v>
      </c>
      <c r="P493" s="9" t="n">
        <f aca="false">INDEX(Vendor_Benford!$M$6:$M$50,MATCH(C493,Vendor_Benford!$A$6:$A$50,0))</f>
        <v>0</v>
      </c>
      <c r="Q493" s="9" t="n">
        <f aca="false">I493*Parameters!$B$28+J493*Parameters!$B$29+K493*Parameters!$B$30+L493*Parameters!$B$31+M493*Parameters!$B$32+N493*Parameters!$B$33+O493*Parameters!$B$34+P493*Parameters!$B$35</f>
        <v>0</v>
      </c>
      <c r="R493" s="0" t="str">
        <f aca="false">IF(Q493&gt;=Parameters!$B$24,"High","")</f>
        <v/>
      </c>
    </row>
    <row r="494" customFormat="false" ht="15" hidden="false" customHeight="false" outlineLevel="0" collapsed="false">
      <c r="A494" s="10" t="s">
        <v>1291</v>
      </c>
      <c r="B494" s="8" t="n">
        <v>45950</v>
      </c>
      <c r="C494" s="10" t="s">
        <v>131</v>
      </c>
      <c r="D494" s="10" t="s">
        <v>1292</v>
      </c>
      <c r="E494" s="12" t="n">
        <v>118.38</v>
      </c>
      <c r="F494" s="10" t="s">
        <v>347</v>
      </c>
      <c r="G494" s="9" t="n">
        <f aca="false">VALUE(LEFT(TEXT(E494,"0.00"),1))</f>
        <v>1</v>
      </c>
      <c r="H494" s="0" t="str">
        <f aca="false">UPPER(SUBSTITUTE(SUBSTITUTE(SUBSTITUTE(D494," ",""),"/",""),".",""))</f>
        <v>INV8001</v>
      </c>
      <c r="I494" s="9" t="n">
        <f aca="false">IF(COUNTIFS($C$5:C494,C494,$H$5:H494,H494,$E$5:E494,E494)&gt;1,1,0)</f>
        <v>0</v>
      </c>
      <c r="J494" s="9" t="n">
        <f aca="false">IF(AND(I494=0,COUNTIFS($C$5:$C$634,C494,$E$5:$E$634,E494,$B$5:$B$634,"&gt;="&amp;(B494-Parameters!$B$12),$B$5:$B$634,"&lt;="&amp;(B494+Parameters!$B$12),$H$5:$H$634,"&lt;&gt;"&amp;H494)&gt;0),1,0)</f>
        <v>0</v>
      </c>
      <c r="K494" s="9" t="n">
        <f aca="false">IF(AND(E494&gt;=Parameters!$B$11,ROUND(MOD(ROUND(E494,2),Parameters!$B$10),2)=0),1,0)</f>
        <v>0</v>
      </c>
      <c r="L494" s="9" t="n">
        <f aca="false">IF(AND(E494&lt;Parameters!$B$7,E494&gt;=Parameters!$B$7*(1-Parameters!$B$9)),1,0)</f>
        <v>0</v>
      </c>
      <c r="M494" s="9" t="n">
        <f aca="false">IF(AND(E494&lt;Parameters!$B$7,COUNTIFS($C$5:$C$634,C494,$B$5:$B$634,B494)&gt;1,SUMIFS($E$5:$E$634,$C$5:$C$634,C494,$B$5:$B$634,B494)&gt;=Parameters!$B$7),1,0)</f>
        <v>0</v>
      </c>
      <c r="N494" s="9" t="n">
        <f aca="false">IF(AND(E494&gt;=Parameters!$B$7,F494&lt;&gt;Parameters!$B$8),1,0)</f>
        <v>0</v>
      </c>
      <c r="O494" s="9" t="n">
        <f aca="false">INDEX(Vendor_Benford!$N$6:$N$50,MATCH(C494,Vendor_Benford!$A$6:$A$50,0))</f>
        <v>0</v>
      </c>
      <c r="P494" s="9" t="n">
        <f aca="false">INDEX(Vendor_Benford!$M$6:$M$50,MATCH(C494,Vendor_Benford!$A$6:$A$50,0))</f>
        <v>0</v>
      </c>
      <c r="Q494" s="9" t="n">
        <f aca="false">I494*Parameters!$B$28+J494*Parameters!$B$29+K494*Parameters!$B$30+L494*Parameters!$B$31+M494*Parameters!$B$32+N494*Parameters!$B$33+O494*Parameters!$B$34+P494*Parameters!$B$35</f>
        <v>0</v>
      </c>
      <c r="R494" s="0" t="str">
        <f aca="false">IF(Q494&gt;=Parameters!$B$24,"High","")</f>
        <v/>
      </c>
    </row>
    <row r="495" customFormat="false" ht="15" hidden="false" customHeight="false" outlineLevel="0" collapsed="false">
      <c r="A495" s="10" t="s">
        <v>1293</v>
      </c>
      <c r="B495" s="8" t="n">
        <v>45950</v>
      </c>
      <c r="C495" s="10" t="s">
        <v>140</v>
      </c>
      <c r="D495" s="10" t="s">
        <v>1294</v>
      </c>
      <c r="E495" s="12" t="n">
        <v>55404.39</v>
      </c>
      <c r="F495" s="10" t="s">
        <v>40</v>
      </c>
      <c r="G495" s="9" t="n">
        <f aca="false">VALUE(LEFT(TEXT(E495,"0.00"),1))</f>
        <v>5</v>
      </c>
      <c r="H495" s="0" t="str">
        <f aca="false">UPPER(SUBSTITUTE(SUBSTITUTE(SUBSTITUTE(D495," ",""),"/",""),".",""))</f>
        <v>INV11005</v>
      </c>
      <c r="I495" s="9" t="n">
        <f aca="false">IF(COUNTIFS($C$5:C495,C495,$H$5:H495,H495,$E$5:E495,E495)&gt;1,1,0)</f>
        <v>0</v>
      </c>
      <c r="J495" s="9" t="n">
        <f aca="false">IF(AND(I495=0,COUNTIFS($C$5:$C$634,C495,$E$5:$E$634,E495,$B$5:$B$634,"&gt;="&amp;(B495-Parameters!$B$12),$B$5:$B$634,"&lt;="&amp;(B495+Parameters!$B$12),$H$5:$H$634,"&lt;&gt;"&amp;H495)&gt;0),1,0)</f>
        <v>0</v>
      </c>
      <c r="K495" s="9" t="n">
        <f aca="false">IF(AND(E495&gt;=Parameters!$B$11,ROUND(MOD(ROUND(E495,2),Parameters!$B$10),2)=0),1,0)</f>
        <v>0</v>
      </c>
      <c r="L495" s="9" t="n">
        <f aca="false">IF(AND(E495&lt;Parameters!$B$7,E495&gt;=Parameters!$B$7*(1-Parameters!$B$9)),1,0)</f>
        <v>0</v>
      </c>
      <c r="M495" s="9" t="n">
        <f aca="false">IF(AND(E495&lt;Parameters!$B$7,COUNTIFS($C$5:$C$634,C495,$B$5:$B$634,B495)&gt;1,SUMIFS($E$5:$E$634,$C$5:$C$634,C495,$B$5:$B$634,B495)&gt;=Parameters!$B$7),1,0)</f>
        <v>0</v>
      </c>
      <c r="N495" s="9" t="n">
        <f aca="false">IF(AND(E495&gt;=Parameters!$B$7,F495&lt;&gt;Parameters!$B$8),1,0)</f>
        <v>0</v>
      </c>
      <c r="O495" s="9" t="n">
        <f aca="false">INDEX(Vendor_Benford!$N$6:$N$50,MATCH(C495,Vendor_Benford!$A$6:$A$50,0))</f>
        <v>0</v>
      </c>
      <c r="P495" s="9" t="n">
        <f aca="false">INDEX(Vendor_Benford!$M$6:$M$50,MATCH(C495,Vendor_Benford!$A$6:$A$50,0))</f>
        <v>0</v>
      </c>
      <c r="Q495" s="9" t="n">
        <f aca="false">I495*Parameters!$B$28+J495*Parameters!$B$29+K495*Parameters!$B$30+L495*Parameters!$B$31+M495*Parameters!$B$32+N495*Parameters!$B$33+O495*Parameters!$B$34+P495*Parameters!$B$35</f>
        <v>0</v>
      </c>
      <c r="R495" s="0" t="str">
        <f aca="false">IF(Q495&gt;=Parameters!$B$24,"High","")</f>
        <v/>
      </c>
    </row>
    <row r="496" customFormat="false" ht="15" hidden="false" customHeight="false" outlineLevel="0" collapsed="false">
      <c r="A496" s="10" t="s">
        <v>1295</v>
      </c>
      <c r="B496" s="8" t="n">
        <v>45950</v>
      </c>
      <c r="C496" s="10" t="s">
        <v>146</v>
      </c>
      <c r="D496" s="10" t="s">
        <v>1296</v>
      </c>
      <c r="E496" s="12" t="n">
        <v>1120.31</v>
      </c>
      <c r="F496" s="10" t="s">
        <v>40</v>
      </c>
      <c r="G496" s="9" t="n">
        <f aca="false">VALUE(LEFT(TEXT(E496,"0.00"),1))</f>
        <v>1</v>
      </c>
      <c r="H496" s="0" t="str">
        <f aca="false">UPPER(SUBSTITUTE(SUBSTITUTE(SUBSTITUTE(D496," ",""),"/",""),".",""))</f>
        <v>INV13004</v>
      </c>
      <c r="I496" s="9" t="n">
        <f aca="false">IF(COUNTIFS($C$5:C496,C496,$H$5:H496,H496,$E$5:E496,E496)&gt;1,1,0)</f>
        <v>0</v>
      </c>
      <c r="J496" s="9" t="n">
        <f aca="false">IF(AND(I496=0,COUNTIFS($C$5:$C$634,C496,$E$5:$E$634,E496,$B$5:$B$634,"&gt;="&amp;(B496-Parameters!$B$12),$B$5:$B$634,"&lt;="&amp;(B496+Parameters!$B$12),$H$5:$H$634,"&lt;&gt;"&amp;H496)&gt;0),1,0)</f>
        <v>0</v>
      </c>
      <c r="K496" s="9" t="n">
        <f aca="false">IF(AND(E496&gt;=Parameters!$B$11,ROUND(MOD(ROUND(E496,2),Parameters!$B$10),2)=0),1,0)</f>
        <v>0</v>
      </c>
      <c r="L496" s="9" t="n">
        <f aca="false">IF(AND(E496&lt;Parameters!$B$7,E496&gt;=Parameters!$B$7*(1-Parameters!$B$9)),1,0)</f>
        <v>0</v>
      </c>
      <c r="M496" s="9" t="n">
        <f aca="false">IF(AND(E496&lt;Parameters!$B$7,COUNTIFS($C$5:$C$634,C496,$B$5:$B$634,B496)&gt;1,SUMIFS($E$5:$E$634,$C$5:$C$634,C496,$B$5:$B$634,B496)&gt;=Parameters!$B$7),1,0)</f>
        <v>0</v>
      </c>
      <c r="N496" s="9" t="n">
        <f aca="false">IF(AND(E496&gt;=Parameters!$B$7,F496&lt;&gt;Parameters!$B$8),1,0)</f>
        <v>0</v>
      </c>
      <c r="O496" s="9" t="n">
        <f aca="false">INDEX(Vendor_Benford!$N$6:$N$50,MATCH(C496,Vendor_Benford!$A$6:$A$50,0))</f>
        <v>0</v>
      </c>
      <c r="P496" s="9" t="n">
        <f aca="false">INDEX(Vendor_Benford!$M$6:$M$50,MATCH(C496,Vendor_Benford!$A$6:$A$50,0))</f>
        <v>0</v>
      </c>
      <c r="Q496" s="9" t="n">
        <f aca="false">I496*Parameters!$B$28+J496*Parameters!$B$29+K496*Parameters!$B$30+L496*Parameters!$B$31+M496*Parameters!$B$32+N496*Parameters!$B$33+O496*Parameters!$B$34+P496*Parameters!$B$35</f>
        <v>0</v>
      </c>
      <c r="R496" s="0" t="str">
        <f aca="false">IF(Q496&gt;=Parameters!$B$24,"High","")</f>
        <v/>
      </c>
    </row>
    <row r="497" customFormat="false" ht="15" hidden="false" customHeight="false" outlineLevel="0" collapsed="false">
      <c r="A497" s="10" t="s">
        <v>1297</v>
      </c>
      <c r="B497" s="8" t="n">
        <v>45950</v>
      </c>
      <c r="C497" s="10" t="s">
        <v>155</v>
      </c>
      <c r="D497" s="10" t="s">
        <v>1298</v>
      </c>
      <c r="E497" s="12" t="n">
        <v>38420.73</v>
      </c>
      <c r="F497" s="10" t="s">
        <v>40</v>
      </c>
      <c r="G497" s="9" t="n">
        <f aca="false">VALUE(LEFT(TEXT(E497,"0.00"),1))</f>
        <v>3</v>
      </c>
      <c r="H497" s="0" t="str">
        <f aca="false">UPPER(SUBSTITUTE(SUBSTITUTE(SUBSTITUTE(D497," ",""),"/",""),".",""))</f>
        <v>INV16018</v>
      </c>
      <c r="I497" s="9" t="n">
        <f aca="false">IF(COUNTIFS($C$5:C497,C497,$H$5:H497,H497,$E$5:E497,E497)&gt;1,1,0)</f>
        <v>0</v>
      </c>
      <c r="J497" s="9" t="n">
        <f aca="false">IF(AND(I497=0,COUNTIFS($C$5:$C$634,C497,$E$5:$E$634,E497,$B$5:$B$634,"&gt;="&amp;(B497-Parameters!$B$12),$B$5:$B$634,"&lt;="&amp;(B497+Parameters!$B$12),$H$5:$H$634,"&lt;&gt;"&amp;H497)&gt;0),1,0)</f>
        <v>0</v>
      </c>
      <c r="K497" s="9" t="n">
        <f aca="false">IF(AND(E497&gt;=Parameters!$B$11,ROUND(MOD(ROUND(E497,2),Parameters!$B$10),2)=0),1,0)</f>
        <v>0</v>
      </c>
      <c r="L497" s="9" t="n">
        <f aca="false">IF(AND(E497&lt;Parameters!$B$7,E497&gt;=Parameters!$B$7*(1-Parameters!$B$9)),1,0)</f>
        <v>0</v>
      </c>
      <c r="M497" s="9" t="n">
        <f aca="false">IF(AND(E497&lt;Parameters!$B$7,COUNTIFS($C$5:$C$634,C497,$B$5:$B$634,B497)&gt;1,SUMIFS($E$5:$E$634,$C$5:$C$634,C497,$B$5:$B$634,B497)&gt;=Parameters!$B$7),1,0)</f>
        <v>0</v>
      </c>
      <c r="N497" s="9" t="n">
        <f aca="false">IF(AND(E497&gt;=Parameters!$B$7,F497&lt;&gt;Parameters!$B$8),1,0)</f>
        <v>0</v>
      </c>
      <c r="O497" s="9" t="n">
        <f aca="false">INDEX(Vendor_Benford!$N$6:$N$50,MATCH(C497,Vendor_Benford!$A$6:$A$50,0))</f>
        <v>0</v>
      </c>
      <c r="P497" s="9" t="n">
        <f aca="false">INDEX(Vendor_Benford!$M$6:$M$50,MATCH(C497,Vendor_Benford!$A$6:$A$50,0))</f>
        <v>0</v>
      </c>
      <c r="Q497" s="9" t="n">
        <f aca="false">I497*Parameters!$B$28+J497*Parameters!$B$29+K497*Parameters!$B$30+L497*Parameters!$B$31+M497*Parameters!$B$32+N497*Parameters!$B$33+O497*Parameters!$B$34+P497*Parameters!$B$35</f>
        <v>0</v>
      </c>
      <c r="R497" s="0" t="str">
        <f aca="false">IF(Q497&gt;=Parameters!$B$24,"High","")</f>
        <v/>
      </c>
    </row>
    <row r="498" customFormat="false" ht="15" hidden="false" customHeight="false" outlineLevel="0" collapsed="false">
      <c r="A498" s="10" t="s">
        <v>1299</v>
      </c>
      <c r="B498" s="8" t="n">
        <v>45950</v>
      </c>
      <c r="C498" s="10" t="s">
        <v>161</v>
      </c>
      <c r="D498" s="10" t="s">
        <v>1300</v>
      </c>
      <c r="E498" s="12" t="n">
        <v>26461.75</v>
      </c>
      <c r="F498" s="10" t="s">
        <v>40</v>
      </c>
      <c r="G498" s="9" t="n">
        <f aca="false">VALUE(LEFT(TEXT(E498,"0.00"),1))</f>
        <v>2</v>
      </c>
      <c r="H498" s="0" t="str">
        <f aca="false">UPPER(SUBSTITUTE(SUBSTITUTE(SUBSTITUTE(D498," ",""),"/",""),".",""))</f>
        <v>INV18007</v>
      </c>
      <c r="I498" s="9" t="n">
        <f aca="false">IF(COUNTIFS($C$5:C498,C498,$H$5:H498,H498,$E$5:E498,E498)&gt;1,1,0)</f>
        <v>0</v>
      </c>
      <c r="J498" s="9" t="n">
        <f aca="false">IF(AND(I498=0,COUNTIFS($C$5:$C$634,C498,$E$5:$E$634,E498,$B$5:$B$634,"&gt;="&amp;(B498-Parameters!$B$12),$B$5:$B$634,"&lt;="&amp;(B498+Parameters!$B$12),$H$5:$H$634,"&lt;&gt;"&amp;H498)&gt;0),1,0)</f>
        <v>0</v>
      </c>
      <c r="K498" s="9" t="n">
        <f aca="false">IF(AND(E498&gt;=Parameters!$B$11,ROUND(MOD(ROUND(E498,2),Parameters!$B$10),2)=0),1,0)</f>
        <v>0</v>
      </c>
      <c r="L498" s="9" t="n">
        <f aca="false">IF(AND(E498&lt;Parameters!$B$7,E498&gt;=Parameters!$B$7*(1-Parameters!$B$9)),1,0)</f>
        <v>0</v>
      </c>
      <c r="M498" s="9" t="n">
        <f aca="false">IF(AND(E498&lt;Parameters!$B$7,COUNTIFS($C$5:$C$634,C498,$B$5:$B$634,B498)&gt;1,SUMIFS($E$5:$E$634,$C$5:$C$634,C498,$B$5:$B$634,B498)&gt;=Parameters!$B$7),1,0)</f>
        <v>0</v>
      </c>
      <c r="N498" s="9" t="n">
        <f aca="false">IF(AND(E498&gt;=Parameters!$B$7,F498&lt;&gt;Parameters!$B$8),1,0)</f>
        <v>0</v>
      </c>
      <c r="O498" s="9" t="n">
        <f aca="false">INDEX(Vendor_Benford!$N$6:$N$50,MATCH(C498,Vendor_Benford!$A$6:$A$50,0))</f>
        <v>0</v>
      </c>
      <c r="P498" s="9" t="n">
        <f aca="false">INDEX(Vendor_Benford!$M$6:$M$50,MATCH(C498,Vendor_Benford!$A$6:$A$50,0))</f>
        <v>0</v>
      </c>
      <c r="Q498" s="9" t="n">
        <f aca="false">I498*Parameters!$B$28+J498*Parameters!$B$29+K498*Parameters!$B$30+L498*Parameters!$B$31+M498*Parameters!$B$32+N498*Parameters!$B$33+O498*Parameters!$B$34+P498*Parameters!$B$35</f>
        <v>0</v>
      </c>
      <c r="R498" s="0" t="str">
        <f aca="false">IF(Q498&gt;=Parameters!$B$24,"High","")</f>
        <v/>
      </c>
    </row>
    <row r="499" customFormat="false" ht="15" hidden="false" customHeight="false" outlineLevel="0" collapsed="false">
      <c r="A499" s="10" t="s">
        <v>1301</v>
      </c>
      <c r="B499" s="8" t="n">
        <v>45950</v>
      </c>
      <c r="C499" s="10" t="s">
        <v>224</v>
      </c>
      <c r="D499" s="10" t="s">
        <v>1302</v>
      </c>
      <c r="E499" s="12" t="n">
        <v>285.01</v>
      </c>
      <c r="F499" s="10" t="s">
        <v>347</v>
      </c>
      <c r="G499" s="9" t="n">
        <f aca="false">VALUE(LEFT(TEXT(E499,"0.00"),1))</f>
        <v>2</v>
      </c>
      <c r="H499" s="0" t="str">
        <f aca="false">UPPER(SUBSTITUTE(SUBSTITUTE(SUBSTITUTE(D499," ",""),"/",""),".",""))</f>
        <v>INV39009</v>
      </c>
      <c r="I499" s="9" t="n">
        <f aca="false">IF(COUNTIFS($C$5:C499,C499,$H$5:H499,H499,$E$5:E499,E499)&gt;1,1,0)</f>
        <v>0</v>
      </c>
      <c r="J499" s="9" t="n">
        <f aca="false">IF(AND(I499=0,COUNTIFS($C$5:$C$634,C499,$E$5:$E$634,E499,$B$5:$B$634,"&gt;="&amp;(B499-Parameters!$B$12),$B$5:$B$634,"&lt;="&amp;(B499+Parameters!$B$12),$H$5:$H$634,"&lt;&gt;"&amp;H499)&gt;0),1,0)</f>
        <v>0</v>
      </c>
      <c r="K499" s="9" t="n">
        <f aca="false">IF(AND(E499&gt;=Parameters!$B$11,ROUND(MOD(ROUND(E499,2),Parameters!$B$10),2)=0),1,0)</f>
        <v>0</v>
      </c>
      <c r="L499" s="9" t="n">
        <f aca="false">IF(AND(E499&lt;Parameters!$B$7,E499&gt;=Parameters!$B$7*(1-Parameters!$B$9)),1,0)</f>
        <v>0</v>
      </c>
      <c r="M499" s="9" t="n">
        <f aca="false">IF(AND(E499&lt;Parameters!$B$7,COUNTIFS($C$5:$C$634,C499,$B$5:$B$634,B499)&gt;1,SUMIFS($E$5:$E$634,$C$5:$C$634,C499,$B$5:$B$634,B499)&gt;=Parameters!$B$7),1,0)</f>
        <v>0</v>
      </c>
      <c r="N499" s="9" t="n">
        <f aca="false">IF(AND(E499&gt;=Parameters!$B$7,F499&lt;&gt;Parameters!$B$8),1,0)</f>
        <v>0</v>
      </c>
      <c r="O499" s="9" t="n">
        <f aca="false">INDEX(Vendor_Benford!$N$6:$N$50,MATCH(C499,Vendor_Benford!$A$6:$A$50,0))</f>
        <v>0</v>
      </c>
      <c r="P499" s="9" t="n">
        <f aca="false">INDEX(Vendor_Benford!$M$6:$M$50,MATCH(C499,Vendor_Benford!$A$6:$A$50,0))</f>
        <v>0</v>
      </c>
      <c r="Q499" s="9" t="n">
        <f aca="false">I499*Parameters!$B$28+J499*Parameters!$B$29+K499*Parameters!$B$30+L499*Parameters!$B$31+M499*Parameters!$B$32+N499*Parameters!$B$33+O499*Parameters!$B$34+P499*Parameters!$B$35</f>
        <v>0</v>
      </c>
      <c r="R499" s="0" t="str">
        <f aca="false">IF(Q499&gt;=Parameters!$B$24,"High","")</f>
        <v/>
      </c>
    </row>
    <row r="500" customFormat="false" ht="15" hidden="false" customHeight="false" outlineLevel="0" collapsed="false">
      <c r="A500" s="10" t="s">
        <v>1303</v>
      </c>
      <c r="B500" s="8" t="n">
        <v>45951</v>
      </c>
      <c r="C500" s="10" t="s">
        <v>152</v>
      </c>
      <c r="D500" s="10" t="s">
        <v>1304</v>
      </c>
      <c r="E500" s="12" t="n">
        <v>35247.78</v>
      </c>
      <c r="F500" s="10" t="s">
        <v>40</v>
      </c>
      <c r="G500" s="9" t="n">
        <f aca="false">VALUE(LEFT(TEXT(E500,"0.00"),1))</f>
        <v>3</v>
      </c>
      <c r="H500" s="0" t="str">
        <f aca="false">UPPER(SUBSTITUTE(SUBSTITUTE(SUBSTITUTE(D500," ",""),"/",""),".",""))</f>
        <v>INV15010</v>
      </c>
      <c r="I500" s="9" t="n">
        <f aca="false">IF(COUNTIFS($C$5:C500,C500,$H$5:H500,H500,$E$5:E500,E500)&gt;1,1,0)</f>
        <v>0</v>
      </c>
      <c r="J500" s="9" t="n">
        <f aca="false">IF(AND(I500=0,COUNTIFS($C$5:$C$634,C500,$E$5:$E$634,E500,$B$5:$B$634,"&gt;="&amp;(B500-Parameters!$B$12),$B$5:$B$634,"&lt;="&amp;(B500+Parameters!$B$12),$H$5:$H$634,"&lt;&gt;"&amp;H500)&gt;0),1,0)</f>
        <v>0</v>
      </c>
      <c r="K500" s="9" t="n">
        <f aca="false">IF(AND(E500&gt;=Parameters!$B$11,ROUND(MOD(ROUND(E500,2),Parameters!$B$10),2)=0),1,0)</f>
        <v>0</v>
      </c>
      <c r="L500" s="9" t="n">
        <f aca="false">IF(AND(E500&lt;Parameters!$B$7,E500&gt;=Parameters!$B$7*(1-Parameters!$B$9)),1,0)</f>
        <v>0</v>
      </c>
      <c r="M500" s="9" t="n">
        <f aca="false">IF(AND(E500&lt;Parameters!$B$7,COUNTIFS($C$5:$C$634,C500,$B$5:$B$634,B500)&gt;1,SUMIFS($E$5:$E$634,$C$5:$C$634,C500,$B$5:$B$634,B500)&gt;=Parameters!$B$7),1,0)</f>
        <v>0</v>
      </c>
      <c r="N500" s="9" t="n">
        <f aca="false">IF(AND(E500&gt;=Parameters!$B$7,F500&lt;&gt;Parameters!$B$8),1,0)</f>
        <v>0</v>
      </c>
      <c r="O500" s="9" t="n">
        <f aca="false">INDEX(Vendor_Benford!$N$6:$N$50,MATCH(C500,Vendor_Benford!$A$6:$A$50,0))</f>
        <v>0</v>
      </c>
      <c r="P500" s="9" t="n">
        <f aca="false">INDEX(Vendor_Benford!$M$6:$M$50,MATCH(C500,Vendor_Benford!$A$6:$A$50,0))</f>
        <v>0</v>
      </c>
      <c r="Q500" s="9" t="n">
        <f aca="false">I500*Parameters!$B$28+J500*Parameters!$B$29+K500*Parameters!$B$30+L500*Parameters!$B$31+M500*Parameters!$B$32+N500*Parameters!$B$33+O500*Parameters!$B$34+P500*Parameters!$B$35</f>
        <v>0</v>
      </c>
      <c r="R500" s="0" t="str">
        <f aca="false">IF(Q500&gt;=Parameters!$B$24,"High","")</f>
        <v/>
      </c>
    </row>
    <row r="501" customFormat="false" ht="15" hidden="false" customHeight="false" outlineLevel="0" collapsed="false">
      <c r="A501" s="10" t="s">
        <v>1305</v>
      </c>
      <c r="B501" s="8" t="n">
        <v>45951</v>
      </c>
      <c r="C501" s="10" t="s">
        <v>206</v>
      </c>
      <c r="D501" s="10" t="s">
        <v>1306</v>
      </c>
      <c r="E501" s="12" t="n">
        <v>13943.89</v>
      </c>
      <c r="F501" s="10" t="s">
        <v>40</v>
      </c>
      <c r="G501" s="9" t="n">
        <f aca="false">VALUE(LEFT(TEXT(E501,"0.00"),1))</f>
        <v>1</v>
      </c>
      <c r="H501" s="0" t="str">
        <f aca="false">UPPER(SUBSTITUTE(SUBSTITUTE(SUBSTITUTE(D501," ",""),"/",""),".",""))</f>
        <v>INV33001</v>
      </c>
      <c r="I501" s="9" t="n">
        <f aca="false">IF(COUNTIFS($C$5:C501,C501,$H$5:H501,H501,$E$5:E501,E501)&gt;1,1,0)</f>
        <v>0</v>
      </c>
      <c r="J501" s="9" t="n">
        <f aca="false">IF(AND(I501=0,COUNTIFS($C$5:$C$634,C501,$E$5:$E$634,E501,$B$5:$B$634,"&gt;="&amp;(B501-Parameters!$B$12),$B$5:$B$634,"&lt;="&amp;(B501+Parameters!$B$12),$H$5:$H$634,"&lt;&gt;"&amp;H501)&gt;0),1,0)</f>
        <v>0</v>
      </c>
      <c r="K501" s="9" t="n">
        <f aca="false">IF(AND(E501&gt;=Parameters!$B$11,ROUND(MOD(ROUND(E501,2),Parameters!$B$10),2)=0),1,0)</f>
        <v>0</v>
      </c>
      <c r="L501" s="9" t="n">
        <f aca="false">IF(AND(E501&lt;Parameters!$B$7,E501&gt;=Parameters!$B$7*(1-Parameters!$B$9)),1,0)</f>
        <v>0</v>
      </c>
      <c r="M501" s="9" t="n">
        <f aca="false">IF(AND(E501&lt;Parameters!$B$7,COUNTIFS($C$5:$C$634,C501,$B$5:$B$634,B501)&gt;1,SUMIFS($E$5:$E$634,$C$5:$C$634,C501,$B$5:$B$634,B501)&gt;=Parameters!$B$7),1,0)</f>
        <v>0</v>
      </c>
      <c r="N501" s="9" t="n">
        <f aca="false">IF(AND(E501&gt;=Parameters!$B$7,F501&lt;&gt;Parameters!$B$8),1,0)</f>
        <v>0</v>
      </c>
      <c r="O501" s="9" t="n">
        <f aca="false">INDEX(Vendor_Benford!$N$6:$N$50,MATCH(C501,Vendor_Benford!$A$6:$A$50,0))</f>
        <v>0</v>
      </c>
      <c r="P501" s="9" t="n">
        <f aca="false">INDEX(Vendor_Benford!$M$6:$M$50,MATCH(C501,Vendor_Benford!$A$6:$A$50,0))</f>
        <v>0</v>
      </c>
      <c r="Q501" s="9" t="n">
        <f aca="false">I501*Parameters!$B$28+J501*Parameters!$B$29+K501*Parameters!$B$30+L501*Parameters!$B$31+M501*Parameters!$B$32+N501*Parameters!$B$33+O501*Parameters!$B$34+P501*Parameters!$B$35</f>
        <v>0</v>
      </c>
      <c r="R501" s="0" t="str">
        <f aca="false">IF(Q501&gt;=Parameters!$B$24,"High","")</f>
        <v/>
      </c>
    </row>
    <row r="502" customFormat="false" ht="15" hidden="false" customHeight="false" outlineLevel="0" collapsed="false">
      <c r="A502" s="10" t="s">
        <v>1307</v>
      </c>
      <c r="B502" s="8" t="n">
        <v>45951</v>
      </c>
      <c r="C502" s="10" t="s">
        <v>212</v>
      </c>
      <c r="D502" s="10" t="s">
        <v>1308</v>
      </c>
      <c r="E502" s="12" t="n">
        <v>7865.85</v>
      </c>
      <c r="F502" s="10" t="s">
        <v>40</v>
      </c>
      <c r="G502" s="9" t="n">
        <f aca="false">VALUE(LEFT(TEXT(E502,"0.00"),1))</f>
        <v>7</v>
      </c>
      <c r="H502" s="0" t="str">
        <f aca="false">UPPER(SUBSTITUTE(SUBSTITUTE(SUBSTITUTE(D502," ",""),"/",""),".",""))</f>
        <v>INV35009</v>
      </c>
      <c r="I502" s="9" t="n">
        <f aca="false">IF(COUNTIFS($C$5:C502,C502,$H$5:H502,H502,$E$5:E502,E502)&gt;1,1,0)</f>
        <v>0</v>
      </c>
      <c r="J502" s="9" t="n">
        <f aca="false">IF(AND(I502=0,COUNTIFS($C$5:$C$634,C502,$E$5:$E$634,E502,$B$5:$B$634,"&gt;="&amp;(B502-Parameters!$B$12),$B$5:$B$634,"&lt;="&amp;(B502+Parameters!$B$12),$H$5:$H$634,"&lt;&gt;"&amp;H502)&gt;0),1,0)</f>
        <v>0</v>
      </c>
      <c r="K502" s="9" t="n">
        <f aca="false">IF(AND(E502&gt;=Parameters!$B$11,ROUND(MOD(ROUND(E502,2),Parameters!$B$10),2)=0),1,0)</f>
        <v>0</v>
      </c>
      <c r="L502" s="9" t="n">
        <f aca="false">IF(AND(E502&lt;Parameters!$B$7,E502&gt;=Parameters!$B$7*(1-Parameters!$B$9)),1,0)</f>
        <v>0</v>
      </c>
      <c r="M502" s="9" t="n">
        <f aca="false">IF(AND(E502&lt;Parameters!$B$7,COUNTIFS($C$5:$C$634,C502,$B$5:$B$634,B502)&gt;1,SUMIFS($E$5:$E$634,$C$5:$C$634,C502,$B$5:$B$634,B502)&gt;=Parameters!$B$7),1,0)</f>
        <v>0</v>
      </c>
      <c r="N502" s="9" t="n">
        <f aca="false">IF(AND(E502&gt;=Parameters!$B$7,F502&lt;&gt;Parameters!$B$8),1,0)</f>
        <v>0</v>
      </c>
      <c r="O502" s="9" t="n">
        <f aca="false">INDEX(Vendor_Benford!$N$6:$N$50,MATCH(C502,Vendor_Benford!$A$6:$A$50,0))</f>
        <v>0</v>
      </c>
      <c r="P502" s="9" t="n">
        <f aca="false">INDEX(Vendor_Benford!$M$6:$M$50,MATCH(C502,Vendor_Benford!$A$6:$A$50,0))</f>
        <v>0</v>
      </c>
      <c r="Q502" s="9" t="n">
        <f aca="false">I502*Parameters!$B$28+J502*Parameters!$B$29+K502*Parameters!$B$30+L502*Parameters!$B$31+M502*Parameters!$B$32+N502*Parameters!$B$33+O502*Parameters!$B$34+P502*Parameters!$B$35</f>
        <v>0</v>
      </c>
      <c r="R502" s="0" t="str">
        <f aca="false">IF(Q502&gt;=Parameters!$B$24,"High","")</f>
        <v/>
      </c>
    </row>
    <row r="503" customFormat="false" ht="15" hidden="false" customHeight="false" outlineLevel="0" collapsed="false">
      <c r="A503" s="10" t="s">
        <v>1309</v>
      </c>
      <c r="B503" s="8" t="n">
        <v>45952</v>
      </c>
      <c r="C503" s="10" t="s">
        <v>122</v>
      </c>
      <c r="D503" s="10" t="s">
        <v>1310</v>
      </c>
      <c r="E503" s="12" t="n">
        <v>1235.19</v>
      </c>
      <c r="F503" s="10" t="s">
        <v>40</v>
      </c>
      <c r="G503" s="9" t="n">
        <f aca="false">VALUE(LEFT(TEXT(E503,"0.00"),1))</f>
        <v>1</v>
      </c>
      <c r="H503" s="0" t="str">
        <f aca="false">UPPER(SUBSTITUTE(SUBSTITUTE(SUBSTITUTE(D503," ",""),"/",""),".",""))</f>
        <v>INV5007</v>
      </c>
      <c r="I503" s="9" t="n">
        <f aca="false">IF(COUNTIFS($C$5:C503,C503,$H$5:H503,H503,$E$5:E503,E503)&gt;1,1,0)</f>
        <v>0</v>
      </c>
      <c r="J503" s="9" t="n">
        <f aca="false">IF(AND(I503=0,COUNTIFS($C$5:$C$634,C503,$E$5:$E$634,E503,$B$5:$B$634,"&gt;="&amp;(B503-Parameters!$B$12),$B$5:$B$634,"&lt;="&amp;(B503+Parameters!$B$12),$H$5:$H$634,"&lt;&gt;"&amp;H503)&gt;0),1,0)</f>
        <v>0</v>
      </c>
      <c r="K503" s="9" t="n">
        <f aca="false">IF(AND(E503&gt;=Parameters!$B$11,ROUND(MOD(ROUND(E503,2),Parameters!$B$10),2)=0),1,0)</f>
        <v>0</v>
      </c>
      <c r="L503" s="9" t="n">
        <f aca="false">IF(AND(E503&lt;Parameters!$B$7,E503&gt;=Parameters!$B$7*(1-Parameters!$B$9)),1,0)</f>
        <v>0</v>
      </c>
      <c r="M503" s="9" t="n">
        <f aca="false">IF(AND(E503&lt;Parameters!$B$7,COUNTIFS($C$5:$C$634,C503,$B$5:$B$634,B503)&gt;1,SUMIFS($E$5:$E$634,$C$5:$C$634,C503,$B$5:$B$634,B503)&gt;=Parameters!$B$7),1,0)</f>
        <v>0</v>
      </c>
      <c r="N503" s="9" t="n">
        <f aca="false">IF(AND(E503&gt;=Parameters!$B$7,F503&lt;&gt;Parameters!$B$8),1,0)</f>
        <v>0</v>
      </c>
      <c r="O503" s="9" t="n">
        <f aca="false">INDEX(Vendor_Benford!$N$6:$N$50,MATCH(C503,Vendor_Benford!$A$6:$A$50,0))</f>
        <v>0</v>
      </c>
      <c r="P503" s="9" t="n">
        <f aca="false">INDEX(Vendor_Benford!$M$6:$M$50,MATCH(C503,Vendor_Benford!$A$6:$A$50,0))</f>
        <v>0</v>
      </c>
      <c r="Q503" s="9" t="n">
        <f aca="false">I503*Parameters!$B$28+J503*Parameters!$B$29+K503*Parameters!$B$30+L503*Parameters!$B$31+M503*Parameters!$B$32+N503*Parameters!$B$33+O503*Parameters!$B$34+P503*Parameters!$B$35</f>
        <v>0</v>
      </c>
      <c r="R503" s="0" t="str">
        <f aca="false">IF(Q503&gt;=Parameters!$B$24,"High","")</f>
        <v/>
      </c>
    </row>
    <row r="504" customFormat="false" ht="15" hidden="false" customHeight="false" outlineLevel="0" collapsed="false">
      <c r="A504" s="10" t="s">
        <v>1311</v>
      </c>
      <c r="B504" s="8" t="n">
        <v>45952</v>
      </c>
      <c r="C504" s="10" t="s">
        <v>212</v>
      </c>
      <c r="D504" s="10" t="s">
        <v>1312</v>
      </c>
      <c r="E504" s="12" t="n">
        <v>119.68</v>
      </c>
      <c r="F504" s="10" t="s">
        <v>347</v>
      </c>
      <c r="G504" s="9" t="n">
        <f aca="false">VALUE(LEFT(TEXT(E504,"0.00"),1))</f>
        <v>1</v>
      </c>
      <c r="H504" s="0" t="str">
        <f aca="false">UPPER(SUBSTITUTE(SUBSTITUTE(SUBSTITUTE(D504," ",""),"/",""),".",""))</f>
        <v>INV35010</v>
      </c>
      <c r="I504" s="9" t="n">
        <f aca="false">IF(COUNTIFS($C$5:C504,C504,$H$5:H504,H504,$E$5:E504,E504)&gt;1,1,0)</f>
        <v>0</v>
      </c>
      <c r="J504" s="9" t="n">
        <f aca="false">IF(AND(I504=0,COUNTIFS($C$5:$C$634,C504,$E$5:$E$634,E504,$B$5:$B$634,"&gt;="&amp;(B504-Parameters!$B$12),$B$5:$B$634,"&lt;="&amp;(B504+Parameters!$B$12),$H$5:$H$634,"&lt;&gt;"&amp;H504)&gt;0),1,0)</f>
        <v>0</v>
      </c>
      <c r="K504" s="9" t="n">
        <f aca="false">IF(AND(E504&gt;=Parameters!$B$11,ROUND(MOD(ROUND(E504,2),Parameters!$B$10),2)=0),1,0)</f>
        <v>0</v>
      </c>
      <c r="L504" s="9" t="n">
        <f aca="false">IF(AND(E504&lt;Parameters!$B$7,E504&gt;=Parameters!$B$7*(1-Parameters!$B$9)),1,0)</f>
        <v>0</v>
      </c>
      <c r="M504" s="9" t="n">
        <f aca="false">IF(AND(E504&lt;Parameters!$B$7,COUNTIFS($C$5:$C$634,C504,$B$5:$B$634,B504)&gt;1,SUMIFS($E$5:$E$634,$C$5:$C$634,C504,$B$5:$B$634,B504)&gt;=Parameters!$B$7),1,0)</f>
        <v>0</v>
      </c>
      <c r="N504" s="9" t="n">
        <f aca="false">IF(AND(E504&gt;=Parameters!$B$7,F504&lt;&gt;Parameters!$B$8),1,0)</f>
        <v>0</v>
      </c>
      <c r="O504" s="9" t="n">
        <f aca="false">INDEX(Vendor_Benford!$N$6:$N$50,MATCH(C504,Vendor_Benford!$A$6:$A$50,0))</f>
        <v>0</v>
      </c>
      <c r="P504" s="9" t="n">
        <f aca="false">INDEX(Vendor_Benford!$M$6:$M$50,MATCH(C504,Vendor_Benford!$A$6:$A$50,0))</f>
        <v>0</v>
      </c>
      <c r="Q504" s="9" t="n">
        <f aca="false">I504*Parameters!$B$28+J504*Parameters!$B$29+K504*Parameters!$B$30+L504*Parameters!$B$31+M504*Parameters!$B$32+N504*Parameters!$B$33+O504*Parameters!$B$34+P504*Parameters!$B$35</f>
        <v>0</v>
      </c>
      <c r="R504" s="0" t="str">
        <f aca="false">IF(Q504&gt;=Parameters!$B$24,"High","")</f>
        <v/>
      </c>
    </row>
    <row r="505" customFormat="false" ht="15" hidden="false" customHeight="false" outlineLevel="0" collapsed="false">
      <c r="A505" s="10" t="s">
        <v>1313</v>
      </c>
      <c r="B505" s="8" t="n">
        <v>45953</v>
      </c>
      <c r="C505" s="10" t="s">
        <v>128</v>
      </c>
      <c r="D505" s="10" t="s">
        <v>1314</v>
      </c>
      <c r="E505" s="12" t="n">
        <v>287.67</v>
      </c>
      <c r="F505" s="10" t="s">
        <v>347</v>
      </c>
      <c r="G505" s="9" t="n">
        <f aca="false">VALUE(LEFT(TEXT(E505,"0.00"),1))</f>
        <v>2</v>
      </c>
      <c r="H505" s="0" t="str">
        <f aca="false">UPPER(SUBSTITUTE(SUBSTITUTE(SUBSTITUTE(D505," ",""),"/",""),".",""))</f>
        <v>INV7007</v>
      </c>
      <c r="I505" s="9" t="n">
        <f aca="false">IF(COUNTIFS($C$5:C505,C505,$H$5:H505,H505,$E$5:E505,E505)&gt;1,1,0)</f>
        <v>0</v>
      </c>
      <c r="J505" s="9" t="n">
        <f aca="false">IF(AND(I505=0,COUNTIFS($C$5:$C$634,C505,$E$5:$E$634,E505,$B$5:$B$634,"&gt;="&amp;(B505-Parameters!$B$12),$B$5:$B$634,"&lt;="&amp;(B505+Parameters!$B$12),$H$5:$H$634,"&lt;&gt;"&amp;H505)&gt;0),1,0)</f>
        <v>0</v>
      </c>
      <c r="K505" s="9" t="n">
        <f aca="false">IF(AND(E505&gt;=Parameters!$B$11,ROUND(MOD(ROUND(E505,2),Parameters!$B$10),2)=0),1,0)</f>
        <v>0</v>
      </c>
      <c r="L505" s="9" t="n">
        <f aca="false">IF(AND(E505&lt;Parameters!$B$7,E505&gt;=Parameters!$B$7*(1-Parameters!$B$9)),1,0)</f>
        <v>0</v>
      </c>
      <c r="M505" s="9" t="n">
        <f aca="false">IF(AND(E505&lt;Parameters!$B$7,COUNTIFS($C$5:$C$634,C505,$B$5:$B$634,B505)&gt;1,SUMIFS($E$5:$E$634,$C$5:$C$634,C505,$B$5:$B$634,B505)&gt;=Parameters!$B$7),1,0)</f>
        <v>0</v>
      </c>
      <c r="N505" s="9" t="n">
        <f aca="false">IF(AND(E505&gt;=Parameters!$B$7,F505&lt;&gt;Parameters!$B$8),1,0)</f>
        <v>0</v>
      </c>
      <c r="O505" s="9" t="n">
        <f aca="false">INDEX(Vendor_Benford!$N$6:$N$50,MATCH(C505,Vendor_Benford!$A$6:$A$50,0))</f>
        <v>0</v>
      </c>
      <c r="P505" s="9" t="n">
        <f aca="false">INDEX(Vendor_Benford!$M$6:$M$50,MATCH(C505,Vendor_Benford!$A$6:$A$50,0))</f>
        <v>0</v>
      </c>
      <c r="Q505" s="9" t="n">
        <f aca="false">I505*Parameters!$B$28+J505*Parameters!$B$29+K505*Parameters!$B$30+L505*Parameters!$B$31+M505*Parameters!$B$32+N505*Parameters!$B$33+O505*Parameters!$B$34+P505*Parameters!$B$35</f>
        <v>0</v>
      </c>
      <c r="R505" s="0" t="str">
        <f aca="false">IF(Q505&gt;=Parameters!$B$24,"High","")</f>
        <v/>
      </c>
    </row>
    <row r="506" customFormat="false" ht="15" hidden="false" customHeight="false" outlineLevel="0" collapsed="false">
      <c r="A506" s="10" t="s">
        <v>1315</v>
      </c>
      <c r="B506" s="8" t="n">
        <v>45953</v>
      </c>
      <c r="C506" s="10" t="s">
        <v>203</v>
      </c>
      <c r="D506" s="10" t="s">
        <v>1316</v>
      </c>
      <c r="E506" s="12" t="n">
        <v>223.57</v>
      </c>
      <c r="F506" s="10" t="s">
        <v>347</v>
      </c>
      <c r="G506" s="9" t="n">
        <f aca="false">VALUE(LEFT(TEXT(E506,"0.00"),1))</f>
        <v>2</v>
      </c>
      <c r="H506" s="0" t="str">
        <f aca="false">UPPER(SUBSTITUTE(SUBSTITUTE(SUBSTITUTE(D506," ",""),"/",""),".",""))</f>
        <v>INV32002</v>
      </c>
      <c r="I506" s="9" t="n">
        <f aca="false">IF(COUNTIFS($C$5:C506,C506,$H$5:H506,H506,$E$5:E506,E506)&gt;1,1,0)</f>
        <v>0</v>
      </c>
      <c r="J506" s="9" t="n">
        <f aca="false">IF(AND(I506=0,COUNTIFS($C$5:$C$634,C506,$E$5:$E$634,E506,$B$5:$B$634,"&gt;="&amp;(B506-Parameters!$B$12),$B$5:$B$634,"&lt;="&amp;(B506+Parameters!$B$12),$H$5:$H$634,"&lt;&gt;"&amp;H506)&gt;0),1,0)</f>
        <v>0</v>
      </c>
      <c r="K506" s="9" t="n">
        <f aca="false">IF(AND(E506&gt;=Parameters!$B$11,ROUND(MOD(ROUND(E506,2),Parameters!$B$10),2)=0),1,0)</f>
        <v>0</v>
      </c>
      <c r="L506" s="9" t="n">
        <f aca="false">IF(AND(E506&lt;Parameters!$B$7,E506&gt;=Parameters!$B$7*(1-Parameters!$B$9)),1,0)</f>
        <v>0</v>
      </c>
      <c r="M506" s="9" t="n">
        <f aca="false">IF(AND(E506&lt;Parameters!$B$7,COUNTIFS($C$5:$C$634,C506,$B$5:$B$634,B506)&gt;1,SUMIFS($E$5:$E$634,$C$5:$C$634,C506,$B$5:$B$634,B506)&gt;=Parameters!$B$7),1,0)</f>
        <v>0</v>
      </c>
      <c r="N506" s="9" t="n">
        <f aca="false">IF(AND(E506&gt;=Parameters!$B$7,F506&lt;&gt;Parameters!$B$8),1,0)</f>
        <v>0</v>
      </c>
      <c r="O506" s="9" t="n">
        <f aca="false">INDEX(Vendor_Benford!$N$6:$N$50,MATCH(C506,Vendor_Benford!$A$6:$A$50,0))</f>
        <v>0</v>
      </c>
      <c r="P506" s="9" t="n">
        <f aca="false">INDEX(Vendor_Benford!$M$6:$M$50,MATCH(C506,Vendor_Benford!$A$6:$A$50,0))</f>
        <v>0</v>
      </c>
      <c r="Q506" s="9" t="n">
        <f aca="false">I506*Parameters!$B$28+J506*Parameters!$B$29+K506*Parameters!$B$30+L506*Parameters!$B$31+M506*Parameters!$B$32+N506*Parameters!$B$33+O506*Parameters!$B$34+P506*Parameters!$B$35</f>
        <v>0</v>
      </c>
      <c r="R506" s="0" t="str">
        <f aca="false">IF(Q506&gt;=Parameters!$B$24,"High","")</f>
        <v/>
      </c>
    </row>
    <row r="507" customFormat="false" ht="15" hidden="false" customHeight="false" outlineLevel="0" collapsed="false">
      <c r="A507" s="10" t="s">
        <v>1317</v>
      </c>
      <c r="B507" s="8" t="n">
        <v>45953</v>
      </c>
      <c r="C507" s="10" t="s">
        <v>233</v>
      </c>
      <c r="D507" s="10" t="s">
        <v>1318</v>
      </c>
      <c r="E507" s="12" t="n">
        <v>73187.88</v>
      </c>
      <c r="F507" s="10" t="s">
        <v>40</v>
      </c>
      <c r="G507" s="9" t="n">
        <f aca="false">VALUE(LEFT(TEXT(E507,"0.00"),1))</f>
        <v>7</v>
      </c>
      <c r="H507" s="0" t="str">
        <f aca="false">UPPER(SUBSTITUTE(SUBSTITUTE(SUBSTITUTE(D507," ",""),"/",""),".",""))</f>
        <v>INV42012</v>
      </c>
      <c r="I507" s="9" t="n">
        <f aca="false">IF(COUNTIFS($C$5:C507,C507,$H$5:H507,H507,$E$5:E507,E507)&gt;1,1,0)</f>
        <v>0</v>
      </c>
      <c r="J507" s="9" t="n">
        <f aca="false">IF(AND(I507=0,COUNTIFS($C$5:$C$634,C507,$E$5:$E$634,E507,$B$5:$B$634,"&gt;="&amp;(B507-Parameters!$B$12),$B$5:$B$634,"&lt;="&amp;(B507+Parameters!$B$12),$H$5:$H$634,"&lt;&gt;"&amp;H507)&gt;0),1,0)</f>
        <v>0</v>
      </c>
      <c r="K507" s="9" t="n">
        <f aca="false">IF(AND(E507&gt;=Parameters!$B$11,ROUND(MOD(ROUND(E507,2),Parameters!$B$10),2)=0),1,0)</f>
        <v>0</v>
      </c>
      <c r="L507" s="9" t="n">
        <f aca="false">IF(AND(E507&lt;Parameters!$B$7,E507&gt;=Parameters!$B$7*(1-Parameters!$B$9)),1,0)</f>
        <v>0</v>
      </c>
      <c r="M507" s="9" t="n">
        <f aca="false">IF(AND(E507&lt;Parameters!$B$7,COUNTIFS($C$5:$C$634,C507,$B$5:$B$634,B507)&gt;1,SUMIFS($E$5:$E$634,$C$5:$C$634,C507,$B$5:$B$634,B507)&gt;=Parameters!$B$7),1,0)</f>
        <v>0</v>
      </c>
      <c r="N507" s="9" t="n">
        <f aca="false">IF(AND(E507&gt;=Parameters!$B$7,F507&lt;&gt;Parameters!$B$8),1,0)</f>
        <v>0</v>
      </c>
      <c r="O507" s="9" t="n">
        <f aca="false">INDEX(Vendor_Benford!$N$6:$N$50,MATCH(C507,Vendor_Benford!$A$6:$A$50,0))</f>
        <v>0</v>
      </c>
      <c r="P507" s="9" t="n">
        <f aca="false">INDEX(Vendor_Benford!$M$6:$M$50,MATCH(C507,Vendor_Benford!$A$6:$A$50,0))</f>
        <v>0</v>
      </c>
      <c r="Q507" s="9" t="n">
        <f aca="false">I507*Parameters!$B$28+J507*Parameters!$B$29+K507*Parameters!$B$30+L507*Parameters!$B$31+M507*Parameters!$B$32+N507*Parameters!$B$33+O507*Parameters!$B$34+P507*Parameters!$B$35</f>
        <v>0</v>
      </c>
      <c r="R507" s="0" t="str">
        <f aca="false">IF(Q507&gt;=Parameters!$B$24,"High","")</f>
        <v/>
      </c>
    </row>
    <row r="508" customFormat="false" ht="15" hidden="false" customHeight="false" outlineLevel="0" collapsed="false">
      <c r="A508" s="10" t="s">
        <v>1319</v>
      </c>
      <c r="B508" s="8" t="n">
        <v>45954</v>
      </c>
      <c r="C508" s="10" t="s">
        <v>116</v>
      </c>
      <c r="D508" s="10" t="s">
        <v>1320</v>
      </c>
      <c r="E508" s="12" t="n">
        <v>192.97</v>
      </c>
      <c r="F508" s="10" t="s">
        <v>40</v>
      </c>
      <c r="G508" s="9" t="n">
        <f aca="false">VALUE(LEFT(TEXT(E508,"0.00"),1))</f>
        <v>1</v>
      </c>
      <c r="H508" s="0" t="str">
        <f aca="false">UPPER(SUBSTITUTE(SUBSTITUTE(SUBSTITUTE(D508," ",""),"/",""),".",""))</f>
        <v>INV3006</v>
      </c>
      <c r="I508" s="9" t="n">
        <f aca="false">IF(COUNTIFS($C$5:C508,C508,$H$5:H508,H508,$E$5:E508,E508)&gt;1,1,0)</f>
        <v>0</v>
      </c>
      <c r="J508" s="9" t="n">
        <f aca="false">IF(AND(I508=0,COUNTIFS($C$5:$C$634,C508,$E$5:$E$634,E508,$B$5:$B$634,"&gt;="&amp;(B508-Parameters!$B$12),$B$5:$B$634,"&lt;="&amp;(B508+Parameters!$B$12),$H$5:$H$634,"&lt;&gt;"&amp;H508)&gt;0),1,0)</f>
        <v>0</v>
      </c>
      <c r="K508" s="9" t="n">
        <f aca="false">IF(AND(E508&gt;=Parameters!$B$11,ROUND(MOD(ROUND(E508,2),Parameters!$B$10),2)=0),1,0)</f>
        <v>0</v>
      </c>
      <c r="L508" s="9" t="n">
        <f aca="false">IF(AND(E508&lt;Parameters!$B$7,E508&gt;=Parameters!$B$7*(1-Parameters!$B$9)),1,0)</f>
        <v>0</v>
      </c>
      <c r="M508" s="9" t="n">
        <f aca="false">IF(AND(E508&lt;Parameters!$B$7,COUNTIFS($C$5:$C$634,C508,$B$5:$B$634,B508)&gt;1,SUMIFS($E$5:$E$634,$C$5:$C$634,C508,$B$5:$B$634,B508)&gt;=Parameters!$B$7),1,0)</f>
        <v>0</v>
      </c>
      <c r="N508" s="9" t="n">
        <f aca="false">IF(AND(E508&gt;=Parameters!$B$7,F508&lt;&gt;Parameters!$B$8),1,0)</f>
        <v>0</v>
      </c>
      <c r="O508" s="9" t="n">
        <f aca="false">INDEX(Vendor_Benford!$N$6:$N$50,MATCH(C508,Vendor_Benford!$A$6:$A$50,0))</f>
        <v>0</v>
      </c>
      <c r="P508" s="9" t="n">
        <f aca="false">INDEX(Vendor_Benford!$M$6:$M$50,MATCH(C508,Vendor_Benford!$A$6:$A$50,0))</f>
        <v>0</v>
      </c>
      <c r="Q508" s="9" t="n">
        <f aca="false">I508*Parameters!$B$28+J508*Parameters!$B$29+K508*Parameters!$B$30+L508*Parameters!$B$31+M508*Parameters!$B$32+N508*Parameters!$B$33+O508*Parameters!$B$34+P508*Parameters!$B$35</f>
        <v>0</v>
      </c>
      <c r="R508" s="0" t="str">
        <f aca="false">IF(Q508&gt;=Parameters!$B$24,"High","")</f>
        <v/>
      </c>
    </row>
    <row r="509" customFormat="false" ht="15" hidden="false" customHeight="false" outlineLevel="0" collapsed="false">
      <c r="A509" s="10" t="s">
        <v>1321</v>
      </c>
      <c r="B509" s="8" t="n">
        <v>45957</v>
      </c>
      <c r="C509" s="10" t="s">
        <v>122</v>
      </c>
      <c r="D509" s="10" t="s">
        <v>1322</v>
      </c>
      <c r="E509" s="12" t="n">
        <v>21388.37</v>
      </c>
      <c r="F509" s="10" t="s">
        <v>40</v>
      </c>
      <c r="G509" s="9" t="n">
        <f aca="false">VALUE(LEFT(TEXT(E509,"0.00"),1))</f>
        <v>2</v>
      </c>
      <c r="H509" s="0" t="str">
        <f aca="false">UPPER(SUBSTITUTE(SUBSTITUTE(SUBSTITUTE(D509," ",""),"/",""),".",""))</f>
        <v>INV5013</v>
      </c>
      <c r="I509" s="9" t="n">
        <f aca="false">IF(COUNTIFS($C$5:C509,C509,$H$5:H509,H509,$E$5:E509,E509)&gt;1,1,0)</f>
        <v>0</v>
      </c>
      <c r="J509" s="9" t="n">
        <f aca="false">IF(AND(I509=0,COUNTIFS($C$5:$C$634,C509,$E$5:$E$634,E509,$B$5:$B$634,"&gt;="&amp;(B509-Parameters!$B$12),$B$5:$B$634,"&lt;="&amp;(B509+Parameters!$B$12),$H$5:$H$634,"&lt;&gt;"&amp;H509)&gt;0),1,0)</f>
        <v>0</v>
      </c>
      <c r="K509" s="9" t="n">
        <f aca="false">IF(AND(E509&gt;=Parameters!$B$11,ROUND(MOD(ROUND(E509,2),Parameters!$B$10),2)=0),1,0)</f>
        <v>0</v>
      </c>
      <c r="L509" s="9" t="n">
        <f aca="false">IF(AND(E509&lt;Parameters!$B$7,E509&gt;=Parameters!$B$7*(1-Parameters!$B$9)),1,0)</f>
        <v>0</v>
      </c>
      <c r="M509" s="9" t="n">
        <f aca="false">IF(AND(E509&lt;Parameters!$B$7,COUNTIFS($C$5:$C$634,C509,$B$5:$B$634,B509)&gt;1,SUMIFS($E$5:$E$634,$C$5:$C$634,C509,$B$5:$B$634,B509)&gt;=Parameters!$B$7),1,0)</f>
        <v>0</v>
      </c>
      <c r="N509" s="9" t="n">
        <f aca="false">IF(AND(E509&gt;=Parameters!$B$7,F509&lt;&gt;Parameters!$B$8),1,0)</f>
        <v>0</v>
      </c>
      <c r="O509" s="9" t="n">
        <f aca="false">INDEX(Vendor_Benford!$N$6:$N$50,MATCH(C509,Vendor_Benford!$A$6:$A$50,0))</f>
        <v>0</v>
      </c>
      <c r="P509" s="9" t="n">
        <f aca="false">INDEX(Vendor_Benford!$M$6:$M$50,MATCH(C509,Vendor_Benford!$A$6:$A$50,0))</f>
        <v>0</v>
      </c>
      <c r="Q509" s="9" t="n">
        <f aca="false">I509*Parameters!$B$28+J509*Parameters!$B$29+K509*Parameters!$B$30+L509*Parameters!$B$31+M509*Parameters!$B$32+N509*Parameters!$B$33+O509*Parameters!$B$34+P509*Parameters!$B$35</f>
        <v>0</v>
      </c>
      <c r="R509" s="0" t="str">
        <f aca="false">IF(Q509&gt;=Parameters!$B$24,"High","")</f>
        <v/>
      </c>
    </row>
    <row r="510" customFormat="false" ht="15" hidden="false" customHeight="false" outlineLevel="0" collapsed="false">
      <c r="A510" s="10" t="s">
        <v>1323</v>
      </c>
      <c r="B510" s="8" t="n">
        <v>45957</v>
      </c>
      <c r="C510" s="10" t="s">
        <v>170</v>
      </c>
      <c r="D510" s="10" t="s">
        <v>1324</v>
      </c>
      <c r="E510" s="12" t="n">
        <v>856.6</v>
      </c>
      <c r="F510" s="10" t="s">
        <v>347</v>
      </c>
      <c r="G510" s="9" t="n">
        <f aca="false">VALUE(LEFT(TEXT(E510,"0.00"),1))</f>
        <v>8</v>
      </c>
      <c r="H510" s="0" t="str">
        <f aca="false">UPPER(SUBSTITUTE(SUBSTITUTE(SUBSTITUTE(D510," ",""),"/",""),".",""))</f>
        <v>INV21006</v>
      </c>
      <c r="I510" s="9" t="n">
        <f aca="false">IF(COUNTIFS($C$5:C510,C510,$H$5:H510,H510,$E$5:E510,E510)&gt;1,1,0)</f>
        <v>0</v>
      </c>
      <c r="J510" s="9" t="n">
        <f aca="false">IF(AND(I510=0,COUNTIFS($C$5:$C$634,C510,$E$5:$E$634,E510,$B$5:$B$634,"&gt;="&amp;(B510-Parameters!$B$12),$B$5:$B$634,"&lt;="&amp;(B510+Parameters!$B$12),$H$5:$H$634,"&lt;&gt;"&amp;H510)&gt;0),1,0)</f>
        <v>0</v>
      </c>
      <c r="K510" s="9" t="n">
        <f aca="false">IF(AND(E510&gt;=Parameters!$B$11,ROUND(MOD(ROUND(E510,2),Parameters!$B$10),2)=0),1,0)</f>
        <v>0</v>
      </c>
      <c r="L510" s="9" t="n">
        <f aca="false">IF(AND(E510&lt;Parameters!$B$7,E510&gt;=Parameters!$B$7*(1-Parameters!$B$9)),1,0)</f>
        <v>0</v>
      </c>
      <c r="M510" s="9" t="n">
        <f aca="false">IF(AND(E510&lt;Parameters!$B$7,COUNTIFS($C$5:$C$634,C510,$B$5:$B$634,B510)&gt;1,SUMIFS($E$5:$E$634,$C$5:$C$634,C510,$B$5:$B$634,B510)&gt;=Parameters!$B$7),1,0)</f>
        <v>0</v>
      </c>
      <c r="N510" s="9" t="n">
        <f aca="false">IF(AND(E510&gt;=Parameters!$B$7,F510&lt;&gt;Parameters!$B$8),1,0)</f>
        <v>0</v>
      </c>
      <c r="O510" s="9" t="n">
        <f aca="false">INDEX(Vendor_Benford!$N$6:$N$50,MATCH(C510,Vendor_Benford!$A$6:$A$50,0))</f>
        <v>0</v>
      </c>
      <c r="P510" s="9" t="n">
        <f aca="false">INDEX(Vendor_Benford!$M$6:$M$50,MATCH(C510,Vendor_Benford!$A$6:$A$50,0))</f>
        <v>0</v>
      </c>
      <c r="Q510" s="9" t="n">
        <f aca="false">I510*Parameters!$B$28+J510*Parameters!$B$29+K510*Parameters!$B$30+L510*Parameters!$B$31+M510*Parameters!$B$32+N510*Parameters!$B$33+O510*Parameters!$B$34+P510*Parameters!$B$35</f>
        <v>0</v>
      </c>
      <c r="R510" s="0" t="str">
        <f aca="false">IF(Q510&gt;=Parameters!$B$24,"High","")</f>
        <v/>
      </c>
    </row>
    <row r="511" customFormat="false" ht="15" hidden="false" customHeight="false" outlineLevel="0" collapsed="false">
      <c r="A511" s="10" t="s">
        <v>1325</v>
      </c>
      <c r="B511" s="8" t="n">
        <v>45957</v>
      </c>
      <c r="C511" s="10" t="s">
        <v>179</v>
      </c>
      <c r="D511" s="10" t="s">
        <v>1262</v>
      </c>
      <c r="E511" s="12" t="n">
        <v>298.34</v>
      </c>
      <c r="F511" s="10" t="s">
        <v>347</v>
      </c>
      <c r="G511" s="9" t="n">
        <f aca="false">VALUE(LEFT(TEXT(E511,"0.00"),1))</f>
        <v>2</v>
      </c>
      <c r="H511" s="0" t="str">
        <f aca="false">UPPER(SUBSTITUTE(SUBSTITUTE(SUBSTITUTE(D511," ",""),"/",""),".",""))</f>
        <v>INV24002</v>
      </c>
      <c r="I511" s="9" t="n">
        <f aca="false">IF(COUNTIFS($C$5:C511,C511,$H$5:H511,H511,$E$5:E511,E511)&gt;1,1,0)</f>
        <v>1</v>
      </c>
      <c r="J511" s="9" t="n">
        <f aca="false">IF(AND(I511=0,COUNTIFS($C$5:$C$634,C511,$E$5:$E$634,E511,$B$5:$B$634,"&gt;="&amp;(B511-Parameters!$B$12),$B$5:$B$634,"&lt;="&amp;(B511+Parameters!$B$12),$H$5:$H$634,"&lt;&gt;"&amp;H511)&gt;0),1,0)</f>
        <v>0</v>
      </c>
      <c r="K511" s="9" t="n">
        <f aca="false">IF(AND(E511&gt;=Parameters!$B$11,ROUND(MOD(ROUND(E511,2),Parameters!$B$10),2)=0),1,0)</f>
        <v>0</v>
      </c>
      <c r="L511" s="9" t="n">
        <f aca="false">IF(AND(E511&lt;Parameters!$B$7,E511&gt;=Parameters!$B$7*(1-Parameters!$B$9)),1,0)</f>
        <v>0</v>
      </c>
      <c r="M511" s="9" t="n">
        <f aca="false">IF(AND(E511&lt;Parameters!$B$7,COUNTIFS($C$5:$C$634,C511,$B$5:$B$634,B511)&gt;1,SUMIFS($E$5:$E$634,$C$5:$C$634,C511,$B$5:$B$634,B511)&gt;=Parameters!$B$7),1,0)</f>
        <v>0</v>
      </c>
      <c r="N511" s="9" t="n">
        <f aca="false">IF(AND(E511&gt;=Parameters!$B$7,F511&lt;&gt;Parameters!$B$8),1,0)</f>
        <v>0</v>
      </c>
      <c r="O511" s="9" t="n">
        <f aca="false">INDEX(Vendor_Benford!$N$6:$N$50,MATCH(C511,Vendor_Benford!$A$6:$A$50,0))</f>
        <v>0</v>
      </c>
      <c r="P511" s="9" t="n">
        <f aca="false">INDEX(Vendor_Benford!$M$6:$M$50,MATCH(C511,Vendor_Benford!$A$6:$A$50,0))</f>
        <v>0</v>
      </c>
      <c r="Q511" s="9" t="n">
        <f aca="false">I511*Parameters!$B$28+J511*Parameters!$B$29+K511*Parameters!$B$30+L511*Parameters!$B$31+M511*Parameters!$B$32+N511*Parameters!$B$33+O511*Parameters!$B$34+P511*Parameters!$B$35</f>
        <v>5</v>
      </c>
      <c r="R511" s="0" t="str">
        <f aca="false">IF(Q511&gt;=Parameters!$B$24,"High","")</f>
        <v>High</v>
      </c>
    </row>
    <row r="512" customFormat="false" ht="15" hidden="false" customHeight="false" outlineLevel="0" collapsed="false">
      <c r="A512" s="10" t="s">
        <v>1326</v>
      </c>
      <c r="B512" s="8" t="n">
        <v>45957</v>
      </c>
      <c r="C512" s="10" t="s">
        <v>188</v>
      </c>
      <c r="D512" s="10" t="s">
        <v>1327</v>
      </c>
      <c r="E512" s="12" t="n">
        <v>6615.73</v>
      </c>
      <c r="F512" s="10" t="s">
        <v>40</v>
      </c>
      <c r="G512" s="9" t="n">
        <f aca="false">VALUE(LEFT(TEXT(E512,"0.00"),1))</f>
        <v>6</v>
      </c>
      <c r="H512" s="0" t="str">
        <f aca="false">UPPER(SUBSTITUTE(SUBSTITUTE(SUBSTITUTE(D512," ",""),"/",""),".",""))</f>
        <v>INV27003</v>
      </c>
      <c r="I512" s="9" t="n">
        <f aca="false">IF(COUNTIFS($C$5:C512,C512,$H$5:H512,H512,$E$5:E512,E512)&gt;1,1,0)</f>
        <v>0</v>
      </c>
      <c r="J512" s="9" t="n">
        <f aca="false">IF(AND(I512=0,COUNTIFS($C$5:$C$634,C512,$E$5:$E$634,E512,$B$5:$B$634,"&gt;="&amp;(B512-Parameters!$B$12),$B$5:$B$634,"&lt;="&amp;(B512+Parameters!$B$12),$H$5:$H$634,"&lt;&gt;"&amp;H512)&gt;0),1,0)</f>
        <v>0</v>
      </c>
      <c r="K512" s="9" t="n">
        <f aca="false">IF(AND(E512&gt;=Parameters!$B$11,ROUND(MOD(ROUND(E512,2),Parameters!$B$10),2)=0),1,0)</f>
        <v>0</v>
      </c>
      <c r="L512" s="9" t="n">
        <f aca="false">IF(AND(E512&lt;Parameters!$B$7,E512&gt;=Parameters!$B$7*(1-Parameters!$B$9)),1,0)</f>
        <v>0</v>
      </c>
      <c r="M512" s="9" t="n">
        <f aca="false">IF(AND(E512&lt;Parameters!$B$7,COUNTIFS($C$5:$C$634,C512,$B$5:$B$634,B512)&gt;1,SUMIFS($E$5:$E$634,$C$5:$C$634,C512,$B$5:$B$634,B512)&gt;=Parameters!$B$7),1,0)</f>
        <v>0</v>
      </c>
      <c r="N512" s="9" t="n">
        <f aca="false">IF(AND(E512&gt;=Parameters!$B$7,F512&lt;&gt;Parameters!$B$8),1,0)</f>
        <v>0</v>
      </c>
      <c r="O512" s="9" t="n">
        <f aca="false">INDEX(Vendor_Benford!$N$6:$N$50,MATCH(C512,Vendor_Benford!$A$6:$A$50,0))</f>
        <v>0</v>
      </c>
      <c r="P512" s="9" t="n">
        <f aca="false">INDEX(Vendor_Benford!$M$6:$M$50,MATCH(C512,Vendor_Benford!$A$6:$A$50,0))</f>
        <v>0</v>
      </c>
      <c r="Q512" s="9" t="n">
        <f aca="false">I512*Parameters!$B$28+J512*Parameters!$B$29+K512*Parameters!$B$30+L512*Parameters!$B$31+M512*Parameters!$B$32+N512*Parameters!$B$33+O512*Parameters!$B$34+P512*Parameters!$B$35</f>
        <v>0</v>
      </c>
      <c r="R512" s="0" t="str">
        <f aca="false">IF(Q512&gt;=Parameters!$B$24,"High","")</f>
        <v/>
      </c>
    </row>
    <row r="513" customFormat="false" ht="15" hidden="false" customHeight="false" outlineLevel="0" collapsed="false">
      <c r="A513" s="10" t="s">
        <v>1328</v>
      </c>
      <c r="B513" s="8" t="n">
        <v>45957</v>
      </c>
      <c r="C513" s="10" t="s">
        <v>224</v>
      </c>
      <c r="D513" s="10" t="s">
        <v>1329</v>
      </c>
      <c r="E513" s="12" t="n">
        <v>285.01</v>
      </c>
      <c r="F513" s="10" t="s">
        <v>347</v>
      </c>
      <c r="G513" s="9" t="n">
        <f aca="false">VALUE(LEFT(TEXT(E513,"0.00"),1))</f>
        <v>2</v>
      </c>
      <c r="H513" s="0" t="str">
        <f aca="false">UPPER(SUBSTITUTE(SUBSTITUTE(SUBSTITUTE(D513," ",""),"/",""),".",""))</f>
        <v>INV39009</v>
      </c>
      <c r="I513" s="9" t="n">
        <f aca="false">IF(COUNTIFS($C$5:C513,C513,$H$5:H513,H513,$E$5:E513,E513)&gt;1,1,0)</f>
        <v>1</v>
      </c>
      <c r="J513" s="9" t="n">
        <f aca="false">IF(AND(I513=0,COUNTIFS($C$5:$C$634,C513,$E$5:$E$634,E513,$B$5:$B$634,"&gt;="&amp;(B513-Parameters!$B$12),$B$5:$B$634,"&lt;="&amp;(B513+Parameters!$B$12),$H$5:$H$634,"&lt;&gt;"&amp;H513)&gt;0),1,0)</f>
        <v>0</v>
      </c>
      <c r="K513" s="9" t="n">
        <f aca="false">IF(AND(E513&gt;=Parameters!$B$11,ROUND(MOD(ROUND(E513,2),Parameters!$B$10),2)=0),1,0)</f>
        <v>0</v>
      </c>
      <c r="L513" s="9" t="n">
        <f aca="false">IF(AND(E513&lt;Parameters!$B$7,E513&gt;=Parameters!$B$7*(1-Parameters!$B$9)),1,0)</f>
        <v>0</v>
      </c>
      <c r="M513" s="9" t="n">
        <f aca="false">IF(AND(E513&lt;Parameters!$B$7,COUNTIFS($C$5:$C$634,C513,$B$5:$B$634,B513)&gt;1,SUMIFS($E$5:$E$634,$C$5:$C$634,C513,$B$5:$B$634,B513)&gt;=Parameters!$B$7),1,0)</f>
        <v>0</v>
      </c>
      <c r="N513" s="9" t="n">
        <f aca="false">IF(AND(E513&gt;=Parameters!$B$7,F513&lt;&gt;Parameters!$B$8),1,0)</f>
        <v>0</v>
      </c>
      <c r="O513" s="9" t="n">
        <f aca="false">INDEX(Vendor_Benford!$N$6:$N$50,MATCH(C513,Vendor_Benford!$A$6:$A$50,0))</f>
        <v>0</v>
      </c>
      <c r="P513" s="9" t="n">
        <f aca="false">INDEX(Vendor_Benford!$M$6:$M$50,MATCH(C513,Vendor_Benford!$A$6:$A$50,0))</f>
        <v>0</v>
      </c>
      <c r="Q513" s="9" t="n">
        <f aca="false">I513*Parameters!$B$28+J513*Parameters!$B$29+K513*Parameters!$B$30+L513*Parameters!$B$31+M513*Parameters!$B$32+N513*Parameters!$B$33+O513*Parameters!$B$34+P513*Parameters!$B$35</f>
        <v>5</v>
      </c>
      <c r="R513" s="0" t="str">
        <f aca="false">IF(Q513&gt;=Parameters!$B$24,"High","")</f>
        <v>High</v>
      </c>
    </row>
    <row r="514" customFormat="false" ht="15" hidden="false" customHeight="false" outlineLevel="0" collapsed="false">
      <c r="A514" s="10" t="s">
        <v>1330</v>
      </c>
      <c r="B514" s="8" t="n">
        <v>45958</v>
      </c>
      <c r="C514" s="10" t="s">
        <v>143</v>
      </c>
      <c r="D514" s="10" t="s">
        <v>1331</v>
      </c>
      <c r="E514" s="12" t="n">
        <v>108.08</v>
      </c>
      <c r="F514" s="10" t="s">
        <v>347</v>
      </c>
      <c r="G514" s="9" t="n">
        <f aca="false">VALUE(LEFT(TEXT(E514,"0.00"),1))</f>
        <v>1</v>
      </c>
      <c r="H514" s="0" t="str">
        <f aca="false">UPPER(SUBSTITUTE(SUBSTITUTE(SUBSTITUTE(D514," ",""),"/",""),".",""))</f>
        <v>INV12008</v>
      </c>
      <c r="I514" s="9" t="n">
        <f aca="false">IF(COUNTIFS($C$5:C514,C514,$H$5:H514,H514,$E$5:E514,E514)&gt;1,1,0)</f>
        <v>0</v>
      </c>
      <c r="J514" s="9" t="n">
        <f aca="false">IF(AND(I514=0,COUNTIFS($C$5:$C$634,C514,$E$5:$E$634,E514,$B$5:$B$634,"&gt;="&amp;(B514-Parameters!$B$12),$B$5:$B$634,"&lt;="&amp;(B514+Parameters!$B$12),$H$5:$H$634,"&lt;&gt;"&amp;H514)&gt;0),1,0)</f>
        <v>0</v>
      </c>
      <c r="K514" s="9" t="n">
        <f aca="false">IF(AND(E514&gt;=Parameters!$B$11,ROUND(MOD(ROUND(E514,2),Parameters!$B$10),2)=0),1,0)</f>
        <v>0</v>
      </c>
      <c r="L514" s="9" t="n">
        <f aca="false">IF(AND(E514&lt;Parameters!$B$7,E514&gt;=Parameters!$B$7*(1-Parameters!$B$9)),1,0)</f>
        <v>0</v>
      </c>
      <c r="M514" s="9" t="n">
        <f aca="false">IF(AND(E514&lt;Parameters!$B$7,COUNTIFS($C$5:$C$634,C514,$B$5:$B$634,B514)&gt;1,SUMIFS($E$5:$E$634,$C$5:$C$634,C514,$B$5:$B$634,B514)&gt;=Parameters!$B$7),1,0)</f>
        <v>0</v>
      </c>
      <c r="N514" s="9" t="n">
        <f aca="false">IF(AND(E514&gt;=Parameters!$B$7,F514&lt;&gt;Parameters!$B$8),1,0)</f>
        <v>0</v>
      </c>
      <c r="O514" s="9" t="n">
        <f aca="false">INDEX(Vendor_Benford!$N$6:$N$50,MATCH(C514,Vendor_Benford!$A$6:$A$50,0))</f>
        <v>0</v>
      </c>
      <c r="P514" s="9" t="n">
        <f aca="false">INDEX(Vendor_Benford!$M$6:$M$50,MATCH(C514,Vendor_Benford!$A$6:$A$50,0))</f>
        <v>0</v>
      </c>
      <c r="Q514" s="9" t="n">
        <f aca="false">I514*Parameters!$B$28+J514*Parameters!$B$29+K514*Parameters!$B$30+L514*Parameters!$B$31+M514*Parameters!$B$32+N514*Parameters!$B$33+O514*Parameters!$B$34+P514*Parameters!$B$35</f>
        <v>0</v>
      </c>
      <c r="R514" s="0" t="str">
        <f aca="false">IF(Q514&gt;=Parameters!$B$24,"High","")</f>
        <v/>
      </c>
    </row>
    <row r="515" customFormat="false" ht="15" hidden="false" customHeight="false" outlineLevel="0" collapsed="false">
      <c r="A515" s="10" t="s">
        <v>1332</v>
      </c>
      <c r="B515" s="8" t="n">
        <v>45958</v>
      </c>
      <c r="C515" s="10" t="s">
        <v>170</v>
      </c>
      <c r="D515" s="10" t="s">
        <v>1333</v>
      </c>
      <c r="E515" s="12" t="n">
        <v>50864.68</v>
      </c>
      <c r="F515" s="10" t="s">
        <v>40</v>
      </c>
      <c r="G515" s="9" t="n">
        <f aca="false">VALUE(LEFT(TEXT(E515,"0.00"),1))</f>
        <v>5</v>
      </c>
      <c r="H515" s="0" t="str">
        <f aca="false">UPPER(SUBSTITUTE(SUBSTITUTE(SUBSTITUTE(D515," ",""),"/",""),".",""))</f>
        <v>INV21008</v>
      </c>
      <c r="I515" s="9" t="n">
        <f aca="false">IF(COUNTIFS($C$5:C515,C515,$H$5:H515,H515,$E$5:E515,E515)&gt;1,1,0)</f>
        <v>0</v>
      </c>
      <c r="J515" s="9" t="n">
        <f aca="false">IF(AND(I515=0,COUNTIFS($C$5:$C$634,C515,$E$5:$E$634,E515,$B$5:$B$634,"&gt;="&amp;(B515-Parameters!$B$12),$B$5:$B$634,"&lt;="&amp;(B515+Parameters!$B$12),$H$5:$H$634,"&lt;&gt;"&amp;H515)&gt;0),1,0)</f>
        <v>0</v>
      </c>
      <c r="K515" s="9" t="n">
        <f aca="false">IF(AND(E515&gt;=Parameters!$B$11,ROUND(MOD(ROUND(E515,2),Parameters!$B$10),2)=0),1,0)</f>
        <v>0</v>
      </c>
      <c r="L515" s="9" t="n">
        <f aca="false">IF(AND(E515&lt;Parameters!$B$7,E515&gt;=Parameters!$B$7*(1-Parameters!$B$9)),1,0)</f>
        <v>0</v>
      </c>
      <c r="M515" s="9" t="n">
        <f aca="false">IF(AND(E515&lt;Parameters!$B$7,COUNTIFS($C$5:$C$634,C515,$B$5:$B$634,B515)&gt;1,SUMIFS($E$5:$E$634,$C$5:$C$634,C515,$B$5:$B$634,B515)&gt;=Parameters!$B$7),1,0)</f>
        <v>0</v>
      </c>
      <c r="N515" s="9" t="n">
        <f aca="false">IF(AND(E515&gt;=Parameters!$B$7,F515&lt;&gt;Parameters!$B$8),1,0)</f>
        <v>0</v>
      </c>
      <c r="O515" s="9" t="n">
        <f aca="false">INDEX(Vendor_Benford!$N$6:$N$50,MATCH(C515,Vendor_Benford!$A$6:$A$50,0))</f>
        <v>0</v>
      </c>
      <c r="P515" s="9" t="n">
        <f aca="false">INDEX(Vendor_Benford!$M$6:$M$50,MATCH(C515,Vendor_Benford!$A$6:$A$50,0))</f>
        <v>0</v>
      </c>
      <c r="Q515" s="9" t="n">
        <f aca="false">I515*Parameters!$B$28+J515*Parameters!$B$29+K515*Parameters!$B$30+L515*Parameters!$B$31+M515*Parameters!$B$32+N515*Parameters!$B$33+O515*Parameters!$B$34+P515*Parameters!$B$35</f>
        <v>0</v>
      </c>
      <c r="R515" s="0" t="str">
        <f aca="false">IF(Q515&gt;=Parameters!$B$24,"High","")</f>
        <v/>
      </c>
    </row>
    <row r="516" customFormat="false" ht="15" hidden="false" customHeight="false" outlineLevel="0" collapsed="false">
      <c r="A516" s="10" t="s">
        <v>1334</v>
      </c>
      <c r="B516" s="8" t="n">
        <v>45958</v>
      </c>
      <c r="C516" s="10" t="s">
        <v>200</v>
      </c>
      <c r="D516" s="10" t="s">
        <v>1335</v>
      </c>
      <c r="E516" s="12" t="n">
        <v>4926.23</v>
      </c>
      <c r="F516" s="10" t="s">
        <v>347</v>
      </c>
      <c r="G516" s="9" t="n">
        <f aca="false">VALUE(LEFT(TEXT(E516,"0.00"),1))</f>
        <v>4</v>
      </c>
      <c r="H516" s="0" t="str">
        <f aca="false">UPPER(SUBSTITUTE(SUBSTITUTE(SUBSTITUTE(D516," ",""),"/",""),".",""))</f>
        <v>INV31028</v>
      </c>
      <c r="I516" s="9" t="n">
        <f aca="false">IF(COUNTIFS($C$5:C516,C516,$H$5:H516,H516,$E$5:E516,E516)&gt;1,1,0)</f>
        <v>0</v>
      </c>
      <c r="J516" s="9" t="n">
        <f aca="false">IF(AND(I516=0,COUNTIFS($C$5:$C$634,C516,$E$5:$E$634,E516,$B$5:$B$634,"&gt;="&amp;(B516-Parameters!$B$12),$B$5:$B$634,"&lt;="&amp;(B516+Parameters!$B$12),$H$5:$H$634,"&lt;&gt;"&amp;H516)&gt;0),1,0)</f>
        <v>0</v>
      </c>
      <c r="K516" s="9" t="n">
        <f aca="false">IF(AND(E516&gt;=Parameters!$B$11,ROUND(MOD(ROUND(E516,2),Parameters!$B$10),2)=0),1,0)</f>
        <v>0</v>
      </c>
      <c r="L516" s="9" t="n">
        <f aca="false">IF(AND(E516&lt;Parameters!$B$7,E516&gt;=Parameters!$B$7*(1-Parameters!$B$9)),1,0)</f>
        <v>1</v>
      </c>
      <c r="M516" s="9" t="n">
        <f aca="false">IF(AND(E516&lt;Parameters!$B$7,COUNTIFS($C$5:$C$634,C516,$B$5:$B$634,B516)&gt;1,SUMIFS($E$5:$E$634,$C$5:$C$634,C516,$B$5:$B$634,B516)&gt;=Parameters!$B$7),1,0)</f>
        <v>1</v>
      </c>
      <c r="N516" s="9" t="n">
        <f aca="false">IF(AND(E516&gt;=Parameters!$B$7,F516&lt;&gt;Parameters!$B$8),1,0)</f>
        <v>0</v>
      </c>
      <c r="O516" s="9" t="n">
        <f aca="false">INDEX(Vendor_Benford!$N$6:$N$50,MATCH(C516,Vendor_Benford!$A$6:$A$50,0))</f>
        <v>0</v>
      </c>
      <c r="P516" s="9" t="n">
        <f aca="false">INDEX(Vendor_Benford!$M$6:$M$50,MATCH(C516,Vendor_Benford!$A$6:$A$50,0))</f>
        <v>1</v>
      </c>
      <c r="Q516" s="9" t="n">
        <f aca="false">I516*Parameters!$B$28+J516*Parameters!$B$29+K516*Parameters!$B$30+L516*Parameters!$B$31+M516*Parameters!$B$32+N516*Parameters!$B$33+O516*Parameters!$B$34+P516*Parameters!$B$35</f>
        <v>7</v>
      </c>
      <c r="R516" s="0" t="str">
        <f aca="false">IF(Q516&gt;=Parameters!$B$24,"High","")</f>
        <v>High</v>
      </c>
    </row>
    <row r="517" customFormat="false" ht="15" hidden="false" customHeight="false" outlineLevel="0" collapsed="false">
      <c r="A517" s="10" t="s">
        <v>1336</v>
      </c>
      <c r="B517" s="8" t="n">
        <v>45958</v>
      </c>
      <c r="C517" s="10" t="s">
        <v>200</v>
      </c>
      <c r="D517" s="10" t="s">
        <v>1337</v>
      </c>
      <c r="E517" s="12" t="n">
        <v>4949.31</v>
      </c>
      <c r="F517" s="10" t="s">
        <v>347</v>
      </c>
      <c r="G517" s="9" t="n">
        <f aca="false">VALUE(LEFT(TEXT(E517,"0.00"),1))</f>
        <v>4</v>
      </c>
      <c r="H517" s="0" t="str">
        <f aca="false">UPPER(SUBSTITUTE(SUBSTITUTE(SUBSTITUTE(D517," ",""),"/",""),".",""))</f>
        <v>INV31045</v>
      </c>
      <c r="I517" s="9" t="n">
        <f aca="false">IF(COUNTIFS($C$5:C517,C517,$H$5:H517,H517,$E$5:E517,E517)&gt;1,1,0)</f>
        <v>0</v>
      </c>
      <c r="J517" s="9" t="n">
        <f aca="false">IF(AND(I517=0,COUNTIFS($C$5:$C$634,C517,$E$5:$E$634,E517,$B$5:$B$634,"&gt;="&amp;(B517-Parameters!$B$12),$B$5:$B$634,"&lt;="&amp;(B517+Parameters!$B$12),$H$5:$H$634,"&lt;&gt;"&amp;H517)&gt;0),1,0)</f>
        <v>0</v>
      </c>
      <c r="K517" s="9" t="n">
        <f aca="false">IF(AND(E517&gt;=Parameters!$B$11,ROUND(MOD(ROUND(E517,2),Parameters!$B$10),2)=0),1,0)</f>
        <v>0</v>
      </c>
      <c r="L517" s="9" t="n">
        <f aca="false">IF(AND(E517&lt;Parameters!$B$7,E517&gt;=Parameters!$B$7*(1-Parameters!$B$9)),1,0)</f>
        <v>1</v>
      </c>
      <c r="M517" s="9" t="n">
        <f aca="false">IF(AND(E517&lt;Parameters!$B$7,COUNTIFS($C$5:$C$634,C517,$B$5:$B$634,B517)&gt;1,SUMIFS($E$5:$E$634,$C$5:$C$634,C517,$B$5:$B$634,B517)&gt;=Parameters!$B$7),1,0)</f>
        <v>1</v>
      </c>
      <c r="N517" s="9" t="n">
        <f aca="false">IF(AND(E517&gt;=Parameters!$B$7,F517&lt;&gt;Parameters!$B$8),1,0)</f>
        <v>0</v>
      </c>
      <c r="O517" s="9" t="n">
        <f aca="false">INDEX(Vendor_Benford!$N$6:$N$50,MATCH(C517,Vendor_Benford!$A$6:$A$50,0))</f>
        <v>0</v>
      </c>
      <c r="P517" s="9" t="n">
        <f aca="false">INDEX(Vendor_Benford!$M$6:$M$50,MATCH(C517,Vendor_Benford!$A$6:$A$50,0))</f>
        <v>1</v>
      </c>
      <c r="Q517" s="9" t="n">
        <f aca="false">I517*Parameters!$B$28+J517*Parameters!$B$29+K517*Parameters!$B$30+L517*Parameters!$B$31+M517*Parameters!$B$32+N517*Parameters!$B$33+O517*Parameters!$B$34+P517*Parameters!$B$35</f>
        <v>7</v>
      </c>
      <c r="R517" s="0" t="str">
        <f aca="false">IF(Q517&gt;=Parameters!$B$24,"High","")</f>
        <v>High</v>
      </c>
    </row>
    <row r="518" customFormat="false" ht="15" hidden="false" customHeight="false" outlineLevel="0" collapsed="false">
      <c r="A518" s="10" t="s">
        <v>1338</v>
      </c>
      <c r="B518" s="8" t="n">
        <v>45958</v>
      </c>
      <c r="C518" s="10" t="s">
        <v>206</v>
      </c>
      <c r="D518" s="10" t="s">
        <v>1339</v>
      </c>
      <c r="E518" s="12" t="n">
        <v>110.27</v>
      </c>
      <c r="F518" s="10" t="s">
        <v>347</v>
      </c>
      <c r="G518" s="9" t="n">
        <f aca="false">VALUE(LEFT(TEXT(E518,"0.00"),1))</f>
        <v>1</v>
      </c>
      <c r="H518" s="0" t="str">
        <f aca="false">UPPER(SUBSTITUTE(SUBSTITUTE(SUBSTITUTE(D518," ",""),"/",""),".",""))</f>
        <v>INV33022</v>
      </c>
      <c r="I518" s="9" t="n">
        <f aca="false">IF(COUNTIFS($C$5:C518,C518,$H$5:H518,H518,$E$5:E518,E518)&gt;1,1,0)</f>
        <v>0</v>
      </c>
      <c r="J518" s="9" t="n">
        <f aca="false">IF(AND(I518=0,COUNTIFS($C$5:$C$634,C518,$E$5:$E$634,E518,$B$5:$B$634,"&gt;="&amp;(B518-Parameters!$B$12),$B$5:$B$634,"&lt;="&amp;(B518+Parameters!$B$12),$H$5:$H$634,"&lt;&gt;"&amp;H518)&gt;0),1,0)</f>
        <v>0</v>
      </c>
      <c r="K518" s="9" t="n">
        <f aca="false">IF(AND(E518&gt;=Parameters!$B$11,ROUND(MOD(ROUND(E518,2),Parameters!$B$10),2)=0),1,0)</f>
        <v>0</v>
      </c>
      <c r="L518" s="9" t="n">
        <f aca="false">IF(AND(E518&lt;Parameters!$B$7,E518&gt;=Parameters!$B$7*(1-Parameters!$B$9)),1,0)</f>
        <v>0</v>
      </c>
      <c r="M518" s="9" t="n">
        <f aca="false">IF(AND(E518&lt;Parameters!$B$7,COUNTIFS($C$5:$C$634,C518,$B$5:$B$634,B518)&gt;1,SUMIFS($E$5:$E$634,$C$5:$C$634,C518,$B$5:$B$634,B518)&gt;=Parameters!$B$7),1,0)</f>
        <v>0</v>
      </c>
      <c r="N518" s="9" t="n">
        <f aca="false">IF(AND(E518&gt;=Parameters!$B$7,F518&lt;&gt;Parameters!$B$8),1,0)</f>
        <v>0</v>
      </c>
      <c r="O518" s="9" t="n">
        <f aca="false">INDEX(Vendor_Benford!$N$6:$N$50,MATCH(C518,Vendor_Benford!$A$6:$A$50,0))</f>
        <v>0</v>
      </c>
      <c r="P518" s="9" t="n">
        <f aca="false">INDEX(Vendor_Benford!$M$6:$M$50,MATCH(C518,Vendor_Benford!$A$6:$A$50,0))</f>
        <v>0</v>
      </c>
      <c r="Q518" s="9" t="n">
        <f aca="false">I518*Parameters!$B$28+J518*Parameters!$B$29+K518*Parameters!$B$30+L518*Parameters!$B$31+M518*Parameters!$B$32+N518*Parameters!$B$33+O518*Parameters!$B$34+P518*Parameters!$B$35</f>
        <v>0</v>
      </c>
      <c r="R518" s="0" t="str">
        <f aca="false">IF(Q518&gt;=Parameters!$B$24,"High","")</f>
        <v/>
      </c>
    </row>
    <row r="519" customFormat="false" ht="15" hidden="false" customHeight="false" outlineLevel="0" collapsed="false">
      <c r="A519" s="10" t="s">
        <v>1340</v>
      </c>
      <c r="B519" s="8" t="n">
        <v>45958</v>
      </c>
      <c r="C519" s="10" t="s">
        <v>224</v>
      </c>
      <c r="D519" s="10" t="s">
        <v>1341</v>
      </c>
      <c r="E519" s="12" t="n">
        <v>2269.61</v>
      </c>
      <c r="F519" s="10" t="s">
        <v>347</v>
      </c>
      <c r="G519" s="9" t="n">
        <f aca="false">VALUE(LEFT(TEXT(E519,"0.00"),1))</f>
        <v>2</v>
      </c>
      <c r="H519" s="0" t="str">
        <f aca="false">UPPER(SUBSTITUTE(SUBSTITUTE(SUBSTITUTE(D519," ",""),"/",""),".",""))</f>
        <v>INV39018</v>
      </c>
      <c r="I519" s="9" t="n">
        <f aca="false">IF(COUNTIFS($C$5:C519,C519,$H$5:H519,H519,$E$5:E519,E519)&gt;1,1,0)</f>
        <v>0</v>
      </c>
      <c r="J519" s="9" t="n">
        <f aca="false">IF(AND(I519=0,COUNTIFS($C$5:$C$634,C519,$E$5:$E$634,E519,$B$5:$B$634,"&gt;="&amp;(B519-Parameters!$B$12),$B$5:$B$634,"&lt;="&amp;(B519+Parameters!$B$12),$H$5:$H$634,"&lt;&gt;"&amp;H519)&gt;0),1,0)</f>
        <v>0</v>
      </c>
      <c r="K519" s="9" t="n">
        <f aca="false">IF(AND(E519&gt;=Parameters!$B$11,ROUND(MOD(ROUND(E519,2),Parameters!$B$10),2)=0),1,0)</f>
        <v>0</v>
      </c>
      <c r="L519" s="9" t="n">
        <f aca="false">IF(AND(E519&lt;Parameters!$B$7,E519&gt;=Parameters!$B$7*(1-Parameters!$B$9)),1,0)</f>
        <v>0</v>
      </c>
      <c r="M519" s="9" t="n">
        <f aca="false">IF(AND(E519&lt;Parameters!$B$7,COUNTIFS($C$5:$C$634,C519,$B$5:$B$634,B519)&gt;1,SUMIFS($E$5:$E$634,$C$5:$C$634,C519,$B$5:$B$634,B519)&gt;=Parameters!$B$7),1,0)</f>
        <v>0</v>
      </c>
      <c r="N519" s="9" t="n">
        <f aca="false">IF(AND(E519&gt;=Parameters!$B$7,F519&lt;&gt;Parameters!$B$8),1,0)</f>
        <v>0</v>
      </c>
      <c r="O519" s="9" t="n">
        <f aca="false">INDEX(Vendor_Benford!$N$6:$N$50,MATCH(C519,Vendor_Benford!$A$6:$A$50,0))</f>
        <v>0</v>
      </c>
      <c r="P519" s="9" t="n">
        <f aca="false">INDEX(Vendor_Benford!$M$6:$M$50,MATCH(C519,Vendor_Benford!$A$6:$A$50,0))</f>
        <v>0</v>
      </c>
      <c r="Q519" s="9" t="n">
        <f aca="false">I519*Parameters!$B$28+J519*Parameters!$B$29+K519*Parameters!$B$30+L519*Parameters!$B$31+M519*Parameters!$B$32+N519*Parameters!$B$33+O519*Parameters!$B$34+P519*Parameters!$B$35</f>
        <v>0</v>
      </c>
      <c r="R519" s="0" t="str">
        <f aca="false">IF(Q519&gt;=Parameters!$B$24,"High","")</f>
        <v/>
      </c>
    </row>
    <row r="520" customFormat="false" ht="15" hidden="false" customHeight="false" outlineLevel="0" collapsed="false">
      <c r="A520" s="10" t="s">
        <v>1342</v>
      </c>
      <c r="B520" s="8" t="n">
        <v>45959</v>
      </c>
      <c r="C520" s="10" t="s">
        <v>125</v>
      </c>
      <c r="D520" s="10" t="s">
        <v>1343</v>
      </c>
      <c r="E520" s="12" t="n">
        <v>53187.41</v>
      </c>
      <c r="F520" s="10" t="s">
        <v>40</v>
      </c>
      <c r="G520" s="9" t="n">
        <f aca="false">VALUE(LEFT(TEXT(E520,"0.00"),1))</f>
        <v>5</v>
      </c>
      <c r="H520" s="0" t="str">
        <f aca="false">UPPER(SUBSTITUTE(SUBSTITUTE(SUBSTITUTE(D520," ",""),"/",""),".",""))</f>
        <v>INV6004</v>
      </c>
      <c r="I520" s="9" t="n">
        <f aca="false">IF(COUNTIFS($C$5:C520,C520,$H$5:H520,H520,$E$5:E520,E520)&gt;1,1,0)</f>
        <v>0</v>
      </c>
      <c r="J520" s="9" t="n">
        <f aca="false">IF(AND(I520=0,COUNTIFS($C$5:$C$634,C520,$E$5:$E$634,E520,$B$5:$B$634,"&gt;="&amp;(B520-Parameters!$B$12),$B$5:$B$634,"&lt;="&amp;(B520+Parameters!$B$12),$H$5:$H$634,"&lt;&gt;"&amp;H520)&gt;0),1,0)</f>
        <v>0</v>
      </c>
      <c r="K520" s="9" t="n">
        <f aca="false">IF(AND(E520&gt;=Parameters!$B$11,ROUND(MOD(ROUND(E520,2),Parameters!$B$10),2)=0),1,0)</f>
        <v>0</v>
      </c>
      <c r="L520" s="9" t="n">
        <f aca="false">IF(AND(E520&lt;Parameters!$B$7,E520&gt;=Parameters!$B$7*(1-Parameters!$B$9)),1,0)</f>
        <v>0</v>
      </c>
      <c r="M520" s="9" t="n">
        <f aca="false">IF(AND(E520&lt;Parameters!$B$7,COUNTIFS($C$5:$C$634,C520,$B$5:$B$634,B520)&gt;1,SUMIFS($E$5:$E$634,$C$5:$C$634,C520,$B$5:$B$634,B520)&gt;=Parameters!$B$7),1,0)</f>
        <v>0</v>
      </c>
      <c r="N520" s="9" t="n">
        <f aca="false">IF(AND(E520&gt;=Parameters!$B$7,F520&lt;&gt;Parameters!$B$8),1,0)</f>
        <v>0</v>
      </c>
      <c r="O520" s="9" t="n">
        <f aca="false">INDEX(Vendor_Benford!$N$6:$N$50,MATCH(C520,Vendor_Benford!$A$6:$A$50,0))</f>
        <v>0</v>
      </c>
      <c r="P520" s="9" t="n">
        <f aca="false">INDEX(Vendor_Benford!$M$6:$M$50,MATCH(C520,Vendor_Benford!$A$6:$A$50,0))</f>
        <v>0</v>
      </c>
      <c r="Q520" s="9" t="n">
        <f aca="false">I520*Parameters!$B$28+J520*Parameters!$B$29+K520*Parameters!$B$30+L520*Parameters!$B$31+M520*Parameters!$B$32+N520*Parameters!$B$33+O520*Parameters!$B$34+P520*Parameters!$B$35</f>
        <v>0</v>
      </c>
      <c r="R520" s="0" t="str">
        <f aca="false">IF(Q520&gt;=Parameters!$B$24,"High","")</f>
        <v/>
      </c>
    </row>
    <row r="521" customFormat="false" ht="15" hidden="false" customHeight="false" outlineLevel="0" collapsed="false">
      <c r="A521" s="10" t="s">
        <v>1344</v>
      </c>
      <c r="B521" s="8" t="n">
        <v>45959</v>
      </c>
      <c r="C521" s="10" t="s">
        <v>194</v>
      </c>
      <c r="D521" s="10" t="s">
        <v>1345</v>
      </c>
      <c r="E521" s="12" t="n">
        <v>179.96</v>
      </c>
      <c r="F521" s="10" t="s">
        <v>40</v>
      </c>
      <c r="G521" s="9" t="n">
        <f aca="false">VALUE(LEFT(TEXT(E521,"0.00"),1))</f>
        <v>1</v>
      </c>
      <c r="H521" s="0" t="str">
        <f aca="false">UPPER(SUBSTITUTE(SUBSTITUTE(SUBSTITUTE(D521," ",""),"/",""),".",""))</f>
        <v>INV29002</v>
      </c>
      <c r="I521" s="9" t="n">
        <f aca="false">IF(COUNTIFS($C$5:C521,C521,$H$5:H521,H521,$E$5:E521,E521)&gt;1,1,0)</f>
        <v>0</v>
      </c>
      <c r="J521" s="9" t="n">
        <f aca="false">IF(AND(I521=0,COUNTIFS($C$5:$C$634,C521,$E$5:$E$634,E521,$B$5:$B$634,"&gt;="&amp;(B521-Parameters!$B$12),$B$5:$B$634,"&lt;="&amp;(B521+Parameters!$B$12),$H$5:$H$634,"&lt;&gt;"&amp;H521)&gt;0),1,0)</f>
        <v>0</v>
      </c>
      <c r="K521" s="9" t="n">
        <f aca="false">IF(AND(E521&gt;=Parameters!$B$11,ROUND(MOD(ROUND(E521,2),Parameters!$B$10),2)=0),1,0)</f>
        <v>0</v>
      </c>
      <c r="L521" s="9" t="n">
        <f aca="false">IF(AND(E521&lt;Parameters!$B$7,E521&gt;=Parameters!$B$7*(1-Parameters!$B$9)),1,0)</f>
        <v>0</v>
      </c>
      <c r="M521" s="9" t="n">
        <f aca="false">IF(AND(E521&lt;Parameters!$B$7,COUNTIFS($C$5:$C$634,C521,$B$5:$B$634,B521)&gt;1,SUMIFS($E$5:$E$634,$C$5:$C$634,C521,$B$5:$B$634,B521)&gt;=Parameters!$B$7),1,0)</f>
        <v>0</v>
      </c>
      <c r="N521" s="9" t="n">
        <f aca="false">IF(AND(E521&gt;=Parameters!$B$7,F521&lt;&gt;Parameters!$B$8),1,0)</f>
        <v>0</v>
      </c>
      <c r="O521" s="9" t="n">
        <f aca="false">INDEX(Vendor_Benford!$N$6:$N$50,MATCH(C521,Vendor_Benford!$A$6:$A$50,0))</f>
        <v>0</v>
      </c>
      <c r="P521" s="9" t="n">
        <f aca="false">INDEX(Vendor_Benford!$M$6:$M$50,MATCH(C521,Vendor_Benford!$A$6:$A$50,0))</f>
        <v>0</v>
      </c>
      <c r="Q521" s="9" t="n">
        <f aca="false">I521*Parameters!$B$28+J521*Parameters!$B$29+K521*Parameters!$B$30+L521*Parameters!$B$31+M521*Parameters!$B$32+N521*Parameters!$B$33+O521*Parameters!$B$34+P521*Parameters!$B$35</f>
        <v>0</v>
      </c>
      <c r="R521" s="0" t="str">
        <f aca="false">IF(Q521&gt;=Parameters!$B$24,"High","")</f>
        <v/>
      </c>
    </row>
    <row r="522" customFormat="false" ht="15" hidden="false" customHeight="false" outlineLevel="0" collapsed="false">
      <c r="A522" s="10" t="s">
        <v>1346</v>
      </c>
      <c r="B522" s="8" t="n">
        <v>45960</v>
      </c>
      <c r="C522" s="10" t="s">
        <v>152</v>
      </c>
      <c r="D522" s="10" t="s">
        <v>1347</v>
      </c>
      <c r="E522" s="12" t="n">
        <v>731.74</v>
      </c>
      <c r="F522" s="10" t="s">
        <v>347</v>
      </c>
      <c r="G522" s="9" t="n">
        <f aca="false">VALUE(LEFT(TEXT(E522,"0.00"),1))</f>
        <v>7</v>
      </c>
      <c r="H522" s="0" t="str">
        <f aca="false">UPPER(SUBSTITUTE(SUBSTITUTE(SUBSTITUTE(D522," ",""),"/",""),".",""))</f>
        <v>INV15013</v>
      </c>
      <c r="I522" s="9" t="n">
        <f aca="false">IF(COUNTIFS($C$5:C522,C522,$H$5:H522,H522,$E$5:E522,E522)&gt;1,1,0)</f>
        <v>0</v>
      </c>
      <c r="J522" s="9" t="n">
        <f aca="false">IF(AND(I522=0,COUNTIFS($C$5:$C$634,C522,$E$5:$E$634,E522,$B$5:$B$634,"&gt;="&amp;(B522-Parameters!$B$12),$B$5:$B$634,"&lt;="&amp;(B522+Parameters!$B$12),$H$5:$H$634,"&lt;&gt;"&amp;H522)&gt;0),1,0)</f>
        <v>0</v>
      </c>
      <c r="K522" s="9" t="n">
        <f aca="false">IF(AND(E522&gt;=Parameters!$B$11,ROUND(MOD(ROUND(E522,2),Parameters!$B$10),2)=0),1,0)</f>
        <v>0</v>
      </c>
      <c r="L522" s="9" t="n">
        <f aca="false">IF(AND(E522&lt;Parameters!$B$7,E522&gt;=Parameters!$B$7*(1-Parameters!$B$9)),1,0)</f>
        <v>0</v>
      </c>
      <c r="M522" s="9" t="n">
        <f aca="false">IF(AND(E522&lt;Parameters!$B$7,COUNTIFS($C$5:$C$634,C522,$B$5:$B$634,B522)&gt;1,SUMIFS($E$5:$E$634,$C$5:$C$634,C522,$B$5:$B$634,B522)&gt;=Parameters!$B$7),1,0)</f>
        <v>0</v>
      </c>
      <c r="N522" s="9" t="n">
        <f aca="false">IF(AND(E522&gt;=Parameters!$B$7,F522&lt;&gt;Parameters!$B$8),1,0)</f>
        <v>0</v>
      </c>
      <c r="O522" s="9" t="n">
        <f aca="false">INDEX(Vendor_Benford!$N$6:$N$50,MATCH(C522,Vendor_Benford!$A$6:$A$50,0))</f>
        <v>0</v>
      </c>
      <c r="P522" s="9" t="n">
        <f aca="false">INDEX(Vendor_Benford!$M$6:$M$50,MATCH(C522,Vendor_Benford!$A$6:$A$50,0))</f>
        <v>0</v>
      </c>
      <c r="Q522" s="9" t="n">
        <f aca="false">I522*Parameters!$B$28+J522*Parameters!$B$29+K522*Parameters!$B$30+L522*Parameters!$B$31+M522*Parameters!$B$32+N522*Parameters!$B$33+O522*Parameters!$B$34+P522*Parameters!$B$35</f>
        <v>0</v>
      </c>
      <c r="R522" s="0" t="str">
        <f aca="false">IF(Q522&gt;=Parameters!$B$24,"High","")</f>
        <v/>
      </c>
    </row>
    <row r="523" customFormat="false" ht="15" hidden="false" customHeight="false" outlineLevel="0" collapsed="false">
      <c r="A523" s="10" t="s">
        <v>1348</v>
      </c>
      <c r="B523" s="8" t="n">
        <v>45960</v>
      </c>
      <c r="C523" s="10" t="s">
        <v>212</v>
      </c>
      <c r="D523" s="10" t="s">
        <v>1349</v>
      </c>
      <c r="E523" s="12" t="n">
        <v>36170.81</v>
      </c>
      <c r="F523" s="10" t="s">
        <v>40</v>
      </c>
      <c r="G523" s="9" t="n">
        <f aca="false">VALUE(LEFT(TEXT(E523,"0.00"),1))</f>
        <v>3</v>
      </c>
      <c r="H523" s="0" t="str">
        <f aca="false">UPPER(SUBSTITUTE(SUBSTITUTE(SUBSTITUTE(D523," ",""),"/",""),".",""))</f>
        <v>INV35016</v>
      </c>
      <c r="I523" s="9" t="n">
        <f aca="false">IF(COUNTIFS($C$5:C523,C523,$H$5:H523,H523,$E$5:E523,E523)&gt;1,1,0)</f>
        <v>0</v>
      </c>
      <c r="J523" s="9" t="n">
        <f aca="false">IF(AND(I523=0,COUNTIFS($C$5:$C$634,C523,$E$5:$E$634,E523,$B$5:$B$634,"&gt;="&amp;(B523-Parameters!$B$12),$B$5:$B$634,"&lt;="&amp;(B523+Parameters!$B$12),$H$5:$H$634,"&lt;&gt;"&amp;H523)&gt;0),1,0)</f>
        <v>0</v>
      </c>
      <c r="K523" s="9" t="n">
        <f aca="false">IF(AND(E523&gt;=Parameters!$B$11,ROUND(MOD(ROUND(E523,2),Parameters!$B$10),2)=0),1,0)</f>
        <v>0</v>
      </c>
      <c r="L523" s="9" t="n">
        <f aca="false">IF(AND(E523&lt;Parameters!$B$7,E523&gt;=Parameters!$B$7*(1-Parameters!$B$9)),1,0)</f>
        <v>0</v>
      </c>
      <c r="M523" s="9" t="n">
        <f aca="false">IF(AND(E523&lt;Parameters!$B$7,COUNTIFS($C$5:$C$634,C523,$B$5:$B$634,B523)&gt;1,SUMIFS($E$5:$E$634,$C$5:$C$634,C523,$B$5:$B$634,B523)&gt;=Parameters!$B$7),1,0)</f>
        <v>0</v>
      </c>
      <c r="N523" s="9" t="n">
        <f aca="false">IF(AND(E523&gt;=Parameters!$B$7,F523&lt;&gt;Parameters!$B$8),1,0)</f>
        <v>0</v>
      </c>
      <c r="O523" s="9" t="n">
        <f aca="false">INDEX(Vendor_Benford!$N$6:$N$50,MATCH(C523,Vendor_Benford!$A$6:$A$50,0))</f>
        <v>0</v>
      </c>
      <c r="P523" s="9" t="n">
        <f aca="false">INDEX(Vendor_Benford!$M$6:$M$50,MATCH(C523,Vendor_Benford!$A$6:$A$50,0))</f>
        <v>0</v>
      </c>
      <c r="Q523" s="9" t="n">
        <f aca="false">I523*Parameters!$B$28+J523*Parameters!$B$29+K523*Parameters!$B$30+L523*Parameters!$B$31+M523*Parameters!$B$32+N523*Parameters!$B$33+O523*Parameters!$B$34+P523*Parameters!$B$35</f>
        <v>0</v>
      </c>
      <c r="R523" s="0" t="str">
        <f aca="false">IF(Q523&gt;=Parameters!$B$24,"High","")</f>
        <v/>
      </c>
    </row>
    <row r="524" customFormat="false" ht="15" hidden="false" customHeight="false" outlineLevel="0" collapsed="false">
      <c r="A524" s="10" t="s">
        <v>1350</v>
      </c>
      <c r="B524" s="8" t="n">
        <v>45961</v>
      </c>
      <c r="C524" s="10" t="s">
        <v>161</v>
      </c>
      <c r="D524" s="10" t="s">
        <v>1351</v>
      </c>
      <c r="E524" s="12" t="n">
        <v>206.7</v>
      </c>
      <c r="F524" s="10" t="s">
        <v>40</v>
      </c>
      <c r="G524" s="9" t="n">
        <f aca="false">VALUE(LEFT(TEXT(E524,"0.00"),1))</f>
        <v>2</v>
      </c>
      <c r="H524" s="0" t="str">
        <f aca="false">UPPER(SUBSTITUTE(SUBSTITUTE(SUBSTITUTE(D524," ",""),"/",""),".",""))</f>
        <v>INV18004</v>
      </c>
      <c r="I524" s="9" t="n">
        <f aca="false">IF(COUNTIFS($C$5:C524,C524,$H$5:H524,H524,$E$5:E524,E524)&gt;1,1,0)</f>
        <v>0</v>
      </c>
      <c r="J524" s="9" t="n">
        <f aca="false">IF(AND(I524=0,COUNTIFS($C$5:$C$634,C524,$E$5:$E$634,E524,$B$5:$B$634,"&gt;="&amp;(B524-Parameters!$B$12),$B$5:$B$634,"&lt;="&amp;(B524+Parameters!$B$12),$H$5:$H$634,"&lt;&gt;"&amp;H524)&gt;0),1,0)</f>
        <v>0</v>
      </c>
      <c r="K524" s="9" t="n">
        <f aca="false">IF(AND(E524&gt;=Parameters!$B$11,ROUND(MOD(ROUND(E524,2),Parameters!$B$10),2)=0),1,0)</f>
        <v>0</v>
      </c>
      <c r="L524" s="9" t="n">
        <f aca="false">IF(AND(E524&lt;Parameters!$B$7,E524&gt;=Parameters!$B$7*(1-Parameters!$B$9)),1,0)</f>
        <v>0</v>
      </c>
      <c r="M524" s="9" t="n">
        <f aca="false">IF(AND(E524&lt;Parameters!$B$7,COUNTIFS($C$5:$C$634,C524,$B$5:$B$634,B524)&gt;1,SUMIFS($E$5:$E$634,$C$5:$C$634,C524,$B$5:$B$634,B524)&gt;=Parameters!$B$7),1,0)</f>
        <v>0</v>
      </c>
      <c r="N524" s="9" t="n">
        <f aca="false">IF(AND(E524&gt;=Parameters!$B$7,F524&lt;&gt;Parameters!$B$8),1,0)</f>
        <v>0</v>
      </c>
      <c r="O524" s="9" t="n">
        <f aca="false">INDEX(Vendor_Benford!$N$6:$N$50,MATCH(C524,Vendor_Benford!$A$6:$A$50,0))</f>
        <v>0</v>
      </c>
      <c r="P524" s="9" t="n">
        <f aca="false">INDEX(Vendor_Benford!$M$6:$M$50,MATCH(C524,Vendor_Benford!$A$6:$A$50,0))</f>
        <v>0</v>
      </c>
      <c r="Q524" s="9" t="n">
        <f aca="false">I524*Parameters!$B$28+J524*Parameters!$B$29+K524*Parameters!$B$30+L524*Parameters!$B$31+M524*Parameters!$B$32+N524*Parameters!$B$33+O524*Parameters!$B$34+P524*Parameters!$B$35</f>
        <v>0</v>
      </c>
      <c r="R524" s="0" t="str">
        <f aca="false">IF(Q524&gt;=Parameters!$B$24,"High","")</f>
        <v/>
      </c>
    </row>
    <row r="525" customFormat="false" ht="15" hidden="false" customHeight="false" outlineLevel="0" collapsed="false">
      <c r="A525" s="10" t="s">
        <v>1352</v>
      </c>
      <c r="B525" s="8" t="n">
        <v>45964</v>
      </c>
      <c r="C525" s="10" t="s">
        <v>146</v>
      </c>
      <c r="D525" s="10" t="s">
        <v>1353</v>
      </c>
      <c r="E525" s="12" t="n">
        <v>785.76</v>
      </c>
      <c r="F525" s="10" t="s">
        <v>347</v>
      </c>
      <c r="G525" s="9" t="n">
        <f aca="false">VALUE(LEFT(TEXT(E525,"0.00"),1))</f>
        <v>7</v>
      </c>
      <c r="H525" s="0" t="str">
        <f aca="false">UPPER(SUBSTITUTE(SUBSTITUTE(SUBSTITUTE(D525," ",""),"/",""),".",""))</f>
        <v>INV13014</v>
      </c>
      <c r="I525" s="9" t="n">
        <f aca="false">IF(COUNTIFS($C$5:C525,C525,$H$5:H525,H525,$E$5:E525,E525)&gt;1,1,0)</f>
        <v>0</v>
      </c>
      <c r="J525" s="9" t="n">
        <f aca="false">IF(AND(I525=0,COUNTIFS($C$5:$C$634,C525,$E$5:$E$634,E525,$B$5:$B$634,"&gt;="&amp;(B525-Parameters!$B$12),$B$5:$B$634,"&lt;="&amp;(B525+Parameters!$B$12),$H$5:$H$634,"&lt;&gt;"&amp;H525)&gt;0),1,0)</f>
        <v>0</v>
      </c>
      <c r="K525" s="9" t="n">
        <f aca="false">IF(AND(E525&gt;=Parameters!$B$11,ROUND(MOD(ROUND(E525,2),Parameters!$B$10),2)=0),1,0)</f>
        <v>0</v>
      </c>
      <c r="L525" s="9" t="n">
        <f aca="false">IF(AND(E525&lt;Parameters!$B$7,E525&gt;=Parameters!$B$7*(1-Parameters!$B$9)),1,0)</f>
        <v>0</v>
      </c>
      <c r="M525" s="9" t="n">
        <f aca="false">IF(AND(E525&lt;Parameters!$B$7,COUNTIFS($C$5:$C$634,C525,$B$5:$B$634,B525)&gt;1,SUMIFS($E$5:$E$634,$C$5:$C$634,C525,$B$5:$B$634,B525)&gt;=Parameters!$B$7),1,0)</f>
        <v>0</v>
      </c>
      <c r="N525" s="9" t="n">
        <f aca="false">IF(AND(E525&gt;=Parameters!$B$7,F525&lt;&gt;Parameters!$B$8),1,0)</f>
        <v>0</v>
      </c>
      <c r="O525" s="9" t="n">
        <f aca="false">INDEX(Vendor_Benford!$N$6:$N$50,MATCH(C525,Vendor_Benford!$A$6:$A$50,0))</f>
        <v>0</v>
      </c>
      <c r="P525" s="9" t="n">
        <f aca="false">INDEX(Vendor_Benford!$M$6:$M$50,MATCH(C525,Vendor_Benford!$A$6:$A$50,0))</f>
        <v>0</v>
      </c>
      <c r="Q525" s="9" t="n">
        <f aca="false">I525*Parameters!$B$28+J525*Parameters!$B$29+K525*Parameters!$B$30+L525*Parameters!$B$31+M525*Parameters!$B$32+N525*Parameters!$B$33+O525*Parameters!$B$34+P525*Parameters!$B$35</f>
        <v>0</v>
      </c>
      <c r="R525" s="0" t="str">
        <f aca="false">IF(Q525&gt;=Parameters!$B$24,"High","")</f>
        <v/>
      </c>
    </row>
    <row r="526" customFormat="false" ht="15" hidden="false" customHeight="false" outlineLevel="0" collapsed="false">
      <c r="A526" s="10" t="s">
        <v>1354</v>
      </c>
      <c r="B526" s="8" t="n">
        <v>45964</v>
      </c>
      <c r="C526" s="10" t="s">
        <v>239</v>
      </c>
      <c r="D526" s="10" t="s">
        <v>1355</v>
      </c>
      <c r="E526" s="12" t="n">
        <v>512.9</v>
      </c>
      <c r="F526" s="10" t="s">
        <v>40</v>
      </c>
      <c r="G526" s="9" t="n">
        <f aca="false">VALUE(LEFT(TEXT(E526,"0.00"),1))</f>
        <v>5</v>
      </c>
      <c r="H526" s="0" t="str">
        <f aca="false">UPPER(SUBSTITUTE(SUBSTITUTE(SUBSTITUTE(D526," ",""),"/",""),".",""))</f>
        <v>INV44011</v>
      </c>
      <c r="I526" s="9" t="n">
        <f aca="false">IF(COUNTIFS($C$5:C526,C526,$H$5:H526,H526,$E$5:E526,E526)&gt;1,1,0)</f>
        <v>0</v>
      </c>
      <c r="J526" s="9" t="n">
        <f aca="false">IF(AND(I526=0,COUNTIFS($C$5:$C$634,C526,$E$5:$E$634,E526,$B$5:$B$634,"&gt;="&amp;(B526-Parameters!$B$12),$B$5:$B$634,"&lt;="&amp;(B526+Parameters!$B$12),$H$5:$H$634,"&lt;&gt;"&amp;H526)&gt;0),1,0)</f>
        <v>0</v>
      </c>
      <c r="K526" s="9" t="n">
        <f aca="false">IF(AND(E526&gt;=Parameters!$B$11,ROUND(MOD(ROUND(E526,2),Parameters!$B$10),2)=0),1,0)</f>
        <v>0</v>
      </c>
      <c r="L526" s="9" t="n">
        <f aca="false">IF(AND(E526&lt;Parameters!$B$7,E526&gt;=Parameters!$B$7*(1-Parameters!$B$9)),1,0)</f>
        <v>0</v>
      </c>
      <c r="M526" s="9" t="n">
        <f aca="false">IF(AND(E526&lt;Parameters!$B$7,COUNTIFS($C$5:$C$634,C526,$B$5:$B$634,B526)&gt;1,SUMIFS($E$5:$E$634,$C$5:$C$634,C526,$B$5:$B$634,B526)&gt;=Parameters!$B$7),1,0)</f>
        <v>0</v>
      </c>
      <c r="N526" s="9" t="n">
        <f aca="false">IF(AND(E526&gt;=Parameters!$B$7,F526&lt;&gt;Parameters!$B$8),1,0)</f>
        <v>0</v>
      </c>
      <c r="O526" s="9" t="n">
        <f aca="false">INDEX(Vendor_Benford!$N$6:$N$50,MATCH(C526,Vendor_Benford!$A$6:$A$50,0))</f>
        <v>0</v>
      </c>
      <c r="P526" s="9" t="n">
        <f aca="false">INDEX(Vendor_Benford!$M$6:$M$50,MATCH(C526,Vendor_Benford!$A$6:$A$50,0))</f>
        <v>0</v>
      </c>
      <c r="Q526" s="9" t="n">
        <f aca="false">I526*Parameters!$B$28+J526*Parameters!$B$29+K526*Parameters!$B$30+L526*Parameters!$B$31+M526*Parameters!$B$32+N526*Parameters!$B$33+O526*Parameters!$B$34+P526*Parameters!$B$35</f>
        <v>0</v>
      </c>
      <c r="R526" s="0" t="str">
        <f aca="false">IF(Q526&gt;=Parameters!$B$24,"High","")</f>
        <v/>
      </c>
    </row>
    <row r="527" customFormat="false" ht="15" hidden="false" customHeight="false" outlineLevel="0" collapsed="false">
      <c r="A527" s="10" t="s">
        <v>1356</v>
      </c>
      <c r="B527" s="8" t="n">
        <v>45965</v>
      </c>
      <c r="C527" s="10" t="s">
        <v>146</v>
      </c>
      <c r="D527" s="10" t="s">
        <v>1357</v>
      </c>
      <c r="E527" s="12" t="n">
        <v>5954.87</v>
      </c>
      <c r="F527" s="10" t="s">
        <v>40</v>
      </c>
      <c r="G527" s="9" t="n">
        <f aca="false">VALUE(LEFT(TEXT(E527,"0.00"),1))</f>
        <v>5</v>
      </c>
      <c r="H527" s="0" t="str">
        <f aca="false">UPPER(SUBSTITUTE(SUBSTITUTE(SUBSTITUTE(D527," ",""),"/",""),".",""))</f>
        <v>INV13009</v>
      </c>
      <c r="I527" s="9" t="n">
        <f aca="false">IF(COUNTIFS($C$5:C527,C527,$H$5:H527,H527,$E$5:E527,E527)&gt;1,1,0)</f>
        <v>0</v>
      </c>
      <c r="J527" s="9" t="n">
        <f aca="false">IF(AND(I527=0,COUNTIFS($C$5:$C$634,C527,$E$5:$E$634,E527,$B$5:$B$634,"&gt;="&amp;(B527-Parameters!$B$12),$B$5:$B$634,"&lt;="&amp;(B527+Parameters!$B$12),$H$5:$H$634,"&lt;&gt;"&amp;H527)&gt;0),1,0)</f>
        <v>0</v>
      </c>
      <c r="K527" s="9" t="n">
        <f aca="false">IF(AND(E527&gt;=Parameters!$B$11,ROUND(MOD(ROUND(E527,2),Parameters!$B$10),2)=0),1,0)</f>
        <v>0</v>
      </c>
      <c r="L527" s="9" t="n">
        <f aca="false">IF(AND(E527&lt;Parameters!$B$7,E527&gt;=Parameters!$B$7*(1-Parameters!$B$9)),1,0)</f>
        <v>0</v>
      </c>
      <c r="M527" s="9" t="n">
        <f aca="false">IF(AND(E527&lt;Parameters!$B$7,COUNTIFS($C$5:$C$634,C527,$B$5:$B$634,B527)&gt;1,SUMIFS($E$5:$E$634,$C$5:$C$634,C527,$B$5:$B$634,B527)&gt;=Parameters!$B$7),1,0)</f>
        <v>0</v>
      </c>
      <c r="N527" s="9" t="n">
        <f aca="false">IF(AND(E527&gt;=Parameters!$B$7,F527&lt;&gt;Parameters!$B$8),1,0)</f>
        <v>0</v>
      </c>
      <c r="O527" s="9" t="n">
        <f aca="false">INDEX(Vendor_Benford!$N$6:$N$50,MATCH(C527,Vendor_Benford!$A$6:$A$50,0))</f>
        <v>0</v>
      </c>
      <c r="P527" s="9" t="n">
        <f aca="false">INDEX(Vendor_Benford!$M$6:$M$50,MATCH(C527,Vendor_Benford!$A$6:$A$50,0))</f>
        <v>0</v>
      </c>
      <c r="Q527" s="9" t="n">
        <f aca="false">I527*Parameters!$B$28+J527*Parameters!$B$29+K527*Parameters!$B$30+L527*Parameters!$B$31+M527*Parameters!$B$32+N527*Parameters!$B$33+O527*Parameters!$B$34+P527*Parameters!$B$35</f>
        <v>0</v>
      </c>
      <c r="R527" s="0" t="str">
        <f aca="false">IF(Q527&gt;=Parameters!$B$24,"High","")</f>
        <v/>
      </c>
    </row>
    <row r="528" customFormat="false" ht="15" hidden="false" customHeight="false" outlineLevel="0" collapsed="false">
      <c r="A528" s="10" t="s">
        <v>1358</v>
      </c>
      <c r="B528" s="8" t="n">
        <v>45965</v>
      </c>
      <c r="C528" s="10" t="s">
        <v>203</v>
      </c>
      <c r="D528" s="10" t="s">
        <v>1359</v>
      </c>
      <c r="E528" s="12" t="n">
        <v>9948.19</v>
      </c>
      <c r="F528" s="10" t="s">
        <v>40</v>
      </c>
      <c r="G528" s="9" t="n">
        <f aca="false">VALUE(LEFT(TEXT(E528,"0.00"),1))</f>
        <v>9</v>
      </c>
      <c r="H528" s="0" t="str">
        <f aca="false">UPPER(SUBSTITUTE(SUBSTITUTE(SUBSTITUTE(D528," ",""),"/",""),".",""))</f>
        <v>INV32015</v>
      </c>
      <c r="I528" s="9" t="n">
        <f aca="false">IF(COUNTIFS($C$5:C528,C528,$H$5:H528,H528,$E$5:E528,E528)&gt;1,1,0)</f>
        <v>0</v>
      </c>
      <c r="J528" s="9" t="n">
        <f aca="false">IF(AND(I528=0,COUNTIFS($C$5:$C$634,C528,$E$5:$E$634,E528,$B$5:$B$634,"&gt;="&amp;(B528-Parameters!$B$12),$B$5:$B$634,"&lt;="&amp;(B528+Parameters!$B$12),$H$5:$H$634,"&lt;&gt;"&amp;H528)&gt;0),1,0)</f>
        <v>0</v>
      </c>
      <c r="K528" s="9" t="n">
        <f aca="false">IF(AND(E528&gt;=Parameters!$B$11,ROUND(MOD(ROUND(E528,2),Parameters!$B$10),2)=0),1,0)</f>
        <v>0</v>
      </c>
      <c r="L528" s="9" t="n">
        <f aca="false">IF(AND(E528&lt;Parameters!$B$7,E528&gt;=Parameters!$B$7*(1-Parameters!$B$9)),1,0)</f>
        <v>0</v>
      </c>
      <c r="M528" s="9" t="n">
        <f aca="false">IF(AND(E528&lt;Parameters!$B$7,COUNTIFS($C$5:$C$634,C528,$B$5:$B$634,B528)&gt;1,SUMIFS($E$5:$E$634,$C$5:$C$634,C528,$B$5:$B$634,B528)&gt;=Parameters!$B$7),1,0)</f>
        <v>0</v>
      </c>
      <c r="N528" s="9" t="n">
        <f aca="false">IF(AND(E528&gt;=Parameters!$B$7,F528&lt;&gt;Parameters!$B$8),1,0)</f>
        <v>0</v>
      </c>
      <c r="O528" s="9" t="n">
        <f aca="false">INDEX(Vendor_Benford!$N$6:$N$50,MATCH(C528,Vendor_Benford!$A$6:$A$50,0))</f>
        <v>0</v>
      </c>
      <c r="P528" s="9" t="n">
        <f aca="false">INDEX(Vendor_Benford!$M$6:$M$50,MATCH(C528,Vendor_Benford!$A$6:$A$50,0))</f>
        <v>0</v>
      </c>
      <c r="Q528" s="9" t="n">
        <f aca="false">I528*Parameters!$B$28+J528*Parameters!$B$29+K528*Parameters!$B$30+L528*Parameters!$B$31+M528*Parameters!$B$32+N528*Parameters!$B$33+O528*Parameters!$B$34+P528*Parameters!$B$35</f>
        <v>0</v>
      </c>
      <c r="R528" s="0" t="str">
        <f aca="false">IF(Q528&gt;=Parameters!$B$24,"High","")</f>
        <v/>
      </c>
    </row>
    <row r="529" customFormat="false" ht="15" hidden="false" customHeight="false" outlineLevel="0" collapsed="false">
      <c r="A529" s="10" t="s">
        <v>1360</v>
      </c>
      <c r="B529" s="8" t="n">
        <v>45966</v>
      </c>
      <c r="C529" s="10" t="s">
        <v>203</v>
      </c>
      <c r="D529" s="10" t="s">
        <v>1361</v>
      </c>
      <c r="E529" s="12" t="n">
        <v>730.66</v>
      </c>
      <c r="F529" s="10" t="s">
        <v>40</v>
      </c>
      <c r="G529" s="9" t="n">
        <f aca="false">VALUE(LEFT(TEXT(E529,"0.00"),1))</f>
        <v>7</v>
      </c>
      <c r="H529" s="0" t="str">
        <f aca="false">UPPER(SUBSTITUTE(SUBSTITUTE(SUBSTITUTE(D529," ",""),"/",""),".",""))</f>
        <v>INV32003</v>
      </c>
      <c r="I529" s="9" t="n">
        <f aca="false">IF(COUNTIFS($C$5:C529,C529,$H$5:H529,H529,$E$5:E529,E529)&gt;1,1,0)</f>
        <v>0</v>
      </c>
      <c r="J529" s="9" t="n">
        <f aca="false">IF(AND(I529=0,COUNTIFS($C$5:$C$634,C529,$E$5:$E$634,E529,$B$5:$B$634,"&gt;="&amp;(B529-Parameters!$B$12),$B$5:$B$634,"&lt;="&amp;(B529+Parameters!$B$12),$H$5:$H$634,"&lt;&gt;"&amp;H529)&gt;0),1,0)</f>
        <v>0</v>
      </c>
      <c r="K529" s="9" t="n">
        <f aca="false">IF(AND(E529&gt;=Parameters!$B$11,ROUND(MOD(ROUND(E529,2),Parameters!$B$10),2)=0),1,0)</f>
        <v>0</v>
      </c>
      <c r="L529" s="9" t="n">
        <f aca="false">IF(AND(E529&lt;Parameters!$B$7,E529&gt;=Parameters!$B$7*(1-Parameters!$B$9)),1,0)</f>
        <v>0</v>
      </c>
      <c r="M529" s="9" t="n">
        <f aca="false">IF(AND(E529&lt;Parameters!$B$7,COUNTIFS($C$5:$C$634,C529,$B$5:$B$634,B529)&gt;1,SUMIFS($E$5:$E$634,$C$5:$C$634,C529,$B$5:$B$634,B529)&gt;=Parameters!$B$7),1,0)</f>
        <v>0</v>
      </c>
      <c r="N529" s="9" t="n">
        <f aca="false">IF(AND(E529&gt;=Parameters!$B$7,F529&lt;&gt;Parameters!$B$8),1,0)</f>
        <v>0</v>
      </c>
      <c r="O529" s="9" t="n">
        <f aca="false">INDEX(Vendor_Benford!$N$6:$N$50,MATCH(C529,Vendor_Benford!$A$6:$A$50,0))</f>
        <v>0</v>
      </c>
      <c r="P529" s="9" t="n">
        <f aca="false">INDEX(Vendor_Benford!$M$6:$M$50,MATCH(C529,Vendor_Benford!$A$6:$A$50,0))</f>
        <v>0</v>
      </c>
      <c r="Q529" s="9" t="n">
        <f aca="false">I529*Parameters!$B$28+J529*Parameters!$B$29+K529*Parameters!$B$30+L529*Parameters!$B$31+M529*Parameters!$B$32+N529*Parameters!$B$33+O529*Parameters!$B$34+P529*Parameters!$B$35</f>
        <v>0</v>
      </c>
      <c r="R529" s="0" t="str">
        <f aca="false">IF(Q529&gt;=Parameters!$B$24,"High","")</f>
        <v/>
      </c>
    </row>
    <row r="530" customFormat="false" ht="15" hidden="false" customHeight="false" outlineLevel="0" collapsed="false">
      <c r="A530" s="10" t="s">
        <v>1362</v>
      </c>
      <c r="B530" s="8" t="n">
        <v>45966</v>
      </c>
      <c r="C530" s="10" t="s">
        <v>227</v>
      </c>
      <c r="D530" s="10" t="s">
        <v>1363</v>
      </c>
      <c r="E530" s="12" t="n">
        <v>100.91</v>
      </c>
      <c r="F530" s="10" t="s">
        <v>347</v>
      </c>
      <c r="G530" s="9" t="n">
        <f aca="false">VALUE(LEFT(TEXT(E530,"0.00"),1))</f>
        <v>1</v>
      </c>
      <c r="H530" s="0" t="str">
        <f aca="false">UPPER(SUBSTITUTE(SUBSTITUTE(SUBSTITUTE(D530," ",""),"/",""),".",""))</f>
        <v>INV40002</v>
      </c>
      <c r="I530" s="9" t="n">
        <f aca="false">IF(COUNTIFS($C$5:C530,C530,$H$5:H530,H530,$E$5:E530,E530)&gt;1,1,0)</f>
        <v>0</v>
      </c>
      <c r="J530" s="9" t="n">
        <f aca="false">IF(AND(I530=0,COUNTIFS($C$5:$C$634,C530,$E$5:$E$634,E530,$B$5:$B$634,"&gt;="&amp;(B530-Parameters!$B$12),$B$5:$B$634,"&lt;="&amp;(B530+Parameters!$B$12),$H$5:$H$634,"&lt;&gt;"&amp;H530)&gt;0),1,0)</f>
        <v>0</v>
      </c>
      <c r="K530" s="9" t="n">
        <f aca="false">IF(AND(E530&gt;=Parameters!$B$11,ROUND(MOD(ROUND(E530,2),Parameters!$B$10),2)=0),1,0)</f>
        <v>0</v>
      </c>
      <c r="L530" s="9" t="n">
        <f aca="false">IF(AND(E530&lt;Parameters!$B$7,E530&gt;=Parameters!$B$7*(1-Parameters!$B$9)),1,0)</f>
        <v>0</v>
      </c>
      <c r="M530" s="9" t="n">
        <f aca="false">IF(AND(E530&lt;Parameters!$B$7,COUNTIFS($C$5:$C$634,C530,$B$5:$B$634,B530)&gt;1,SUMIFS($E$5:$E$634,$C$5:$C$634,C530,$B$5:$B$634,B530)&gt;=Parameters!$B$7),1,0)</f>
        <v>0</v>
      </c>
      <c r="N530" s="9" t="n">
        <f aca="false">IF(AND(E530&gt;=Parameters!$B$7,F530&lt;&gt;Parameters!$B$8),1,0)</f>
        <v>0</v>
      </c>
      <c r="O530" s="9" t="n">
        <f aca="false">INDEX(Vendor_Benford!$N$6:$N$50,MATCH(C530,Vendor_Benford!$A$6:$A$50,0))</f>
        <v>0</v>
      </c>
      <c r="P530" s="9" t="n">
        <f aca="false">INDEX(Vendor_Benford!$M$6:$M$50,MATCH(C530,Vendor_Benford!$A$6:$A$50,0))</f>
        <v>0</v>
      </c>
      <c r="Q530" s="9" t="n">
        <f aca="false">I530*Parameters!$B$28+J530*Parameters!$B$29+K530*Parameters!$B$30+L530*Parameters!$B$31+M530*Parameters!$B$32+N530*Parameters!$B$33+O530*Parameters!$B$34+P530*Parameters!$B$35</f>
        <v>0</v>
      </c>
      <c r="R530" s="0" t="str">
        <f aca="false">IF(Q530&gt;=Parameters!$B$24,"High","")</f>
        <v/>
      </c>
    </row>
    <row r="531" customFormat="false" ht="15" hidden="false" customHeight="false" outlineLevel="0" collapsed="false">
      <c r="A531" s="10" t="s">
        <v>1364</v>
      </c>
      <c r="B531" s="8" t="n">
        <v>45967</v>
      </c>
      <c r="C531" s="10" t="s">
        <v>110</v>
      </c>
      <c r="D531" s="10" t="s">
        <v>1365</v>
      </c>
      <c r="E531" s="12" t="n">
        <v>85000</v>
      </c>
      <c r="F531" s="10" t="s">
        <v>40</v>
      </c>
      <c r="G531" s="9" t="n">
        <f aca="false">VALUE(LEFT(TEXT(E531,"0.00"),1))</f>
        <v>8</v>
      </c>
      <c r="H531" s="0" t="str">
        <f aca="false">UPPER(SUBSTITUTE(SUBSTITUTE(SUBSTITUTE(D531," ",""),"/",""),".",""))</f>
        <v>RENT2511</v>
      </c>
      <c r="I531" s="9" t="n">
        <f aca="false">IF(COUNTIFS($C$5:C531,C531,$H$5:H531,H531,$E$5:E531,E531)&gt;1,1,0)</f>
        <v>0</v>
      </c>
      <c r="J531" s="9" t="n">
        <f aca="false">IF(AND(I531=0,COUNTIFS($C$5:$C$634,C531,$E$5:$E$634,E531,$B$5:$B$634,"&gt;="&amp;(B531-Parameters!$B$12),$B$5:$B$634,"&lt;="&amp;(B531+Parameters!$B$12),$H$5:$H$634,"&lt;&gt;"&amp;H531)&gt;0),1,0)</f>
        <v>1</v>
      </c>
      <c r="K531" s="9" t="n">
        <f aca="false">IF(AND(E531&gt;=Parameters!$B$11,ROUND(MOD(ROUND(E531,2),Parameters!$B$10),2)=0),1,0)</f>
        <v>1</v>
      </c>
      <c r="L531" s="9" t="n">
        <f aca="false">IF(AND(E531&lt;Parameters!$B$7,E531&gt;=Parameters!$B$7*(1-Parameters!$B$9)),1,0)</f>
        <v>0</v>
      </c>
      <c r="M531" s="9" t="n">
        <f aca="false">IF(AND(E531&lt;Parameters!$B$7,COUNTIFS($C$5:$C$634,C531,$B$5:$B$634,B531)&gt;1,SUMIFS($E$5:$E$634,$C$5:$C$634,C531,$B$5:$B$634,B531)&gt;=Parameters!$B$7),1,0)</f>
        <v>0</v>
      </c>
      <c r="N531" s="9" t="n">
        <f aca="false">IF(AND(E531&gt;=Parameters!$B$7,F531&lt;&gt;Parameters!$B$8),1,0)</f>
        <v>0</v>
      </c>
      <c r="O531" s="9" t="n">
        <f aca="false">INDEX(Vendor_Benford!$N$6:$N$50,MATCH(C531,Vendor_Benford!$A$6:$A$50,0))</f>
        <v>0</v>
      </c>
      <c r="P531" s="9" t="n">
        <f aca="false">INDEX(Vendor_Benford!$M$6:$M$50,MATCH(C531,Vendor_Benford!$A$6:$A$50,0))</f>
        <v>0</v>
      </c>
      <c r="Q531" s="9" t="n">
        <f aca="false">I531*Parameters!$B$28+J531*Parameters!$B$29+K531*Parameters!$B$30+L531*Parameters!$B$31+M531*Parameters!$B$32+N531*Parameters!$B$33+O531*Parameters!$B$34+P531*Parameters!$B$35</f>
        <v>5</v>
      </c>
      <c r="R531" s="0" t="str">
        <f aca="false">IF(Q531&gt;=Parameters!$B$24,"High","")</f>
        <v>High</v>
      </c>
    </row>
    <row r="532" customFormat="false" ht="15" hidden="false" customHeight="false" outlineLevel="0" collapsed="false">
      <c r="A532" s="10" t="s">
        <v>1366</v>
      </c>
      <c r="B532" s="8" t="n">
        <v>45967</v>
      </c>
      <c r="C532" s="10" t="s">
        <v>116</v>
      </c>
      <c r="D532" s="10" t="s">
        <v>1367</v>
      </c>
      <c r="E532" s="12" t="n">
        <v>18036.96</v>
      </c>
      <c r="F532" s="10" t="s">
        <v>40</v>
      </c>
      <c r="G532" s="9" t="n">
        <f aca="false">VALUE(LEFT(TEXT(E532,"0.00"),1))</f>
        <v>1</v>
      </c>
      <c r="H532" s="0" t="str">
        <f aca="false">UPPER(SUBSTITUTE(SUBSTITUTE(SUBSTITUTE(D532," ",""),"/",""),".",""))</f>
        <v>INV3004</v>
      </c>
      <c r="I532" s="9" t="n">
        <f aca="false">IF(COUNTIFS($C$5:C532,C532,$H$5:H532,H532,$E$5:E532,E532)&gt;1,1,0)</f>
        <v>0</v>
      </c>
      <c r="J532" s="9" t="n">
        <f aca="false">IF(AND(I532=0,COUNTIFS($C$5:$C$634,C532,$E$5:$E$634,E532,$B$5:$B$634,"&gt;="&amp;(B532-Parameters!$B$12),$B$5:$B$634,"&lt;="&amp;(B532+Parameters!$B$12),$H$5:$H$634,"&lt;&gt;"&amp;H532)&gt;0),1,0)</f>
        <v>0</v>
      </c>
      <c r="K532" s="9" t="n">
        <f aca="false">IF(AND(E532&gt;=Parameters!$B$11,ROUND(MOD(ROUND(E532,2),Parameters!$B$10),2)=0),1,0)</f>
        <v>0</v>
      </c>
      <c r="L532" s="9" t="n">
        <f aca="false">IF(AND(E532&lt;Parameters!$B$7,E532&gt;=Parameters!$B$7*(1-Parameters!$B$9)),1,0)</f>
        <v>0</v>
      </c>
      <c r="M532" s="9" t="n">
        <f aca="false">IF(AND(E532&lt;Parameters!$B$7,COUNTIFS($C$5:$C$634,C532,$B$5:$B$634,B532)&gt;1,SUMIFS($E$5:$E$634,$C$5:$C$634,C532,$B$5:$B$634,B532)&gt;=Parameters!$B$7),1,0)</f>
        <v>0</v>
      </c>
      <c r="N532" s="9" t="n">
        <f aca="false">IF(AND(E532&gt;=Parameters!$B$7,F532&lt;&gt;Parameters!$B$8),1,0)</f>
        <v>0</v>
      </c>
      <c r="O532" s="9" t="n">
        <f aca="false">INDEX(Vendor_Benford!$N$6:$N$50,MATCH(C532,Vendor_Benford!$A$6:$A$50,0))</f>
        <v>0</v>
      </c>
      <c r="P532" s="9" t="n">
        <f aca="false">INDEX(Vendor_Benford!$M$6:$M$50,MATCH(C532,Vendor_Benford!$A$6:$A$50,0))</f>
        <v>0</v>
      </c>
      <c r="Q532" s="9" t="n">
        <f aca="false">I532*Parameters!$B$28+J532*Parameters!$B$29+K532*Parameters!$B$30+L532*Parameters!$B$31+M532*Parameters!$B$32+N532*Parameters!$B$33+O532*Parameters!$B$34+P532*Parameters!$B$35</f>
        <v>0</v>
      </c>
      <c r="R532" s="0" t="str">
        <f aca="false">IF(Q532&gt;=Parameters!$B$24,"High","")</f>
        <v/>
      </c>
    </row>
    <row r="533" customFormat="false" ht="15" hidden="false" customHeight="false" outlineLevel="0" collapsed="false">
      <c r="A533" s="10" t="s">
        <v>1368</v>
      </c>
      <c r="B533" s="8" t="n">
        <v>45967</v>
      </c>
      <c r="C533" s="10" t="s">
        <v>206</v>
      </c>
      <c r="D533" s="10" t="s">
        <v>1369</v>
      </c>
      <c r="E533" s="12" t="n">
        <v>4700.75</v>
      </c>
      <c r="F533" s="10" t="s">
        <v>40</v>
      </c>
      <c r="G533" s="9" t="n">
        <f aca="false">VALUE(LEFT(TEXT(E533,"0.00"),1))</f>
        <v>4</v>
      </c>
      <c r="H533" s="0" t="str">
        <f aca="false">UPPER(SUBSTITUTE(SUBSTITUTE(SUBSTITUTE(D533," ",""),"/",""),".",""))</f>
        <v>INV33008</v>
      </c>
      <c r="I533" s="9" t="n">
        <f aca="false">IF(COUNTIFS($C$5:C533,C533,$H$5:H533,H533,$E$5:E533,E533)&gt;1,1,0)</f>
        <v>0</v>
      </c>
      <c r="J533" s="9" t="n">
        <f aca="false">IF(AND(I533=0,COUNTIFS($C$5:$C$634,C533,$E$5:$E$634,E533,$B$5:$B$634,"&gt;="&amp;(B533-Parameters!$B$12),$B$5:$B$634,"&lt;="&amp;(B533+Parameters!$B$12),$H$5:$H$634,"&lt;&gt;"&amp;H533)&gt;0),1,0)</f>
        <v>0</v>
      </c>
      <c r="K533" s="9" t="n">
        <f aca="false">IF(AND(E533&gt;=Parameters!$B$11,ROUND(MOD(ROUND(E533,2),Parameters!$B$10),2)=0),1,0)</f>
        <v>0</v>
      </c>
      <c r="L533" s="9" t="n">
        <f aca="false">IF(AND(E533&lt;Parameters!$B$7,E533&gt;=Parameters!$B$7*(1-Parameters!$B$9)),1,0)</f>
        <v>0</v>
      </c>
      <c r="M533" s="9" t="n">
        <f aca="false">IF(AND(E533&lt;Parameters!$B$7,COUNTIFS($C$5:$C$634,C533,$B$5:$B$634,B533)&gt;1,SUMIFS($E$5:$E$634,$C$5:$C$634,C533,$B$5:$B$634,B533)&gt;=Parameters!$B$7),1,0)</f>
        <v>0</v>
      </c>
      <c r="N533" s="9" t="n">
        <f aca="false">IF(AND(E533&gt;=Parameters!$B$7,F533&lt;&gt;Parameters!$B$8),1,0)</f>
        <v>0</v>
      </c>
      <c r="O533" s="9" t="n">
        <f aca="false">INDEX(Vendor_Benford!$N$6:$N$50,MATCH(C533,Vendor_Benford!$A$6:$A$50,0))</f>
        <v>0</v>
      </c>
      <c r="P533" s="9" t="n">
        <f aca="false">INDEX(Vendor_Benford!$M$6:$M$50,MATCH(C533,Vendor_Benford!$A$6:$A$50,0))</f>
        <v>0</v>
      </c>
      <c r="Q533" s="9" t="n">
        <f aca="false">I533*Parameters!$B$28+J533*Parameters!$B$29+K533*Parameters!$B$30+L533*Parameters!$B$31+M533*Parameters!$B$32+N533*Parameters!$B$33+O533*Parameters!$B$34+P533*Parameters!$B$35</f>
        <v>0</v>
      </c>
      <c r="R533" s="0" t="str">
        <f aca="false">IF(Q533&gt;=Parameters!$B$24,"High","")</f>
        <v/>
      </c>
    </row>
    <row r="534" customFormat="false" ht="15" hidden="false" customHeight="false" outlineLevel="0" collapsed="false">
      <c r="A534" s="10" t="s">
        <v>1370</v>
      </c>
      <c r="B534" s="8" t="n">
        <v>45967</v>
      </c>
      <c r="C534" s="10" t="s">
        <v>224</v>
      </c>
      <c r="D534" s="10" t="s">
        <v>1371</v>
      </c>
      <c r="E534" s="12" t="n">
        <v>2307.31</v>
      </c>
      <c r="F534" s="10" t="s">
        <v>40</v>
      </c>
      <c r="G534" s="9" t="n">
        <f aca="false">VALUE(LEFT(TEXT(E534,"0.00"),1))</f>
        <v>2</v>
      </c>
      <c r="H534" s="0" t="str">
        <f aca="false">UPPER(SUBSTITUTE(SUBSTITUTE(SUBSTITUTE(D534," ",""),"/",""),".",""))</f>
        <v>INV39017</v>
      </c>
      <c r="I534" s="9" t="n">
        <f aca="false">IF(COUNTIFS($C$5:C534,C534,$H$5:H534,H534,$E$5:E534,E534)&gt;1,1,0)</f>
        <v>0</v>
      </c>
      <c r="J534" s="9" t="n">
        <f aca="false">IF(AND(I534=0,COUNTIFS($C$5:$C$634,C534,$E$5:$E$634,E534,$B$5:$B$634,"&gt;="&amp;(B534-Parameters!$B$12),$B$5:$B$634,"&lt;="&amp;(B534+Parameters!$B$12),$H$5:$H$634,"&lt;&gt;"&amp;H534)&gt;0),1,0)</f>
        <v>0</v>
      </c>
      <c r="K534" s="9" t="n">
        <f aca="false">IF(AND(E534&gt;=Parameters!$B$11,ROUND(MOD(ROUND(E534,2),Parameters!$B$10),2)=0),1,0)</f>
        <v>0</v>
      </c>
      <c r="L534" s="9" t="n">
        <f aca="false">IF(AND(E534&lt;Parameters!$B$7,E534&gt;=Parameters!$B$7*(1-Parameters!$B$9)),1,0)</f>
        <v>0</v>
      </c>
      <c r="M534" s="9" t="n">
        <f aca="false">IF(AND(E534&lt;Parameters!$B$7,COUNTIFS($C$5:$C$634,C534,$B$5:$B$634,B534)&gt;1,SUMIFS($E$5:$E$634,$C$5:$C$634,C534,$B$5:$B$634,B534)&gt;=Parameters!$B$7),1,0)</f>
        <v>0</v>
      </c>
      <c r="N534" s="9" t="n">
        <f aca="false">IF(AND(E534&gt;=Parameters!$B$7,F534&lt;&gt;Parameters!$B$8),1,0)</f>
        <v>0</v>
      </c>
      <c r="O534" s="9" t="n">
        <f aca="false">INDEX(Vendor_Benford!$N$6:$N$50,MATCH(C534,Vendor_Benford!$A$6:$A$50,0))</f>
        <v>0</v>
      </c>
      <c r="P534" s="9" t="n">
        <f aca="false">INDEX(Vendor_Benford!$M$6:$M$50,MATCH(C534,Vendor_Benford!$A$6:$A$50,0))</f>
        <v>0</v>
      </c>
      <c r="Q534" s="9" t="n">
        <f aca="false">I534*Parameters!$B$28+J534*Parameters!$B$29+K534*Parameters!$B$30+L534*Parameters!$B$31+M534*Parameters!$B$32+N534*Parameters!$B$33+O534*Parameters!$B$34+P534*Parameters!$B$35</f>
        <v>0</v>
      </c>
      <c r="R534" s="0" t="str">
        <f aca="false">IF(Q534&gt;=Parameters!$B$24,"High","")</f>
        <v/>
      </c>
    </row>
    <row r="535" customFormat="false" ht="15" hidden="false" customHeight="false" outlineLevel="0" collapsed="false">
      <c r="A535" s="10" t="s">
        <v>1372</v>
      </c>
      <c r="B535" s="8" t="n">
        <v>45968</v>
      </c>
      <c r="C535" s="10" t="s">
        <v>119</v>
      </c>
      <c r="D535" s="10" t="s">
        <v>1373</v>
      </c>
      <c r="E535" s="12" t="n">
        <v>815.41</v>
      </c>
      <c r="F535" s="10" t="s">
        <v>347</v>
      </c>
      <c r="G535" s="9" t="n">
        <f aca="false">VALUE(LEFT(TEXT(E535,"0.00"),1))</f>
        <v>8</v>
      </c>
      <c r="H535" s="0" t="str">
        <f aca="false">UPPER(SUBSTITUTE(SUBSTITUTE(SUBSTITUTE(D535," ",""),"/",""),".",""))</f>
        <v>INV4003</v>
      </c>
      <c r="I535" s="9" t="n">
        <f aca="false">IF(COUNTIFS($C$5:C535,C535,$H$5:H535,H535,$E$5:E535,E535)&gt;1,1,0)</f>
        <v>0</v>
      </c>
      <c r="J535" s="9" t="n">
        <f aca="false">IF(AND(I535=0,COUNTIFS($C$5:$C$634,C535,$E$5:$E$634,E535,$B$5:$B$634,"&gt;="&amp;(B535-Parameters!$B$12),$B$5:$B$634,"&lt;="&amp;(B535+Parameters!$B$12),$H$5:$H$634,"&lt;&gt;"&amp;H535)&gt;0),1,0)</f>
        <v>0</v>
      </c>
      <c r="K535" s="9" t="n">
        <f aca="false">IF(AND(E535&gt;=Parameters!$B$11,ROUND(MOD(ROUND(E535,2),Parameters!$B$10),2)=0),1,0)</f>
        <v>0</v>
      </c>
      <c r="L535" s="9" t="n">
        <f aca="false">IF(AND(E535&lt;Parameters!$B$7,E535&gt;=Parameters!$B$7*(1-Parameters!$B$9)),1,0)</f>
        <v>0</v>
      </c>
      <c r="M535" s="9" t="n">
        <f aca="false">IF(AND(E535&lt;Parameters!$B$7,COUNTIFS($C$5:$C$634,C535,$B$5:$B$634,B535)&gt;1,SUMIFS($E$5:$E$634,$C$5:$C$634,C535,$B$5:$B$634,B535)&gt;=Parameters!$B$7),1,0)</f>
        <v>0</v>
      </c>
      <c r="N535" s="9" t="n">
        <f aca="false">IF(AND(E535&gt;=Parameters!$B$7,F535&lt;&gt;Parameters!$B$8),1,0)</f>
        <v>0</v>
      </c>
      <c r="O535" s="9" t="n">
        <f aca="false">INDEX(Vendor_Benford!$N$6:$N$50,MATCH(C535,Vendor_Benford!$A$6:$A$50,0))</f>
        <v>0</v>
      </c>
      <c r="P535" s="9" t="n">
        <f aca="false">INDEX(Vendor_Benford!$M$6:$M$50,MATCH(C535,Vendor_Benford!$A$6:$A$50,0))</f>
        <v>0</v>
      </c>
      <c r="Q535" s="9" t="n">
        <f aca="false">I535*Parameters!$B$28+J535*Parameters!$B$29+K535*Parameters!$B$30+L535*Parameters!$B$31+M535*Parameters!$B$32+N535*Parameters!$B$33+O535*Parameters!$B$34+P535*Parameters!$B$35</f>
        <v>0</v>
      </c>
      <c r="R535" s="0" t="str">
        <f aca="false">IF(Q535&gt;=Parameters!$B$24,"High","")</f>
        <v/>
      </c>
    </row>
    <row r="536" customFormat="false" ht="15" hidden="false" customHeight="false" outlineLevel="0" collapsed="false">
      <c r="A536" s="10" t="s">
        <v>1374</v>
      </c>
      <c r="B536" s="8" t="n">
        <v>45968</v>
      </c>
      <c r="C536" s="10" t="s">
        <v>128</v>
      </c>
      <c r="D536" s="10" t="s">
        <v>1375</v>
      </c>
      <c r="E536" s="12" t="n">
        <v>146.79</v>
      </c>
      <c r="F536" s="10" t="s">
        <v>40</v>
      </c>
      <c r="G536" s="9" t="n">
        <f aca="false">VALUE(LEFT(TEXT(E536,"0.00"),1))</f>
        <v>1</v>
      </c>
      <c r="H536" s="0" t="str">
        <f aca="false">UPPER(SUBSTITUTE(SUBSTITUTE(SUBSTITUTE(D536," ",""),"/",""),".",""))</f>
        <v>INV7010</v>
      </c>
      <c r="I536" s="9" t="n">
        <f aca="false">IF(COUNTIFS($C$5:C536,C536,$H$5:H536,H536,$E$5:E536,E536)&gt;1,1,0)</f>
        <v>0</v>
      </c>
      <c r="J536" s="9" t="n">
        <f aca="false">IF(AND(I536=0,COUNTIFS($C$5:$C$634,C536,$E$5:$E$634,E536,$B$5:$B$634,"&gt;="&amp;(B536-Parameters!$B$12),$B$5:$B$634,"&lt;="&amp;(B536+Parameters!$B$12),$H$5:$H$634,"&lt;&gt;"&amp;H536)&gt;0),1,0)</f>
        <v>0</v>
      </c>
      <c r="K536" s="9" t="n">
        <f aca="false">IF(AND(E536&gt;=Parameters!$B$11,ROUND(MOD(ROUND(E536,2),Parameters!$B$10),2)=0),1,0)</f>
        <v>0</v>
      </c>
      <c r="L536" s="9" t="n">
        <f aca="false">IF(AND(E536&lt;Parameters!$B$7,E536&gt;=Parameters!$B$7*(1-Parameters!$B$9)),1,0)</f>
        <v>0</v>
      </c>
      <c r="M536" s="9" t="n">
        <f aca="false">IF(AND(E536&lt;Parameters!$B$7,COUNTIFS($C$5:$C$634,C536,$B$5:$B$634,B536)&gt;1,SUMIFS($E$5:$E$634,$C$5:$C$634,C536,$B$5:$B$634,B536)&gt;=Parameters!$B$7),1,0)</f>
        <v>0</v>
      </c>
      <c r="N536" s="9" t="n">
        <f aca="false">IF(AND(E536&gt;=Parameters!$B$7,F536&lt;&gt;Parameters!$B$8),1,0)</f>
        <v>0</v>
      </c>
      <c r="O536" s="9" t="n">
        <f aca="false">INDEX(Vendor_Benford!$N$6:$N$50,MATCH(C536,Vendor_Benford!$A$6:$A$50,0))</f>
        <v>0</v>
      </c>
      <c r="P536" s="9" t="n">
        <f aca="false">INDEX(Vendor_Benford!$M$6:$M$50,MATCH(C536,Vendor_Benford!$A$6:$A$50,0))</f>
        <v>0</v>
      </c>
      <c r="Q536" s="9" t="n">
        <f aca="false">I536*Parameters!$B$28+J536*Parameters!$B$29+K536*Parameters!$B$30+L536*Parameters!$B$31+M536*Parameters!$B$32+N536*Parameters!$B$33+O536*Parameters!$B$34+P536*Parameters!$B$35</f>
        <v>0</v>
      </c>
      <c r="R536" s="0" t="str">
        <f aca="false">IF(Q536&gt;=Parameters!$B$24,"High","")</f>
        <v/>
      </c>
    </row>
    <row r="537" customFormat="false" ht="15" hidden="false" customHeight="false" outlineLevel="0" collapsed="false">
      <c r="A537" s="10" t="s">
        <v>1376</v>
      </c>
      <c r="B537" s="8" t="n">
        <v>45968</v>
      </c>
      <c r="C537" s="10" t="s">
        <v>227</v>
      </c>
      <c r="D537" s="10" t="s">
        <v>1377</v>
      </c>
      <c r="E537" s="12" t="n">
        <v>42000</v>
      </c>
      <c r="F537" s="10" t="s">
        <v>40</v>
      </c>
      <c r="G537" s="9" t="n">
        <f aca="false">VALUE(LEFT(TEXT(E537,"0.00"),1))</f>
        <v>4</v>
      </c>
      <c r="H537" s="0" t="str">
        <f aca="false">UPPER(SUBSTITUTE(SUBSTITUTE(SUBSTITUTE(D537," ",""),"/",""),".",""))</f>
        <v>INV40007</v>
      </c>
      <c r="I537" s="9" t="n">
        <f aca="false">IF(COUNTIFS($C$5:C537,C537,$H$5:H537,H537,$E$5:E537,E537)&gt;1,1,0)</f>
        <v>0</v>
      </c>
      <c r="J537" s="9" t="n">
        <f aca="false">IF(AND(I537=0,COUNTIFS($C$5:$C$634,C537,$E$5:$E$634,E537,$B$5:$B$634,"&gt;="&amp;(B537-Parameters!$B$12),$B$5:$B$634,"&lt;="&amp;(B537+Parameters!$B$12),$H$5:$H$634,"&lt;&gt;"&amp;H537)&gt;0),1,0)</f>
        <v>0</v>
      </c>
      <c r="K537" s="9" t="n">
        <f aca="false">IF(AND(E537&gt;=Parameters!$B$11,ROUND(MOD(ROUND(E537,2),Parameters!$B$10),2)=0),1,0)</f>
        <v>1</v>
      </c>
      <c r="L537" s="9" t="n">
        <f aca="false">IF(AND(E537&lt;Parameters!$B$7,E537&gt;=Parameters!$B$7*(1-Parameters!$B$9)),1,0)</f>
        <v>0</v>
      </c>
      <c r="M537" s="9" t="n">
        <f aca="false">IF(AND(E537&lt;Parameters!$B$7,COUNTIFS($C$5:$C$634,C537,$B$5:$B$634,B537)&gt;1,SUMIFS($E$5:$E$634,$C$5:$C$634,C537,$B$5:$B$634,B537)&gt;=Parameters!$B$7),1,0)</f>
        <v>0</v>
      </c>
      <c r="N537" s="9" t="n">
        <f aca="false">IF(AND(E537&gt;=Parameters!$B$7,F537&lt;&gt;Parameters!$B$8),1,0)</f>
        <v>0</v>
      </c>
      <c r="O537" s="9" t="n">
        <f aca="false">INDEX(Vendor_Benford!$N$6:$N$50,MATCH(C537,Vendor_Benford!$A$6:$A$50,0))</f>
        <v>0</v>
      </c>
      <c r="P537" s="9" t="n">
        <f aca="false">INDEX(Vendor_Benford!$M$6:$M$50,MATCH(C537,Vendor_Benford!$A$6:$A$50,0))</f>
        <v>0</v>
      </c>
      <c r="Q537" s="9" t="n">
        <f aca="false">I537*Parameters!$B$28+J537*Parameters!$B$29+K537*Parameters!$B$30+L537*Parameters!$B$31+M537*Parameters!$B$32+N537*Parameters!$B$33+O537*Parameters!$B$34+P537*Parameters!$B$35</f>
        <v>2</v>
      </c>
      <c r="R537" s="0" t="str">
        <f aca="false">IF(Q537&gt;=Parameters!$B$24,"High","")</f>
        <v/>
      </c>
    </row>
    <row r="538" customFormat="false" ht="15" hidden="false" customHeight="false" outlineLevel="0" collapsed="false">
      <c r="A538" s="10" t="s">
        <v>1378</v>
      </c>
      <c r="B538" s="8" t="n">
        <v>45968</v>
      </c>
      <c r="C538" s="10" t="s">
        <v>239</v>
      </c>
      <c r="D538" s="10" t="s">
        <v>1379</v>
      </c>
      <c r="E538" s="12" t="n">
        <v>122.64</v>
      </c>
      <c r="F538" s="10" t="s">
        <v>40</v>
      </c>
      <c r="G538" s="9" t="n">
        <f aca="false">VALUE(LEFT(TEXT(E538,"0.00"),1))</f>
        <v>1</v>
      </c>
      <c r="H538" s="0" t="str">
        <f aca="false">UPPER(SUBSTITUTE(SUBSTITUTE(SUBSTITUTE(D538," ",""),"/",""),".",""))</f>
        <v>INV44017</v>
      </c>
      <c r="I538" s="9" t="n">
        <f aca="false">IF(COUNTIFS($C$5:C538,C538,$H$5:H538,H538,$E$5:E538,E538)&gt;1,1,0)</f>
        <v>0</v>
      </c>
      <c r="J538" s="9" t="n">
        <f aca="false">IF(AND(I538=0,COUNTIFS($C$5:$C$634,C538,$E$5:$E$634,E538,$B$5:$B$634,"&gt;="&amp;(B538-Parameters!$B$12),$B$5:$B$634,"&lt;="&amp;(B538+Parameters!$B$12),$H$5:$H$634,"&lt;&gt;"&amp;H538)&gt;0),1,0)</f>
        <v>0</v>
      </c>
      <c r="K538" s="9" t="n">
        <f aca="false">IF(AND(E538&gt;=Parameters!$B$11,ROUND(MOD(ROUND(E538,2),Parameters!$B$10),2)=0),1,0)</f>
        <v>0</v>
      </c>
      <c r="L538" s="9" t="n">
        <f aca="false">IF(AND(E538&lt;Parameters!$B$7,E538&gt;=Parameters!$B$7*(1-Parameters!$B$9)),1,0)</f>
        <v>0</v>
      </c>
      <c r="M538" s="9" t="n">
        <f aca="false">IF(AND(E538&lt;Parameters!$B$7,COUNTIFS($C$5:$C$634,C538,$B$5:$B$634,B538)&gt;1,SUMIFS($E$5:$E$634,$C$5:$C$634,C538,$B$5:$B$634,B538)&gt;=Parameters!$B$7),1,0)</f>
        <v>0</v>
      </c>
      <c r="N538" s="9" t="n">
        <f aca="false">IF(AND(E538&gt;=Parameters!$B$7,F538&lt;&gt;Parameters!$B$8),1,0)</f>
        <v>0</v>
      </c>
      <c r="O538" s="9" t="n">
        <f aca="false">INDEX(Vendor_Benford!$N$6:$N$50,MATCH(C538,Vendor_Benford!$A$6:$A$50,0))</f>
        <v>0</v>
      </c>
      <c r="P538" s="9" t="n">
        <f aca="false">INDEX(Vendor_Benford!$M$6:$M$50,MATCH(C538,Vendor_Benford!$A$6:$A$50,0))</f>
        <v>0</v>
      </c>
      <c r="Q538" s="9" t="n">
        <f aca="false">I538*Parameters!$B$28+J538*Parameters!$B$29+K538*Parameters!$B$30+L538*Parameters!$B$31+M538*Parameters!$B$32+N538*Parameters!$B$33+O538*Parameters!$B$34+P538*Parameters!$B$35</f>
        <v>0</v>
      </c>
      <c r="R538" s="0" t="str">
        <f aca="false">IF(Q538&gt;=Parameters!$B$24,"High","")</f>
        <v/>
      </c>
    </row>
    <row r="539" customFormat="false" ht="15" hidden="false" customHeight="false" outlineLevel="0" collapsed="false">
      <c r="A539" s="10" t="s">
        <v>1380</v>
      </c>
      <c r="B539" s="8" t="n">
        <v>45971</v>
      </c>
      <c r="C539" s="10" t="s">
        <v>209</v>
      </c>
      <c r="D539" s="10" t="s">
        <v>1381</v>
      </c>
      <c r="E539" s="12" t="n">
        <v>540.04</v>
      </c>
      <c r="F539" s="10" t="s">
        <v>347</v>
      </c>
      <c r="G539" s="9" t="n">
        <f aca="false">VALUE(LEFT(TEXT(E539,"0.00"),1))</f>
        <v>5</v>
      </c>
      <c r="H539" s="0" t="str">
        <f aca="false">UPPER(SUBSTITUTE(SUBSTITUTE(SUBSTITUTE(D539," ",""),"/",""),".",""))</f>
        <v>INV34006</v>
      </c>
      <c r="I539" s="9" t="n">
        <f aca="false">IF(COUNTIFS($C$5:C539,C539,$H$5:H539,H539,$E$5:E539,E539)&gt;1,1,0)</f>
        <v>0</v>
      </c>
      <c r="J539" s="9" t="n">
        <f aca="false">IF(AND(I539=0,COUNTIFS($C$5:$C$634,C539,$E$5:$E$634,E539,$B$5:$B$634,"&gt;="&amp;(B539-Parameters!$B$12),$B$5:$B$634,"&lt;="&amp;(B539+Parameters!$B$12),$H$5:$H$634,"&lt;&gt;"&amp;H539)&gt;0),1,0)</f>
        <v>0</v>
      </c>
      <c r="K539" s="9" t="n">
        <f aca="false">IF(AND(E539&gt;=Parameters!$B$11,ROUND(MOD(ROUND(E539,2),Parameters!$B$10),2)=0),1,0)</f>
        <v>0</v>
      </c>
      <c r="L539" s="9" t="n">
        <f aca="false">IF(AND(E539&lt;Parameters!$B$7,E539&gt;=Parameters!$B$7*(1-Parameters!$B$9)),1,0)</f>
        <v>0</v>
      </c>
      <c r="M539" s="9" t="n">
        <f aca="false">IF(AND(E539&lt;Parameters!$B$7,COUNTIFS($C$5:$C$634,C539,$B$5:$B$634,B539)&gt;1,SUMIFS($E$5:$E$634,$C$5:$C$634,C539,$B$5:$B$634,B539)&gt;=Parameters!$B$7),1,0)</f>
        <v>0</v>
      </c>
      <c r="N539" s="9" t="n">
        <f aca="false">IF(AND(E539&gt;=Parameters!$B$7,F539&lt;&gt;Parameters!$B$8),1,0)</f>
        <v>0</v>
      </c>
      <c r="O539" s="9" t="n">
        <f aca="false">INDEX(Vendor_Benford!$N$6:$N$50,MATCH(C539,Vendor_Benford!$A$6:$A$50,0))</f>
        <v>0</v>
      </c>
      <c r="P539" s="9" t="n">
        <f aca="false">INDEX(Vendor_Benford!$M$6:$M$50,MATCH(C539,Vendor_Benford!$A$6:$A$50,0))</f>
        <v>0</v>
      </c>
      <c r="Q539" s="9" t="n">
        <f aca="false">I539*Parameters!$B$28+J539*Parameters!$B$29+K539*Parameters!$B$30+L539*Parameters!$B$31+M539*Parameters!$B$32+N539*Parameters!$B$33+O539*Parameters!$B$34+P539*Parameters!$B$35</f>
        <v>0</v>
      </c>
      <c r="R539" s="0" t="str">
        <f aca="false">IF(Q539&gt;=Parameters!$B$24,"High","")</f>
        <v/>
      </c>
    </row>
    <row r="540" customFormat="false" ht="15" hidden="false" customHeight="false" outlineLevel="0" collapsed="false">
      <c r="A540" s="10" t="s">
        <v>1382</v>
      </c>
      <c r="B540" s="8" t="n">
        <v>45972</v>
      </c>
      <c r="C540" s="10" t="s">
        <v>161</v>
      </c>
      <c r="D540" s="10" t="s">
        <v>1383</v>
      </c>
      <c r="E540" s="12" t="n">
        <v>6000</v>
      </c>
      <c r="F540" s="10" t="s">
        <v>40</v>
      </c>
      <c r="G540" s="9" t="n">
        <f aca="false">VALUE(LEFT(TEXT(E540,"0.00"),1))</f>
        <v>6</v>
      </c>
      <c r="H540" s="0" t="str">
        <f aca="false">UPPER(SUBSTITUTE(SUBSTITUTE(SUBSTITUTE(D540," ",""),"/",""),".",""))</f>
        <v>INV18022</v>
      </c>
      <c r="I540" s="9" t="n">
        <f aca="false">IF(COUNTIFS($C$5:C540,C540,$H$5:H540,H540,$E$5:E540,E540)&gt;1,1,0)</f>
        <v>0</v>
      </c>
      <c r="J540" s="9" t="n">
        <f aca="false">IF(AND(I540=0,COUNTIFS($C$5:$C$634,C540,$E$5:$E$634,E540,$B$5:$B$634,"&gt;="&amp;(B540-Parameters!$B$12),$B$5:$B$634,"&lt;="&amp;(B540+Parameters!$B$12),$H$5:$H$634,"&lt;&gt;"&amp;H540)&gt;0),1,0)</f>
        <v>0</v>
      </c>
      <c r="K540" s="9" t="n">
        <f aca="false">IF(AND(E540&gt;=Parameters!$B$11,ROUND(MOD(ROUND(E540,2),Parameters!$B$10),2)=0),1,0)</f>
        <v>1</v>
      </c>
      <c r="L540" s="9" t="n">
        <f aca="false">IF(AND(E540&lt;Parameters!$B$7,E540&gt;=Parameters!$B$7*(1-Parameters!$B$9)),1,0)</f>
        <v>0</v>
      </c>
      <c r="M540" s="9" t="n">
        <f aca="false">IF(AND(E540&lt;Parameters!$B$7,COUNTIFS($C$5:$C$634,C540,$B$5:$B$634,B540)&gt;1,SUMIFS($E$5:$E$634,$C$5:$C$634,C540,$B$5:$B$634,B540)&gt;=Parameters!$B$7),1,0)</f>
        <v>0</v>
      </c>
      <c r="N540" s="9" t="n">
        <f aca="false">IF(AND(E540&gt;=Parameters!$B$7,F540&lt;&gt;Parameters!$B$8),1,0)</f>
        <v>0</v>
      </c>
      <c r="O540" s="9" t="n">
        <f aca="false">INDEX(Vendor_Benford!$N$6:$N$50,MATCH(C540,Vendor_Benford!$A$6:$A$50,0))</f>
        <v>0</v>
      </c>
      <c r="P540" s="9" t="n">
        <f aca="false">INDEX(Vendor_Benford!$M$6:$M$50,MATCH(C540,Vendor_Benford!$A$6:$A$50,0))</f>
        <v>0</v>
      </c>
      <c r="Q540" s="9" t="n">
        <f aca="false">I540*Parameters!$B$28+J540*Parameters!$B$29+K540*Parameters!$B$30+L540*Parameters!$B$31+M540*Parameters!$B$32+N540*Parameters!$B$33+O540*Parameters!$B$34+P540*Parameters!$B$35</f>
        <v>2</v>
      </c>
      <c r="R540" s="0" t="str">
        <f aca="false">IF(Q540&gt;=Parameters!$B$24,"High","")</f>
        <v/>
      </c>
    </row>
    <row r="541" customFormat="false" ht="15" hidden="false" customHeight="false" outlineLevel="0" collapsed="false">
      <c r="A541" s="10" t="s">
        <v>1384</v>
      </c>
      <c r="B541" s="8" t="n">
        <v>45973</v>
      </c>
      <c r="C541" s="10" t="s">
        <v>140</v>
      </c>
      <c r="D541" s="10" t="s">
        <v>1385</v>
      </c>
      <c r="E541" s="12" t="n">
        <v>76560.14</v>
      </c>
      <c r="F541" s="10" t="s">
        <v>40</v>
      </c>
      <c r="G541" s="9" t="n">
        <f aca="false">VALUE(LEFT(TEXT(E541,"0.00"),1))</f>
        <v>7</v>
      </c>
      <c r="H541" s="0" t="str">
        <f aca="false">UPPER(SUBSTITUTE(SUBSTITUTE(SUBSTITUTE(D541," ",""),"/",""),".",""))</f>
        <v>INV11002</v>
      </c>
      <c r="I541" s="9" t="n">
        <f aca="false">IF(COUNTIFS($C$5:C541,C541,$H$5:H541,H541,$E$5:E541,E541)&gt;1,1,0)</f>
        <v>0</v>
      </c>
      <c r="J541" s="9" t="n">
        <f aca="false">IF(AND(I541=0,COUNTIFS($C$5:$C$634,C541,$E$5:$E$634,E541,$B$5:$B$634,"&gt;="&amp;(B541-Parameters!$B$12),$B$5:$B$634,"&lt;="&amp;(B541+Parameters!$B$12),$H$5:$H$634,"&lt;&gt;"&amp;H541)&gt;0),1,0)</f>
        <v>0</v>
      </c>
      <c r="K541" s="9" t="n">
        <f aca="false">IF(AND(E541&gt;=Parameters!$B$11,ROUND(MOD(ROUND(E541,2),Parameters!$B$10),2)=0),1,0)</f>
        <v>0</v>
      </c>
      <c r="L541" s="9" t="n">
        <f aca="false">IF(AND(E541&lt;Parameters!$B$7,E541&gt;=Parameters!$B$7*(1-Parameters!$B$9)),1,0)</f>
        <v>0</v>
      </c>
      <c r="M541" s="9" t="n">
        <f aca="false">IF(AND(E541&lt;Parameters!$B$7,COUNTIFS($C$5:$C$634,C541,$B$5:$B$634,B541)&gt;1,SUMIFS($E$5:$E$634,$C$5:$C$634,C541,$B$5:$B$634,B541)&gt;=Parameters!$B$7),1,0)</f>
        <v>0</v>
      </c>
      <c r="N541" s="9" t="n">
        <f aca="false">IF(AND(E541&gt;=Parameters!$B$7,F541&lt;&gt;Parameters!$B$8),1,0)</f>
        <v>0</v>
      </c>
      <c r="O541" s="9" t="n">
        <f aca="false">INDEX(Vendor_Benford!$N$6:$N$50,MATCH(C541,Vendor_Benford!$A$6:$A$50,0))</f>
        <v>0</v>
      </c>
      <c r="P541" s="9" t="n">
        <f aca="false">INDEX(Vendor_Benford!$M$6:$M$50,MATCH(C541,Vendor_Benford!$A$6:$A$50,0))</f>
        <v>0</v>
      </c>
      <c r="Q541" s="9" t="n">
        <f aca="false">I541*Parameters!$B$28+J541*Parameters!$B$29+K541*Parameters!$B$30+L541*Parameters!$B$31+M541*Parameters!$B$32+N541*Parameters!$B$33+O541*Parameters!$B$34+P541*Parameters!$B$35</f>
        <v>0</v>
      </c>
      <c r="R541" s="0" t="str">
        <f aca="false">IF(Q541&gt;=Parameters!$B$24,"High","")</f>
        <v/>
      </c>
    </row>
    <row r="542" customFormat="false" ht="15" hidden="false" customHeight="false" outlineLevel="0" collapsed="false">
      <c r="A542" s="10" t="s">
        <v>1386</v>
      </c>
      <c r="B542" s="8" t="n">
        <v>45973</v>
      </c>
      <c r="C542" s="10" t="s">
        <v>152</v>
      </c>
      <c r="D542" s="10" t="s">
        <v>1387</v>
      </c>
      <c r="E542" s="12" t="n">
        <v>85405.24</v>
      </c>
      <c r="F542" s="10" t="s">
        <v>40</v>
      </c>
      <c r="G542" s="9" t="n">
        <f aca="false">VALUE(LEFT(TEXT(E542,"0.00"),1))</f>
        <v>8</v>
      </c>
      <c r="H542" s="0" t="str">
        <f aca="false">UPPER(SUBSTITUTE(SUBSTITUTE(SUBSTITUTE(D542," ",""),"/",""),".",""))</f>
        <v>INV15009</v>
      </c>
      <c r="I542" s="9" t="n">
        <f aca="false">IF(COUNTIFS($C$5:C542,C542,$H$5:H542,H542,$E$5:E542,E542)&gt;1,1,0)</f>
        <v>0</v>
      </c>
      <c r="J542" s="9" t="n">
        <f aca="false">IF(AND(I542=0,COUNTIFS($C$5:$C$634,C542,$E$5:$E$634,E542,$B$5:$B$634,"&gt;="&amp;(B542-Parameters!$B$12),$B$5:$B$634,"&lt;="&amp;(B542+Parameters!$B$12),$H$5:$H$634,"&lt;&gt;"&amp;H542)&gt;0),1,0)</f>
        <v>0</v>
      </c>
      <c r="K542" s="9" t="n">
        <f aca="false">IF(AND(E542&gt;=Parameters!$B$11,ROUND(MOD(ROUND(E542,2),Parameters!$B$10),2)=0),1,0)</f>
        <v>0</v>
      </c>
      <c r="L542" s="9" t="n">
        <f aca="false">IF(AND(E542&lt;Parameters!$B$7,E542&gt;=Parameters!$B$7*(1-Parameters!$B$9)),1,0)</f>
        <v>0</v>
      </c>
      <c r="M542" s="9" t="n">
        <f aca="false">IF(AND(E542&lt;Parameters!$B$7,COUNTIFS($C$5:$C$634,C542,$B$5:$B$634,B542)&gt;1,SUMIFS($E$5:$E$634,$C$5:$C$634,C542,$B$5:$B$634,B542)&gt;=Parameters!$B$7),1,0)</f>
        <v>0</v>
      </c>
      <c r="N542" s="9" t="n">
        <f aca="false">IF(AND(E542&gt;=Parameters!$B$7,F542&lt;&gt;Parameters!$B$8),1,0)</f>
        <v>0</v>
      </c>
      <c r="O542" s="9" t="n">
        <f aca="false">INDEX(Vendor_Benford!$N$6:$N$50,MATCH(C542,Vendor_Benford!$A$6:$A$50,0))</f>
        <v>0</v>
      </c>
      <c r="P542" s="9" t="n">
        <f aca="false">INDEX(Vendor_Benford!$M$6:$M$50,MATCH(C542,Vendor_Benford!$A$6:$A$50,0))</f>
        <v>0</v>
      </c>
      <c r="Q542" s="9" t="n">
        <f aca="false">I542*Parameters!$B$28+J542*Parameters!$B$29+K542*Parameters!$B$30+L542*Parameters!$B$31+M542*Parameters!$B$32+N542*Parameters!$B$33+O542*Parameters!$B$34+P542*Parameters!$B$35</f>
        <v>0</v>
      </c>
      <c r="R542" s="0" t="str">
        <f aca="false">IF(Q542&gt;=Parameters!$B$24,"High","")</f>
        <v/>
      </c>
    </row>
    <row r="543" customFormat="false" ht="15" hidden="false" customHeight="false" outlineLevel="0" collapsed="false">
      <c r="A543" s="10" t="s">
        <v>1388</v>
      </c>
      <c r="B543" s="8" t="n">
        <v>45973</v>
      </c>
      <c r="C543" s="10" t="s">
        <v>224</v>
      </c>
      <c r="D543" s="10" t="s">
        <v>1389</v>
      </c>
      <c r="E543" s="12" t="n">
        <v>378.24</v>
      </c>
      <c r="F543" s="10" t="s">
        <v>347</v>
      </c>
      <c r="G543" s="9" t="n">
        <f aca="false">VALUE(LEFT(TEXT(E543,"0.00"),1))</f>
        <v>3</v>
      </c>
      <c r="H543" s="0" t="str">
        <f aca="false">UPPER(SUBSTITUTE(SUBSTITUTE(SUBSTITUTE(D543," ",""),"/",""),".",""))</f>
        <v>INV39004</v>
      </c>
      <c r="I543" s="9" t="n">
        <f aca="false">IF(COUNTIFS($C$5:C543,C543,$H$5:H543,H543,$E$5:E543,E543)&gt;1,1,0)</f>
        <v>0</v>
      </c>
      <c r="J543" s="9" t="n">
        <f aca="false">IF(AND(I543=0,COUNTIFS($C$5:$C$634,C543,$E$5:$E$634,E543,$B$5:$B$634,"&gt;="&amp;(B543-Parameters!$B$12),$B$5:$B$634,"&lt;="&amp;(B543+Parameters!$B$12),$H$5:$H$634,"&lt;&gt;"&amp;H543)&gt;0),1,0)</f>
        <v>0</v>
      </c>
      <c r="K543" s="9" t="n">
        <f aca="false">IF(AND(E543&gt;=Parameters!$B$11,ROUND(MOD(ROUND(E543,2),Parameters!$B$10),2)=0),1,0)</f>
        <v>0</v>
      </c>
      <c r="L543" s="9" t="n">
        <f aca="false">IF(AND(E543&lt;Parameters!$B$7,E543&gt;=Parameters!$B$7*(1-Parameters!$B$9)),1,0)</f>
        <v>0</v>
      </c>
      <c r="M543" s="9" t="n">
        <f aca="false">IF(AND(E543&lt;Parameters!$B$7,COUNTIFS($C$5:$C$634,C543,$B$5:$B$634,B543)&gt;1,SUMIFS($E$5:$E$634,$C$5:$C$634,C543,$B$5:$B$634,B543)&gt;=Parameters!$B$7),1,0)</f>
        <v>0</v>
      </c>
      <c r="N543" s="9" t="n">
        <f aca="false">IF(AND(E543&gt;=Parameters!$B$7,F543&lt;&gt;Parameters!$B$8),1,0)</f>
        <v>0</v>
      </c>
      <c r="O543" s="9" t="n">
        <f aca="false">INDEX(Vendor_Benford!$N$6:$N$50,MATCH(C543,Vendor_Benford!$A$6:$A$50,0))</f>
        <v>0</v>
      </c>
      <c r="P543" s="9" t="n">
        <f aca="false">INDEX(Vendor_Benford!$M$6:$M$50,MATCH(C543,Vendor_Benford!$A$6:$A$50,0))</f>
        <v>0</v>
      </c>
      <c r="Q543" s="9" t="n">
        <f aca="false">I543*Parameters!$B$28+J543*Parameters!$B$29+K543*Parameters!$B$30+L543*Parameters!$B$31+M543*Parameters!$B$32+N543*Parameters!$B$33+O543*Parameters!$B$34+P543*Parameters!$B$35</f>
        <v>0</v>
      </c>
      <c r="R543" s="0" t="str">
        <f aca="false">IF(Q543&gt;=Parameters!$B$24,"High","")</f>
        <v/>
      </c>
    </row>
    <row r="544" customFormat="false" ht="15" hidden="false" customHeight="false" outlineLevel="0" collapsed="false">
      <c r="A544" s="10" t="s">
        <v>1390</v>
      </c>
      <c r="B544" s="8" t="n">
        <v>45974</v>
      </c>
      <c r="C544" s="10" t="s">
        <v>137</v>
      </c>
      <c r="D544" s="10" t="s">
        <v>1391</v>
      </c>
      <c r="E544" s="12" t="n">
        <v>509.34</v>
      </c>
      <c r="F544" s="10" t="s">
        <v>40</v>
      </c>
      <c r="G544" s="9" t="n">
        <f aca="false">VALUE(LEFT(TEXT(E544,"0.00"),1))</f>
        <v>5</v>
      </c>
      <c r="H544" s="0" t="str">
        <f aca="false">UPPER(SUBSTITUTE(SUBSTITUTE(SUBSTITUTE(D544," ",""),"/",""),".",""))</f>
        <v>INV10006</v>
      </c>
      <c r="I544" s="9" t="n">
        <f aca="false">IF(COUNTIFS($C$5:C544,C544,$H$5:H544,H544,$E$5:E544,E544)&gt;1,1,0)</f>
        <v>0</v>
      </c>
      <c r="J544" s="9" t="n">
        <f aca="false">IF(AND(I544=0,COUNTIFS($C$5:$C$634,C544,$E$5:$E$634,E544,$B$5:$B$634,"&gt;="&amp;(B544-Parameters!$B$12),$B$5:$B$634,"&lt;="&amp;(B544+Parameters!$B$12),$H$5:$H$634,"&lt;&gt;"&amp;H544)&gt;0),1,0)</f>
        <v>0</v>
      </c>
      <c r="K544" s="9" t="n">
        <f aca="false">IF(AND(E544&gt;=Parameters!$B$11,ROUND(MOD(ROUND(E544,2),Parameters!$B$10),2)=0),1,0)</f>
        <v>0</v>
      </c>
      <c r="L544" s="9" t="n">
        <f aca="false">IF(AND(E544&lt;Parameters!$B$7,E544&gt;=Parameters!$B$7*(1-Parameters!$B$9)),1,0)</f>
        <v>0</v>
      </c>
      <c r="M544" s="9" t="n">
        <f aca="false">IF(AND(E544&lt;Parameters!$B$7,COUNTIFS($C$5:$C$634,C544,$B$5:$B$634,B544)&gt;1,SUMIFS($E$5:$E$634,$C$5:$C$634,C544,$B$5:$B$634,B544)&gt;=Parameters!$B$7),1,0)</f>
        <v>0</v>
      </c>
      <c r="N544" s="9" t="n">
        <f aca="false">IF(AND(E544&gt;=Parameters!$B$7,F544&lt;&gt;Parameters!$B$8),1,0)</f>
        <v>0</v>
      </c>
      <c r="O544" s="9" t="n">
        <f aca="false">INDEX(Vendor_Benford!$N$6:$N$50,MATCH(C544,Vendor_Benford!$A$6:$A$50,0))</f>
        <v>0</v>
      </c>
      <c r="P544" s="9" t="n">
        <f aca="false">INDEX(Vendor_Benford!$M$6:$M$50,MATCH(C544,Vendor_Benford!$A$6:$A$50,0))</f>
        <v>0</v>
      </c>
      <c r="Q544" s="9" t="n">
        <f aca="false">I544*Parameters!$B$28+J544*Parameters!$B$29+K544*Parameters!$B$30+L544*Parameters!$B$31+M544*Parameters!$B$32+N544*Parameters!$B$33+O544*Parameters!$B$34+P544*Parameters!$B$35</f>
        <v>0</v>
      </c>
      <c r="R544" s="0" t="str">
        <f aca="false">IF(Q544&gt;=Parameters!$B$24,"High","")</f>
        <v/>
      </c>
    </row>
    <row r="545" customFormat="false" ht="15" hidden="false" customHeight="false" outlineLevel="0" collapsed="false">
      <c r="A545" s="10" t="s">
        <v>1392</v>
      </c>
      <c r="B545" s="8" t="n">
        <v>45974</v>
      </c>
      <c r="C545" s="10" t="s">
        <v>200</v>
      </c>
      <c r="D545" s="10" t="s">
        <v>1393</v>
      </c>
      <c r="E545" s="12" t="n">
        <v>4769.29</v>
      </c>
      <c r="F545" s="10" t="s">
        <v>347</v>
      </c>
      <c r="G545" s="9" t="n">
        <f aca="false">VALUE(LEFT(TEXT(E545,"0.00"),1))</f>
        <v>4</v>
      </c>
      <c r="H545" s="0" t="str">
        <f aca="false">UPPER(SUBSTITUTE(SUBSTITUTE(SUBSTITUTE(D545," ",""),"/",""),".",""))</f>
        <v>INV31025</v>
      </c>
      <c r="I545" s="9" t="n">
        <f aca="false">IF(COUNTIFS($C$5:C545,C545,$H$5:H545,H545,$E$5:E545,E545)&gt;1,1,0)</f>
        <v>0</v>
      </c>
      <c r="J545" s="9" t="n">
        <f aca="false">IF(AND(I545=0,COUNTIFS($C$5:$C$634,C545,$E$5:$E$634,E545,$B$5:$B$634,"&gt;="&amp;(B545-Parameters!$B$12),$B$5:$B$634,"&lt;="&amp;(B545+Parameters!$B$12),$H$5:$H$634,"&lt;&gt;"&amp;H545)&gt;0),1,0)</f>
        <v>0</v>
      </c>
      <c r="K545" s="9" t="n">
        <f aca="false">IF(AND(E545&gt;=Parameters!$B$11,ROUND(MOD(ROUND(E545,2),Parameters!$B$10),2)=0),1,0)</f>
        <v>0</v>
      </c>
      <c r="L545" s="9" t="n">
        <f aca="false">IF(AND(E545&lt;Parameters!$B$7,E545&gt;=Parameters!$B$7*(1-Parameters!$B$9)),1,0)</f>
        <v>1</v>
      </c>
      <c r="M545" s="9" t="n">
        <f aca="false">IF(AND(E545&lt;Parameters!$B$7,COUNTIFS($C$5:$C$634,C545,$B$5:$B$634,B545)&gt;1,SUMIFS($E$5:$E$634,$C$5:$C$634,C545,$B$5:$B$634,B545)&gt;=Parameters!$B$7),1,0)</f>
        <v>0</v>
      </c>
      <c r="N545" s="9" t="n">
        <f aca="false">IF(AND(E545&gt;=Parameters!$B$7,F545&lt;&gt;Parameters!$B$8),1,0)</f>
        <v>0</v>
      </c>
      <c r="O545" s="9" t="n">
        <f aca="false">INDEX(Vendor_Benford!$N$6:$N$50,MATCH(C545,Vendor_Benford!$A$6:$A$50,0))</f>
        <v>0</v>
      </c>
      <c r="P545" s="9" t="n">
        <f aca="false">INDEX(Vendor_Benford!$M$6:$M$50,MATCH(C545,Vendor_Benford!$A$6:$A$50,0))</f>
        <v>1</v>
      </c>
      <c r="Q545" s="9" t="n">
        <f aca="false">I545*Parameters!$B$28+J545*Parameters!$B$29+K545*Parameters!$B$30+L545*Parameters!$B$31+M545*Parameters!$B$32+N545*Parameters!$B$33+O545*Parameters!$B$34+P545*Parameters!$B$35</f>
        <v>4</v>
      </c>
      <c r="R545" s="0" t="str">
        <f aca="false">IF(Q545&gt;=Parameters!$B$24,"High","")</f>
        <v/>
      </c>
    </row>
    <row r="546" customFormat="false" ht="15" hidden="false" customHeight="false" outlineLevel="0" collapsed="false">
      <c r="A546" s="10" t="s">
        <v>1394</v>
      </c>
      <c r="B546" s="8" t="n">
        <v>45975</v>
      </c>
      <c r="C546" s="10" t="s">
        <v>146</v>
      </c>
      <c r="D546" s="10" t="s">
        <v>1395</v>
      </c>
      <c r="E546" s="12" t="n">
        <v>785.76</v>
      </c>
      <c r="F546" s="10" t="s">
        <v>347</v>
      </c>
      <c r="G546" s="9" t="n">
        <f aca="false">VALUE(LEFT(TEXT(E546,"0.00"),1))</f>
        <v>7</v>
      </c>
      <c r="H546" s="0" t="str">
        <f aca="false">UPPER(SUBSTITUTE(SUBSTITUTE(SUBSTITUTE(D546," ",""),"/",""),".",""))</f>
        <v>INV13014</v>
      </c>
      <c r="I546" s="9" t="n">
        <f aca="false">IF(COUNTIFS($C$5:C546,C546,$H$5:H546,H546,$E$5:E546,E546)&gt;1,1,0)</f>
        <v>1</v>
      </c>
      <c r="J546" s="9" t="n">
        <f aca="false">IF(AND(I546=0,COUNTIFS($C$5:$C$634,C546,$E$5:$E$634,E546,$B$5:$B$634,"&gt;="&amp;(B546-Parameters!$B$12),$B$5:$B$634,"&lt;="&amp;(B546+Parameters!$B$12),$H$5:$H$634,"&lt;&gt;"&amp;H546)&gt;0),1,0)</f>
        <v>0</v>
      </c>
      <c r="K546" s="9" t="n">
        <f aca="false">IF(AND(E546&gt;=Parameters!$B$11,ROUND(MOD(ROUND(E546,2),Parameters!$B$10),2)=0),1,0)</f>
        <v>0</v>
      </c>
      <c r="L546" s="9" t="n">
        <f aca="false">IF(AND(E546&lt;Parameters!$B$7,E546&gt;=Parameters!$B$7*(1-Parameters!$B$9)),1,0)</f>
        <v>0</v>
      </c>
      <c r="M546" s="9" t="n">
        <f aca="false">IF(AND(E546&lt;Parameters!$B$7,COUNTIFS($C$5:$C$634,C546,$B$5:$B$634,B546)&gt;1,SUMIFS($E$5:$E$634,$C$5:$C$634,C546,$B$5:$B$634,B546)&gt;=Parameters!$B$7),1,0)</f>
        <v>0</v>
      </c>
      <c r="N546" s="9" t="n">
        <f aca="false">IF(AND(E546&gt;=Parameters!$B$7,F546&lt;&gt;Parameters!$B$8),1,0)</f>
        <v>0</v>
      </c>
      <c r="O546" s="9" t="n">
        <f aca="false">INDEX(Vendor_Benford!$N$6:$N$50,MATCH(C546,Vendor_Benford!$A$6:$A$50,0))</f>
        <v>0</v>
      </c>
      <c r="P546" s="9" t="n">
        <f aca="false">INDEX(Vendor_Benford!$M$6:$M$50,MATCH(C546,Vendor_Benford!$A$6:$A$50,0))</f>
        <v>0</v>
      </c>
      <c r="Q546" s="9" t="n">
        <f aca="false">I546*Parameters!$B$28+J546*Parameters!$B$29+K546*Parameters!$B$30+L546*Parameters!$B$31+M546*Parameters!$B$32+N546*Parameters!$B$33+O546*Parameters!$B$34+P546*Parameters!$B$35</f>
        <v>5</v>
      </c>
      <c r="R546" s="0" t="str">
        <f aca="false">IF(Q546&gt;=Parameters!$B$24,"High","")</f>
        <v>High</v>
      </c>
    </row>
    <row r="547" customFormat="false" ht="15" hidden="false" customHeight="false" outlineLevel="0" collapsed="false">
      <c r="A547" s="10" t="s">
        <v>1396</v>
      </c>
      <c r="B547" s="8" t="n">
        <v>45975</v>
      </c>
      <c r="C547" s="10" t="s">
        <v>209</v>
      </c>
      <c r="D547" s="10" t="s">
        <v>1397</v>
      </c>
      <c r="E547" s="12" t="n">
        <v>16936.53</v>
      </c>
      <c r="F547" s="10" t="s">
        <v>40</v>
      </c>
      <c r="G547" s="9" t="n">
        <f aca="false">VALUE(LEFT(TEXT(E547,"0.00"),1))</f>
        <v>1</v>
      </c>
      <c r="H547" s="0" t="str">
        <f aca="false">UPPER(SUBSTITUTE(SUBSTITUTE(SUBSTITUTE(D547," ",""),"/",""),".",""))</f>
        <v>INV34001</v>
      </c>
      <c r="I547" s="9" t="n">
        <f aca="false">IF(COUNTIFS($C$5:C547,C547,$H$5:H547,H547,$E$5:E547,E547)&gt;1,1,0)</f>
        <v>0</v>
      </c>
      <c r="J547" s="9" t="n">
        <f aca="false">IF(AND(I547=0,COUNTIFS($C$5:$C$634,C547,$E$5:$E$634,E547,$B$5:$B$634,"&gt;="&amp;(B547-Parameters!$B$12),$B$5:$B$634,"&lt;="&amp;(B547+Parameters!$B$12),$H$5:$H$634,"&lt;&gt;"&amp;H547)&gt;0),1,0)</f>
        <v>0</v>
      </c>
      <c r="K547" s="9" t="n">
        <f aca="false">IF(AND(E547&gt;=Parameters!$B$11,ROUND(MOD(ROUND(E547,2),Parameters!$B$10),2)=0),1,0)</f>
        <v>0</v>
      </c>
      <c r="L547" s="9" t="n">
        <f aca="false">IF(AND(E547&lt;Parameters!$B$7,E547&gt;=Parameters!$B$7*(1-Parameters!$B$9)),1,0)</f>
        <v>0</v>
      </c>
      <c r="M547" s="9" t="n">
        <f aca="false">IF(AND(E547&lt;Parameters!$B$7,COUNTIFS($C$5:$C$634,C547,$B$5:$B$634,B547)&gt;1,SUMIFS($E$5:$E$634,$C$5:$C$634,C547,$B$5:$B$634,B547)&gt;=Parameters!$B$7),1,0)</f>
        <v>0</v>
      </c>
      <c r="N547" s="9" t="n">
        <f aca="false">IF(AND(E547&gt;=Parameters!$B$7,F547&lt;&gt;Parameters!$B$8),1,0)</f>
        <v>0</v>
      </c>
      <c r="O547" s="9" t="n">
        <f aca="false">INDEX(Vendor_Benford!$N$6:$N$50,MATCH(C547,Vendor_Benford!$A$6:$A$50,0))</f>
        <v>0</v>
      </c>
      <c r="P547" s="9" t="n">
        <f aca="false">INDEX(Vendor_Benford!$M$6:$M$50,MATCH(C547,Vendor_Benford!$A$6:$A$50,0))</f>
        <v>0</v>
      </c>
      <c r="Q547" s="9" t="n">
        <f aca="false">I547*Parameters!$B$28+J547*Parameters!$B$29+K547*Parameters!$B$30+L547*Parameters!$B$31+M547*Parameters!$B$32+N547*Parameters!$B$33+O547*Parameters!$B$34+P547*Parameters!$B$35</f>
        <v>0</v>
      </c>
      <c r="R547" s="0" t="str">
        <f aca="false">IF(Q547&gt;=Parameters!$B$24,"High","")</f>
        <v/>
      </c>
    </row>
    <row r="548" customFormat="false" ht="15" hidden="false" customHeight="false" outlineLevel="0" collapsed="false">
      <c r="A548" s="10" t="s">
        <v>1398</v>
      </c>
      <c r="B548" s="8" t="n">
        <v>45975</v>
      </c>
      <c r="C548" s="10" t="s">
        <v>221</v>
      </c>
      <c r="D548" s="10" t="s">
        <v>1399</v>
      </c>
      <c r="E548" s="12" t="n">
        <v>137.22</v>
      </c>
      <c r="F548" s="10" t="s">
        <v>40</v>
      </c>
      <c r="G548" s="9" t="n">
        <f aca="false">VALUE(LEFT(TEXT(E548,"0.00"),1))</f>
        <v>1</v>
      </c>
      <c r="H548" s="0" t="str">
        <f aca="false">UPPER(SUBSTITUTE(SUBSTITUTE(SUBSTITUTE(D548," ",""),"/",""),".",""))</f>
        <v>INV38008</v>
      </c>
      <c r="I548" s="9" t="n">
        <f aca="false">IF(COUNTIFS($C$5:C548,C548,$H$5:H548,H548,$E$5:E548,E548)&gt;1,1,0)</f>
        <v>0</v>
      </c>
      <c r="J548" s="9" t="n">
        <f aca="false">IF(AND(I548=0,COUNTIFS($C$5:$C$634,C548,$E$5:$E$634,E548,$B$5:$B$634,"&gt;="&amp;(B548-Parameters!$B$12),$B$5:$B$634,"&lt;="&amp;(B548+Parameters!$B$12),$H$5:$H$634,"&lt;&gt;"&amp;H548)&gt;0),1,0)</f>
        <v>0</v>
      </c>
      <c r="K548" s="9" t="n">
        <f aca="false">IF(AND(E548&gt;=Parameters!$B$11,ROUND(MOD(ROUND(E548,2),Parameters!$B$10),2)=0),1,0)</f>
        <v>0</v>
      </c>
      <c r="L548" s="9" t="n">
        <f aca="false">IF(AND(E548&lt;Parameters!$B$7,E548&gt;=Parameters!$B$7*(1-Parameters!$B$9)),1,0)</f>
        <v>0</v>
      </c>
      <c r="M548" s="9" t="n">
        <f aca="false">IF(AND(E548&lt;Parameters!$B$7,COUNTIFS($C$5:$C$634,C548,$B$5:$B$634,B548)&gt;1,SUMIFS($E$5:$E$634,$C$5:$C$634,C548,$B$5:$B$634,B548)&gt;=Parameters!$B$7),1,0)</f>
        <v>0</v>
      </c>
      <c r="N548" s="9" t="n">
        <f aca="false">IF(AND(E548&gt;=Parameters!$B$7,F548&lt;&gt;Parameters!$B$8),1,0)</f>
        <v>0</v>
      </c>
      <c r="O548" s="9" t="n">
        <f aca="false">INDEX(Vendor_Benford!$N$6:$N$50,MATCH(C548,Vendor_Benford!$A$6:$A$50,0))</f>
        <v>1</v>
      </c>
      <c r="P548" s="9" t="n">
        <f aca="false">INDEX(Vendor_Benford!$M$6:$M$50,MATCH(C548,Vendor_Benford!$A$6:$A$50,0))</f>
        <v>0</v>
      </c>
      <c r="Q548" s="9" t="n">
        <f aca="false">I548*Parameters!$B$28+J548*Parameters!$B$29+K548*Parameters!$B$30+L548*Parameters!$B$31+M548*Parameters!$B$32+N548*Parameters!$B$33+O548*Parameters!$B$34+P548*Parameters!$B$35</f>
        <v>5</v>
      </c>
      <c r="R548" s="0" t="str">
        <f aca="false">IF(Q548&gt;=Parameters!$B$24,"High","")</f>
        <v>High</v>
      </c>
    </row>
    <row r="549" customFormat="false" ht="15" hidden="false" customHeight="false" outlineLevel="0" collapsed="false">
      <c r="A549" s="10" t="s">
        <v>1400</v>
      </c>
      <c r="B549" s="8" t="n">
        <v>45978</v>
      </c>
      <c r="C549" s="10" t="s">
        <v>113</v>
      </c>
      <c r="D549" s="10" t="s">
        <v>1401</v>
      </c>
      <c r="E549" s="12" t="n">
        <v>4900</v>
      </c>
      <c r="F549" s="10" t="s">
        <v>347</v>
      </c>
      <c r="G549" s="9" t="n">
        <f aca="false">VALUE(LEFT(TEXT(E549,"0.00"),1))</f>
        <v>4</v>
      </c>
      <c r="H549" s="0" t="str">
        <f aca="false">UPPER(SUBSTITUTE(SUBSTITUTE(SUBSTITUTE(D549," ",""),"/",""),".",""))</f>
        <v>LIC2511</v>
      </c>
      <c r="I549" s="9" t="n">
        <f aca="false">IF(COUNTIFS($C$5:C549,C549,$H$5:H549,H549,$E$5:E549,E549)&gt;1,1,0)</f>
        <v>0</v>
      </c>
      <c r="J549" s="9" t="n">
        <f aca="false">IF(AND(I549=0,COUNTIFS($C$5:$C$634,C549,$E$5:$E$634,E549,$B$5:$B$634,"&gt;="&amp;(B549-Parameters!$B$12),$B$5:$B$634,"&lt;="&amp;(B549+Parameters!$B$12),$H$5:$H$634,"&lt;&gt;"&amp;H549)&gt;0),1,0)</f>
        <v>1</v>
      </c>
      <c r="K549" s="9" t="n">
        <f aca="false">IF(AND(E549&gt;=Parameters!$B$11,ROUND(MOD(ROUND(E549,2),Parameters!$B$10),2)=0),1,0)</f>
        <v>0</v>
      </c>
      <c r="L549" s="9" t="n">
        <f aca="false">IF(AND(E549&lt;Parameters!$B$7,E549&gt;=Parameters!$B$7*(1-Parameters!$B$9)),1,0)</f>
        <v>1</v>
      </c>
      <c r="M549" s="9" t="n">
        <f aca="false">IF(AND(E549&lt;Parameters!$B$7,COUNTIFS($C$5:$C$634,C549,$B$5:$B$634,B549)&gt;1,SUMIFS($E$5:$E$634,$C$5:$C$634,C549,$B$5:$B$634,B549)&gt;=Parameters!$B$7),1,0)</f>
        <v>0</v>
      </c>
      <c r="N549" s="9" t="n">
        <f aca="false">IF(AND(E549&gt;=Parameters!$B$7,F549&lt;&gt;Parameters!$B$8),1,0)</f>
        <v>0</v>
      </c>
      <c r="O549" s="9" t="n">
        <f aca="false">INDEX(Vendor_Benford!$N$6:$N$50,MATCH(C549,Vendor_Benford!$A$6:$A$50,0))</f>
        <v>0</v>
      </c>
      <c r="P549" s="9" t="n">
        <f aca="false">INDEX(Vendor_Benford!$M$6:$M$50,MATCH(C549,Vendor_Benford!$A$6:$A$50,0))</f>
        <v>0</v>
      </c>
      <c r="Q549" s="9" t="n">
        <f aca="false">I549*Parameters!$B$28+J549*Parameters!$B$29+K549*Parameters!$B$30+L549*Parameters!$B$31+M549*Parameters!$B$32+N549*Parameters!$B$33+O549*Parameters!$B$34+P549*Parameters!$B$35</f>
        <v>5</v>
      </c>
      <c r="R549" s="0" t="str">
        <f aca="false">IF(Q549&gt;=Parameters!$B$24,"High","")</f>
        <v>High</v>
      </c>
    </row>
    <row r="550" customFormat="false" ht="15" hidden="false" customHeight="false" outlineLevel="0" collapsed="false">
      <c r="A550" s="10" t="s">
        <v>1402</v>
      </c>
      <c r="B550" s="8" t="n">
        <v>45979</v>
      </c>
      <c r="C550" s="10" t="s">
        <v>116</v>
      </c>
      <c r="D550" s="10" t="s">
        <v>1403</v>
      </c>
      <c r="E550" s="12" t="n">
        <v>12144.2</v>
      </c>
      <c r="F550" s="10" t="s">
        <v>40</v>
      </c>
      <c r="G550" s="9" t="n">
        <f aca="false">VALUE(LEFT(TEXT(E550,"0.00"),1))</f>
        <v>1</v>
      </c>
      <c r="H550" s="0" t="str">
        <f aca="false">UPPER(SUBSTITUTE(SUBSTITUTE(SUBSTITUTE(D550," ",""),"/",""),".",""))</f>
        <v>INV3007</v>
      </c>
      <c r="I550" s="9" t="n">
        <f aca="false">IF(COUNTIFS($C$5:C550,C550,$H$5:H550,H550,$E$5:E550,E550)&gt;1,1,0)</f>
        <v>0</v>
      </c>
      <c r="J550" s="9" t="n">
        <f aca="false">IF(AND(I550=0,COUNTIFS($C$5:$C$634,C550,$E$5:$E$634,E550,$B$5:$B$634,"&gt;="&amp;(B550-Parameters!$B$12),$B$5:$B$634,"&lt;="&amp;(B550+Parameters!$B$12),$H$5:$H$634,"&lt;&gt;"&amp;H550)&gt;0),1,0)</f>
        <v>0</v>
      </c>
      <c r="K550" s="9" t="n">
        <f aca="false">IF(AND(E550&gt;=Parameters!$B$11,ROUND(MOD(ROUND(E550,2),Parameters!$B$10),2)=0),1,0)</f>
        <v>0</v>
      </c>
      <c r="L550" s="9" t="n">
        <f aca="false">IF(AND(E550&lt;Parameters!$B$7,E550&gt;=Parameters!$B$7*(1-Parameters!$B$9)),1,0)</f>
        <v>0</v>
      </c>
      <c r="M550" s="9" t="n">
        <f aca="false">IF(AND(E550&lt;Parameters!$B$7,COUNTIFS($C$5:$C$634,C550,$B$5:$B$634,B550)&gt;1,SUMIFS($E$5:$E$634,$C$5:$C$634,C550,$B$5:$B$634,B550)&gt;=Parameters!$B$7),1,0)</f>
        <v>0</v>
      </c>
      <c r="N550" s="9" t="n">
        <f aca="false">IF(AND(E550&gt;=Parameters!$B$7,F550&lt;&gt;Parameters!$B$8),1,0)</f>
        <v>0</v>
      </c>
      <c r="O550" s="9" t="n">
        <f aca="false">INDEX(Vendor_Benford!$N$6:$N$50,MATCH(C550,Vendor_Benford!$A$6:$A$50,0))</f>
        <v>0</v>
      </c>
      <c r="P550" s="9" t="n">
        <f aca="false">INDEX(Vendor_Benford!$M$6:$M$50,MATCH(C550,Vendor_Benford!$A$6:$A$50,0))</f>
        <v>0</v>
      </c>
      <c r="Q550" s="9" t="n">
        <f aca="false">I550*Parameters!$B$28+J550*Parameters!$B$29+K550*Parameters!$B$30+L550*Parameters!$B$31+M550*Parameters!$B$32+N550*Parameters!$B$33+O550*Parameters!$B$34+P550*Parameters!$B$35</f>
        <v>0</v>
      </c>
      <c r="R550" s="0" t="str">
        <f aca="false">IF(Q550&gt;=Parameters!$B$24,"High","")</f>
        <v/>
      </c>
    </row>
    <row r="551" customFormat="false" ht="15" hidden="false" customHeight="false" outlineLevel="0" collapsed="false">
      <c r="A551" s="10" t="s">
        <v>1404</v>
      </c>
      <c r="B551" s="8" t="n">
        <v>45979</v>
      </c>
      <c r="C551" s="10" t="s">
        <v>131</v>
      </c>
      <c r="D551" s="10" t="s">
        <v>1405</v>
      </c>
      <c r="E551" s="12" t="n">
        <v>4941.07</v>
      </c>
      <c r="F551" s="10" t="s">
        <v>347</v>
      </c>
      <c r="G551" s="9" t="n">
        <f aca="false">VALUE(LEFT(TEXT(E551,"0.00"),1))</f>
        <v>4</v>
      </c>
      <c r="H551" s="0" t="str">
        <f aca="false">UPPER(SUBSTITUTE(SUBSTITUTE(SUBSTITUTE(D551," ",""),"/",""),".",""))</f>
        <v>INV8010</v>
      </c>
      <c r="I551" s="9" t="n">
        <f aca="false">IF(COUNTIFS($C$5:C551,C551,$H$5:H551,H551,$E$5:E551,E551)&gt;1,1,0)</f>
        <v>0</v>
      </c>
      <c r="J551" s="9" t="n">
        <f aca="false">IF(AND(I551=0,COUNTIFS($C$5:$C$634,C551,$E$5:$E$634,E551,$B$5:$B$634,"&gt;="&amp;(B551-Parameters!$B$12),$B$5:$B$634,"&lt;="&amp;(B551+Parameters!$B$12),$H$5:$H$634,"&lt;&gt;"&amp;H551)&gt;0),1,0)</f>
        <v>0</v>
      </c>
      <c r="K551" s="9" t="n">
        <f aca="false">IF(AND(E551&gt;=Parameters!$B$11,ROUND(MOD(ROUND(E551,2),Parameters!$B$10),2)=0),1,0)</f>
        <v>0</v>
      </c>
      <c r="L551" s="9" t="n">
        <f aca="false">IF(AND(E551&lt;Parameters!$B$7,E551&gt;=Parameters!$B$7*(1-Parameters!$B$9)),1,0)</f>
        <v>1</v>
      </c>
      <c r="M551" s="9" t="n">
        <f aca="false">IF(AND(E551&lt;Parameters!$B$7,COUNTIFS($C$5:$C$634,C551,$B$5:$B$634,B551)&gt;1,SUMIFS($E$5:$E$634,$C$5:$C$634,C551,$B$5:$B$634,B551)&gt;=Parameters!$B$7),1,0)</f>
        <v>0</v>
      </c>
      <c r="N551" s="9" t="n">
        <f aca="false">IF(AND(E551&gt;=Parameters!$B$7,F551&lt;&gt;Parameters!$B$8),1,0)</f>
        <v>0</v>
      </c>
      <c r="O551" s="9" t="n">
        <f aca="false">INDEX(Vendor_Benford!$N$6:$N$50,MATCH(C551,Vendor_Benford!$A$6:$A$50,0))</f>
        <v>0</v>
      </c>
      <c r="P551" s="9" t="n">
        <f aca="false">INDEX(Vendor_Benford!$M$6:$M$50,MATCH(C551,Vendor_Benford!$A$6:$A$50,0))</f>
        <v>0</v>
      </c>
      <c r="Q551" s="9" t="n">
        <f aca="false">I551*Parameters!$B$28+J551*Parameters!$B$29+K551*Parameters!$B$30+L551*Parameters!$B$31+M551*Parameters!$B$32+N551*Parameters!$B$33+O551*Parameters!$B$34+P551*Parameters!$B$35</f>
        <v>2</v>
      </c>
      <c r="R551" s="0" t="str">
        <f aca="false">IF(Q551&gt;=Parameters!$B$24,"High","")</f>
        <v/>
      </c>
    </row>
    <row r="552" customFormat="false" ht="15" hidden="false" customHeight="false" outlineLevel="0" collapsed="false">
      <c r="A552" s="10" t="s">
        <v>1406</v>
      </c>
      <c r="B552" s="8" t="n">
        <v>45979</v>
      </c>
      <c r="C552" s="10" t="s">
        <v>206</v>
      </c>
      <c r="D552" s="10" t="s">
        <v>1407</v>
      </c>
      <c r="E552" s="12" t="n">
        <v>54008.15</v>
      </c>
      <c r="F552" s="10" t="s">
        <v>40</v>
      </c>
      <c r="G552" s="9" t="n">
        <f aca="false">VALUE(LEFT(TEXT(E552,"0.00"),1))</f>
        <v>5</v>
      </c>
      <c r="H552" s="0" t="str">
        <f aca="false">UPPER(SUBSTITUTE(SUBSTITUTE(SUBSTITUTE(D552," ",""),"/",""),".",""))</f>
        <v>INV33003</v>
      </c>
      <c r="I552" s="9" t="n">
        <f aca="false">IF(COUNTIFS($C$5:C552,C552,$H$5:H552,H552,$E$5:E552,E552)&gt;1,1,0)</f>
        <v>0</v>
      </c>
      <c r="J552" s="9" t="n">
        <f aca="false">IF(AND(I552=0,COUNTIFS($C$5:$C$634,C552,$E$5:$E$634,E552,$B$5:$B$634,"&gt;="&amp;(B552-Parameters!$B$12),$B$5:$B$634,"&lt;="&amp;(B552+Parameters!$B$12),$H$5:$H$634,"&lt;&gt;"&amp;H552)&gt;0),1,0)</f>
        <v>0</v>
      </c>
      <c r="K552" s="9" t="n">
        <f aca="false">IF(AND(E552&gt;=Parameters!$B$11,ROUND(MOD(ROUND(E552,2),Parameters!$B$10),2)=0),1,0)</f>
        <v>0</v>
      </c>
      <c r="L552" s="9" t="n">
        <f aca="false">IF(AND(E552&lt;Parameters!$B$7,E552&gt;=Parameters!$B$7*(1-Parameters!$B$9)),1,0)</f>
        <v>0</v>
      </c>
      <c r="M552" s="9" t="n">
        <f aca="false">IF(AND(E552&lt;Parameters!$B$7,COUNTIFS($C$5:$C$634,C552,$B$5:$B$634,B552)&gt;1,SUMIFS($E$5:$E$634,$C$5:$C$634,C552,$B$5:$B$634,B552)&gt;=Parameters!$B$7),1,0)</f>
        <v>0</v>
      </c>
      <c r="N552" s="9" t="n">
        <f aca="false">IF(AND(E552&gt;=Parameters!$B$7,F552&lt;&gt;Parameters!$B$8),1,0)</f>
        <v>0</v>
      </c>
      <c r="O552" s="9" t="n">
        <f aca="false">INDEX(Vendor_Benford!$N$6:$N$50,MATCH(C552,Vendor_Benford!$A$6:$A$50,0))</f>
        <v>0</v>
      </c>
      <c r="P552" s="9" t="n">
        <f aca="false">INDEX(Vendor_Benford!$M$6:$M$50,MATCH(C552,Vendor_Benford!$A$6:$A$50,0))</f>
        <v>0</v>
      </c>
      <c r="Q552" s="9" t="n">
        <f aca="false">I552*Parameters!$B$28+J552*Parameters!$B$29+K552*Parameters!$B$30+L552*Parameters!$B$31+M552*Parameters!$B$32+N552*Parameters!$B$33+O552*Parameters!$B$34+P552*Parameters!$B$35</f>
        <v>0</v>
      </c>
      <c r="R552" s="0" t="str">
        <f aca="false">IF(Q552&gt;=Parameters!$B$24,"High","")</f>
        <v/>
      </c>
    </row>
    <row r="553" customFormat="false" ht="15" hidden="false" customHeight="false" outlineLevel="0" collapsed="false">
      <c r="A553" s="10" t="s">
        <v>1408</v>
      </c>
      <c r="B553" s="8" t="n">
        <v>45980</v>
      </c>
      <c r="C553" s="10" t="s">
        <v>146</v>
      </c>
      <c r="D553" s="10" t="s">
        <v>1409</v>
      </c>
      <c r="E553" s="12" t="n">
        <v>753.6</v>
      </c>
      <c r="F553" s="10" t="s">
        <v>347</v>
      </c>
      <c r="G553" s="9" t="n">
        <f aca="false">VALUE(LEFT(TEXT(E553,"0.00"),1))</f>
        <v>7</v>
      </c>
      <c r="H553" s="0" t="str">
        <f aca="false">UPPER(SUBSTITUTE(SUBSTITUTE(SUBSTITUTE(D553," ",""),"/",""),".",""))</f>
        <v>INV13013</v>
      </c>
      <c r="I553" s="9" t="n">
        <f aca="false">IF(COUNTIFS($C$5:C553,C553,$H$5:H553,H553,$E$5:E553,E553)&gt;1,1,0)</f>
        <v>0</v>
      </c>
      <c r="J553" s="9" t="n">
        <f aca="false">IF(AND(I553=0,COUNTIFS($C$5:$C$634,C553,$E$5:$E$634,E553,$B$5:$B$634,"&gt;="&amp;(B553-Parameters!$B$12),$B$5:$B$634,"&lt;="&amp;(B553+Parameters!$B$12),$H$5:$H$634,"&lt;&gt;"&amp;H553)&gt;0),1,0)</f>
        <v>0</v>
      </c>
      <c r="K553" s="9" t="n">
        <f aca="false">IF(AND(E553&gt;=Parameters!$B$11,ROUND(MOD(ROUND(E553,2),Parameters!$B$10),2)=0),1,0)</f>
        <v>0</v>
      </c>
      <c r="L553" s="9" t="n">
        <f aca="false">IF(AND(E553&lt;Parameters!$B$7,E553&gt;=Parameters!$B$7*(1-Parameters!$B$9)),1,0)</f>
        <v>0</v>
      </c>
      <c r="M553" s="9" t="n">
        <f aca="false">IF(AND(E553&lt;Parameters!$B$7,COUNTIFS($C$5:$C$634,C553,$B$5:$B$634,B553)&gt;1,SUMIFS($E$5:$E$634,$C$5:$C$634,C553,$B$5:$B$634,B553)&gt;=Parameters!$B$7),1,0)</f>
        <v>0</v>
      </c>
      <c r="N553" s="9" t="n">
        <f aca="false">IF(AND(E553&gt;=Parameters!$B$7,F553&lt;&gt;Parameters!$B$8),1,0)</f>
        <v>0</v>
      </c>
      <c r="O553" s="9" t="n">
        <f aca="false">INDEX(Vendor_Benford!$N$6:$N$50,MATCH(C553,Vendor_Benford!$A$6:$A$50,0))</f>
        <v>0</v>
      </c>
      <c r="P553" s="9" t="n">
        <f aca="false">INDEX(Vendor_Benford!$M$6:$M$50,MATCH(C553,Vendor_Benford!$A$6:$A$50,0))</f>
        <v>0</v>
      </c>
      <c r="Q553" s="9" t="n">
        <f aca="false">I553*Parameters!$B$28+J553*Parameters!$B$29+K553*Parameters!$B$30+L553*Parameters!$B$31+M553*Parameters!$B$32+N553*Parameters!$B$33+O553*Parameters!$B$34+P553*Parameters!$B$35</f>
        <v>0</v>
      </c>
      <c r="R553" s="0" t="str">
        <f aca="false">IF(Q553&gt;=Parameters!$B$24,"High","")</f>
        <v/>
      </c>
    </row>
    <row r="554" customFormat="false" ht="15" hidden="false" customHeight="false" outlineLevel="0" collapsed="false">
      <c r="A554" s="10" t="s">
        <v>1410</v>
      </c>
      <c r="B554" s="8" t="n">
        <v>45980</v>
      </c>
      <c r="C554" s="10" t="s">
        <v>182</v>
      </c>
      <c r="D554" s="10" t="s">
        <v>1411</v>
      </c>
      <c r="E554" s="12" t="n">
        <v>33387.89</v>
      </c>
      <c r="F554" s="10" t="s">
        <v>40</v>
      </c>
      <c r="G554" s="9" t="n">
        <f aca="false">VALUE(LEFT(TEXT(E554,"0.00"),1))</f>
        <v>3</v>
      </c>
      <c r="H554" s="0" t="str">
        <f aca="false">UPPER(SUBSTITUTE(SUBSTITUTE(SUBSTITUTE(D554," ",""),"/",""),".",""))</f>
        <v>INV25003</v>
      </c>
      <c r="I554" s="9" t="n">
        <f aca="false">IF(COUNTIFS($C$5:C554,C554,$H$5:H554,H554,$E$5:E554,E554)&gt;1,1,0)</f>
        <v>0</v>
      </c>
      <c r="J554" s="9" t="n">
        <f aca="false">IF(AND(I554=0,COUNTIFS($C$5:$C$634,C554,$E$5:$E$634,E554,$B$5:$B$634,"&gt;="&amp;(B554-Parameters!$B$12),$B$5:$B$634,"&lt;="&amp;(B554+Parameters!$B$12),$H$5:$H$634,"&lt;&gt;"&amp;H554)&gt;0),1,0)</f>
        <v>0</v>
      </c>
      <c r="K554" s="9" t="n">
        <f aca="false">IF(AND(E554&gt;=Parameters!$B$11,ROUND(MOD(ROUND(E554,2),Parameters!$B$10),2)=0),1,0)</f>
        <v>0</v>
      </c>
      <c r="L554" s="9" t="n">
        <f aca="false">IF(AND(E554&lt;Parameters!$B$7,E554&gt;=Parameters!$B$7*(1-Parameters!$B$9)),1,0)</f>
        <v>0</v>
      </c>
      <c r="M554" s="9" t="n">
        <f aca="false">IF(AND(E554&lt;Parameters!$B$7,COUNTIFS($C$5:$C$634,C554,$B$5:$B$634,B554)&gt;1,SUMIFS($E$5:$E$634,$C$5:$C$634,C554,$B$5:$B$634,B554)&gt;=Parameters!$B$7),1,0)</f>
        <v>0</v>
      </c>
      <c r="N554" s="9" t="n">
        <f aca="false">IF(AND(E554&gt;=Parameters!$B$7,F554&lt;&gt;Parameters!$B$8),1,0)</f>
        <v>0</v>
      </c>
      <c r="O554" s="9" t="n">
        <f aca="false">INDEX(Vendor_Benford!$N$6:$N$50,MATCH(C554,Vendor_Benford!$A$6:$A$50,0))</f>
        <v>0</v>
      </c>
      <c r="P554" s="9" t="n">
        <f aca="false">INDEX(Vendor_Benford!$M$6:$M$50,MATCH(C554,Vendor_Benford!$A$6:$A$50,0))</f>
        <v>0</v>
      </c>
      <c r="Q554" s="9" t="n">
        <f aca="false">I554*Parameters!$B$28+J554*Parameters!$B$29+K554*Parameters!$B$30+L554*Parameters!$B$31+M554*Parameters!$B$32+N554*Parameters!$B$33+O554*Parameters!$B$34+P554*Parameters!$B$35</f>
        <v>0</v>
      </c>
      <c r="R554" s="0" t="str">
        <f aca="false">IF(Q554&gt;=Parameters!$B$24,"High","")</f>
        <v/>
      </c>
    </row>
    <row r="555" customFormat="false" ht="15" hidden="false" customHeight="false" outlineLevel="0" collapsed="false">
      <c r="A555" s="10" t="s">
        <v>1412</v>
      </c>
      <c r="B555" s="8" t="n">
        <v>45981</v>
      </c>
      <c r="C555" s="10" t="s">
        <v>131</v>
      </c>
      <c r="D555" s="10" t="s">
        <v>1413</v>
      </c>
      <c r="E555" s="12" t="n">
        <v>446.28</v>
      </c>
      <c r="F555" s="10" t="s">
        <v>347</v>
      </c>
      <c r="G555" s="9" t="n">
        <f aca="false">VALUE(LEFT(TEXT(E555,"0.00"),1))</f>
        <v>4</v>
      </c>
      <c r="H555" s="0" t="str">
        <f aca="false">UPPER(SUBSTITUTE(SUBSTITUTE(SUBSTITUTE(D555," ",""),"/",""),".",""))</f>
        <v>INV8002</v>
      </c>
      <c r="I555" s="9" t="n">
        <f aca="false">IF(COUNTIFS($C$5:C555,C555,$H$5:H555,H555,$E$5:E555,E555)&gt;1,1,0)</f>
        <v>0</v>
      </c>
      <c r="J555" s="9" t="n">
        <f aca="false">IF(AND(I555=0,COUNTIFS($C$5:$C$634,C555,$E$5:$E$634,E555,$B$5:$B$634,"&gt;="&amp;(B555-Parameters!$B$12),$B$5:$B$634,"&lt;="&amp;(B555+Parameters!$B$12),$H$5:$H$634,"&lt;&gt;"&amp;H555)&gt;0),1,0)</f>
        <v>0</v>
      </c>
      <c r="K555" s="9" t="n">
        <f aca="false">IF(AND(E555&gt;=Parameters!$B$11,ROUND(MOD(ROUND(E555,2),Parameters!$B$10),2)=0),1,0)</f>
        <v>0</v>
      </c>
      <c r="L555" s="9" t="n">
        <f aca="false">IF(AND(E555&lt;Parameters!$B$7,E555&gt;=Parameters!$B$7*(1-Parameters!$B$9)),1,0)</f>
        <v>0</v>
      </c>
      <c r="M555" s="9" t="n">
        <f aca="false">IF(AND(E555&lt;Parameters!$B$7,COUNTIFS($C$5:$C$634,C555,$B$5:$B$634,B555)&gt;1,SUMIFS($E$5:$E$634,$C$5:$C$634,C555,$B$5:$B$634,B555)&gt;=Parameters!$B$7),1,0)</f>
        <v>0</v>
      </c>
      <c r="N555" s="9" t="n">
        <f aca="false">IF(AND(E555&gt;=Parameters!$B$7,F555&lt;&gt;Parameters!$B$8),1,0)</f>
        <v>0</v>
      </c>
      <c r="O555" s="9" t="n">
        <f aca="false">INDEX(Vendor_Benford!$N$6:$N$50,MATCH(C555,Vendor_Benford!$A$6:$A$50,0))</f>
        <v>0</v>
      </c>
      <c r="P555" s="9" t="n">
        <f aca="false">INDEX(Vendor_Benford!$M$6:$M$50,MATCH(C555,Vendor_Benford!$A$6:$A$50,0))</f>
        <v>0</v>
      </c>
      <c r="Q555" s="9" t="n">
        <f aca="false">I555*Parameters!$B$28+J555*Parameters!$B$29+K555*Parameters!$B$30+L555*Parameters!$B$31+M555*Parameters!$B$32+N555*Parameters!$B$33+O555*Parameters!$B$34+P555*Parameters!$B$35</f>
        <v>0</v>
      </c>
      <c r="R555" s="0" t="str">
        <f aca="false">IF(Q555&gt;=Parameters!$B$24,"High","")</f>
        <v/>
      </c>
    </row>
    <row r="556" customFormat="false" ht="15" hidden="false" customHeight="false" outlineLevel="0" collapsed="false">
      <c r="A556" s="10" t="s">
        <v>1414</v>
      </c>
      <c r="B556" s="8" t="n">
        <v>45981</v>
      </c>
      <c r="C556" s="10" t="s">
        <v>206</v>
      </c>
      <c r="D556" s="10" t="s">
        <v>1415</v>
      </c>
      <c r="E556" s="12" t="n">
        <v>7490.52</v>
      </c>
      <c r="F556" s="10" t="s">
        <v>40</v>
      </c>
      <c r="G556" s="9" t="n">
        <f aca="false">VALUE(LEFT(TEXT(E556,"0.00"),1))</f>
        <v>7</v>
      </c>
      <c r="H556" s="0" t="str">
        <f aca="false">UPPER(SUBSTITUTE(SUBSTITUTE(SUBSTITUTE(D556," ",""),"/",""),".",""))</f>
        <v>INV33015</v>
      </c>
      <c r="I556" s="9" t="n">
        <f aca="false">IF(COUNTIFS($C$5:C556,C556,$H$5:H556,H556,$E$5:E556,E556)&gt;1,1,0)</f>
        <v>0</v>
      </c>
      <c r="J556" s="9" t="n">
        <f aca="false">IF(AND(I556=0,COUNTIFS($C$5:$C$634,C556,$E$5:$E$634,E556,$B$5:$B$634,"&gt;="&amp;(B556-Parameters!$B$12),$B$5:$B$634,"&lt;="&amp;(B556+Parameters!$B$12),$H$5:$H$634,"&lt;&gt;"&amp;H556)&gt;0),1,0)</f>
        <v>0</v>
      </c>
      <c r="K556" s="9" t="n">
        <f aca="false">IF(AND(E556&gt;=Parameters!$B$11,ROUND(MOD(ROUND(E556,2),Parameters!$B$10),2)=0),1,0)</f>
        <v>0</v>
      </c>
      <c r="L556" s="9" t="n">
        <f aca="false">IF(AND(E556&lt;Parameters!$B$7,E556&gt;=Parameters!$B$7*(1-Parameters!$B$9)),1,0)</f>
        <v>0</v>
      </c>
      <c r="M556" s="9" t="n">
        <f aca="false">IF(AND(E556&lt;Parameters!$B$7,COUNTIFS($C$5:$C$634,C556,$B$5:$B$634,B556)&gt;1,SUMIFS($E$5:$E$634,$C$5:$C$634,C556,$B$5:$B$634,B556)&gt;=Parameters!$B$7),1,0)</f>
        <v>0</v>
      </c>
      <c r="N556" s="9" t="n">
        <f aca="false">IF(AND(E556&gt;=Parameters!$B$7,F556&lt;&gt;Parameters!$B$8),1,0)</f>
        <v>0</v>
      </c>
      <c r="O556" s="9" t="n">
        <f aca="false">INDEX(Vendor_Benford!$N$6:$N$50,MATCH(C556,Vendor_Benford!$A$6:$A$50,0))</f>
        <v>0</v>
      </c>
      <c r="P556" s="9" t="n">
        <f aca="false">INDEX(Vendor_Benford!$M$6:$M$50,MATCH(C556,Vendor_Benford!$A$6:$A$50,0))</f>
        <v>0</v>
      </c>
      <c r="Q556" s="9" t="n">
        <f aca="false">I556*Parameters!$B$28+J556*Parameters!$B$29+K556*Parameters!$B$30+L556*Parameters!$B$31+M556*Parameters!$B$32+N556*Parameters!$B$33+O556*Parameters!$B$34+P556*Parameters!$B$35</f>
        <v>0</v>
      </c>
      <c r="R556" s="0" t="str">
        <f aca="false">IF(Q556&gt;=Parameters!$B$24,"High","")</f>
        <v/>
      </c>
    </row>
    <row r="557" customFormat="false" ht="15" hidden="false" customHeight="false" outlineLevel="0" collapsed="false">
      <c r="A557" s="10" t="s">
        <v>1416</v>
      </c>
      <c r="B557" s="8" t="n">
        <v>45982</v>
      </c>
      <c r="C557" s="10" t="s">
        <v>161</v>
      </c>
      <c r="D557" s="10" t="s">
        <v>1417</v>
      </c>
      <c r="E557" s="12" t="n">
        <v>285.82</v>
      </c>
      <c r="F557" s="10" t="s">
        <v>347</v>
      </c>
      <c r="G557" s="9" t="n">
        <f aca="false">VALUE(LEFT(TEXT(E557,"0.00"),1))</f>
        <v>2</v>
      </c>
      <c r="H557" s="0" t="str">
        <f aca="false">UPPER(SUBSTITUTE(SUBSTITUTE(SUBSTITUTE(D557," ",""),"/",""),".",""))</f>
        <v>INV18010</v>
      </c>
      <c r="I557" s="9" t="n">
        <f aca="false">IF(COUNTIFS($C$5:C557,C557,$H$5:H557,H557,$E$5:E557,E557)&gt;1,1,0)</f>
        <v>0</v>
      </c>
      <c r="J557" s="9" t="n">
        <f aca="false">IF(AND(I557=0,COUNTIFS($C$5:$C$634,C557,$E$5:$E$634,E557,$B$5:$B$634,"&gt;="&amp;(B557-Parameters!$B$12),$B$5:$B$634,"&lt;="&amp;(B557+Parameters!$B$12),$H$5:$H$634,"&lt;&gt;"&amp;H557)&gt;0),1,0)</f>
        <v>0</v>
      </c>
      <c r="K557" s="9" t="n">
        <f aca="false">IF(AND(E557&gt;=Parameters!$B$11,ROUND(MOD(ROUND(E557,2),Parameters!$B$10),2)=0),1,0)</f>
        <v>0</v>
      </c>
      <c r="L557" s="9" t="n">
        <f aca="false">IF(AND(E557&lt;Parameters!$B$7,E557&gt;=Parameters!$B$7*(1-Parameters!$B$9)),1,0)</f>
        <v>0</v>
      </c>
      <c r="M557" s="9" t="n">
        <f aca="false">IF(AND(E557&lt;Parameters!$B$7,COUNTIFS($C$5:$C$634,C557,$B$5:$B$634,B557)&gt;1,SUMIFS($E$5:$E$634,$C$5:$C$634,C557,$B$5:$B$634,B557)&gt;=Parameters!$B$7),1,0)</f>
        <v>0</v>
      </c>
      <c r="N557" s="9" t="n">
        <f aca="false">IF(AND(E557&gt;=Parameters!$B$7,F557&lt;&gt;Parameters!$B$8),1,0)</f>
        <v>0</v>
      </c>
      <c r="O557" s="9" t="n">
        <f aca="false">INDEX(Vendor_Benford!$N$6:$N$50,MATCH(C557,Vendor_Benford!$A$6:$A$50,0))</f>
        <v>0</v>
      </c>
      <c r="P557" s="9" t="n">
        <f aca="false">INDEX(Vendor_Benford!$M$6:$M$50,MATCH(C557,Vendor_Benford!$A$6:$A$50,0))</f>
        <v>0</v>
      </c>
      <c r="Q557" s="9" t="n">
        <f aca="false">I557*Parameters!$B$28+J557*Parameters!$B$29+K557*Parameters!$B$30+L557*Parameters!$B$31+M557*Parameters!$B$32+N557*Parameters!$B$33+O557*Parameters!$B$34+P557*Parameters!$B$35</f>
        <v>0</v>
      </c>
      <c r="R557" s="0" t="str">
        <f aca="false">IF(Q557&gt;=Parameters!$B$24,"High","")</f>
        <v/>
      </c>
    </row>
    <row r="558" customFormat="false" ht="15" hidden="false" customHeight="false" outlineLevel="0" collapsed="false">
      <c r="A558" s="10" t="s">
        <v>1418</v>
      </c>
      <c r="B558" s="8" t="n">
        <v>45982</v>
      </c>
      <c r="C558" s="10" t="s">
        <v>161</v>
      </c>
      <c r="D558" s="10" t="s">
        <v>1419</v>
      </c>
      <c r="E558" s="12" t="n">
        <v>172.04</v>
      </c>
      <c r="F558" s="10" t="s">
        <v>40</v>
      </c>
      <c r="G558" s="9" t="n">
        <f aca="false">VALUE(LEFT(TEXT(E558,"0.00"),1))</f>
        <v>1</v>
      </c>
      <c r="H558" s="0" t="str">
        <f aca="false">UPPER(SUBSTITUTE(SUBSTITUTE(SUBSTITUTE(D558," ",""),"/",""),".",""))</f>
        <v>INV18013</v>
      </c>
      <c r="I558" s="9" t="n">
        <f aca="false">IF(COUNTIFS($C$5:C558,C558,$H$5:H558,H558,$E$5:E558,E558)&gt;1,1,0)</f>
        <v>0</v>
      </c>
      <c r="J558" s="9" t="n">
        <f aca="false">IF(AND(I558=0,COUNTIFS($C$5:$C$634,C558,$E$5:$E$634,E558,$B$5:$B$634,"&gt;="&amp;(B558-Parameters!$B$12),$B$5:$B$634,"&lt;="&amp;(B558+Parameters!$B$12),$H$5:$H$634,"&lt;&gt;"&amp;H558)&gt;0),1,0)</f>
        <v>0</v>
      </c>
      <c r="K558" s="9" t="n">
        <f aca="false">IF(AND(E558&gt;=Parameters!$B$11,ROUND(MOD(ROUND(E558,2),Parameters!$B$10),2)=0),1,0)</f>
        <v>0</v>
      </c>
      <c r="L558" s="9" t="n">
        <f aca="false">IF(AND(E558&lt;Parameters!$B$7,E558&gt;=Parameters!$B$7*(1-Parameters!$B$9)),1,0)</f>
        <v>0</v>
      </c>
      <c r="M558" s="9" t="n">
        <f aca="false">IF(AND(E558&lt;Parameters!$B$7,COUNTIFS($C$5:$C$634,C558,$B$5:$B$634,B558)&gt;1,SUMIFS($E$5:$E$634,$C$5:$C$634,C558,$B$5:$B$634,B558)&gt;=Parameters!$B$7),1,0)</f>
        <v>0</v>
      </c>
      <c r="N558" s="9" t="n">
        <f aca="false">IF(AND(E558&gt;=Parameters!$B$7,F558&lt;&gt;Parameters!$B$8),1,0)</f>
        <v>0</v>
      </c>
      <c r="O558" s="9" t="n">
        <f aca="false">INDEX(Vendor_Benford!$N$6:$N$50,MATCH(C558,Vendor_Benford!$A$6:$A$50,0))</f>
        <v>0</v>
      </c>
      <c r="P558" s="9" t="n">
        <f aca="false">INDEX(Vendor_Benford!$M$6:$M$50,MATCH(C558,Vendor_Benford!$A$6:$A$50,0))</f>
        <v>0</v>
      </c>
      <c r="Q558" s="9" t="n">
        <f aca="false">I558*Parameters!$B$28+J558*Parameters!$B$29+K558*Parameters!$B$30+L558*Parameters!$B$31+M558*Parameters!$B$32+N558*Parameters!$B$33+O558*Parameters!$B$34+P558*Parameters!$B$35</f>
        <v>0</v>
      </c>
      <c r="R558" s="0" t="str">
        <f aca="false">IF(Q558&gt;=Parameters!$B$24,"High","")</f>
        <v/>
      </c>
    </row>
    <row r="559" customFormat="false" ht="15" hidden="false" customHeight="false" outlineLevel="0" collapsed="false">
      <c r="A559" s="10" t="s">
        <v>1420</v>
      </c>
      <c r="B559" s="8" t="n">
        <v>45982</v>
      </c>
      <c r="C559" s="10" t="s">
        <v>197</v>
      </c>
      <c r="D559" s="10" t="s">
        <v>1421</v>
      </c>
      <c r="E559" s="12" t="n">
        <v>23157.03</v>
      </c>
      <c r="F559" s="10" t="s">
        <v>40</v>
      </c>
      <c r="G559" s="9" t="n">
        <f aca="false">VALUE(LEFT(TEXT(E559,"0.00"),1))</f>
        <v>2</v>
      </c>
      <c r="H559" s="0" t="str">
        <f aca="false">UPPER(SUBSTITUTE(SUBSTITUTE(SUBSTITUTE(D559," ",""),"/",""),".",""))</f>
        <v>INV30003</v>
      </c>
      <c r="I559" s="9" t="n">
        <f aca="false">IF(COUNTIFS($C$5:C559,C559,$H$5:H559,H559,$E$5:E559,E559)&gt;1,1,0)</f>
        <v>0</v>
      </c>
      <c r="J559" s="9" t="n">
        <f aca="false">IF(AND(I559=0,COUNTIFS($C$5:$C$634,C559,$E$5:$E$634,E559,$B$5:$B$634,"&gt;="&amp;(B559-Parameters!$B$12),$B$5:$B$634,"&lt;="&amp;(B559+Parameters!$B$12),$H$5:$H$634,"&lt;&gt;"&amp;H559)&gt;0),1,0)</f>
        <v>0</v>
      </c>
      <c r="K559" s="9" t="n">
        <f aca="false">IF(AND(E559&gt;=Parameters!$B$11,ROUND(MOD(ROUND(E559,2),Parameters!$B$10),2)=0),1,0)</f>
        <v>0</v>
      </c>
      <c r="L559" s="9" t="n">
        <f aca="false">IF(AND(E559&lt;Parameters!$B$7,E559&gt;=Parameters!$B$7*(1-Parameters!$B$9)),1,0)</f>
        <v>0</v>
      </c>
      <c r="M559" s="9" t="n">
        <f aca="false">IF(AND(E559&lt;Parameters!$B$7,COUNTIFS($C$5:$C$634,C559,$B$5:$B$634,B559)&gt;1,SUMIFS($E$5:$E$634,$C$5:$C$634,C559,$B$5:$B$634,B559)&gt;=Parameters!$B$7),1,0)</f>
        <v>0</v>
      </c>
      <c r="N559" s="9" t="n">
        <f aca="false">IF(AND(E559&gt;=Parameters!$B$7,F559&lt;&gt;Parameters!$B$8),1,0)</f>
        <v>0</v>
      </c>
      <c r="O559" s="9" t="n">
        <f aca="false">INDEX(Vendor_Benford!$N$6:$N$50,MATCH(C559,Vendor_Benford!$A$6:$A$50,0))</f>
        <v>0</v>
      </c>
      <c r="P559" s="9" t="n">
        <f aca="false">INDEX(Vendor_Benford!$M$6:$M$50,MATCH(C559,Vendor_Benford!$A$6:$A$50,0))</f>
        <v>0</v>
      </c>
      <c r="Q559" s="9" t="n">
        <f aca="false">I559*Parameters!$B$28+J559*Parameters!$B$29+K559*Parameters!$B$30+L559*Parameters!$B$31+M559*Parameters!$B$32+N559*Parameters!$B$33+O559*Parameters!$B$34+P559*Parameters!$B$35</f>
        <v>0</v>
      </c>
      <c r="R559" s="0" t="str">
        <f aca="false">IF(Q559&gt;=Parameters!$B$24,"High","")</f>
        <v/>
      </c>
    </row>
    <row r="560" customFormat="false" ht="15" hidden="false" customHeight="false" outlineLevel="0" collapsed="false">
      <c r="A560" s="10" t="s">
        <v>1422</v>
      </c>
      <c r="B560" s="8" t="n">
        <v>45985</v>
      </c>
      <c r="C560" s="10" t="s">
        <v>131</v>
      </c>
      <c r="D560" s="10" t="s">
        <v>1423</v>
      </c>
      <c r="E560" s="12" t="n">
        <v>2451.91</v>
      </c>
      <c r="F560" s="10" t="s">
        <v>347</v>
      </c>
      <c r="G560" s="9" t="n">
        <f aca="false">VALUE(LEFT(TEXT(E560,"0.00"),1))</f>
        <v>2</v>
      </c>
      <c r="H560" s="0" t="str">
        <f aca="false">UPPER(SUBSTITUTE(SUBSTITUTE(SUBSTITUTE(D560," ",""),"/",""),".",""))</f>
        <v>INV8007</v>
      </c>
      <c r="I560" s="9" t="n">
        <f aca="false">IF(COUNTIFS($C$5:C560,C560,$H$5:H560,H560,$E$5:E560,E560)&gt;1,1,0)</f>
        <v>0</v>
      </c>
      <c r="J560" s="9" t="n">
        <f aca="false">IF(AND(I560=0,COUNTIFS($C$5:$C$634,C560,$E$5:$E$634,E560,$B$5:$B$634,"&gt;="&amp;(B560-Parameters!$B$12),$B$5:$B$634,"&lt;="&amp;(B560+Parameters!$B$12),$H$5:$H$634,"&lt;&gt;"&amp;H560)&gt;0),1,0)</f>
        <v>0</v>
      </c>
      <c r="K560" s="9" t="n">
        <f aca="false">IF(AND(E560&gt;=Parameters!$B$11,ROUND(MOD(ROUND(E560,2),Parameters!$B$10),2)=0),1,0)</f>
        <v>0</v>
      </c>
      <c r="L560" s="9" t="n">
        <f aca="false">IF(AND(E560&lt;Parameters!$B$7,E560&gt;=Parameters!$B$7*(1-Parameters!$B$9)),1,0)</f>
        <v>0</v>
      </c>
      <c r="M560" s="9" t="n">
        <f aca="false">IF(AND(E560&lt;Parameters!$B$7,COUNTIFS($C$5:$C$634,C560,$B$5:$B$634,B560)&gt;1,SUMIFS($E$5:$E$634,$C$5:$C$634,C560,$B$5:$B$634,B560)&gt;=Parameters!$B$7),1,0)</f>
        <v>0</v>
      </c>
      <c r="N560" s="9" t="n">
        <f aca="false">IF(AND(E560&gt;=Parameters!$B$7,F560&lt;&gt;Parameters!$B$8),1,0)</f>
        <v>0</v>
      </c>
      <c r="O560" s="9" t="n">
        <f aca="false">INDEX(Vendor_Benford!$N$6:$N$50,MATCH(C560,Vendor_Benford!$A$6:$A$50,0))</f>
        <v>0</v>
      </c>
      <c r="P560" s="9" t="n">
        <f aca="false">INDEX(Vendor_Benford!$M$6:$M$50,MATCH(C560,Vendor_Benford!$A$6:$A$50,0))</f>
        <v>0</v>
      </c>
      <c r="Q560" s="9" t="n">
        <f aca="false">I560*Parameters!$B$28+J560*Parameters!$B$29+K560*Parameters!$B$30+L560*Parameters!$B$31+M560*Parameters!$B$32+N560*Parameters!$B$33+O560*Parameters!$B$34+P560*Parameters!$B$35</f>
        <v>0</v>
      </c>
      <c r="R560" s="0" t="str">
        <f aca="false">IF(Q560&gt;=Parameters!$B$24,"High","")</f>
        <v/>
      </c>
    </row>
    <row r="561" customFormat="false" ht="15" hidden="false" customHeight="false" outlineLevel="0" collapsed="false">
      <c r="A561" s="10" t="s">
        <v>1424</v>
      </c>
      <c r="B561" s="8" t="n">
        <v>45985</v>
      </c>
      <c r="C561" s="10" t="s">
        <v>134</v>
      </c>
      <c r="D561" s="10" t="s">
        <v>1425</v>
      </c>
      <c r="E561" s="12" t="n">
        <v>1068.01</v>
      </c>
      <c r="F561" s="10" t="s">
        <v>40</v>
      </c>
      <c r="G561" s="9" t="n">
        <f aca="false">VALUE(LEFT(TEXT(E561,"0.00"),1))</f>
        <v>1</v>
      </c>
      <c r="H561" s="0" t="str">
        <f aca="false">UPPER(SUBSTITUTE(SUBSTITUTE(SUBSTITUTE(D561," ",""),"/",""),".",""))</f>
        <v>INV9006</v>
      </c>
      <c r="I561" s="9" t="n">
        <f aca="false">IF(COUNTIFS($C$5:C561,C561,$H$5:H561,H561,$E$5:E561,E561)&gt;1,1,0)</f>
        <v>0</v>
      </c>
      <c r="J561" s="9" t="n">
        <f aca="false">IF(AND(I561=0,COUNTIFS($C$5:$C$634,C561,$E$5:$E$634,E561,$B$5:$B$634,"&gt;="&amp;(B561-Parameters!$B$12),$B$5:$B$634,"&lt;="&amp;(B561+Parameters!$B$12),$H$5:$H$634,"&lt;&gt;"&amp;H561)&gt;0),1,0)</f>
        <v>0</v>
      </c>
      <c r="K561" s="9" t="n">
        <f aca="false">IF(AND(E561&gt;=Parameters!$B$11,ROUND(MOD(ROUND(E561,2),Parameters!$B$10),2)=0),1,0)</f>
        <v>0</v>
      </c>
      <c r="L561" s="9" t="n">
        <f aca="false">IF(AND(E561&lt;Parameters!$B$7,E561&gt;=Parameters!$B$7*(1-Parameters!$B$9)),1,0)</f>
        <v>0</v>
      </c>
      <c r="M561" s="9" t="n">
        <f aca="false">IF(AND(E561&lt;Parameters!$B$7,COUNTIFS($C$5:$C$634,C561,$B$5:$B$634,B561)&gt;1,SUMIFS($E$5:$E$634,$C$5:$C$634,C561,$B$5:$B$634,B561)&gt;=Parameters!$B$7),1,0)</f>
        <v>0</v>
      </c>
      <c r="N561" s="9" t="n">
        <f aca="false">IF(AND(E561&gt;=Parameters!$B$7,F561&lt;&gt;Parameters!$B$8),1,0)</f>
        <v>0</v>
      </c>
      <c r="O561" s="9" t="n">
        <f aca="false">INDEX(Vendor_Benford!$N$6:$N$50,MATCH(C561,Vendor_Benford!$A$6:$A$50,0))</f>
        <v>0</v>
      </c>
      <c r="P561" s="9" t="n">
        <f aca="false">INDEX(Vendor_Benford!$M$6:$M$50,MATCH(C561,Vendor_Benford!$A$6:$A$50,0))</f>
        <v>0</v>
      </c>
      <c r="Q561" s="9" t="n">
        <f aca="false">I561*Parameters!$B$28+J561*Parameters!$B$29+K561*Parameters!$B$30+L561*Parameters!$B$31+M561*Parameters!$B$32+N561*Parameters!$B$33+O561*Parameters!$B$34+P561*Parameters!$B$35</f>
        <v>0</v>
      </c>
      <c r="R561" s="0" t="str">
        <f aca="false">IF(Q561&gt;=Parameters!$B$24,"High","")</f>
        <v/>
      </c>
    </row>
    <row r="562" customFormat="false" ht="15" hidden="false" customHeight="false" outlineLevel="0" collapsed="false">
      <c r="A562" s="10" t="s">
        <v>1426</v>
      </c>
      <c r="B562" s="8" t="n">
        <v>45985</v>
      </c>
      <c r="C562" s="10" t="s">
        <v>155</v>
      </c>
      <c r="D562" s="10" t="s">
        <v>1427</v>
      </c>
      <c r="E562" s="12" t="n">
        <v>1374.54</v>
      </c>
      <c r="F562" s="10" t="s">
        <v>40</v>
      </c>
      <c r="G562" s="9" t="n">
        <f aca="false">VALUE(LEFT(TEXT(E562,"0.00"),1))</f>
        <v>1</v>
      </c>
      <c r="H562" s="0" t="str">
        <f aca="false">UPPER(SUBSTITUTE(SUBSTITUTE(SUBSTITUTE(D562," ",""),"/",""),".",""))</f>
        <v>INV16006</v>
      </c>
      <c r="I562" s="9" t="n">
        <f aca="false">IF(COUNTIFS($C$5:C562,C562,$H$5:H562,H562,$E$5:E562,E562)&gt;1,1,0)</f>
        <v>0</v>
      </c>
      <c r="J562" s="9" t="n">
        <f aca="false">IF(AND(I562=0,COUNTIFS($C$5:$C$634,C562,$E$5:$E$634,E562,$B$5:$B$634,"&gt;="&amp;(B562-Parameters!$B$12),$B$5:$B$634,"&lt;="&amp;(B562+Parameters!$B$12),$H$5:$H$634,"&lt;&gt;"&amp;H562)&gt;0),1,0)</f>
        <v>0</v>
      </c>
      <c r="K562" s="9" t="n">
        <f aca="false">IF(AND(E562&gt;=Parameters!$B$11,ROUND(MOD(ROUND(E562,2),Parameters!$B$10),2)=0),1,0)</f>
        <v>0</v>
      </c>
      <c r="L562" s="9" t="n">
        <f aca="false">IF(AND(E562&lt;Parameters!$B$7,E562&gt;=Parameters!$B$7*(1-Parameters!$B$9)),1,0)</f>
        <v>0</v>
      </c>
      <c r="M562" s="9" t="n">
        <f aca="false">IF(AND(E562&lt;Parameters!$B$7,COUNTIFS($C$5:$C$634,C562,$B$5:$B$634,B562)&gt;1,SUMIFS($E$5:$E$634,$C$5:$C$634,C562,$B$5:$B$634,B562)&gt;=Parameters!$B$7),1,0)</f>
        <v>0</v>
      </c>
      <c r="N562" s="9" t="n">
        <f aca="false">IF(AND(E562&gt;=Parameters!$B$7,F562&lt;&gt;Parameters!$B$8),1,0)</f>
        <v>0</v>
      </c>
      <c r="O562" s="9" t="n">
        <f aca="false">INDEX(Vendor_Benford!$N$6:$N$50,MATCH(C562,Vendor_Benford!$A$6:$A$50,0))</f>
        <v>0</v>
      </c>
      <c r="P562" s="9" t="n">
        <f aca="false">INDEX(Vendor_Benford!$M$6:$M$50,MATCH(C562,Vendor_Benford!$A$6:$A$50,0))</f>
        <v>0</v>
      </c>
      <c r="Q562" s="9" t="n">
        <f aca="false">I562*Parameters!$B$28+J562*Parameters!$B$29+K562*Parameters!$B$30+L562*Parameters!$B$31+M562*Parameters!$B$32+N562*Parameters!$B$33+O562*Parameters!$B$34+P562*Parameters!$B$35</f>
        <v>0</v>
      </c>
      <c r="R562" s="0" t="str">
        <f aca="false">IF(Q562&gt;=Parameters!$B$24,"High","")</f>
        <v/>
      </c>
    </row>
    <row r="563" customFormat="false" ht="15" hidden="false" customHeight="false" outlineLevel="0" collapsed="false">
      <c r="A563" s="10" t="s">
        <v>1428</v>
      </c>
      <c r="B563" s="8" t="n">
        <v>45985</v>
      </c>
      <c r="C563" s="10" t="s">
        <v>203</v>
      </c>
      <c r="D563" s="10" t="s">
        <v>1429</v>
      </c>
      <c r="E563" s="12" t="n">
        <v>2095.07</v>
      </c>
      <c r="F563" s="10" t="s">
        <v>40</v>
      </c>
      <c r="G563" s="9" t="n">
        <f aca="false">VALUE(LEFT(TEXT(E563,"0.00"),1))</f>
        <v>2</v>
      </c>
      <c r="H563" s="0" t="str">
        <f aca="false">UPPER(SUBSTITUTE(SUBSTITUTE(SUBSTITUTE(D563," ",""),"/",""),".",""))</f>
        <v>INV32006</v>
      </c>
      <c r="I563" s="9" t="n">
        <f aca="false">IF(COUNTIFS($C$5:C563,C563,$H$5:H563,H563,$E$5:E563,E563)&gt;1,1,0)</f>
        <v>0</v>
      </c>
      <c r="J563" s="9" t="n">
        <f aca="false">IF(AND(I563=0,COUNTIFS($C$5:$C$634,C563,$E$5:$E$634,E563,$B$5:$B$634,"&gt;="&amp;(B563-Parameters!$B$12),$B$5:$B$634,"&lt;="&amp;(B563+Parameters!$B$12),$H$5:$H$634,"&lt;&gt;"&amp;H563)&gt;0),1,0)</f>
        <v>0</v>
      </c>
      <c r="K563" s="9" t="n">
        <f aca="false">IF(AND(E563&gt;=Parameters!$B$11,ROUND(MOD(ROUND(E563,2),Parameters!$B$10),2)=0),1,0)</f>
        <v>0</v>
      </c>
      <c r="L563" s="9" t="n">
        <f aca="false">IF(AND(E563&lt;Parameters!$B$7,E563&gt;=Parameters!$B$7*(1-Parameters!$B$9)),1,0)</f>
        <v>0</v>
      </c>
      <c r="M563" s="9" t="n">
        <f aca="false">IF(AND(E563&lt;Parameters!$B$7,COUNTIFS($C$5:$C$634,C563,$B$5:$B$634,B563)&gt;1,SUMIFS($E$5:$E$634,$C$5:$C$634,C563,$B$5:$B$634,B563)&gt;=Parameters!$B$7),1,0)</f>
        <v>1</v>
      </c>
      <c r="N563" s="9" t="n">
        <f aca="false">IF(AND(E563&gt;=Parameters!$B$7,F563&lt;&gt;Parameters!$B$8),1,0)</f>
        <v>0</v>
      </c>
      <c r="O563" s="9" t="n">
        <f aca="false">INDEX(Vendor_Benford!$N$6:$N$50,MATCH(C563,Vendor_Benford!$A$6:$A$50,0))</f>
        <v>0</v>
      </c>
      <c r="P563" s="9" t="n">
        <f aca="false">INDEX(Vendor_Benford!$M$6:$M$50,MATCH(C563,Vendor_Benford!$A$6:$A$50,0))</f>
        <v>0</v>
      </c>
      <c r="Q563" s="9" t="n">
        <f aca="false">I563*Parameters!$B$28+J563*Parameters!$B$29+K563*Parameters!$B$30+L563*Parameters!$B$31+M563*Parameters!$B$32+N563*Parameters!$B$33+O563*Parameters!$B$34+P563*Parameters!$B$35</f>
        <v>3</v>
      </c>
      <c r="R563" s="0" t="str">
        <f aca="false">IF(Q563&gt;=Parameters!$B$24,"High","")</f>
        <v/>
      </c>
    </row>
    <row r="564" customFormat="false" ht="15" hidden="false" customHeight="false" outlineLevel="0" collapsed="false">
      <c r="A564" s="10" t="s">
        <v>1430</v>
      </c>
      <c r="B564" s="8" t="n">
        <v>45985</v>
      </c>
      <c r="C564" s="10" t="s">
        <v>203</v>
      </c>
      <c r="D564" s="10" t="s">
        <v>1431</v>
      </c>
      <c r="E564" s="12" t="n">
        <v>7270.87</v>
      </c>
      <c r="F564" s="10" t="s">
        <v>40</v>
      </c>
      <c r="G564" s="9" t="n">
        <f aca="false">VALUE(LEFT(TEXT(E564,"0.00"),1))</f>
        <v>7</v>
      </c>
      <c r="H564" s="0" t="str">
        <f aca="false">UPPER(SUBSTITUTE(SUBSTITUTE(SUBSTITUTE(D564," ",""),"/",""),".",""))</f>
        <v>INV32010</v>
      </c>
      <c r="I564" s="9" t="n">
        <f aca="false">IF(COUNTIFS($C$5:C564,C564,$H$5:H564,H564,$E$5:E564,E564)&gt;1,1,0)</f>
        <v>0</v>
      </c>
      <c r="J564" s="9" t="n">
        <f aca="false">IF(AND(I564=0,COUNTIFS($C$5:$C$634,C564,$E$5:$E$634,E564,$B$5:$B$634,"&gt;="&amp;(B564-Parameters!$B$12),$B$5:$B$634,"&lt;="&amp;(B564+Parameters!$B$12),$H$5:$H$634,"&lt;&gt;"&amp;H564)&gt;0),1,0)</f>
        <v>0</v>
      </c>
      <c r="K564" s="9" t="n">
        <f aca="false">IF(AND(E564&gt;=Parameters!$B$11,ROUND(MOD(ROUND(E564,2),Parameters!$B$10),2)=0),1,0)</f>
        <v>0</v>
      </c>
      <c r="L564" s="9" t="n">
        <f aca="false">IF(AND(E564&lt;Parameters!$B$7,E564&gt;=Parameters!$B$7*(1-Parameters!$B$9)),1,0)</f>
        <v>0</v>
      </c>
      <c r="M564" s="9" t="n">
        <f aca="false">IF(AND(E564&lt;Parameters!$B$7,COUNTIFS($C$5:$C$634,C564,$B$5:$B$634,B564)&gt;1,SUMIFS($E$5:$E$634,$C$5:$C$634,C564,$B$5:$B$634,B564)&gt;=Parameters!$B$7),1,0)</f>
        <v>0</v>
      </c>
      <c r="N564" s="9" t="n">
        <f aca="false">IF(AND(E564&gt;=Parameters!$B$7,F564&lt;&gt;Parameters!$B$8),1,0)</f>
        <v>0</v>
      </c>
      <c r="O564" s="9" t="n">
        <f aca="false">INDEX(Vendor_Benford!$N$6:$N$50,MATCH(C564,Vendor_Benford!$A$6:$A$50,0))</f>
        <v>0</v>
      </c>
      <c r="P564" s="9" t="n">
        <f aca="false">INDEX(Vendor_Benford!$M$6:$M$50,MATCH(C564,Vendor_Benford!$A$6:$A$50,0))</f>
        <v>0</v>
      </c>
      <c r="Q564" s="9" t="n">
        <f aca="false">I564*Parameters!$B$28+J564*Parameters!$B$29+K564*Parameters!$B$30+L564*Parameters!$B$31+M564*Parameters!$B$32+N564*Parameters!$B$33+O564*Parameters!$B$34+P564*Parameters!$B$35</f>
        <v>0</v>
      </c>
      <c r="R564" s="0" t="str">
        <f aca="false">IF(Q564&gt;=Parameters!$B$24,"High","")</f>
        <v/>
      </c>
    </row>
    <row r="565" customFormat="false" ht="15" hidden="false" customHeight="false" outlineLevel="0" collapsed="false">
      <c r="A565" s="10" t="s">
        <v>1432</v>
      </c>
      <c r="B565" s="8" t="n">
        <v>45986</v>
      </c>
      <c r="C565" s="10" t="s">
        <v>170</v>
      </c>
      <c r="D565" s="10" t="s">
        <v>1433</v>
      </c>
      <c r="E565" s="12" t="n">
        <v>12711.36</v>
      </c>
      <c r="F565" s="10" t="s">
        <v>40</v>
      </c>
      <c r="G565" s="9" t="n">
        <f aca="false">VALUE(LEFT(TEXT(E565,"0.00"),1))</f>
        <v>1</v>
      </c>
      <c r="H565" s="0" t="str">
        <f aca="false">UPPER(SUBSTITUTE(SUBSTITUTE(SUBSTITUTE(D565," ",""),"/",""),".",""))</f>
        <v>INV21001</v>
      </c>
      <c r="I565" s="9" t="n">
        <f aca="false">IF(COUNTIFS($C$5:C565,C565,$H$5:H565,H565,$E$5:E565,E565)&gt;1,1,0)</f>
        <v>0</v>
      </c>
      <c r="J565" s="9" t="n">
        <f aca="false">IF(AND(I565=0,COUNTIFS($C$5:$C$634,C565,$E$5:$E$634,E565,$B$5:$B$634,"&gt;="&amp;(B565-Parameters!$B$12),$B$5:$B$634,"&lt;="&amp;(B565+Parameters!$B$12),$H$5:$H$634,"&lt;&gt;"&amp;H565)&gt;0),1,0)</f>
        <v>0</v>
      </c>
      <c r="K565" s="9" t="n">
        <f aca="false">IF(AND(E565&gt;=Parameters!$B$11,ROUND(MOD(ROUND(E565,2),Parameters!$B$10),2)=0),1,0)</f>
        <v>0</v>
      </c>
      <c r="L565" s="9" t="n">
        <f aca="false">IF(AND(E565&lt;Parameters!$B$7,E565&gt;=Parameters!$B$7*(1-Parameters!$B$9)),1,0)</f>
        <v>0</v>
      </c>
      <c r="M565" s="9" t="n">
        <f aca="false">IF(AND(E565&lt;Parameters!$B$7,COUNTIFS($C$5:$C$634,C565,$B$5:$B$634,B565)&gt;1,SUMIFS($E$5:$E$634,$C$5:$C$634,C565,$B$5:$B$634,B565)&gt;=Parameters!$B$7),1,0)</f>
        <v>0</v>
      </c>
      <c r="N565" s="9" t="n">
        <f aca="false">IF(AND(E565&gt;=Parameters!$B$7,F565&lt;&gt;Parameters!$B$8),1,0)</f>
        <v>0</v>
      </c>
      <c r="O565" s="9" t="n">
        <f aca="false">INDEX(Vendor_Benford!$N$6:$N$50,MATCH(C565,Vendor_Benford!$A$6:$A$50,0))</f>
        <v>0</v>
      </c>
      <c r="P565" s="9" t="n">
        <f aca="false">INDEX(Vendor_Benford!$M$6:$M$50,MATCH(C565,Vendor_Benford!$A$6:$A$50,0))</f>
        <v>0</v>
      </c>
      <c r="Q565" s="9" t="n">
        <f aca="false">I565*Parameters!$B$28+J565*Parameters!$B$29+K565*Parameters!$B$30+L565*Parameters!$B$31+M565*Parameters!$B$32+N565*Parameters!$B$33+O565*Parameters!$B$34+P565*Parameters!$B$35</f>
        <v>0</v>
      </c>
      <c r="R565" s="0" t="str">
        <f aca="false">IF(Q565&gt;=Parameters!$B$24,"High","")</f>
        <v/>
      </c>
    </row>
    <row r="566" customFormat="false" ht="15" hidden="false" customHeight="false" outlineLevel="0" collapsed="false">
      <c r="A566" s="10" t="s">
        <v>1434</v>
      </c>
      <c r="B566" s="8" t="n">
        <v>45986</v>
      </c>
      <c r="C566" s="10" t="s">
        <v>194</v>
      </c>
      <c r="D566" s="10" t="s">
        <v>1435</v>
      </c>
      <c r="E566" s="12" t="n">
        <v>537.84</v>
      </c>
      <c r="F566" s="10" t="s">
        <v>347</v>
      </c>
      <c r="G566" s="9" t="n">
        <f aca="false">VALUE(LEFT(TEXT(E566,"0.00"),1))</f>
        <v>5</v>
      </c>
      <c r="H566" s="0" t="str">
        <f aca="false">UPPER(SUBSTITUTE(SUBSTITUTE(SUBSTITUTE(D566," ",""),"/",""),".",""))</f>
        <v>INV29005</v>
      </c>
      <c r="I566" s="9" t="n">
        <f aca="false">IF(COUNTIFS($C$5:C566,C566,$H$5:H566,H566,$E$5:E566,E566)&gt;1,1,0)</f>
        <v>0</v>
      </c>
      <c r="J566" s="9" t="n">
        <f aca="false">IF(AND(I566=0,COUNTIFS($C$5:$C$634,C566,$E$5:$E$634,E566,$B$5:$B$634,"&gt;="&amp;(B566-Parameters!$B$12),$B$5:$B$634,"&lt;="&amp;(B566+Parameters!$B$12),$H$5:$H$634,"&lt;&gt;"&amp;H566)&gt;0),1,0)</f>
        <v>0</v>
      </c>
      <c r="K566" s="9" t="n">
        <f aca="false">IF(AND(E566&gt;=Parameters!$B$11,ROUND(MOD(ROUND(E566,2),Parameters!$B$10),2)=0),1,0)</f>
        <v>0</v>
      </c>
      <c r="L566" s="9" t="n">
        <f aca="false">IF(AND(E566&lt;Parameters!$B$7,E566&gt;=Parameters!$B$7*(1-Parameters!$B$9)),1,0)</f>
        <v>0</v>
      </c>
      <c r="M566" s="9" t="n">
        <f aca="false">IF(AND(E566&lt;Parameters!$B$7,COUNTIFS($C$5:$C$634,C566,$B$5:$B$634,B566)&gt;1,SUMIFS($E$5:$E$634,$C$5:$C$634,C566,$B$5:$B$634,B566)&gt;=Parameters!$B$7),1,0)</f>
        <v>0</v>
      </c>
      <c r="N566" s="9" t="n">
        <f aca="false">IF(AND(E566&gt;=Parameters!$B$7,F566&lt;&gt;Parameters!$B$8),1,0)</f>
        <v>0</v>
      </c>
      <c r="O566" s="9" t="n">
        <f aca="false">INDEX(Vendor_Benford!$N$6:$N$50,MATCH(C566,Vendor_Benford!$A$6:$A$50,0))</f>
        <v>0</v>
      </c>
      <c r="P566" s="9" t="n">
        <f aca="false">INDEX(Vendor_Benford!$M$6:$M$50,MATCH(C566,Vendor_Benford!$A$6:$A$50,0))</f>
        <v>0</v>
      </c>
      <c r="Q566" s="9" t="n">
        <f aca="false">I566*Parameters!$B$28+J566*Parameters!$B$29+K566*Parameters!$B$30+L566*Parameters!$B$31+M566*Parameters!$B$32+N566*Parameters!$B$33+O566*Parameters!$B$34+P566*Parameters!$B$35</f>
        <v>0</v>
      </c>
      <c r="R566" s="0" t="str">
        <f aca="false">IF(Q566&gt;=Parameters!$B$24,"High","")</f>
        <v/>
      </c>
    </row>
    <row r="567" customFormat="false" ht="15" hidden="false" customHeight="false" outlineLevel="0" collapsed="false">
      <c r="A567" s="10" t="s">
        <v>1436</v>
      </c>
      <c r="B567" s="8" t="n">
        <v>45986</v>
      </c>
      <c r="C567" s="10" t="s">
        <v>206</v>
      </c>
      <c r="D567" s="10" t="s">
        <v>1437</v>
      </c>
      <c r="E567" s="12" t="n">
        <v>14326.69</v>
      </c>
      <c r="F567" s="10" t="s">
        <v>40</v>
      </c>
      <c r="G567" s="9" t="n">
        <f aca="false">VALUE(LEFT(TEXT(E567,"0.00"),1))</f>
        <v>1</v>
      </c>
      <c r="H567" s="0" t="str">
        <f aca="false">UPPER(SUBSTITUTE(SUBSTITUTE(SUBSTITUTE(D567," ",""),"/",""),".",""))</f>
        <v>INV33016</v>
      </c>
      <c r="I567" s="9" t="n">
        <f aca="false">IF(COUNTIFS($C$5:C567,C567,$H$5:H567,H567,$E$5:E567,E567)&gt;1,1,0)</f>
        <v>0</v>
      </c>
      <c r="J567" s="9" t="n">
        <f aca="false">IF(AND(I567=0,COUNTIFS($C$5:$C$634,C567,$E$5:$E$634,E567,$B$5:$B$634,"&gt;="&amp;(B567-Parameters!$B$12),$B$5:$B$634,"&lt;="&amp;(B567+Parameters!$B$12),$H$5:$H$634,"&lt;&gt;"&amp;H567)&gt;0),1,0)</f>
        <v>0</v>
      </c>
      <c r="K567" s="9" t="n">
        <f aca="false">IF(AND(E567&gt;=Parameters!$B$11,ROUND(MOD(ROUND(E567,2),Parameters!$B$10),2)=0),1,0)</f>
        <v>0</v>
      </c>
      <c r="L567" s="9" t="n">
        <f aca="false">IF(AND(E567&lt;Parameters!$B$7,E567&gt;=Parameters!$B$7*(1-Parameters!$B$9)),1,0)</f>
        <v>0</v>
      </c>
      <c r="M567" s="9" t="n">
        <f aca="false">IF(AND(E567&lt;Parameters!$B$7,COUNTIFS($C$5:$C$634,C567,$B$5:$B$634,B567)&gt;1,SUMIFS($E$5:$E$634,$C$5:$C$634,C567,$B$5:$B$634,B567)&gt;=Parameters!$B$7),1,0)</f>
        <v>0</v>
      </c>
      <c r="N567" s="9" t="n">
        <f aca="false">IF(AND(E567&gt;=Parameters!$B$7,F567&lt;&gt;Parameters!$B$8),1,0)</f>
        <v>0</v>
      </c>
      <c r="O567" s="9" t="n">
        <f aca="false">INDEX(Vendor_Benford!$N$6:$N$50,MATCH(C567,Vendor_Benford!$A$6:$A$50,0))</f>
        <v>0</v>
      </c>
      <c r="P567" s="9" t="n">
        <f aca="false">INDEX(Vendor_Benford!$M$6:$M$50,MATCH(C567,Vendor_Benford!$A$6:$A$50,0))</f>
        <v>0</v>
      </c>
      <c r="Q567" s="9" t="n">
        <f aca="false">I567*Parameters!$B$28+J567*Parameters!$B$29+K567*Parameters!$B$30+L567*Parameters!$B$31+M567*Parameters!$B$32+N567*Parameters!$B$33+O567*Parameters!$B$34+P567*Parameters!$B$35</f>
        <v>0</v>
      </c>
      <c r="R567" s="0" t="str">
        <f aca="false">IF(Q567&gt;=Parameters!$B$24,"High","")</f>
        <v/>
      </c>
    </row>
    <row r="568" customFormat="false" ht="15" hidden="false" customHeight="false" outlineLevel="0" collapsed="false">
      <c r="A568" s="10" t="s">
        <v>1438</v>
      </c>
      <c r="B568" s="8" t="n">
        <v>45987</v>
      </c>
      <c r="C568" s="10" t="s">
        <v>122</v>
      </c>
      <c r="D568" s="10" t="s">
        <v>1439</v>
      </c>
      <c r="E568" s="12" t="n">
        <v>2967.76</v>
      </c>
      <c r="F568" s="10" t="s">
        <v>347</v>
      </c>
      <c r="G568" s="9" t="n">
        <f aca="false">VALUE(LEFT(TEXT(E568,"0.00"),1))</f>
        <v>2</v>
      </c>
      <c r="H568" s="0" t="str">
        <f aca="false">UPPER(SUBSTITUTE(SUBSTITUTE(SUBSTITUTE(D568," ",""),"/",""),".",""))</f>
        <v>INV5012</v>
      </c>
      <c r="I568" s="9" t="n">
        <f aca="false">IF(COUNTIFS($C$5:C568,C568,$H$5:H568,H568,$E$5:E568,E568)&gt;1,1,0)</f>
        <v>0</v>
      </c>
      <c r="J568" s="9" t="n">
        <f aca="false">IF(AND(I568=0,COUNTIFS($C$5:$C$634,C568,$E$5:$E$634,E568,$B$5:$B$634,"&gt;="&amp;(B568-Parameters!$B$12),$B$5:$B$634,"&lt;="&amp;(B568+Parameters!$B$12),$H$5:$H$634,"&lt;&gt;"&amp;H568)&gt;0),1,0)</f>
        <v>0</v>
      </c>
      <c r="K568" s="9" t="n">
        <f aca="false">IF(AND(E568&gt;=Parameters!$B$11,ROUND(MOD(ROUND(E568,2),Parameters!$B$10),2)=0),1,0)</f>
        <v>0</v>
      </c>
      <c r="L568" s="9" t="n">
        <f aca="false">IF(AND(E568&lt;Parameters!$B$7,E568&gt;=Parameters!$B$7*(1-Parameters!$B$9)),1,0)</f>
        <v>0</v>
      </c>
      <c r="M568" s="9" t="n">
        <f aca="false">IF(AND(E568&lt;Parameters!$B$7,COUNTIFS($C$5:$C$634,C568,$B$5:$B$634,B568)&gt;1,SUMIFS($E$5:$E$634,$C$5:$C$634,C568,$B$5:$B$634,B568)&gt;=Parameters!$B$7),1,0)</f>
        <v>0</v>
      </c>
      <c r="N568" s="9" t="n">
        <f aca="false">IF(AND(E568&gt;=Parameters!$B$7,F568&lt;&gt;Parameters!$B$8),1,0)</f>
        <v>0</v>
      </c>
      <c r="O568" s="9" t="n">
        <f aca="false">INDEX(Vendor_Benford!$N$6:$N$50,MATCH(C568,Vendor_Benford!$A$6:$A$50,0))</f>
        <v>0</v>
      </c>
      <c r="P568" s="9" t="n">
        <f aca="false">INDEX(Vendor_Benford!$M$6:$M$50,MATCH(C568,Vendor_Benford!$A$6:$A$50,0))</f>
        <v>0</v>
      </c>
      <c r="Q568" s="9" t="n">
        <f aca="false">I568*Parameters!$B$28+J568*Parameters!$B$29+K568*Parameters!$B$30+L568*Parameters!$B$31+M568*Parameters!$B$32+N568*Parameters!$B$33+O568*Parameters!$B$34+P568*Parameters!$B$35</f>
        <v>0</v>
      </c>
      <c r="R568" s="0" t="str">
        <f aca="false">IF(Q568&gt;=Parameters!$B$24,"High","")</f>
        <v/>
      </c>
    </row>
    <row r="569" customFormat="false" ht="15" hidden="false" customHeight="false" outlineLevel="0" collapsed="false">
      <c r="A569" s="10" t="s">
        <v>1440</v>
      </c>
      <c r="B569" s="8" t="n">
        <v>45989</v>
      </c>
      <c r="C569" s="10" t="s">
        <v>122</v>
      </c>
      <c r="D569" s="10" t="s">
        <v>1441</v>
      </c>
      <c r="E569" s="12" t="n">
        <v>542.87</v>
      </c>
      <c r="F569" s="10" t="s">
        <v>347</v>
      </c>
      <c r="G569" s="9" t="n">
        <f aca="false">VALUE(LEFT(TEXT(E569,"0.00"),1))</f>
        <v>5</v>
      </c>
      <c r="H569" s="0" t="str">
        <f aca="false">UPPER(SUBSTITUTE(SUBSTITUTE(SUBSTITUTE(D569," ",""),"/",""),".",""))</f>
        <v>INV5004</v>
      </c>
      <c r="I569" s="9" t="n">
        <f aca="false">IF(COUNTIFS($C$5:C569,C569,$H$5:H569,H569,$E$5:E569,E569)&gt;1,1,0)</f>
        <v>0</v>
      </c>
      <c r="J569" s="9" t="n">
        <f aca="false">IF(AND(I569=0,COUNTIFS($C$5:$C$634,C569,$E$5:$E$634,E569,$B$5:$B$634,"&gt;="&amp;(B569-Parameters!$B$12),$B$5:$B$634,"&lt;="&amp;(B569+Parameters!$B$12),$H$5:$H$634,"&lt;&gt;"&amp;H569)&gt;0),1,0)</f>
        <v>0</v>
      </c>
      <c r="K569" s="9" t="n">
        <f aca="false">IF(AND(E569&gt;=Parameters!$B$11,ROUND(MOD(ROUND(E569,2),Parameters!$B$10),2)=0),1,0)</f>
        <v>0</v>
      </c>
      <c r="L569" s="9" t="n">
        <f aca="false">IF(AND(E569&lt;Parameters!$B$7,E569&gt;=Parameters!$B$7*(1-Parameters!$B$9)),1,0)</f>
        <v>0</v>
      </c>
      <c r="M569" s="9" t="n">
        <f aca="false">IF(AND(E569&lt;Parameters!$B$7,COUNTIFS($C$5:$C$634,C569,$B$5:$B$634,B569)&gt;1,SUMIFS($E$5:$E$634,$C$5:$C$634,C569,$B$5:$B$634,B569)&gt;=Parameters!$B$7),1,0)</f>
        <v>0</v>
      </c>
      <c r="N569" s="9" t="n">
        <f aca="false">IF(AND(E569&gt;=Parameters!$B$7,F569&lt;&gt;Parameters!$B$8),1,0)</f>
        <v>0</v>
      </c>
      <c r="O569" s="9" t="n">
        <f aca="false">INDEX(Vendor_Benford!$N$6:$N$50,MATCH(C569,Vendor_Benford!$A$6:$A$50,0))</f>
        <v>0</v>
      </c>
      <c r="P569" s="9" t="n">
        <f aca="false">INDEX(Vendor_Benford!$M$6:$M$50,MATCH(C569,Vendor_Benford!$A$6:$A$50,0))</f>
        <v>0</v>
      </c>
      <c r="Q569" s="9" t="n">
        <f aca="false">I569*Parameters!$B$28+J569*Parameters!$B$29+K569*Parameters!$B$30+L569*Parameters!$B$31+M569*Parameters!$B$32+N569*Parameters!$B$33+O569*Parameters!$B$34+P569*Parameters!$B$35</f>
        <v>0</v>
      </c>
      <c r="R569" s="0" t="str">
        <f aca="false">IF(Q569&gt;=Parameters!$B$24,"High","")</f>
        <v/>
      </c>
    </row>
    <row r="570" customFormat="false" ht="15" hidden="false" customHeight="false" outlineLevel="0" collapsed="false">
      <c r="A570" s="10" t="s">
        <v>1442</v>
      </c>
      <c r="B570" s="8" t="n">
        <v>45989</v>
      </c>
      <c r="C570" s="10" t="s">
        <v>155</v>
      </c>
      <c r="D570" s="10" t="s">
        <v>1443</v>
      </c>
      <c r="E570" s="12" t="n">
        <v>47202.23</v>
      </c>
      <c r="F570" s="10" t="s">
        <v>40</v>
      </c>
      <c r="G570" s="9" t="n">
        <f aca="false">VALUE(LEFT(TEXT(E570,"0.00"),1))</f>
        <v>4</v>
      </c>
      <c r="H570" s="0" t="str">
        <f aca="false">UPPER(SUBSTITUTE(SUBSTITUTE(SUBSTITUTE(D570," ",""),"/",""),".",""))</f>
        <v>INV16003</v>
      </c>
      <c r="I570" s="9" t="n">
        <f aca="false">IF(COUNTIFS($C$5:C570,C570,$H$5:H570,H570,$E$5:E570,E570)&gt;1,1,0)</f>
        <v>0</v>
      </c>
      <c r="J570" s="9" t="n">
        <f aca="false">IF(AND(I570=0,COUNTIFS($C$5:$C$634,C570,$E$5:$E$634,E570,$B$5:$B$634,"&gt;="&amp;(B570-Parameters!$B$12),$B$5:$B$634,"&lt;="&amp;(B570+Parameters!$B$12),$H$5:$H$634,"&lt;&gt;"&amp;H570)&gt;0),1,0)</f>
        <v>0</v>
      </c>
      <c r="K570" s="9" t="n">
        <f aca="false">IF(AND(E570&gt;=Parameters!$B$11,ROUND(MOD(ROUND(E570,2),Parameters!$B$10),2)=0),1,0)</f>
        <v>0</v>
      </c>
      <c r="L570" s="9" t="n">
        <f aca="false">IF(AND(E570&lt;Parameters!$B$7,E570&gt;=Parameters!$B$7*(1-Parameters!$B$9)),1,0)</f>
        <v>0</v>
      </c>
      <c r="M570" s="9" t="n">
        <f aca="false">IF(AND(E570&lt;Parameters!$B$7,COUNTIFS($C$5:$C$634,C570,$B$5:$B$634,B570)&gt;1,SUMIFS($E$5:$E$634,$C$5:$C$634,C570,$B$5:$B$634,B570)&gt;=Parameters!$B$7),1,0)</f>
        <v>0</v>
      </c>
      <c r="N570" s="9" t="n">
        <f aca="false">IF(AND(E570&gt;=Parameters!$B$7,F570&lt;&gt;Parameters!$B$8),1,0)</f>
        <v>0</v>
      </c>
      <c r="O570" s="9" t="n">
        <f aca="false">INDEX(Vendor_Benford!$N$6:$N$50,MATCH(C570,Vendor_Benford!$A$6:$A$50,0))</f>
        <v>0</v>
      </c>
      <c r="P570" s="9" t="n">
        <f aca="false">INDEX(Vendor_Benford!$M$6:$M$50,MATCH(C570,Vendor_Benford!$A$6:$A$50,0))</f>
        <v>0</v>
      </c>
      <c r="Q570" s="9" t="n">
        <f aca="false">I570*Parameters!$B$28+J570*Parameters!$B$29+K570*Parameters!$B$30+L570*Parameters!$B$31+M570*Parameters!$B$32+N570*Parameters!$B$33+O570*Parameters!$B$34+P570*Parameters!$B$35</f>
        <v>0</v>
      </c>
      <c r="R570" s="0" t="str">
        <f aca="false">IF(Q570&gt;=Parameters!$B$24,"High","")</f>
        <v/>
      </c>
    </row>
    <row r="571" customFormat="false" ht="15" hidden="false" customHeight="false" outlineLevel="0" collapsed="false">
      <c r="A571" s="10" t="s">
        <v>1444</v>
      </c>
      <c r="B571" s="8" t="n">
        <v>45989</v>
      </c>
      <c r="C571" s="10" t="s">
        <v>182</v>
      </c>
      <c r="D571" s="10" t="s">
        <v>1445</v>
      </c>
      <c r="E571" s="12" t="n">
        <v>60592.2</v>
      </c>
      <c r="F571" s="10" t="s">
        <v>40</v>
      </c>
      <c r="G571" s="9" t="n">
        <f aca="false">VALUE(LEFT(TEXT(E571,"0.00"),1))</f>
        <v>6</v>
      </c>
      <c r="H571" s="0" t="str">
        <f aca="false">UPPER(SUBSTITUTE(SUBSTITUTE(SUBSTITUTE(D571," ",""),"/",""),".",""))</f>
        <v>INV25005</v>
      </c>
      <c r="I571" s="9" t="n">
        <f aca="false">IF(COUNTIFS($C$5:C571,C571,$H$5:H571,H571,$E$5:E571,E571)&gt;1,1,0)</f>
        <v>0</v>
      </c>
      <c r="J571" s="9" t="n">
        <f aca="false">IF(AND(I571=0,COUNTIFS($C$5:$C$634,C571,$E$5:$E$634,E571,$B$5:$B$634,"&gt;="&amp;(B571-Parameters!$B$12),$B$5:$B$634,"&lt;="&amp;(B571+Parameters!$B$12),$H$5:$H$634,"&lt;&gt;"&amp;H571)&gt;0),1,0)</f>
        <v>0</v>
      </c>
      <c r="K571" s="9" t="n">
        <f aca="false">IF(AND(E571&gt;=Parameters!$B$11,ROUND(MOD(ROUND(E571,2),Parameters!$B$10),2)=0),1,0)</f>
        <v>0</v>
      </c>
      <c r="L571" s="9" t="n">
        <f aca="false">IF(AND(E571&lt;Parameters!$B$7,E571&gt;=Parameters!$B$7*(1-Parameters!$B$9)),1,0)</f>
        <v>0</v>
      </c>
      <c r="M571" s="9" t="n">
        <f aca="false">IF(AND(E571&lt;Parameters!$B$7,COUNTIFS($C$5:$C$634,C571,$B$5:$B$634,B571)&gt;1,SUMIFS($E$5:$E$634,$C$5:$C$634,C571,$B$5:$B$634,B571)&gt;=Parameters!$B$7),1,0)</f>
        <v>0</v>
      </c>
      <c r="N571" s="9" t="n">
        <f aca="false">IF(AND(E571&gt;=Parameters!$B$7,F571&lt;&gt;Parameters!$B$8),1,0)</f>
        <v>0</v>
      </c>
      <c r="O571" s="9" t="n">
        <f aca="false">INDEX(Vendor_Benford!$N$6:$N$50,MATCH(C571,Vendor_Benford!$A$6:$A$50,0))</f>
        <v>0</v>
      </c>
      <c r="P571" s="9" t="n">
        <f aca="false">INDEX(Vendor_Benford!$M$6:$M$50,MATCH(C571,Vendor_Benford!$A$6:$A$50,0))</f>
        <v>0</v>
      </c>
      <c r="Q571" s="9" t="n">
        <f aca="false">I571*Parameters!$B$28+J571*Parameters!$B$29+K571*Parameters!$B$30+L571*Parameters!$B$31+M571*Parameters!$B$32+N571*Parameters!$B$33+O571*Parameters!$B$34+P571*Parameters!$B$35</f>
        <v>0</v>
      </c>
      <c r="R571" s="0" t="str">
        <f aca="false">IF(Q571&gt;=Parameters!$B$24,"High","")</f>
        <v/>
      </c>
    </row>
    <row r="572" customFormat="false" ht="15" hidden="false" customHeight="false" outlineLevel="0" collapsed="false">
      <c r="A572" s="10" t="s">
        <v>1446</v>
      </c>
      <c r="B572" s="8" t="n">
        <v>45992</v>
      </c>
      <c r="C572" s="10" t="s">
        <v>134</v>
      </c>
      <c r="D572" s="10" t="s">
        <v>1447</v>
      </c>
      <c r="E572" s="12" t="n">
        <v>982.28</v>
      </c>
      <c r="F572" s="10" t="s">
        <v>347</v>
      </c>
      <c r="G572" s="9" t="n">
        <f aca="false">VALUE(LEFT(TEXT(E572,"0.00"),1))</f>
        <v>9</v>
      </c>
      <c r="H572" s="0" t="str">
        <f aca="false">UPPER(SUBSTITUTE(SUBSTITUTE(SUBSTITUTE(D572," ",""),"/",""),".",""))</f>
        <v>INV9007</v>
      </c>
      <c r="I572" s="9" t="n">
        <f aca="false">IF(COUNTIFS($C$5:C572,C572,$H$5:H572,H572,$E$5:E572,E572)&gt;1,1,0)</f>
        <v>0</v>
      </c>
      <c r="J572" s="9" t="n">
        <f aca="false">IF(AND(I572=0,COUNTIFS($C$5:$C$634,C572,$E$5:$E$634,E572,$B$5:$B$634,"&gt;="&amp;(B572-Parameters!$B$12),$B$5:$B$634,"&lt;="&amp;(B572+Parameters!$B$12),$H$5:$H$634,"&lt;&gt;"&amp;H572)&gt;0),1,0)</f>
        <v>0</v>
      </c>
      <c r="K572" s="9" t="n">
        <f aca="false">IF(AND(E572&gt;=Parameters!$B$11,ROUND(MOD(ROUND(E572,2),Parameters!$B$10),2)=0),1,0)</f>
        <v>0</v>
      </c>
      <c r="L572" s="9" t="n">
        <f aca="false">IF(AND(E572&lt;Parameters!$B$7,E572&gt;=Parameters!$B$7*(1-Parameters!$B$9)),1,0)</f>
        <v>0</v>
      </c>
      <c r="M572" s="9" t="n">
        <f aca="false">IF(AND(E572&lt;Parameters!$B$7,COUNTIFS($C$5:$C$634,C572,$B$5:$B$634,B572)&gt;1,SUMIFS($E$5:$E$634,$C$5:$C$634,C572,$B$5:$B$634,B572)&gt;=Parameters!$B$7),1,0)</f>
        <v>0</v>
      </c>
      <c r="N572" s="9" t="n">
        <f aca="false">IF(AND(E572&gt;=Parameters!$B$7,F572&lt;&gt;Parameters!$B$8),1,0)</f>
        <v>0</v>
      </c>
      <c r="O572" s="9" t="n">
        <f aca="false">INDEX(Vendor_Benford!$N$6:$N$50,MATCH(C572,Vendor_Benford!$A$6:$A$50,0))</f>
        <v>0</v>
      </c>
      <c r="P572" s="9" t="n">
        <f aca="false">INDEX(Vendor_Benford!$M$6:$M$50,MATCH(C572,Vendor_Benford!$A$6:$A$50,0))</f>
        <v>0</v>
      </c>
      <c r="Q572" s="9" t="n">
        <f aca="false">I572*Parameters!$B$28+J572*Parameters!$B$29+K572*Parameters!$B$30+L572*Parameters!$B$31+M572*Parameters!$B$32+N572*Parameters!$B$33+O572*Parameters!$B$34+P572*Parameters!$B$35</f>
        <v>0</v>
      </c>
      <c r="R572" s="0" t="str">
        <f aca="false">IF(Q572&gt;=Parameters!$B$24,"High","")</f>
        <v/>
      </c>
    </row>
    <row r="573" customFormat="false" ht="15" hidden="false" customHeight="false" outlineLevel="0" collapsed="false">
      <c r="A573" s="10" t="s">
        <v>1448</v>
      </c>
      <c r="B573" s="8" t="n">
        <v>45992</v>
      </c>
      <c r="C573" s="10" t="s">
        <v>197</v>
      </c>
      <c r="D573" s="10" t="s">
        <v>1449</v>
      </c>
      <c r="E573" s="12" t="n">
        <v>45819.51</v>
      </c>
      <c r="F573" s="10" t="s">
        <v>40</v>
      </c>
      <c r="G573" s="9" t="n">
        <f aca="false">VALUE(LEFT(TEXT(E573,"0.00"),1))</f>
        <v>4</v>
      </c>
      <c r="H573" s="0" t="str">
        <f aca="false">UPPER(SUBSTITUTE(SUBSTITUTE(SUBSTITUTE(D573," ",""),"/",""),".",""))</f>
        <v>INV30005</v>
      </c>
      <c r="I573" s="9" t="n">
        <f aca="false">IF(COUNTIFS($C$5:C573,C573,$H$5:H573,H573,$E$5:E573,E573)&gt;1,1,0)</f>
        <v>0</v>
      </c>
      <c r="J573" s="9" t="n">
        <f aca="false">IF(AND(I573=0,COUNTIFS($C$5:$C$634,C573,$E$5:$E$634,E573,$B$5:$B$634,"&gt;="&amp;(B573-Parameters!$B$12),$B$5:$B$634,"&lt;="&amp;(B573+Parameters!$B$12),$H$5:$H$634,"&lt;&gt;"&amp;H573)&gt;0),1,0)</f>
        <v>0</v>
      </c>
      <c r="K573" s="9" t="n">
        <f aca="false">IF(AND(E573&gt;=Parameters!$B$11,ROUND(MOD(ROUND(E573,2),Parameters!$B$10),2)=0),1,0)</f>
        <v>0</v>
      </c>
      <c r="L573" s="9" t="n">
        <f aca="false">IF(AND(E573&lt;Parameters!$B$7,E573&gt;=Parameters!$B$7*(1-Parameters!$B$9)),1,0)</f>
        <v>0</v>
      </c>
      <c r="M573" s="9" t="n">
        <f aca="false">IF(AND(E573&lt;Parameters!$B$7,COUNTIFS($C$5:$C$634,C573,$B$5:$B$634,B573)&gt;1,SUMIFS($E$5:$E$634,$C$5:$C$634,C573,$B$5:$B$634,B573)&gt;=Parameters!$B$7),1,0)</f>
        <v>0</v>
      </c>
      <c r="N573" s="9" t="n">
        <f aca="false">IF(AND(E573&gt;=Parameters!$B$7,F573&lt;&gt;Parameters!$B$8),1,0)</f>
        <v>0</v>
      </c>
      <c r="O573" s="9" t="n">
        <f aca="false">INDEX(Vendor_Benford!$N$6:$N$50,MATCH(C573,Vendor_Benford!$A$6:$A$50,0))</f>
        <v>0</v>
      </c>
      <c r="P573" s="9" t="n">
        <f aca="false">INDEX(Vendor_Benford!$M$6:$M$50,MATCH(C573,Vendor_Benford!$A$6:$A$50,0))</f>
        <v>0</v>
      </c>
      <c r="Q573" s="9" t="n">
        <f aca="false">I573*Parameters!$B$28+J573*Parameters!$B$29+K573*Parameters!$B$30+L573*Parameters!$B$31+M573*Parameters!$B$32+N573*Parameters!$B$33+O573*Parameters!$B$34+P573*Parameters!$B$35</f>
        <v>0</v>
      </c>
      <c r="R573" s="0" t="str">
        <f aca="false">IF(Q573&gt;=Parameters!$B$24,"High","")</f>
        <v/>
      </c>
    </row>
    <row r="574" customFormat="false" ht="15" hidden="false" customHeight="false" outlineLevel="0" collapsed="false">
      <c r="A574" s="10" t="s">
        <v>1450</v>
      </c>
      <c r="B574" s="8" t="n">
        <v>45992</v>
      </c>
      <c r="C574" s="10" t="s">
        <v>209</v>
      </c>
      <c r="D574" s="10" t="s">
        <v>1451</v>
      </c>
      <c r="E574" s="12" t="n">
        <v>7214.19</v>
      </c>
      <c r="F574" s="10" t="s">
        <v>40</v>
      </c>
      <c r="G574" s="9" t="n">
        <f aca="false">VALUE(LEFT(TEXT(E574,"0.00"),1))</f>
        <v>7</v>
      </c>
      <c r="H574" s="0" t="str">
        <f aca="false">UPPER(SUBSTITUTE(SUBSTITUTE(SUBSTITUTE(D574," ",""),"/",""),".",""))</f>
        <v>INV34010</v>
      </c>
      <c r="I574" s="9" t="n">
        <f aca="false">IF(COUNTIFS($C$5:C574,C574,$H$5:H574,H574,$E$5:E574,E574)&gt;1,1,0)</f>
        <v>0</v>
      </c>
      <c r="J574" s="9" t="n">
        <f aca="false">IF(AND(I574=0,COUNTIFS($C$5:$C$634,C574,$E$5:$E$634,E574,$B$5:$B$634,"&gt;="&amp;(B574-Parameters!$B$12),$B$5:$B$634,"&lt;="&amp;(B574+Parameters!$B$12),$H$5:$H$634,"&lt;&gt;"&amp;H574)&gt;0),1,0)</f>
        <v>0</v>
      </c>
      <c r="K574" s="9" t="n">
        <f aca="false">IF(AND(E574&gt;=Parameters!$B$11,ROUND(MOD(ROUND(E574,2),Parameters!$B$10),2)=0),1,0)</f>
        <v>0</v>
      </c>
      <c r="L574" s="9" t="n">
        <f aca="false">IF(AND(E574&lt;Parameters!$B$7,E574&gt;=Parameters!$B$7*(1-Parameters!$B$9)),1,0)</f>
        <v>0</v>
      </c>
      <c r="M574" s="9" t="n">
        <f aca="false">IF(AND(E574&lt;Parameters!$B$7,COUNTIFS($C$5:$C$634,C574,$B$5:$B$634,B574)&gt;1,SUMIFS($E$5:$E$634,$C$5:$C$634,C574,$B$5:$B$634,B574)&gt;=Parameters!$B$7),1,0)</f>
        <v>0</v>
      </c>
      <c r="N574" s="9" t="n">
        <f aca="false">IF(AND(E574&gt;=Parameters!$B$7,F574&lt;&gt;Parameters!$B$8),1,0)</f>
        <v>0</v>
      </c>
      <c r="O574" s="9" t="n">
        <f aca="false">INDEX(Vendor_Benford!$N$6:$N$50,MATCH(C574,Vendor_Benford!$A$6:$A$50,0))</f>
        <v>0</v>
      </c>
      <c r="P574" s="9" t="n">
        <f aca="false">INDEX(Vendor_Benford!$M$6:$M$50,MATCH(C574,Vendor_Benford!$A$6:$A$50,0))</f>
        <v>0</v>
      </c>
      <c r="Q574" s="9" t="n">
        <f aca="false">I574*Parameters!$B$28+J574*Parameters!$B$29+K574*Parameters!$B$30+L574*Parameters!$B$31+M574*Parameters!$B$32+N574*Parameters!$B$33+O574*Parameters!$B$34+P574*Parameters!$B$35</f>
        <v>0</v>
      </c>
      <c r="R574" s="0" t="str">
        <f aca="false">IF(Q574&gt;=Parameters!$B$24,"High","")</f>
        <v/>
      </c>
    </row>
    <row r="575" customFormat="false" ht="15" hidden="false" customHeight="false" outlineLevel="0" collapsed="false">
      <c r="A575" s="10" t="s">
        <v>1452</v>
      </c>
      <c r="B575" s="8" t="n">
        <v>45993</v>
      </c>
      <c r="C575" s="10" t="s">
        <v>167</v>
      </c>
      <c r="D575" s="10" t="s">
        <v>1453</v>
      </c>
      <c r="E575" s="12" t="n">
        <v>27869.99</v>
      </c>
      <c r="F575" s="10" t="s">
        <v>40</v>
      </c>
      <c r="G575" s="9" t="n">
        <f aca="false">VALUE(LEFT(TEXT(E575,"0.00"),1))</f>
        <v>2</v>
      </c>
      <c r="H575" s="0" t="str">
        <f aca="false">UPPER(SUBSTITUTE(SUBSTITUTE(SUBSTITUTE(D575," ",""),"/",""),".",""))</f>
        <v>INV20006</v>
      </c>
      <c r="I575" s="9" t="n">
        <f aca="false">IF(COUNTIFS($C$5:C575,C575,$H$5:H575,H575,$E$5:E575,E575)&gt;1,1,0)</f>
        <v>0</v>
      </c>
      <c r="J575" s="9" t="n">
        <f aca="false">IF(AND(I575=0,COUNTIFS($C$5:$C$634,C575,$E$5:$E$634,E575,$B$5:$B$634,"&gt;="&amp;(B575-Parameters!$B$12),$B$5:$B$634,"&lt;="&amp;(B575+Parameters!$B$12),$H$5:$H$634,"&lt;&gt;"&amp;H575)&gt;0),1,0)</f>
        <v>0</v>
      </c>
      <c r="K575" s="9" t="n">
        <f aca="false">IF(AND(E575&gt;=Parameters!$B$11,ROUND(MOD(ROUND(E575,2),Parameters!$B$10),2)=0),1,0)</f>
        <v>0</v>
      </c>
      <c r="L575" s="9" t="n">
        <f aca="false">IF(AND(E575&lt;Parameters!$B$7,E575&gt;=Parameters!$B$7*(1-Parameters!$B$9)),1,0)</f>
        <v>0</v>
      </c>
      <c r="M575" s="9" t="n">
        <f aca="false">IF(AND(E575&lt;Parameters!$B$7,COUNTIFS($C$5:$C$634,C575,$B$5:$B$634,B575)&gt;1,SUMIFS($E$5:$E$634,$C$5:$C$634,C575,$B$5:$B$634,B575)&gt;=Parameters!$B$7),1,0)</f>
        <v>0</v>
      </c>
      <c r="N575" s="9" t="n">
        <f aca="false">IF(AND(E575&gt;=Parameters!$B$7,F575&lt;&gt;Parameters!$B$8),1,0)</f>
        <v>0</v>
      </c>
      <c r="O575" s="9" t="n">
        <f aca="false">INDEX(Vendor_Benford!$N$6:$N$50,MATCH(C575,Vendor_Benford!$A$6:$A$50,0))</f>
        <v>0</v>
      </c>
      <c r="P575" s="9" t="n">
        <f aca="false">INDEX(Vendor_Benford!$M$6:$M$50,MATCH(C575,Vendor_Benford!$A$6:$A$50,0))</f>
        <v>0</v>
      </c>
      <c r="Q575" s="9" t="n">
        <f aca="false">I575*Parameters!$B$28+J575*Parameters!$B$29+K575*Parameters!$B$30+L575*Parameters!$B$31+M575*Parameters!$B$32+N575*Parameters!$B$33+O575*Parameters!$B$34+P575*Parameters!$B$35</f>
        <v>0</v>
      </c>
      <c r="R575" s="0" t="str">
        <f aca="false">IF(Q575&gt;=Parameters!$B$24,"High","")</f>
        <v/>
      </c>
    </row>
    <row r="576" customFormat="false" ht="15" hidden="false" customHeight="false" outlineLevel="0" collapsed="false">
      <c r="A576" s="10" t="s">
        <v>1454</v>
      </c>
      <c r="B576" s="8" t="n">
        <v>45993</v>
      </c>
      <c r="C576" s="10" t="s">
        <v>239</v>
      </c>
      <c r="D576" s="10" t="s">
        <v>1455</v>
      </c>
      <c r="E576" s="12" t="n">
        <v>13262.14</v>
      </c>
      <c r="F576" s="10" t="s">
        <v>40</v>
      </c>
      <c r="G576" s="9" t="n">
        <f aca="false">VALUE(LEFT(TEXT(E576,"0.00"),1))</f>
        <v>1</v>
      </c>
      <c r="H576" s="0" t="str">
        <f aca="false">UPPER(SUBSTITUTE(SUBSTITUTE(SUBSTITUTE(D576," ",""),"/",""),".",""))</f>
        <v>INV44016</v>
      </c>
      <c r="I576" s="9" t="n">
        <f aca="false">IF(COUNTIFS($C$5:C576,C576,$H$5:H576,H576,$E$5:E576,E576)&gt;1,1,0)</f>
        <v>0</v>
      </c>
      <c r="J576" s="9" t="n">
        <f aca="false">IF(AND(I576=0,COUNTIFS($C$5:$C$634,C576,$E$5:$E$634,E576,$B$5:$B$634,"&gt;="&amp;(B576-Parameters!$B$12),$B$5:$B$634,"&lt;="&amp;(B576+Parameters!$B$12),$H$5:$H$634,"&lt;&gt;"&amp;H576)&gt;0),1,0)</f>
        <v>0</v>
      </c>
      <c r="K576" s="9" t="n">
        <f aca="false">IF(AND(E576&gt;=Parameters!$B$11,ROUND(MOD(ROUND(E576,2),Parameters!$B$10),2)=0),1,0)</f>
        <v>0</v>
      </c>
      <c r="L576" s="9" t="n">
        <f aca="false">IF(AND(E576&lt;Parameters!$B$7,E576&gt;=Parameters!$B$7*(1-Parameters!$B$9)),1,0)</f>
        <v>0</v>
      </c>
      <c r="M576" s="9" t="n">
        <f aca="false">IF(AND(E576&lt;Parameters!$B$7,COUNTIFS($C$5:$C$634,C576,$B$5:$B$634,B576)&gt;1,SUMIFS($E$5:$E$634,$C$5:$C$634,C576,$B$5:$B$634,B576)&gt;=Parameters!$B$7),1,0)</f>
        <v>0</v>
      </c>
      <c r="N576" s="9" t="n">
        <f aca="false">IF(AND(E576&gt;=Parameters!$B$7,F576&lt;&gt;Parameters!$B$8),1,0)</f>
        <v>0</v>
      </c>
      <c r="O576" s="9" t="n">
        <f aca="false">INDEX(Vendor_Benford!$N$6:$N$50,MATCH(C576,Vendor_Benford!$A$6:$A$50,0))</f>
        <v>0</v>
      </c>
      <c r="P576" s="9" t="n">
        <f aca="false">INDEX(Vendor_Benford!$M$6:$M$50,MATCH(C576,Vendor_Benford!$A$6:$A$50,0))</f>
        <v>0</v>
      </c>
      <c r="Q576" s="9" t="n">
        <f aca="false">I576*Parameters!$B$28+J576*Parameters!$B$29+K576*Parameters!$B$30+L576*Parameters!$B$31+M576*Parameters!$B$32+N576*Parameters!$B$33+O576*Parameters!$B$34+P576*Parameters!$B$35</f>
        <v>0</v>
      </c>
      <c r="R576" s="0" t="str">
        <f aca="false">IF(Q576&gt;=Parameters!$B$24,"High","")</f>
        <v/>
      </c>
    </row>
    <row r="577" customFormat="false" ht="15" hidden="false" customHeight="false" outlineLevel="0" collapsed="false">
      <c r="A577" s="10" t="s">
        <v>1456</v>
      </c>
      <c r="B577" s="8" t="n">
        <v>45994</v>
      </c>
      <c r="C577" s="10" t="s">
        <v>134</v>
      </c>
      <c r="D577" s="10" t="s">
        <v>1457</v>
      </c>
      <c r="E577" s="12" t="n">
        <v>2161.32</v>
      </c>
      <c r="F577" s="10" t="s">
        <v>347</v>
      </c>
      <c r="G577" s="9" t="n">
        <f aca="false">VALUE(LEFT(TEXT(E577,"0.00"),1))</f>
        <v>2</v>
      </c>
      <c r="H577" s="0" t="str">
        <f aca="false">UPPER(SUBSTITUTE(SUBSTITUTE(SUBSTITUTE(D577," ",""),"/",""),".",""))</f>
        <v>INV9003</v>
      </c>
      <c r="I577" s="9" t="n">
        <f aca="false">IF(COUNTIFS($C$5:C577,C577,$H$5:H577,H577,$E$5:E577,E577)&gt;1,1,0)</f>
        <v>0</v>
      </c>
      <c r="J577" s="9" t="n">
        <f aca="false">IF(AND(I577=0,COUNTIFS($C$5:$C$634,C577,$E$5:$E$634,E577,$B$5:$B$634,"&gt;="&amp;(B577-Parameters!$B$12),$B$5:$B$634,"&lt;="&amp;(B577+Parameters!$B$12),$H$5:$H$634,"&lt;&gt;"&amp;H577)&gt;0),1,0)</f>
        <v>0</v>
      </c>
      <c r="K577" s="9" t="n">
        <f aca="false">IF(AND(E577&gt;=Parameters!$B$11,ROUND(MOD(ROUND(E577,2),Parameters!$B$10),2)=0),1,0)</f>
        <v>0</v>
      </c>
      <c r="L577" s="9" t="n">
        <f aca="false">IF(AND(E577&lt;Parameters!$B$7,E577&gt;=Parameters!$B$7*(1-Parameters!$B$9)),1,0)</f>
        <v>0</v>
      </c>
      <c r="M577" s="9" t="n">
        <f aca="false">IF(AND(E577&lt;Parameters!$B$7,COUNTIFS($C$5:$C$634,C577,$B$5:$B$634,B577)&gt;1,SUMIFS($E$5:$E$634,$C$5:$C$634,C577,$B$5:$B$634,B577)&gt;=Parameters!$B$7),1,0)</f>
        <v>0</v>
      </c>
      <c r="N577" s="9" t="n">
        <f aca="false">IF(AND(E577&gt;=Parameters!$B$7,F577&lt;&gt;Parameters!$B$8),1,0)</f>
        <v>0</v>
      </c>
      <c r="O577" s="9" t="n">
        <f aca="false">INDEX(Vendor_Benford!$N$6:$N$50,MATCH(C577,Vendor_Benford!$A$6:$A$50,0))</f>
        <v>0</v>
      </c>
      <c r="P577" s="9" t="n">
        <f aca="false">INDEX(Vendor_Benford!$M$6:$M$50,MATCH(C577,Vendor_Benford!$A$6:$A$50,0))</f>
        <v>0</v>
      </c>
      <c r="Q577" s="9" t="n">
        <f aca="false">I577*Parameters!$B$28+J577*Parameters!$B$29+K577*Parameters!$B$30+L577*Parameters!$B$31+M577*Parameters!$B$32+N577*Parameters!$B$33+O577*Parameters!$B$34+P577*Parameters!$B$35</f>
        <v>0</v>
      </c>
      <c r="R577" s="0" t="str">
        <f aca="false">IF(Q577&gt;=Parameters!$B$24,"High","")</f>
        <v/>
      </c>
    </row>
    <row r="578" customFormat="false" ht="15" hidden="false" customHeight="false" outlineLevel="0" collapsed="false">
      <c r="A578" s="10" t="s">
        <v>1458</v>
      </c>
      <c r="B578" s="8" t="n">
        <v>45994</v>
      </c>
      <c r="C578" s="10" t="s">
        <v>200</v>
      </c>
      <c r="D578" s="10" t="s">
        <v>1459</v>
      </c>
      <c r="E578" s="12" t="n">
        <v>4712.47</v>
      </c>
      <c r="F578" s="10" t="s">
        <v>347</v>
      </c>
      <c r="G578" s="9" t="n">
        <f aca="false">VALUE(LEFT(TEXT(E578,"0.00"),1))</f>
        <v>4</v>
      </c>
      <c r="H578" s="0" t="str">
        <f aca="false">UPPER(SUBSTITUTE(SUBSTITUTE(SUBSTITUTE(D578," ",""),"/",""),".",""))</f>
        <v>INV31001</v>
      </c>
      <c r="I578" s="9" t="n">
        <f aca="false">IF(COUNTIFS($C$5:C578,C578,$H$5:H578,H578,$E$5:E578,E578)&gt;1,1,0)</f>
        <v>0</v>
      </c>
      <c r="J578" s="9" t="n">
        <f aca="false">IF(AND(I578=0,COUNTIFS($C$5:$C$634,C578,$E$5:$E$634,E578,$B$5:$B$634,"&gt;="&amp;(B578-Parameters!$B$12),$B$5:$B$634,"&lt;="&amp;(B578+Parameters!$B$12),$H$5:$H$634,"&lt;&gt;"&amp;H578)&gt;0),1,0)</f>
        <v>0</v>
      </c>
      <c r="K578" s="9" t="n">
        <f aca="false">IF(AND(E578&gt;=Parameters!$B$11,ROUND(MOD(ROUND(E578,2),Parameters!$B$10),2)=0),1,0)</f>
        <v>0</v>
      </c>
      <c r="L578" s="9" t="n">
        <f aca="false">IF(AND(E578&lt;Parameters!$B$7,E578&gt;=Parameters!$B$7*(1-Parameters!$B$9)),1,0)</f>
        <v>0</v>
      </c>
      <c r="M578" s="9" t="n">
        <f aca="false">IF(AND(E578&lt;Parameters!$B$7,COUNTIFS($C$5:$C$634,C578,$B$5:$B$634,B578)&gt;1,SUMIFS($E$5:$E$634,$C$5:$C$634,C578,$B$5:$B$634,B578)&gt;=Parameters!$B$7),1,0)</f>
        <v>0</v>
      </c>
      <c r="N578" s="9" t="n">
        <f aca="false">IF(AND(E578&gt;=Parameters!$B$7,F578&lt;&gt;Parameters!$B$8),1,0)</f>
        <v>0</v>
      </c>
      <c r="O578" s="9" t="n">
        <f aca="false">INDEX(Vendor_Benford!$N$6:$N$50,MATCH(C578,Vendor_Benford!$A$6:$A$50,0))</f>
        <v>0</v>
      </c>
      <c r="P578" s="9" t="n">
        <f aca="false">INDEX(Vendor_Benford!$M$6:$M$50,MATCH(C578,Vendor_Benford!$A$6:$A$50,0))</f>
        <v>1</v>
      </c>
      <c r="Q578" s="9" t="n">
        <f aca="false">I578*Parameters!$B$28+J578*Parameters!$B$29+K578*Parameters!$B$30+L578*Parameters!$B$31+M578*Parameters!$B$32+N578*Parameters!$B$33+O578*Parameters!$B$34+P578*Parameters!$B$35</f>
        <v>2</v>
      </c>
      <c r="R578" s="0" t="str">
        <f aca="false">IF(Q578&gt;=Parameters!$B$24,"High","")</f>
        <v/>
      </c>
    </row>
    <row r="579" customFormat="false" ht="15" hidden="false" customHeight="false" outlineLevel="0" collapsed="false">
      <c r="A579" s="10" t="s">
        <v>1460</v>
      </c>
      <c r="B579" s="8" t="n">
        <v>45995</v>
      </c>
      <c r="C579" s="10" t="s">
        <v>110</v>
      </c>
      <c r="D579" s="10" t="s">
        <v>1461</v>
      </c>
      <c r="E579" s="12" t="n">
        <v>85000</v>
      </c>
      <c r="F579" s="10" t="s">
        <v>40</v>
      </c>
      <c r="G579" s="9" t="n">
        <f aca="false">VALUE(LEFT(TEXT(E579,"0.00"),1))</f>
        <v>8</v>
      </c>
      <c r="H579" s="0" t="str">
        <f aca="false">UPPER(SUBSTITUTE(SUBSTITUTE(SUBSTITUTE(D579," ",""),"/",""),".",""))</f>
        <v>RENT2512</v>
      </c>
      <c r="I579" s="9" t="n">
        <f aca="false">IF(COUNTIFS($C$5:C579,C579,$H$5:H579,H579,$E$5:E579,E579)&gt;1,1,0)</f>
        <v>0</v>
      </c>
      <c r="J579" s="9" t="n">
        <f aca="false">IF(AND(I579=0,COUNTIFS($C$5:$C$634,C579,$E$5:$E$634,E579,$B$5:$B$634,"&gt;="&amp;(B579-Parameters!$B$12),$B$5:$B$634,"&lt;="&amp;(B579+Parameters!$B$12),$H$5:$H$634,"&lt;&gt;"&amp;H579)&gt;0),1,0)</f>
        <v>1</v>
      </c>
      <c r="K579" s="9" t="n">
        <f aca="false">IF(AND(E579&gt;=Parameters!$B$11,ROUND(MOD(ROUND(E579,2),Parameters!$B$10),2)=0),1,0)</f>
        <v>1</v>
      </c>
      <c r="L579" s="9" t="n">
        <f aca="false">IF(AND(E579&lt;Parameters!$B$7,E579&gt;=Parameters!$B$7*(1-Parameters!$B$9)),1,0)</f>
        <v>0</v>
      </c>
      <c r="M579" s="9" t="n">
        <f aca="false">IF(AND(E579&lt;Parameters!$B$7,COUNTIFS($C$5:$C$634,C579,$B$5:$B$634,B579)&gt;1,SUMIFS($E$5:$E$634,$C$5:$C$634,C579,$B$5:$B$634,B579)&gt;=Parameters!$B$7),1,0)</f>
        <v>0</v>
      </c>
      <c r="N579" s="9" t="n">
        <f aca="false">IF(AND(E579&gt;=Parameters!$B$7,F579&lt;&gt;Parameters!$B$8),1,0)</f>
        <v>0</v>
      </c>
      <c r="O579" s="9" t="n">
        <f aca="false">INDEX(Vendor_Benford!$N$6:$N$50,MATCH(C579,Vendor_Benford!$A$6:$A$50,0))</f>
        <v>0</v>
      </c>
      <c r="P579" s="9" t="n">
        <f aca="false">INDEX(Vendor_Benford!$M$6:$M$50,MATCH(C579,Vendor_Benford!$A$6:$A$50,0))</f>
        <v>0</v>
      </c>
      <c r="Q579" s="9" t="n">
        <f aca="false">I579*Parameters!$B$28+J579*Parameters!$B$29+K579*Parameters!$B$30+L579*Parameters!$B$31+M579*Parameters!$B$32+N579*Parameters!$B$33+O579*Parameters!$B$34+P579*Parameters!$B$35</f>
        <v>5</v>
      </c>
      <c r="R579" s="0" t="str">
        <f aca="false">IF(Q579&gt;=Parameters!$B$24,"High","")</f>
        <v>High</v>
      </c>
    </row>
    <row r="580" customFormat="false" ht="15" hidden="false" customHeight="false" outlineLevel="0" collapsed="false">
      <c r="A580" s="10" t="s">
        <v>1462</v>
      </c>
      <c r="B580" s="8" t="n">
        <v>45996</v>
      </c>
      <c r="C580" s="10" t="s">
        <v>134</v>
      </c>
      <c r="D580" s="10" t="s">
        <v>1463</v>
      </c>
      <c r="E580" s="12" t="n">
        <v>668.2</v>
      </c>
      <c r="F580" s="10" t="s">
        <v>347</v>
      </c>
      <c r="G580" s="9" t="n">
        <f aca="false">VALUE(LEFT(TEXT(E580,"0.00"),1))</f>
        <v>6</v>
      </c>
      <c r="H580" s="0" t="str">
        <f aca="false">UPPER(SUBSTITUTE(SUBSTITUTE(SUBSTITUTE(D580," ",""),"/",""),".",""))</f>
        <v>INV9001</v>
      </c>
      <c r="I580" s="9" t="n">
        <f aca="false">IF(COUNTIFS($C$5:C580,C580,$H$5:H580,H580,$E$5:E580,E580)&gt;1,1,0)</f>
        <v>0</v>
      </c>
      <c r="J580" s="9" t="n">
        <f aca="false">IF(AND(I580=0,COUNTIFS($C$5:$C$634,C580,$E$5:$E$634,E580,$B$5:$B$634,"&gt;="&amp;(B580-Parameters!$B$12),$B$5:$B$634,"&lt;="&amp;(B580+Parameters!$B$12),$H$5:$H$634,"&lt;&gt;"&amp;H580)&gt;0),1,0)</f>
        <v>0</v>
      </c>
      <c r="K580" s="9" t="n">
        <f aca="false">IF(AND(E580&gt;=Parameters!$B$11,ROUND(MOD(ROUND(E580,2),Parameters!$B$10),2)=0),1,0)</f>
        <v>0</v>
      </c>
      <c r="L580" s="9" t="n">
        <f aca="false">IF(AND(E580&lt;Parameters!$B$7,E580&gt;=Parameters!$B$7*(1-Parameters!$B$9)),1,0)</f>
        <v>0</v>
      </c>
      <c r="M580" s="9" t="n">
        <f aca="false">IF(AND(E580&lt;Parameters!$B$7,COUNTIFS($C$5:$C$634,C580,$B$5:$B$634,B580)&gt;1,SUMIFS($E$5:$E$634,$C$5:$C$634,C580,$B$5:$B$634,B580)&gt;=Parameters!$B$7),1,0)</f>
        <v>0</v>
      </c>
      <c r="N580" s="9" t="n">
        <f aca="false">IF(AND(E580&gt;=Parameters!$B$7,F580&lt;&gt;Parameters!$B$8),1,0)</f>
        <v>0</v>
      </c>
      <c r="O580" s="9" t="n">
        <f aca="false">INDEX(Vendor_Benford!$N$6:$N$50,MATCH(C580,Vendor_Benford!$A$6:$A$50,0))</f>
        <v>0</v>
      </c>
      <c r="P580" s="9" t="n">
        <f aca="false">INDEX(Vendor_Benford!$M$6:$M$50,MATCH(C580,Vendor_Benford!$A$6:$A$50,0))</f>
        <v>0</v>
      </c>
      <c r="Q580" s="9" t="n">
        <f aca="false">I580*Parameters!$B$28+J580*Parameters!$B$29+K580*Parameters!$B$30+L580*Parameters!$B$31+M580*Parameters!$B$32+N580*Parameters!$B$33+O580*Parameters!$B$34+P580*Parameters!$B$35</f>
        <v>0</v>
      </c>
      <c r="R580" s="0" t="str">
        <f aca="false">IF(Q580&gt;=Parameters!$B$24,"High","")</f>
        <v/>
      </c>
    </row>
    <row r="581" customFormat="false" ht="15" hidden="false" customHeight="false" outlineLevel="0" collapsed="false">
      <c r="A581" s="10" t="s">
        <v>1464</v>
      </c>
      <c r="B581" s="8" t="n">
        <v>45996</v>
      </c>
      <c r="C581" s="10" t="s">
        <v>155</v>
      </c>
      <c r="D581" s="10" t="s">
        <v>1465</v>
      </c>
      <c r="E581" s="12" t="n">
        <v>298.95</v>
      </c>
      <c r="F581" s="10" t="s">
        <v>347</v>
      </c>
      <c r="G581" s="9" t="n">
        <f aca="false">VALUE(LEFT(TEXT(E581,"0.00"),1))</f>
        <v>2</v>
      </c>
      <c r="H581" s="0" t="str">
        <f aca="false">UPPER(SUBSTITUTE(SUBSTITUTE(SUBSTITUTE(D581," ",""),"/",""),".",""))</f>
        <v>INV16008</v>
      </c>
      <c r="I581" s="9" t="n">
        <f aca="false">IF(COUNTIFS($C$5:C581,C581,$H$5:H581,H581,$E$5:E581,E581)&gt;1,1,0)</f>
        <v>0</v>
      </c>
      <c r="J581" s="9" t="n">
        <f aca="false">IF(AND(I581=0,COUNTIFS($C$5:$C$634,C581,$E$5:$E$634,E581,$B$5:$B$634,"&gt;="&amp;(B581-Parameters!$B$12),$B$5:$B$634,"&lt;="&amp;(B581+Parameters!$B$12),$H$5:$H$634,"&lt;&gt;"&amp;H581)&gt;0),1,0)</f>
        <v>0</v>
      </c>
      <c r="K581" s="9" t="n">
        <f aca="false">IF(AND(E581&gt;=Parameters!$B$11,ROUND(MOD(ROUND(E581,2),Parameters!$B$10),2)=0),1,0)</f>
        <v>0</v>
      </c>
      <c r="L581" s="9" t="n">
        <f aca="false">IF(AND(E581&lt;Parameters!$B$7,E581&gt;=Parameters!$B$7*(1-Parameters!$B$9)),1,0)</f>
        <v>0</v>
      </c>
      <c r="M581" s="9" t="n">
        <f aca="false">IF(AND(E581&lt;Parameters!$B$7,COUNTIFS($C$5:$C$634,C581,$B$5:$B$634,B581)&gt;1,SUMIFS($E$5:$E$634,$C$5:$C$634,C581,$B$5:$B$634,B581)&gt;=Parameters!$B$7),1,0)</f>
        <v>0</v>
      </c>
      <c r="N581" s="9" t="n">
        <f aca="false">IF(AND(E581&gt;=Parameters!$B$7,F581&lt;&gt;Parameters!$B$8),1,0)</f>
        <v>0</v>
      </c>
      <c r="O581" s="9" t="n">
        <f aca="false">INDEX(Vendor_Benford!$N$6:$N$50,MATCH(C581,Vendor_Benford!$A$6:$A$50,0))</f>
        <v>0</v>
      </c>
      <c r="P581" s="9" t="n">
        <f aca="false">INDEX(Vendor_Benford!$M$6:$M$50,MATCH(C581,Vendor_Benford!$A$6:$A$50,0))</f>
        <v>0</v>
      </c>
      <c r="Q581" s="9" t="n">
        <f aca="false">I581*Parameters!$B$28+J581*Parameters!$B$29+K581*Parameters!$B$30+L581*Parameters!$B$31+M581*Parameters!$B$32+N581*Parameters!$B$33+O581*Parameters!$B$34+P581*Parameters!$B$35</f>
        <v>0</v>
      </c>
      <c r="R581" s="0" t="str">
        <f aca="false">IF(Q581&gt;=Parameters!$B$24,"High","")</f>
        <v/>
      </c>
    </row>
    <row r="582" customFormat="false" ht="15" hidden="false" customHeight="false" outlineLevel="0" collapsed="false">
      <c r="A582" s="10" t="s">
        <v>1466</v>
      </c>
      <c r="B582" s="8" t="n">
        <v>45996</v>
      </c>
      <c r="C582" s="10" t="s">
        <v>158</v>
      </c>
      <c r="D582" s="10" t="s">
        <v>1467</v>
      </c>
      <c r="E582" s="12" t="n">
        <v>6271.89</v>
      </c>
      <c r="F582" s="10" t="s">
        <v>40</v>
      </c>
      <c r="G582" s="9" t="n">
        <f aca="false">VALUE(LEFT(TEXT(E582,"0.00"),1))</f>
        <v>6</v>
      </c>
      <c r="H582" s="0" t="str">
        <f aca="false">UPPER(SUBSTITUTE(SUBSTITUTE(SUBSTITUTE(D582," ",""),"/",""),".",""))</f>
        <v>INV17001</v>
      </c>
      <c r="I582" s="9" t="n">
        <f aca="false">IF(COUNTIFS($C$5:C582,C582,$H$5:H582,H582,$E$5:E582,E582)&gt;1,1,0)</f>
        <v>0</v>
      </c>
      <c r="J582" s="9" t="n">
        <f aca="false">IF(AND(I582=0,COUNTIFS($C$5:$C$634,C582,$E$5:$E$634,E582,$B$5:$B$634,"&gt;="&amp;(B582-Parameters!$B$12),$B$5:$B$634,"&lt;="&amp;(B582+Parameters!$B$12),$H$5:$H$634,"&lt;&gt;"&amp;H582)&gt;0),1,0)</f>
        <v>0</v>
      </c>
      <c r="K582" s="9" t="n">
        <f aca="false">IF(AND(E582&gt;=Parameters!$B$11,ROUND(MOD(ROUND(E582,2),Parameters!$B$10),2)=0),1,0)</f>
        <v>0</v>
      </c>
      <c r="L582" s="9" t="n">
        <f aca="false">IF(AND(E582&lt;Parameters!$B$7,E582&gt;=Parameters!$B$7*(1-Parameters!$B$9)),1,0)</f>
        <v>0</v>
      </c>
      <c r="M582" s="9" t="n">
        <f aca="false">IF(AND(E582&lt;Parameters!$B$7,COUNTIFS($C$5:$C$634,C582,$B$5:$B$634,B582)&gt;1,SUMIFS($E$5:$E$634,$C$5:$C$634,C582,$B$5:$B$634,B582)&gt;=Parameters!$B$7),1,0)</f>
        <v>0</v>
      </c>
      <c r="N582" s="9" t="n">
        <f aca="false">IF(AND(E582&gt;=Parameters!$B$7,F582&lt;&gt;Parameters!$B$8),1,0)</f>
        <v>0</v>
      </c>
      <c r="O582" s="9" t="n">
        <f aca="false">INDEX(Vendor_Benford!$N$6:$N$50,MATCH(C582,Vendor_Benford!$A$6:$A$50,0))</f>
        <v>0</v>
      </c>
      <c r="P582" s="9" t="n">
        <f aca="false">INDEX(Vendor_Benford!$M$6:$M$50,MATCH(C582,Vendor_Benford!$A$6:$A$50,0))</f>
        <v>0</v>
      </c>
      <c r="Q582" s="9" t="n">
        <f aca="false">I582*Parameters!$B$28+J582*Parameters!$B$29+K582*Parameters!$B$30+L582*Parameters!$B$31+M582*Parameters!$B$32+N582*Parameters!$B$33+O582*Parameters!$B$34+P582*Parameters!$B$35</f>
        <v>0</v>
      </c>
      <c r="R582" s="0" t="str">
        <f aca="false">IF(Q582&gt;=Parameters!$B$24,"High","")</f>
        <v/>
      </c>
    </row>
    <row r="583" customFormat="false" ht="15" hidden="false" customHeight="false" outlineLevel="0" collapsed="false">
      <c r="A583" s="10" t="s">
        <v>1468</v>
      </c>
      <c r="B583" s="8" t="n">
        <v>45996</v>
      </c>
      <c r="C583" s="10" t="s">
        <v>218</v>
      </c>
      <c r="D583" s="10" t="s">
        <v>1469</v>
      </c>
      <c r="E583" s="12" t="n">
        <v>16582.69</v>
      </c>
      <c r="F583" s="10" t="s">
        <v>40</v>
      </c>
      <c r="G583" s="9" t="n">
        <f aca="false">VALUE(LEFT(TEXT(E583,"0.00"),1))</f>
        <v>1</v>
      </c>
      <c r="H583" s="0" t="str">
        <f aca="false">UPPER(SUBSTITUTE(SUBSTITUTE(SUBSTITUTE(D583," ",""),"/",""),".",""))</f>
        <v>INV37014</v>
      </c>
      <c r="I583" s="9" t="n">
        <f aca="false">IF(COUNTIFS($C$5:C583,C583,$H$5:H583,H583,$E$5:E583,E583)&gt;1,1,0)</f>
        <v>0</v>
      </c>
      <c r="J583" s="9" t="n">
        <f aca="false">IF(AND(I583=0,COUNTIFS($C$5:$C$634,C583,$E$5:$E$634,E583,$B$5:$B$634,"&gt;="&amp;(B583-Parameters!$B$12),$B$5:$B$634,"&lt;="&amp;(B583+Parameters!$B$12),$H$5:$H$634,"&lt;&gt;"&amp;H583)&gt;0),1,0)</f>
        <v>0</v>
      </c>
      <c r="K583" s="9" t="n">
        <f aca="false">IF(AND(E583&gt;=Parameters!$B$11,ROUND(MOD(ROUND(E583,2),Parameters!$B$10),2)=0),1,0)</f>
        <v>0</v>
      </c>
      <c r="L583" s="9" t="n">
        <f aca="false">IF(AND(E583&lt;Parameters!$B$7,E583&gt;=Parameters!$B$7*(1-Parameters!$B$9)),1,0)</f>
        <v>0</v>
      </c>
      <c r="M583" s="9" t="n">
        <f aca="false">IF(AND(E583&lt;Parameters!$B$7,COUNTIFS($C$5:$C$634,C583,$B$5:$B$634,B583)&gt;1,SUMIFS($E$5:$E$634,$C$5:$C$634,C583,$B$5:$B$634,B583)&gt;=Parameters!$B$7),1,0)</f>
        <v>0</v>
      </c>
      <c r="N583" s="9" t="n">
        <f aca="false">IF(AND(E583&gt;=Parameters!$B$7,F583&lt;&gt;Parameters!$B$8),1,0)</f>
        <v>0</v>
      </c>
      <c r="O583" s="9" t="n">
        <f aca="false">INDEX(Vendor_Benford!$N$6:$N$50,MATCH(C583,Vendor_Benford!$A$6:$A$50,0))</f>
        <v>0</v>
      </c>
      <c r="P583" s="9" t="n">
        <f aca="false">INDEX(Vendor_Benford!$M$6:$M$50,MATCH(C583,Vendor_Benford!$A$6:$A$50,0))</f>
        <v>0</v>
      </c>
      <c r="Q583" s="9" t="n">
        <f aca="false">I583*Parameters!$B$28+J583*Parameters!$B$29+K583*Parameters!$B$30+L583*Parameters!$B$31+M583*Parameters!$B$32+N583*Parameters!$B$33+O583*Parameters!$B$34+P583*Parameters!$B$35</f>
        <v>0</v>
      </c>
      <c r="R583" s="0" t="str">
        <f aca="false">IF(Q583&gt;=Parameters!$B$24,"High","")</f>
        <v/>
      </c>
    </row>
    <row r="584" customFormat="false" ht="15" hidden="false" customHeight="false" outlineLevel="0" collapsed="false">
      <c r="A584" s="10" t="s">
        <v>1470</v>
      </c>
      <c r="B584" s="8" t="n">
        <v>45996</v>
      </c>
      <c r="C584" s="10" t="s">
        <v>236</v>
      </c>
      <c r="D584" s="10" t="s">
        <v>1471</v>
      </c>
      <c r="E584" s="12" t="n">
        <v>28344.16</v>
      </c>
      <c r="F584" s="10" t="s">
        <v>40</v>
      </c>
      <c r="G584" s="9" t="n">
        <f aca="false">VALUE(LEFT(TEXT(E584,"0.00"),1))</f>
        <v>2</v>
      </c>
      <c r="H584" s="0" t="str">
        <f aca="false">UPPER(SUBSTITUTE(SUBSTITUTE(SUBSTITUTE(D584," ",""),"/",""),".",""))</f>
        <v>INV43002</v>
      </c>
      <c r="I584" s="9" t="n">
        <f aca="false">IF(COUNTIFS($C$5:C584,C584,$H$5:H584,H584,$E$5:E584,E584)&gt;1,1,0)</f>
        <v>0</v>
      </c>
      <c r="J584" s="9" t="n">
        <f aca="false">IF(AND(I584=0,COUNTIFS($C$5:$C$634,C584,$E$5:$E$634,E584,$B$5:$B$634,"&gt;="&amp;(B584-Parameters!$B$12),$B$5:$B$634,"&lt;="&amp;(B584+Parameters!$B$12),$H$5:$H$634,"&lt;&gt;"&amp;H584)&gt;0),1,0)</f>
        <v>0</v>
      </c>
      <c r="K584" s="9" t="n">
        <f aca="false">IF(AND(E584&gt;=Parameters!$B$11,ROUND(MOD(ROUND(E584,2),Parameters!$B$10),2)=0),1,0)</f>
        <v>0</v>
      </c>
      <c r="L584" s="9" t="n">
        <f aca="false">IF(AND(E584&lt;Parameters!$B$7,E584&gt;=Parameters!$B$7*(1-Parameters!$B$9)),1,0)</f>
        <v>0</v>
      </c>
      <c r="M584" s="9" t="n">
        <f aca="false">IF(AND(E584&lt;Parameters!$B$7,COUNTIFS($C$5:$C$634,C584,$B$5:$B$634,B584)&gt;1,SUMIFS($E$5:$E$634,$C$5:$C$634,C584,$B$5:$B$634,B584)&gt;=Parameters!$B$7),1,0)</f>
        <v>0</v>
      </c>
      <c r="N584" s="9" t="n">
        <f aca="false">IF(AND(E584&gt;=Parameters!$B$7,F584&lt;&gt;Parameters!$B$8),1,0)</f>
        <v>0</v>
      </c>
      <c r="O584" s="9" t="n">
        <f aca="false">INDEX(Vendor_Benford!$N$6:$N$50,MATCH(C584,Vendor_Benford!$A$6:$A$50,0))</f>
        <v>0</v>
      </c>
      <c r="P584" s="9" t="n">
        <f aca="false">INDEX(Vendor_Benford!$M$6:$M$50,MATCH(C584,Vendor_Benford!$A$6:$A$50,0))</f>
        <v>0</v>
      </c>
      <c r="Q584" s="9" t="n">
        <f aca="false">I584*Parameters!$B$28+J584*Parameters!$B$29+K584*Parameters!$B$30+L584*Parameters!$B$31+M584*Parameters!$B$32+N584*Parameters!$B$33+O584*Parameters!$B$34+P584*Parameters!$B$35</f>
        <v>0</v>
      </c>
      <c r="R584" s="0" t="str">
        <f aca="false">IF(Q584&gt;=Parameters!$B$24,"High","")</f>
        <v/>
      </c>
    </row>
    <row r="585" customFormat="false" ht="15" hidden="false" customHeight="false" outlineLevel="0" collapsed="false">
      <c r="A585" s="10" t="s">
        <v>1472</v>
      </c>
      <c r="B585" s="8" t="n">
        <v>45999</v>
      </c>
      <c r="C585" s="10" t="s">
        <v>155</v>
      </c>
      <c r="D585" s="10" t="s">
        <v>1473</v>
      </c>
      <c r="E585" s="12" t="n">
        <v>815.33</v>
      </c>
      <c r="F585" s="10" t="s">
        <v>347</v>
      </c>
      <c r="G585" s="9" t="n">
        <f aca="false">VALUE(LEFT(TEXT(E585,"0.00"),1))</f>
        <v>8</v>
      </c>
      <c r="H585" s="0" t="str">
        <f aca="false">UPPER(SUBSTITUTE(SUBSTITUTE(SUBSTITUTE(D585," ",""),"/",""),".",""))</f>
        <v>INV16014</v>
      </c>
      <c r="I585" s="9" t="n">
        <f aca="false">IF(COUNTIFS($C$5:C585,C585,$H$5:H585,H585,$E$5:E585,E585)&gt;1,1,0)</f>
        <v>0</v>
      </c>
      <c r="J585" s="9" t="n">
        <f aca="false">IF(AND(I585=0,COUNTIFS($C$5:$C$634,C585,$E$5:$E$634,E585,$B$5:$B$634,"&gt;="&amp;(B585-Parameters!$B$12),$B$5:$B$634,"&lt;="&amp;(B585+Parameters!$B$12),$H$5:$H$634,"&lt;&gt;"&amp;H585)&gt;0),1,0)</f>
        <v>0</v>
      </c>
      <c r="K585" s="9" t="n">
        <f aca="false">IF(AND(E585&gt;=Parameters!$B$11,ROUND(MOD(ROUND(E585,2),Parameters!$B$10),2)=0),1,0)</f>
        <v>0</v>
      </c>
      <c r="L585" s="9" t="n">
        <f aca="false">IF(AND(E585&lt;Parameters!$B$7,E585&gt;=Parameters!$B$7*(1-Parameters!$B$9)),1,0)</f>
        <v>0</v>
      </c>
      <c r="M585" s="9" t="n">
        <f aca="false">IF(AND(E585&lt;Parameters!$B$7,COUNTIFS($C$5:$C$634,C585,$B$5:$B$634,B585)&gt;1,SUMIFS($E$5:$E$634,$C$5:$C$634,C585,$B$5:$B$634,B585)&gt;=Parameters!$B$7),1,0)</f>
        <v>0</v>
      </c>
      <c r="N585" s="9" t="n">
        <f aca="false">IF(AND(E585&gt;=Parameters!$B$7,F585&lt;&gt;Parameters!$B$8),1,0)</f>
        <v>0</v>
      </c>
      <c r="O585" s="9" t="n">
        <f aca="false">INDEX(Vendor_Benford!$N$6:$N$50,MATCH(C585,Vendor_Benford!$A$6:$A$50,0))</f>
        <v>0</v>
      </c>
      <c r="P585" s="9" t="n">
        <f aca="false">INDEX(Vendor_Benford!$M$6:$M$50,MATCH(C585,Vendor_Benford!$A$6:$A$50,0))</f>
        <v>0</v>
      </c>
      <c r="Q585" s="9" t="n">
        <f aca="false">I585*Parameters!$B$28+J585*Parameters!$B$29+K585*Parameters!$B$30+L585*Parameters!$B$31+M585*Parameters!$B$32+N585*Parameters!$B$33+O585*Parameters!$B$34+P585*Parameters!$B$35</f>
        <v>0</v>
      </c>
      <c r="R585" s="0" t="str">
        <f aca="false">IF(Q585&gt;=Parameters!$B$24,"High","")</f>
        <v/>
      </c>
    </row>
    <row r="586" customFormat="false" ht="15" hidden="false" customHeight="false" outlineLevel="0" collapsed="false">
      <c r="A586" s="10" t="s">
        <v>1474</v>
      </c>
      <c r="B586" s="8" t="n">
        <v>45999</v>
      </c>
      <c r="C586" s="10" t="s">
        <v>182</v>
      </c>
      <c r="D586" s="10" t="s">
        <v>1475</v>
      </c>
      <c r="E586" s="12" t="n">
        <v>675.24</v>
      </c>
      <c r="F586" s="10" t="s">
        <v>347</v>
      </c>
      <c r="G586" s="9" t="n">
        <f aca="false">VALUE(LEFT(TEXT(E586,"0.00"),1))</f>
        <v>6</v>
      </c>
      <c r="H586" s="0" t="str">
        <f aca="false">UPPER(SUBSTITUTE(SUBSTITUTE(SUBSTITUTE(D586," ",""),"/",""),".",""))</f>
        <v>INV25011</v>
      </c>
      <c r="I586" s="9" t="n">
        <f aca="false">IF(COUNTIFS($C$5:C586,C586,$H$5:H586,H586,$E$5:E586,E586)&gt;1,1,0)</f>
        <v>0</v>
      </c>
      <c r="J586" s="9" t="n">
        <f aca="false">IF(AND(I586=0,COUNTIFS($C$5:$C$634,C586,$E$5:$E$634,E586,$B$5:$B$634,"&gt;="&amp;(B586-Parameters!$B$12),$B$5:$B$634,"&lt;="&amp;(B586+Parameters!$B$12),$H$5:$H$634,"&lt;&gt;"&amp;H586)&gt;0),1,0)</f>
        <v>0</v>
      </c>
      <c r="K586" s="9" t="n">
        <f aca="false">IF(AND(E586&gt;=Parameters!$B$11,ROUND(MOD(ROUND(E586,2),Parameters!$B$10),2)=0),1,0)</f>
        <v>0</v>
      </c>
      <c r="L586" s="9" t="n">
        <f aca="false">IF(AND(E586&lt;Parameters!$B$7,E586&gt;=Parameters!$B$7*(1-Parameters!$B$9)),1,0)</f>
        <v>0</v>
      </c>
      <c r="M586" s="9" t="n">
        <f aca="false">IF(AND(E586&lt;Parameters!$B$7,COUNTIFS($C$5:$C$634,C586,$B$5:$B$634,B586)&gt;1,SUMIFS($E$5:$E$634,$C$5:$C$634,C586,$B$5:$B$634,B586)&gt;=Parameters!$B$7),1,0)</f>
        <v>0</v>
      </c>
      <c r="N586" s="9" t="n">
        <f aca="false">IF(AND(E586&gt;=Parameters!$B$7,F586&lt;&gt;Parameters!$B$8),1,0)</f>
        <v>0</v>
      </c>
      <c r="O586" s="9" t="n">
        <f aca="false">INDEX(Vendor_Benford!$N$6:$N$50,MATCH(C586,Vendor_Benford!$A$6:$A$50,0))</f>
        <v>0</v>
      </c>
      <c r="P586" s="9" t="n">
        <f aca="false">INDEX(Vendor_Benford!$M$6:$M$50,MATCH(C586,Vendor_Benford!$A$6:$A$50,0))</f>
        <v>0</v>
      </c>
      <c r="Q586" s="9" t="n">
        <f aca="false">I586*Parameters!$B$28+J586*Parameters!$B$29+K586*Parameters!$B$30+L586*Parameters!$B$31+M586*Parameters!$B$32+N586*Parameters!$B$33+O586*Parameters!$B$34+P586*Parameters!$B$35</f>
        <v>0</v>
      </c>
      <c r="R586" s="0" t="str">
        <f aca="false">IF(Q586&gt;=Parameters!$B$24,"High","")</f>
        <v/>
      </c>
    </row>
    <row r="587" customFormat="false" ht="15" hidden="false" customHeight="false" outlineLevel="0" collapsed="false">
      <c r="A587" s="10" t="s">
        <v>1476</v>
      </c>
      <c r="B587" s="8" t="n">
        <v>45999</v>
      </c>
      <c r="C587" s="10" t="s">
        <v>239</v>
      </c>
      <c r="D587" s="10" t="s">
        <v>1477</v>
      </c>
      <c r="E587" s="12" t="n">
        <v>61126.33</v>
      </c>
      <c r="F587" s="10" t="s">
        <v>40</v>
      </c>
      <c r="G587" s="9" t="n">
        <f aca="false">VALUE(LEFT(TEXT(E587,"0.00"),1))</f>
        <v>6</v>
      </c>
      <c r="H587" s="0" t="str">
        <f aca="false">UPPER(SUBSTITUTE(SUBSTITUTE(SUBSTITUTE(D587," ",""),"/",""),".",""))</f>
        <v>INV44003</v>
      </c>
      <c r="I587" s="9" t="n">
        <f aca="false">IF(COUNTIFS($C$5:C587,C587,$H$5:H587,H587,$E$5:E587,E587)&gt;1,1,0)</f>
        <v>0</v>
      </c>
      <c r="J587" s="9" t="n">
        <f aca="false">IF(AND(I587=0,COUNTIFS($C$5:$C$634,C587,$E$5:$E$634,E587,$B$5:$B$634,"&gt;="&amp;(B587-Parameters!$B$12),$B$5:$B$634,"&lt;="&amp;(B587+Parameters!$B$12),$H$5:$H$634,"&lt;&gt;"&amp;H587)&gt;0),1,0)</f>
        <v>0</v>
      </c>
      <c r="K587" s="9" t="n">
        <f aca="false">IF(AND(E587&gt;=Parameters!$B$11,ROUND(MOD(ROUND(E587,2),Parameters!$B$10),2)=0),1,0)</f>
        <v>0</v>
      </c>
      <c r="L587" s="9" t="n">
        <f aca="false">IF(AND(E587&lt;Parameters!$B$7,E587&gt;=Parameters!$B$7*(1-Parameters!$B$9)),1,0)</f>
        <v>0</v>
      </c>
      <c r="M587" s="9" t="n">
        <f aca="false">IF(AND(E587&lt;Parameters!$B$7,COUNTIFS($C$5:$C$634,C587,$B$5:$B$634,B587)&gt;1,SUMIFS($E$5:$E$634,$C$5:$C$634,C587,$B$5:$B$634,B587)&gt;=Parameters!$B$7),1,0)</f>
        <v>0</v>
      </c>
      <c r="N587" s="9" t="n">
        <f aca="false">IF(AND(E587&gt;=Parameters!$B$7,F587&lt;&gt;Parameters!$B$8),1,0)</f>
        <v>0</v>
      </c>
      <c r="O587" s="9" t="n">
        <f aca="false">INDEX(Vendor_Benford!$N$6:$N$50,MATCH(C587,Vendor_Benford!$A$6:$A$50,0))</f>
        <v>0</v>
      </c>
      <c r="P587" s="9" t="n">
        <f aca="false">INDEX(Vendor_Benford!$M$6:$M$50,MATCH(C587,Vendor_Benford!$A$6:$A$50,0))</f>
        <v>0</v>
      </c>
      <c r="Q587" s="9" t="n">
        <f aca="false">I587*Parameters!$B$28+J587*Parameters!$B$29+K587*Parameters!$B$30+L587*Parameters!$B$31+M587*Parameters!$B$32+N587*Parameters!$B$33+O587*Parameters!$B$34+P587*Parameters!$B$35</f>
        <v>0</v>
      </c>
      <c r="R587" s="0" t="str">
        <f aca="false">IF(Q587&gt;=Parameters!$B$24,"High","")</f>
        <v/>
      </c>
    </row>
    <row r="588" customFormat="false" ht="15" hidden="false" customHeight="false" outlineLevel="0" collapsed="false">
      <c r="A588" s="10" t="s">
        <v>1478</v>
      </c>
      <c r="B588" s="8" t="n">
        <v>46000</v>
      </c>
      <c r="C588" s="10" t="s">
        <v>161</v>
      </c>
      <c r="D588" s="10" t="s">
        <v>1479</v>
      </c>
      <c r="E588" s="12" t="n">
        <v>1753.04</v>
      </c>
      <c r="F588" s="10" t="s">
        <v>40</v>
      </c>
      <c r="G588" s="9" t="n">
        <f aca="false">VALUE(LEFT(TEXT(E588,"0.00"),1))</f>
        <v>1</v>
      </c>
      <c r="H588" s="0" t="str">
        <f aca="false">UPPER(SUBSTITUTE(SUBSTITUTE(SUBSTITUTE(D588," ",""),"/",""),".",""))</f>
        <v>INV18020</v>
      </c>
      <c r="I588" s="9" t="n">
        <f aca="false">IF(COUNTIFS($C$5:C588,C588,$H$5:H588,H588,$E$5:E588,E588)&gt;1,1,0)</f>
        <v>0</v>
      </c>
      <c r="J588" s="9" t="n">
        <f aca="false">IF(AND(I588=0,COUNTIFS($C$5:$C$634,C588,$E$5:$E$634,E588,$B$5:$B$634,"&gt;="&amp;(B588-Parameters!$B$12),$B$5:$B$634,"&lt;="&amp;(B588+Parameters!$B$12),$H$5:$H$634,"&lt;&gt;"&amp;H588)&gt;0),1,0)</f>
        <v>0</v>
      </c>
      <c r="K588" s="9" t="n">
        <f aca="false">IF(AND(E588&gt;=Parameters!$B$11,ROUND(MOD(ROUND(E588,2),Parameters!$B$10),2)=0),1,0)</f>
        <v>0</v>
      </c>
      <c r="L588" s="9" t="n">
        <f aca="false">IF(AND(E588&lt;Parameters!$B$7,E588&gt;=Parameters!$B$7*(1-Parameters!$B$9)),1,0)</f>
        <v>0</v>
      </c>
      <c r="M588" s="9" t="n">
        <f aca="false">IF(AND(E588&lt;Parameters!$B$7,COUNTIFS($C$5:$C$634,C588,$B$5:$B$634,B588)&gt;1,SUMIFS($E$5:$E$634,$C$5:$C$634,C588,$B$5:$B$634,B588)&gt;=Parameters!$B$7),1,0)</f>
        <v>0</v>
      </c>
      <c r="N588" s="9" t="n">
        <f aca="false">IF(AND(E588&gt;=Parameters!$B$7,F588&lt;&gt;Parameters!$B$8),1,0)</f>
        <v>0</v>
      </c>
      <c r="O588" s="9" t="n">
        <f aca="false">INDEX(Vendor_Benford!$N$6:$N$50,MATCH(C588,Vendor_Benford!$A$6:$A$50,0))</f>
        <v>0</v>
      </c>
      <c r="P588" s="9" t="n">
        <f aca="false">INDEX(Vendor_Benford!$M$6:$M$50,MATCH(C588,Vendor_Benford!$A$6:$A$50,0))</f>
        <v>0</v>
      </c>
      <c r="Q588" s="9" t="n">
        <f aca="false">I588*Parameters!$B$28+J588*Parameters!$B$29+K588*Parameters!$B$30+L588*Parameters!$B$31+M588*Parameters!$B$32+N588*Parameters!$B$33+O588*Parameters!$B$34+P588*Parameters!$B$35</f>
        <v>0</v>
      </c>
      <c r="R588" s="0" t="str">
        <f aca="false">IF(Q588&gt;=Parameters!$B$24,"High","")</f>
        <v/>
      </c>
    </row>
    <row r="589" customFormat="false" ht="15" hidden="false" customHeight="false" outlineLevel="0" collapsed="false">
      <c r="A589" s="10" t="s">
        <v>1480</v>
      </c>
      <c r="B589" s="8" t="n">
        <v>46000</v>
      </c>
      <c r="C589" s="10" t="s">
        <v>167</v>
      </c>
      <c r="D589" s="10" t="s">
        <v>1481</v>
      </c>
      <c r="E589" s="12" t="n">
        <v>21954.41</v>
      </c>
      <c r="F589" s="10" t="s">
        <v>40</v>
      </c>
      <c r="G589" s="9" t="n">
        <f aca="false">VALUE(LEFT(TEXT(E589,"0.00"),1))</f>
        <v>2</v>
      </c>
      <c r="H589" s="0" t="str">
        <f aca="false">UPPER(SUBSTITUTE(SUBSTITUTE(SUBSTITUTE(D589," ",""),"/",""),".",""))</f>
        <v>INV20008</v>
      </c>
      <c r="I589" s="9" t="n">
        <f aca="false">IF(COUNTIFS($C$5:C589,C589,$H$5:H589,H589,$E$5:E589,E589)&gt;1,1,0)</f>
        <v>0</v>
      </c>
      <c r="J589" s="9" t="n">
        <f aca="false">IF(AND(I589=0,COUNTIFS($C$5:$C$634,C589,$E$5:$E$634,E589,$B$5:$B$634,"&gt;="&amp;(B589-Parameters!$B$12),$B$5:$B$634,"&lt;="&amp;(B589+Parameters!$B$12),$H$5:$H$634,"&lt;&gt;"&amp;H589)&gt;0),1,0)</f>
        <v>0</v>
      </c>
      <c r="K589" s="9" t="n">
        <f aca="false">IF(AND(E589&gt;=Parameters!$B$11,ROUND(MOD(ROUND(E589,2),Parameters!$B$10),2)=0),1,0)</f>
        <v>0</v>
      </c>
      <c r="L589" s="9" t="n">
        <f aca="false">IF(AND(E589&lt;Parameters!$B$7,E589&gt;=Parameters!$B$7*(1-Parameters!$B$9)),1,0)</f>
        <v>0</v>
      </c>
      <c r="M589" s="9" t="n">
        <f aca="false">IF(AND(E589&lt;Parameters!$B$7,COUNTIFS($C$5:$C$634,C589,$B$5:$B$634,B589)&gt;1,SUMIFS($E$5:$E$634,$C$5:$C$634,C589,$B$5:$B$634,B589)&gt;=Parameters!$B$7),1,0)</f>
        <v>0</v>
      </c>
      <c r="N589" s="9" t="n">
        <f aca="false">IF(AND(E589&gt;=Parameters!$B$7,F589&lt;&gt;Parameters!$B$8),1,0)</f>
        <v>0</v>
      </c>
      <c r="O589" s="9" t="n">
        <f aca="false">INDEX(Vendor_Benford!$N$6:$N$50,MATCH(C589,Vendor_Benford!$A$6:$A$50,0))</f>
        <v>0</v>
      </c>
      <c r="P589" s="9" t="n">
        <f aca="false">INDEX(Vendor_Benford!$M$6:$M$50,MATCH(C589,Vendor_Benford!$A$6:$A$50,0))</f>
        <v>0</v>
      </c>
      <c r="Q589" s="9" t="n">
        <f aca="false">I589*Parameters!$B$28+J589*Parameters!$B$29+K589*Parameters!$B$30+L589*Parameters!$B$31+M589*Parameters!$B$32+N589*Parameters!$B$33+O589*Parameters!$B$34+P589*Parameters!$B$35</f>
        <v>0</v>
      </c>
      <c r="R589" s="0" t="str">
        <f aca="false">IF(Q589&gt;=Parameters!$B$24,"High","")</f>
        <v/>
      </c>
    </row>
    <row r="590" customFormat="false" ht="15" hidden="false" customHeight="false" outlineLevel="0" collapsed="false">
      <c r="A590" s="10" t="s">
        <v>1482</v>
      </c>
      <c r="B590" s="8" t="n">
        <v>46001</v>
      </c>
      <c r="C590" s="10" t="s">
        <v>119</v>
      </c>
      <c r="D590" s="10" t="s">
        <v>1483</v>
      </c>
      <c r="E590" s="12" t="n">
        <v>133.04</v>
      </c>
      <c r="F590" s="10" t="s">
        <v>40</v>
      </c>
      <c r="G590" s="9" t="n">
        <f aca="false">VALUE(LEFT(TEXT(E590,"0.00"),1))</f>
        <v>1</v>
      </c>
      <c r="H590" s="0" t="str">
        <f aca="false">UPPER(SUBSTITUTE(SUBSTITUTE(SUBSTITUTE(D590," ",""),"/",""),".",""))</f>
        <v>INV4006</v>
      </c>
      <c r="I590" s="9" t="n">
        <f aca="false">IF(COUNTIFS($C$5:C590,C590,$H$5:H590,H590,$E$5:E590,E590)&gt;1,1,0)</f>
        <v>0</v>
      </c>
      <c r="J590" s="9" t="n">
        <f aca="false">IF(AND(I590=0,COUNTIFS($C$5:$C$634,C590,$E$5:$E$634,E590,$B$5:$B$634,"&gt;="&amp;(B590-Parameters!$B$12),$B$5:$B$634,"&lt;="&amp;(B590+Parameters!$B$12),$H$5:$H$634,"&lt;&gt;"&amp;H590)&gt;0),1,0)</f>
        <v>0</v>
      </c>
      <c r="K590" s="9" t="n">
        <f aca="false">IF(AND(E590&gt;=Parameters!$B$11,ROUND(MOD(ROUND(E590,2),Parameters!$B$10),2)=0),1,0)</f>
        <v>0</v>
      </c>
      <c r="L590" s="9" t="n">
        <f aca="false">IF(AND(E590&lt;Parameters!$B$7,E590&gt;=Parameters!$B$7*(1-Parameters!$B$9)),1,0)</f>
        <v>0</v>
      </c>
      <c r="M590" s="9" t="n">
        <f aca="false">IF(AND(E590&lt;Parameters!$B$7,COUNTIFS($C$5:$C$634,C590,$B$5:$B$634,B590)&gt;1,SUMIFS($E$5:$E$634,$C$5:$C$634,C590,$B$5:$B$634,B590)&gt;=Parameters!$B$7),1,0)</f>
        <v>0</v>
      </c>
      <c r="N590" s="9" t="n">
        <f aca="false">IF(AND(E590&gt;=Parameters!$B$7,F590&lt;&gt;Parameters!$B$8),1,0)</f>
        <v>0</v>
      </c>
      <c r="O590" s="9" t="n">
        <f aca="false">INDEX(Vendor_Benford!$N$6:$N$50,MATCH(C590,Vendor_Benford!$A$6:$A$50,0))</f>
        <v>0</v>
      </c>
      <c r="P590" s="9" t="n">
        <f aca="false">INDEX(Vendor_Benford!$M$6:$M$50,MATCH(C590,Vendor_Benford!$A$6:$A$50,0))</f>
        <v>0</v>
      </c>
      <c r="Q590" s="9" t="n">
        <f aca="false">I590*Parameters!$B$28+J590*Parameters!$B$29+K590*Parameters!$B$30+L590*Parameters!$B$31+M590*Parameters!$B$32+N590*Parameters!$B$33+O590*Parameters!$B$34+P590*Parameters!$B$35</f>
        <v>0</v>
      </c>
      <c r="R590" s="0" t="str">
        <f aca="false">IF(Q590&gt;=Parameters!$B$24,"High","")</f>
        <v/>
      </c>
    </row>
    <row r="591" customFormat="false" ht="15" hidden="false" customHeight="false" outlineLevel="0" collapsed="false">
      <c r="A591" s="10" t="s">
        <v>1484</v>
      </c>
      <c r="B591" s="8" t="n">
        <v>46001</v>
      </c>
      <c r="C591" s="10" t="s">
        <v>191</v>
      </c>
      <c r="D591" s="10" t="s">
        <v>1485</v>
      </c>
      <c r="E591" s="12" t="n">
        <v>224.7</v>
      </c>
      <c r="F591" s="10" t="s">
        <v>40</v>
      </c>
      <c r="G591" s="9" t="n">
        <f aca="false">VALUE(LEFT(TEXT(E591,"0.00"),1))</f>
        <v>2</v>
      </c>
      <c r="H591" s="0" t="str">
        <f aca="false">UPPER(SUBSTITUTE(SUBSTITUTE(SUBSTITUTE(D591," ",""),"/",""),".",""))</f>
        <v>INV28001</v>
      </c>
      <c r="I591" s="9" t="n">
        <f aca="false">IF(COUNTIFS($C$5:C591,C591,$H$5:H591,H591,$E$5:E591,E591)&gt;1,1,0)</f>
        <v>0</v>
      </c>
      <c r="J591" s="9" t="n">
        <f aca="false">IF(AND(I591=0,COUNTIFS($C$5:$C$634,C591,$E$5:$E$634,E591,$B$5:$B$634,"&gt;="&amp;(B591-Parameters!$B$12),$B$5:$B$634,"&lt;="&amp;(B591+Parameters!$B$12),$H$5:$H$634,"&lt;&gt;"&amp;H591)&gt;0),1,0)</f>
        <v>0</v>
      </c>
      <c r="K591" s="9" t="n">
        <f aca="false">IF(AND(E591&gt;=Parameters!$B$11,ROUND(MOD(ROUND(E591,2),Parameters!$B$10),2)=0),1,0)</f>
        <v>0</v>
      </c>
      <c r="L591" s="9" t="n">
        <f aca="false">IF(AND(E591&lt;Parameters!$B$7,E591&gt;=Parameters!$B$7*(1-Parameters!$B$9)),1,0)</f>
        <v>0</v>
      </c>
      <c r="M591" s="9" t="n">
        <f aca="false">IF(AND(E591&lt;Parameters!$B$7,COUNTIFS($C$5:$C$634,C591,$B$5:$B$634,B591)&gt;1,SUMIFS($E$5:$E$634,$C$5:$C$634,C591,$B$5:$B$634,B591)&gt;=Parameters!$B$7),1,0)</f>
        <v>0</v>
      </c>
      <c r="N591" s="9" t="n">
        <f aca="false">IF(AND(E591&gt;=Parameters!$B$7,F591&lt;&gt;Parameters!$B$8),1,0)</f>
        <v>0</v>
      </c>
      <c r="O591" s="9" t="n">
        <f aca="false">INDEX(Vendor_Benford!$N$6:$N$50,MATCH(C591,Vendor_Benford!$A$6:$A$50,0))</f>
        <v>0</v>
      </c>
      <c r="P591" s="9" t="n">
        <f aca="false">INDEX(Vendor_Benford!$M$6:$M$50,MATCH(C591,Vendor_Benford!$A$6:$A$50,0))</f>
        <v>0</v>
      </c>
      <c r="Q591" s="9" t="n">
        <f aca="false">I591*Parameters!$B$28+J591*Parameters!$B$29+K591*Parameters!$B$30+L591*Parameters!$B$31+M591*Parameters!$B$32+N591*Parameters!$B$33+O591*Parameters!$B$34+P591*Parameters!$B$35</f>
        <v>0</v>
      </c>
      <c r="R591" s="0" t="str">
        <f aca="false">IF(Q591&gt;=Parameters!$B$24,"High","")</f>
        <v/>
      </c>
    </row>
    <row r="592" customFormat="false" ht="15" hidden="false" customHeight="false" outlineLevel="0" collapsed="false">
      <c r="A592" s="10" t="s">
        <v>1486</v>
      </c>
      <c r="B592" s="8" t="n">
        <v>46002</v>
      </c>
      <c r="C592" s="10" t="s">
        <v>122</v>
      </c>
      <c r="D592" s="10" t="s">
        <v>1487</v>
      </c>
      <c r="E592" s="12" t="n">
        <v>11609.43</v>
      </c>
      <c r="F592" s="10" t="s">
        <v>40</v>
      </c>
      <c r="G592" s="9" t="n">
        <f aca="false">VALUE(LEFT(TEXT(E592,"0.00"),1))</f>
        <v>1</v>
      </c>
      <c r="H592" s="0" t="str">
        <f aca="false">UPPER(SUBSTITUTE(SUBSTITUTE(SUBSTITUTE(D592," ",""),"/",""),".",""))</f>
        <v>INV5001</v>
      </c>
      <c r="I592" s="9" t="n">
        <f aca="false">IF(COUNTIFS($C$5:C592,C592,$H$5:H592,H592,$E$5:E592,E592)&gt;1,1,0)</f>
        <v>0</v>
      </c>
      <c r="J592" s="9" t="n">
        <f aca="false">IF(AND(I592=0,COUNTIFS($C$5:$C$634,C592,$E$5:$E$634,E592,$B$5:$B$634,"&gt;="&amp;(B592-Parameters!$B$12),$B$5:$B$634,"&lt;="&amp;(B592+Parameters!$B$12),$H$5:$H$634,"&lt;&gt;"&amp;H592)&gt;0),1,0)</f>
        <v>0</v>
      </c>
      <c r="K592" s="9" t="n">
        <f aca="false">IF(AND(E592&gt;=Parameters!$B$11,ROUND(MOD(ROUND(E592,2),Parameters!$B$10),2)=0),1,0)</f>
        <v>0</v>
      </c>
      <c r="L592" s="9" t="n">
        <f aca="false">IF(AND(E592&lt;Parameters!$B$7,E592&gt;=Parameters!$B$7*(1-Parameters!$B$9)),1,0)</f>
        <v>0</v>
      </c>
      <c r="M592" s="9" t="n">
        <f aca="false">IF(AND(E592&lt;Parameters!$B$7,COUNTIFS($C$5:$C$634,C592,$B$5:$B$634,B592)&gt;1,SUMIFS($E$5:$E$634,$C$5:$C$634,C592,$B$5:$B$634,B592)&gt;=Parameters!$B$7),1,0)</f>
        <v>0</v>
      </c>
      <c r="N592" s="9" t="n">
        <f aca="false">IF(AND(E592&gt;=Parameters!$B$7,F592&lt;&gt;Parameters!$B$8),1,0)</f>
        <v>0</v>
      </c>
      <c r="O592" s="9" t="n">
        <f aca="false">INDEX(Vendor_Benford!$N$6:$N$50,MATCH(C592,Vendor_Benford!$A$6:$A$50,0))</f>
        <v>0</v>
      </c>
      <c r="P592" s="9" t="n">
        <f aca="false">INDEX(Vendor_Benford!$M$6:$M$50,MATCH(C592,Vendor_Benford!$A$6:$A$50,0))</f>
        <v>0</v>
      </c>
      <c r="Q592" s="9" t="n">
        <f aca="false">I592*Parameters!$B$28+J592*Parameters!$B$29+K592*Parameters!$B$30+L592*Parameters!$B$31+M592*Parameters!$B$32+N592*Parameters!$B$33+O592*Parameters!$B$34+P592*Parameters!$B$35</f>
        <v>0</v>
      </c>
      <c r="R592" s="0" t="str">
        <f aca="false">IF(Q592&gt;=Parameters!$B$24,"High","")</f>
        <v/>
      </c>
    </row>
    <row r="593" customFormat="false" ht="15" hidden="false" customHeight="false" outlineLevel="0" collapsed="false">
      <c r="A593" s="10" t="s">
        <v>1488</v>
      </c>
      <c r="B593" s="8" t="n">
        <v>46002</v>
      </c>
      <c r="C593" s="10" t="s">
        <v>131</v>
      </c>
      <c r="D593" s="10" t="s">
        <v>1489</v>
      </c>
      <c r="E593" s="12" t="n">
        <v>3394.89</v>
      </c>
      <c r="F593" s="10" t="s">
        <v>347</v>
      </c>
      <c r="G593" s="9" t="n">
        <f aca="false">VALUE(LEFT(TEXT(E593,"0.00"),1))</f>
        <v>3</v>
      </c>
      <c r="H593" s="0" t="str">
        <f aca="false">UPPER(SUBSTITUTE(SUBSTITUTE(SUBSTITUTE(D593," ",""),"/",""),".",""))</f>
        <v>INV8014</v>
      </c>
      <c r="I593" s="9" t="n">
        <f aca="false">IF(COUNTIFS($C$5:C593,C593,$H$5:H593,H593,$E$5:E593,E593)&gt;1,1,0)</f>
        <v>0</v>
      </c>
      <c r="J593" s="9" t="n">
        <f aca="false">IF(AND(I593=0,COUNTIFS($C$5:$C$634,C593,$E$5:$E$634,E593,$B$5:$B$634,"&gt;="&amp;(B593-Parameters!$B$12),$B$5:$B$634,"&lt;="&amp;(B593+Parameters!$B$12),$H$5:$H$634,"&lt;&gt;"&amp;H593)&gt;0),1,0)</f>
        <v>0</v>
      </c>
      <c r="K593" s="9" t="n">
        <f aca="false">IF(AND(E593&gt;=Parameters!$B$11,ROUND(MOD(ROUND(E593,2),Parameters!$B$10),2)=0),1,0)</f>
        <v>0</v>
      </c>
      <c r="L593" s="9" t="n">
        <f aca="false">IF(AND(E593&lt;Parameters!$B$7,E593&gt;=Parameters!$B$7*(1-Parameters!$B$9)),1,0)</f>
        <v>0</v>
      </c>
      <c r="M593" s="9" t="n">
        <f aca="false">IF(AND(E593&lt;Parameters!$B$7,COUNTIFS($C$5:$C$634,C593,$B$5:$B$634,B593)&gt;1,SUMIFS($E$5:$E$634,$C$5:$C$634,C593,$B$5:$B$634,B593)&gt;=Parameters!$B$7),1,0)</f>
        <v>1</v>
      </c>
      <c r="N593" s="9" t="n">
        <f aca="false">IF(AND(E593&gt;=Parameters!$B$7,F593&lt;&gt;Parameters!$B$8),1,0)</f>
        <v>0</v>
      </c>
      <c r="O593" s="9" t="n">
        <f aca="false">INDEX(Vendor_Benford!$N$6:$N$50,MATCH(C593,Vendor_Benford!$A$6:$A$50,0))</f>
        <v>0</v>
      </c>
      <c r="P593" s="9" t="n">
        <f aca="false">INDEX(Vendor_Benford!$M$6:$M$50,MATCH(C593,Vendor_Benford!$A$6:$A$50,0))</f>
        <v>0</v>
      </c>
      <c r="Q593" s="9" t="n">
        <f aca="false">I593*Parameters!$B$28+J593*Parameters!$B$29+K593*Parameters!$B$30+L593*Parameters!$B$31+M593*Parameters!$B$32+N593*Parameters!$B$33+O593*Parameters!$B$34+P593*Parameters!$B$35</f>
        <v>3</v>
      </c>
      <c r="R593" s="0" t="str">
        <f aca="false">IF(Q593&gt;=Parameters!$B$24,"High","")</f>
        <v/>
      </c>
    </row>
    <row r="594" customFormat="false" ht="15" hidden="false" customHeight="false" outlineLevel="0" collapsed="false">
      <c r="A594" s="10" t="s">
        <v>1490</v>
      </c>
      <c r="B594" s="8" t="n">
        <v>46002</v>
      </c>
      <c r="C594" s="10" t="s">
        <v>131</v>
      </c>
      <c r="D594" s="10" t="s">
        <v>1491</v>
      </c>
      <c r="E594" s="12" t="n">
        <v>2289.36</v>
      </c>
      <c r="F594" s="10" t="s">
        <v>347</v>
      </c>
      <c r="G594" s="9" t="n">
        <f aca="false">VALUE(LEFT(TEXT(E594,"0.00"),1))</f>
        <v>2</v>
      </c>
      <c r="H594" s="0" t="str">
        <f aca="false">UPPER(SUBSTITUTE(SUBSTITUTE(SUBSTITUTE(D594," ",""),"/",""),".",""))</f>
        <v>INV8015</v>
      </c>
      <c r="I594" s="9" t="n">
        <f aca="false">IF(COUNTIFS($C$5:C594,C594,$H$5:H594,H594,$E$5:E594,E594)&gt;1,1,0)</f>
        <v>0</v>
      </c>
      <c r="J594" s="9" t="n">
        <f aca="false">IF(AND(I594=0,COUNTIFS($C$5:$C$634,C594,$E$5:$E$634,E594,$B$5:$B$634,"&gt;="&amp;(B594-Parameters!$B$12),$B$5:$B$634,"&lt;="&amp;(B594+Parameters!$B$12),$H$5:$H$634,"&lt;&gt;"&amp;H594)&gt;0),1,0)</f>
        <v>0</v>
      </c>
      <c r="K594" s="9" t="n">
        <f aca="false">IF(AND(E594&gt;=Parameters!$B$11,ROUND(MOD(ROUND(E594,2),Parameters!$B$10),2)=0),1,0)</f>
        <v>0</v>
      </c>
      <c r="L594" s="9" t="n">
        <f aca="false">IF(AND(E594&lt;Parameters!$B$7,E594&gt;=Parameters!$B$7*(1-Parameters!$B$9)),1,0)</f>
        <v>0</v>
      </c>
      <c r="M594" s="9" t="n">
        <f aca="false">IF(AND(E594&lt;Parameters!$B$7,COUNTIFS($C$5:$C$634,C594,$B$5:$B$634,B594)&gt;1,SUMIFS($E$5:$E$634,$C$5:$C$634,C594,$B$5:$B$634,B594)&gt;=Parameters!$B$7),1,0)</f>
        <v>1</v>
      </c>
      <c r="N594" s="9" t="n">
        <f aca="false">IF(AND(E594&gt;=Parameters!$B$7,F594&lt;&gt;Parameters!$B$8),1,0)</f>
        <v>0</v>
      </c>
      <c r="O594" s="9" t="n">
        <f aca="false">INDEX(Vendor_Benford!$N$6:$N$50,MATCH(C594,Vendor_Benford!$A$6:$A$50,0))</f>
        <v>0</v>
      </c>
      <c r="P594" s="9" t="n">
        <f aca="false">INDEX(Vendor_Benford!$M$6:$M$50,MATCH(C594,Vendor_Benford!$A$6:$A$50,0))</f>
        <v>0</v>
      </c>
      <c r="Q594" s="9" t="n">
        <f aca="false">I594*Parameters!$B$28+J594*Parameters!$B$29+K594*Parameters!$B$30+L594*Parameters!$B$31+M594*Parameters!$B$32+N594*Parameters!$B$33+O594*Parameters!$B$34+P594*Parameters!$B$35</f>
        <v>3</v>
      </c>
      <c r="R594" s="0" t="str">
        <f aca="false">IF(Q594&gt;=Parameters!$B$24,"High","")</f>
        <v/>
      </c>
    </row>
    <row r="595" customFormat="false" ht="15" hidden="false" customHeight="false" outlineLevel="0" collapsed="false">
      <c r="A595" s="10" t="s">
        <v>1492</v>
      </c>
      <c r="B595" s="8" t="n">
        <v>46002</v>
      </c>
      <c r="C595" s="10" t="s">
        <v>131</v>
      </c>
      <c r="D595" s="10" t="s">
        <v>1493</v>
      </c>
      <c r="E595" s="12" t="n">
        <v>3340.66</v>
      </c>
      <c r="F595" s="10" t="s">
        <v>347</v>
      </c>
      <c r="G595" s="9" t="n">
        <f aca="false">VALUE(LEFT(TEXT(E595,"0.00"),1))</f>
        <v>3</v>
      </c>
      <c r="H595" s="0" t="str">
        <f aca="false">UPPER(SUBSTITUTE(SUBSTITUTE(SUBSTITUTE(D595," ",""),"/",""),".",""))</f>
        <v>INV8016</v>
      </c>
      <c r="I595" s="9" t="n">
        <f aca="false">IF(COUNTIFS($C$5:C595,C595,$H$5:H595,H595,$E$5:E595,E595)&gt;1,1,0)</f>
        <v>0</v>
      </c>
      <c r="J595" s="9" t="n">
        <f aca="false">IF(AND(I595=0,COUNTIFS($C$5:$C$634,C595,$E$5:$E$634,E595,$B$5:$B$634,"&gt;="&amp;(B595-Parameters!$B$12),$B$5:$B$634,"&lt;="&amp;(B595+Parameters!$B$12),$H$5:$H$634,"&lt;&gt;"&amp;H595)&gt;0),1,0)</f>
        <v>0</v>
      </c>
      <c r="K595" s="9" t="n">
        <f aca="false">IF(AND(E595&gt;=Parameters!$B$11,ROUND(MOD(ROUND(E595,2),Parameters!$B$10),2)=0),1,0)</f>
        <v>0</v>
      </c>
      <c r="L595" s="9" t="n">
        <f aca="false">IF(AND(E595&lt;Parameters!$B$7,E595&gt;=Parameters!$B$7*(1-Parameters!$B$9)),1,0)</f>
        <v>0</v>
      </c>
      <c r="M595" s="9" t="n">
        <f aca="false">IF(AND(E595&lt;Parameters!$B$7,COUNTIFS($C$5:$C$634,C595,$B$5:$B$634,B595)&gt;1,SUMIFS($E$5:$E$634,$C$5:$C$634,C595,$B$5:$B$634,B595)&gt;=Parameters!$B$7),1,0)</f>
        <v>1</v>
      </c>
      <c r="N595" s="9" t="n">
        <f aca="false">IF(AND(E595&gt;=Parameters!$B$7,F595&lt;&gt;Parameters!$B$8),1,0)</f>
        <v>0</v>
      </c>
      <c r="O595" s="9" t="n">
        <f aca="false">INDEX(Vendor_Benford!$N$6:$N$50,MATCH(C595,Vendor_Benford!$A$6:$A$50,0))</f>
        <v>0</v>
      </c>
      <c r="P595" s="9" t="n">
        <f aca="false">INDEX(Vendor_Benford!$M$6:$M$50,MATCH(C595,Vendor_Benford!$A$6:$A$50,0))</f>
        <v>0</v>
      </c>
      <c r="Q595" s="9" t="n">
        <f aca="false">I595*Parameters!$B$28+J595*Parameters!$B$29+K595*Parameters!$B$30+L595*Parameters!$B$31+M595*Parameters!$B$32+N595*Parameters!$B$33+O595*Parameters!$B$34+P595*Parameters!$B$35</f>
        <v>3</v>
      </c>
      <c r="R595" s="0" t="str">
        <f aca="false">IF(Q595&gt;=Parameters!$B$24,"High","")</f>
        <v/>
      </c>
    </row>
    <row r="596" customFormat="false" ht="15" hidden="false" customHeight="false" outlineLevel="0" collapsed="false">
      <c r="A596" s="10" t="s">
        <v>1494</v>
      </c>
      <c r="B596" s="8" t="n">
        <v>46002</v>
      </c>
      <c r="C596" s="10" t="s">
        <v>206</v>
      </c>
      <c r="D596" s="10" t="s">
        <v>1437</v>
      </c>
      <c r="E596" s="12" t="n">
        <v>14326.69</v>
      </c>
      <c r="F596" s="10" t="s">
        <v>40</v>
      </c>
      <c r="G596" s="9" t="n">
        <f aca="false">VALUE(LEFT(TEXT(E596,"0.00"),1))</f>
        <v>1</v>
      </c>
      <c r="H596" s="0" t="str">
        <f aca="false">UPPER(SUBSTITUTE(SUBSTITUTE(SUBSTITUTE(D596," ",""),"/",""),".",""))</f>
        <v>INV33016</v>
      </c>
      <c r="I596" s="9" t="n">
        <f aca="false">IF(COUNTIFS($C$5:C596,C596,$H$5:H596,H596,$E$5:E596,E596)&gt;1,1,0)</f>
        <v>1</v>
      </c>
      <c r="J596" s="9" t="n">
        <f aca="false">IF(AND(I596=0,COUNTIFS($C$5:$C$634,C596,$E$5:$E$634,E596,$B$5:$B$634,"&gt;="&amp;(B596-Parameters!$B$12),$B$5:$B$634,"&lt;="&amp;(B596+Parameters!$B$12),$H$5:$H$634,"&lt;&gt;"&amp;H596)&gt;0),1,0)</f>
        <v>0</v>
      </c>
      <c r="K596" s="9" t="n">
        <f aca="false">IF(AND(E596&gt;=Parameters!$B$11,ROUND(MOD(ROUND(E596,2),Parameters!$B$10),2)=0),1,0)</f>
        <v>0</v>
      </c>
      <c r="L596" s="9" t="n">
        <f aca="false">IF(AND(E596&lt;Parameters!$B$7,E596&gt;=Parameters!$B$7*(1-Parameters!$B$9)),1,0)</f>
        <v>0</v>
      </c>
      <c r="M596" s="9" t="n">
        <f aca="false">IF(AND(E596&lt;Parameters!$B$7,COUNTIFS($C$5:$C$634,C596,$B$5:$B$634,B596)&gt;1,SUMIFS($E$5:$E$634,$C$5:$C$634,C596,$B$5:$B$634,B596)&gt;=Parameters!$B$7),1,0)</f>
        <v>0</v>
      </c>
      <c r="N596" s="9" t="n">
        <f aca="false">IF(AND(E596&gt;=Parameters!$B$7,F596&lt;&gt;Parameters!$B$8),1,0)</f>
        <v>0</v>
      </c>
      <c r="O596" s="9" t="n">
        <f aca="false">INDEX(Vendor_Benford!$N$6:$N$50,MATCH(C596,Vendor_Benford!$A$6:$A$50,0))</f>
        <v>0</v>
      </c>
      <c r="P596" s="9" t="n">
        <f aca="false">INDEX(Vendor_Benford!$M$6:$M$50,MATCH(C596,Vendor_Benford!$A$6:$A$50,0))</f>
        <v>0</v>
      </c>
      <c r="Q596" s="9" t="n">
        <f aca="false">I596*Parameters!$B$28+J596*Parameters!$B$29+K596*Parameters!$B$30+L596*Parameters!$B$31+M596*Parameters!$B$32+N596*Parameters!$B$33+O596*Parameters!$B$34+P596*Parameters!$B$35</f>
        <v>5</v>
      </c>
      <c r="R596" s="0" t="str">
        <f aca="false">IF(Q596&gt;=Parameters!$B$24,"High","")</f>
        <v>High</v>
      </c>
    </row>
    <row r="597" customFormat="false" ht="15" hidden="false" customHeight="false" outlineLevel="0" collapsed="false">
      <c r="A597" s="10" t="s">
        <v>1495</v>
      </c>
      <c r="B597" s="8" t="n">
        <v>46002</v>
      </c>
      <c r="C597" s="10" t="s">
        <v>209</v>
      </c>
      <c r="D597" s="10" t="s">
        <v>1496</v>
      </c>
      <c r="E597" s="12" t="n">
        <v>133.11</v>
      </c>
      <c r="F597" s="10" t="s">
        <v>347</v>
      </c>
      <c r="G597" s="9" t="n">
        <f aca="false">VALUE(LEFT(TEXT(E597,"0.00"),1))</f>
        <v>1</v>
      </c>
      <c r="H597" s="0" t="str">
        <f aca="false">UPPER(SUBSTITUTE(SUBSTITUTE(SUBSTITUTE(D597," ",""),"/",""),".",""))</f>
        <v>INV34009</v>
      </c>
      <c r="I597" s="9" t="n">
        <f aca="false">IF(COUNTIFS($C$5:C597,C597,$H$5:H597,H597,$E$5:E597,E597)&gt;1,1,0)</f>
        <v>0</v>
      </c>
      <c r="J597" s="9" t="n">
        <f aca="false">IF(AND(I597=0,COUNTIFS($C$5:$C$634,C597,$E$5:$E$634,E597,$B$5:$B$634,"&gt;="&amp;(B597-Parameters!$B$12),$B$5:$B$634,"&lt;="&amp;(B597+Parameters!$B$12),$H$5:$H$634,"&lt;&gt;"&amp;H597)&gt;0),1,0)</f>
        <v>0</v>
      </c>
      <c r="K597" s="9" t="n">
        <f aca="false">IF(AND(E597&gt;=Parameters!$B$11,ROUND(MOD(ROUND(E597,2),Parameters!$B$10),2)=0),1,0)</f>
        <v>0</v>
      </c>
      <c r="L597" s="9" t="n">
        <f aca="false">IF(AND(E597&lt;Parameters!$B$7,E597&gt;=Parameters!$B$7*(1-Parameters!$B$9)),1,0)</f>
        <v>0</v>
      </c>
      <c r="M597" s="9" t="n">
        <f aca="false">IF(AND(E597&lt;Parameters!$B$7,COUNTIFS($C$5:$C$634,C597,$B$5:$B$634,B597)&gt;1,SUMIFS($E$5:$E$634,$C$5:$C$634,C597,$B$5:$B$634,B597)&gt;=Parameters!$B$7),1,0)</f>
        <v>0</v>
      </c>
      <c r="N597" s="9" t="n">
        <f aca="false">IF(AND(E597&gt;=Parameters!$B$7,F597&lt;&gt;Parameters!$B$8),1,0)</f>
        <v>0</v>
      </c>
      <c r="O597" s="9" t="n">
        <f aca="false">INDEX(Vendor_Benford!$N$6:$N$50,MATCH(C597,Vendor_Benford!$A$6:$A$50,0))</f>
        <v>0</v>
      </c>
      <c r="P597" s="9" t="n">
        <f aca="false">INDEX(Vendor_Benford!$M$6:$M$50,MATCH(C597,Vendor_Benford!$A$6:$A$50,0))</f>
        <v>0</v>
      </c>
      <c r="Q597" s="9" t="n">
        <f aca="false">I597*Parameters!$B$28+J597*Parameters!$B$29+K597*Parameters!$B$30+L597*Parameters!$B$31+M597*Parameters!$B$32+N597*Parameters!$B$33+O597*Parameters!$B$34+P597*Parameters!$B$35</f>
        <v>0</v>
      </c>
      <c r="R597" s="0" t="str">
        <f aca="false">IF(Q597&gt;=Parameters!$B$24,"High","")</f>
        <v/>
      </c>
    </row>
    <row r="598" customFormat="false" ht="15" hidden="false" customHeight="false" outlineLevel="0" collapsed="false">
      <c r="A598" s="10" t="s">
        <v>1497</v>
      </c>
      <c r="B598" s="8" t="n">
        <v>46002</v>
      </c>
      <c r="C598" s="10" t="s">
        <v>242</v>
      </c>
      <c r="D598" s="10" t="s">
        <v>1498</v>
      </c>
      <c r="E598" s="12" t="n">
        <v>26162.3</v>
      </c>
      <c r="F598" s="10" t="s">
        <v>40</v>
      </c>
      <c r="G598" s="9" t="n">
        <f aca="false">VALUE(LEFT(TEXT(E598,"0.00"),1))</f>
        <v>2</v>
      </c>
      <c r="H598" s="0" t="str">
        <f aca="false">UPPER(SUBSTITUTE(SUBSTITUTE(SUBSTITUTE(D598," ",""),"/",""),".",""))</f>
        <v>INV45007</v>
      </c>
      <c r="I598" s="9" t="n">
        <f aca="false">IF(COUNTIFS($C$5:C598,C598,$H$5:H598,H598,$E$5:E598,E598)&gt;1,1,0)</f>
        <v>0</v>
      </c>
      <c r="J598" s="9" t="n">
        <f aca="false">IF(AND(I598=0,COUNTIFS($C$5:$C$634,C598,$E$5:$E$634,E598,$B$5:$B$634,"&gt;="&amp;(B598-Parameters!$B$12),$B$5:$B$634,"&lt;="&amp;(B598+Parameters!$B$12),$H$5:$H$634,"&lt;&gt;"&amp;H598)&gt;0),1,0)</f>
        <v>0</v>
      </c>
      <c r="K598" s="9" t="n">
        <f aca="false">IF(AND(E598&gt;=Parameters!$B$11,ROUND(MOD(ROUND(E598,2),Parameters!$B$10),2)=0),1,0)</f>
        <v>0</v>
      </c>
      <c r="L598" s="9" t="n">
        <f aca="false">IF(AND(E598&lt;Parameters!$B$7,E598&gt;=Parameters!$B$7*(1-Parameters!$B$9)),1,0)</f>
        <v>0</v>
      </c>
      <c r="M598" s="9" t="n">
        <f aca="false">IF(AND(E598&lt;Parameters!$B$7,COUNTIFS($C$5:$C$634,C598,$B$5:$B$634,B598)&gt;1,SUMIFS($E$5:$E$634,$C$5:$C$634,C598,$B$5:$B$634,B598)&gt;=Parameters!$B$7),1,0)</f>
        <v>0</v>
      </c>
      <c r="N598" s="9" t="n">
        <f aca="false">IF(AND(E598&gt;=Parameters!$B$7,F598&lt;&gt;Parameters!$B$8),1,0)</f>
        <v>0</v>
      </c>
      <c r="O598" s="9" t="n">
        <f aca="false">INDEX(Vendor_Benford!$N$6:$N$50,MATCH(C598,Vendor_Benford!$A$6:$A$50,0))</f>
        <v>0</v>
      </c>
      <c r="P598" s="9" t="n">
        <f aca="false">INDEX(Vendor_Benford!$M$6:$M$50,MATCH(C598,Vendor_Benford!$A$6:$A$50,0))</f>
        <v>0</v>
      </c>
      <c r="Q598" s="9" t="n">
        <f aca="false">I598*Parameters!$B$28+J598*Parameters!$B$29+K598*Parameters!$B$30+L598*Parameters!$B$31+M598*Parameters!$B$32+N598*Parameters!$B$33+O598*Parameters!$B$34+P598*Parameters!$B$35</f>
        <v>0</v>
      </c>
      <c r="R598" s="0" t="str">
        <f aca="false">IF(Q598&gt;=Parameters!$B$24,"High","")</f>
        <v/>
      </c>
    </row>
    <row r="599" customFormat="false" ht="15" hidden="false" customHeight="false" outlineLevel="0" collapsed="false">
      <c r="A599" s="10" t="s">
        <v>1499</v>
      </c>
      <c r="B599" s="8" t="n">
        <v>46003</v>
      </c>
      <c r="C599" s="10" t="s">
        <v>152</v>
      </c>
      <c r="D599" s="10" t="s">
        <v>1500</v>
      </c>
      <c r="E599" s="12" t="n">
        <v>31000</v>
      </c>
      <c r="F599" s="10" t="s">
        <v>40</v>
      </c>
      <c r="G599" s="9" t="n">
        <f aca="false">VALUE(LEFT(TEXT(E599,"0.00"),1))</f>
        <v>3</v>
      </c>
      <c r="H599" s="0" t="str">
        <f aca="false">UPPER(SUBSTITUTE(SUBSTITUTE(SUBSTITUTE(D599," ",""),"/",""),".",""))</f>
        <v>INV15022</v>
      </c>
      <c r="I599" s="9" t="n">
        <f aca="false">IF(COUNTIFS($C$5:C599,C599,$H$5:H599,H599,$E$5:E599,E599)&gt;1,1,0)</f>
        <v>0</v>
      </c>
      <c r="J599" s="9" t="n">
        <f aca="false">IF(AND(I599=0,COUNTIFS($C$5:$C$634,C599,$E$5:$E$634,E599,$B$5:$B$634,"&gt;="&amp;(B599-Parameters!$B$12),$B$5:$B$634,"&lt;="&amp;(B599+Parameters!$B$12),$H$5:$H$634,"&lt;&gt;"&amp;H599)&gt;0),1,0)</f>
        <v>0</v>
      </c>
      <c r="K599" s="9" t="n">
        <f aca="false">IF(AND(E599&gt;=Parameters!$B$11,ROUND(MOD(ROUND(E599,2),Parameters!$B$10),2)=0),1,0)</f>
        <v>1</v>
      </c>
      <c r="L599" s="9" t="n">
        <f aca="false">IF(AND(E599&lt;Parameters!$B$7,E599&gt;=Parameters!$B$7*(1-Parameters!$B$9)),1,0)</f>
        <v>0</v>
      </c>
      <c r="M599" s="9" t="n">
        <f aca="false">IF(AND(E599&lt;Parameters!$B$7,COUNTIFS($C$5:$C$634,C599,$B$5:$B$634,B599)&gt;1,SUMIFS($E$5:$E$634,$C$5:$C$634,C599,$B$5:$B$634,B599)&gt;=Parameters!$B$7),1,0)</f>
        <v>0</v>
      </c>
      <c r="N599" s="9" t="n">
        <f aca="false">IF(AND(E599&gt;=Parameters!$B$7,F599&lt;&gt;Parameters!$B$8),1,0)</f>
        <v>0</v>
      </c>
      <c r="O599" s="9" t="n">
        <f aca="false">INDEX(Vendor_Benford!$N$6:$N$50,MATCH(C599,Vendor_Benford!$A$6:$A$50,0))</f>
        <v>0</v>
      </c>
      <c r="P599" s="9" t="n">
        <f aca="false">INDEX(Vendor_Benford!$M$6:$M$50,MATCH(C599,Vendor_Benford!$A$6:$A$50,0))</f>
        <v>0</v>
      </c>
      <c r="Q599" s="9" t="n">
        <f aca="false">I599*Parameters!$B$28+J599*Parameters!$B$29+K599*Parameters!$B$30+L599*Parameters!$B$31+M599*Parameters!$B$32+N599*Parameters!$B$33+O599*Parameters!$B$34+P599*Parameters!$B$35</f>
        <v>2</v>
      </c>
      <c r="R599" s="0" t="str">
        <f aca="false">IF(Q599&gt;=Parameters!$B$24,"High","")</f>
        <v/>
      </c>
    </row>
    <row r="600" customFormat="false" ht="15" hidden="false" customHeight="false" outlineLevel="0" collapsed="false">
      <c r="A600" s="10" t="s">
        <v>1501</v>
      </c>
      <c r="B600" s="8" t="n">
        <v>46003</v>
      </c>
      <c r="C600" s="10" t="s">
        <v>242</v>
      </c>
      <c r="D600" s="10" t="s">
        <v>1502</v>
      </c>
      <c r="E600" s="12" t="n">
        <v>75274.38</v>
      </c>
      <c r="F600" s="10" t="s">
        <v>40</v>
      </c>
      <c r="G600" s="9" t="n">
        <f aca="false">VALUE(LEFT(TEXT(E600,"0.00"),1))</f>
        <v>7</v>
      </c>
      <c r="H600" s="0" t="str">
        <f aca="false">UPPER(SUBSTITUTE(SUBSTITUTE(SUBSTITUTE(D600," ",""),"/",""),".",""))</f>
        <v>INV45006</v>
      </c>
      <c r="I600" s="9" t="n">
        <f aca="false">IF(COUNTIFS($C$5:C600,C600,$H$5:H600,H600,$E$5:E600,E600)&gt;1,1,0)</f>
        <v>0</v>
      </c>
      <c r="J600" s="9" t="n">
        <f aca="false">IF(AND(I600=0,COUNTIFS($C$5:$C$634,C600,$E$5:$E$634,E600,$B$5:$B$634,"&gt;="&amp;(B600-Parameters!$B$12),$B$5:$B$634,"&lt;="&amp;(B600+Parameters!$B$12),$H$5:$H$634,"&lt;&gt;"&amp;H600)&gt;0),1,0)</f>
        <v>0</v>
      </c>
      <c r="K600" s="9" t="n">
        <f aca="false">IF(AND(E600&gt;=Parameters!$B$11,ROUND(MOD(ROUND(E600,2),Parameters!$B$10),2)=0),1,0)</f>
        <v>0</v>
      </c>
      <c r="L600" s="9" t="n">
        <f aca="false">IF(AND(E600&lt;Parameters!$B$7,E600&gt;=Parameters!$B$7*(1-Parameters!$B$9)),1,0)</f>
        <v>0</v>
      </c>
      <c r="M600" s="9" t="n">
        <f aca="false">IF(AND(E600&lt;Parameters!$B$7,COUNTIFS($C$5:$C$634,C600,$B$5:$B$634,B600)&gt;1,SUMIFS($E$5:$E$634,$C$5:$C$634,C600,$B$5:$B$634,B600)&gt;=Parameters!$B$7),1,0)</f>
        <v>0</v>
      </c>
      <c r="N600" s="9" t="n">
        <f aca="false">IF(AND(E600&gt;=Parameters!$B$7,F600&lt;&gt;Parameters!$B$8),1,0)</f>
        <v>0</v>
      </c>
      <c r="O600" s="9" t="n">
        <f aca="false">INDEX(Vendor_Benford!$N$6:$N$50,MATCH(C600,Vendor_Benford!$A$6:$A$50,0))</f>
        <v>0</v>
      </c>
      <c r="P600" s="9" t="n">
        <f aca="false">INDEX(Vendor_Benford!$M$6:$M$50,MATCH(C600,Vendor_Benford!$A$6:$A$50,0))</f>
        <v>0</v>
      </c>
      <c r="Q600" s="9" t="n">
        <f aca="false">I600*Parameters!$B$28+J600*Parameters!$B$29+K600*Parameters!$B$30+L600*Parameters!$B$31+M600*Parameters!$B$32+N600*Parameters!$B$33+O600*Parameters!$B$34+P600*Parameters!$B$35</f>
        <v>0</v>
      </c>
      <c r="R600" s="0" t="str">
        <f aca="false">IF(Q600&gt;=Parameters!$B$24,"High","")</f>
        <v/>
      </c>
    </row>
    <row r="601" customFormat="false" ht="15" hidden="false" customHeight="false" outlineLevel="0" collapsed="false">
      <c r="A601" s="10" t="s">
        <v>1503</v>
      </c>
      <c r="B601" s="8" t="n">
        <v>46006</v>
      </c>
      <c r="C601" s="10" t="s">
        <v>194</v>
      </c>
      <c r="D601" s="10" t="s">
        <v>1504</v>
      </c>
      <c r="E601" s="12" t="n">
        <v>537.84</v>
      </c>
      <c r="F601" s="10" t="s">
        <v>347</v>
      </c>
      <c r="G601" s="9" t="n">
        <f aca="false">VALUE(LEFT(TEXT(E601,"0.00"),1))</f>
        <v>5</v>
      </c>
      <c r="H601" s="0" t="str">
        <f aca="false">UPPER(SUBSTITUTE(SUBSTITUTE(SUBSTITUTE(D601," ",""),"/",""),".",""))</f>
        <v>INV29005</v>
      </c>
      <c r="I601" s="9" t="n">
        <f aca="false">IF(COUNTIFS($C$5:C601,C601,$H$5:H601,H601,$E$5:E601,E601)&gt;1,1,0)</f>
        <v>1</v>
      </c>
      <c r="J601" s="9" t="n">
        <f aca="false">IF(AND(I601=0,COUNTIFS($C$5:$C$634,C601,$E$5:$E$634,E601,$B$5:$B$634,"&gt;="&amp;(B601-Parameters!$B$12),$B$5:$B$634,"&lt;="&amp;(B601+Parameters!$B$12),$H$5:$H$634,"&lt;&gt;"&amp;H601)&gt;0),1,0)</f>
        <v>0</v>
      </c>
      <c r="K601" s="9" t="n">
        <f aca="false">IF(AND(E601&gt;=Parameters!$B$11,ROUND(MOD(ROUND(E601,2),Parameters!$B$10),2)=0),1,0)</f>
        <v>0</v>
      </c>
      <c r="L601" s="9" t="n">
        <f aca="false">IF(AND(E601&lt;Parameters!$B$7,E601&gt;=Parameters!$B$7*(1-Parameters!$B$9)),1,0)</f>
        <v>0</v>
      </c>
      <c r="M601" s="9" t="n">
        <f aca="false">IF(AND(E601&lt;Parameters!$B$7,COUNTIFS($C$5:$C$634,C601,$B$5:$B$634,B601)&gt;1,SUMIFS($E$5:$E$634,$C$5:$C$634,C601,$B$5:$B$634,B601)&gt;=Parameters!$B$7),1,0)</f>
        <v>0</v>
      </c>
      <c r="N601" s="9" t="n">
        <f aca="false">IF(AND(E601&gt;=Parameters!$B$7,F601&lt;&gt;Parameters!$B$8),1,0)</f>
        <v>0</v>
      </c>
      <c r="O601" s="9" t="n">
        <f aca="false">INDEX(Vendor_Benford!$N$6:$N$50,MATCH(C601,Vendor_Benford!$A$6:$A$50,0))</f>
        <v>0</v>
      </c>
      <c r="P601" s="9" t="n">
        <f aca="false">INDEX(Vendor_Benford!$M$6:$M$50,MATCH(C601,Vendor_Benford!$A$6:$A$50,0))</f>
        <v>0</v>
      </c>
      <c r="Q601" s="9" t="n">
        <f aca="false">I601*Parameters!$B$28+J601*Parameters!$B$29+K601*Parameters!$B$30+L601*Parameters!$B$31+M601*Parameters!$B$32+N601*Parameters!$B$33+O601*Parameters!$B$34+P601*Parameters!$B$35</f>
        <v>5</v>
      </c>
      <c r="R601" s="0" t="str">
        <f aca="false">IF(Q601&gt;=Parameters!$B$24,"High","")</f>
        <v>High</v>
      </c>
    </row>
    <row r="602" customFormat="false" ht="15" hidden="false" customHeight="false" outlineLevel="0" collapsed="false">
      <c r="A602" s="10" t="s">
        <v>1505</v>
      </c>
      <c r="B602" s="8" t="n">
        <v>46006</v>
      </c>
      <c r="C602" s="10" t="s">
        <v>221</v>
      </c>
      <c r="D602" s="10" t="s">
        <v>1506</v>
      </c>
      <c r="E602" s="12" t="n">
        <v>3313.95</v>
      </c>
      <c r="F602" s="10" t="s">
        <v>347</v>
      </c>
      <c r="G602" s="9" t="n">
        <f aca="false">VALUE(LEFT(TEXT(E602,"0.00"),1))</f>
        <v>3</v>
      </c>
      <c r="H602" s="0" t="str">
        <f aca="false">UPPER(SUBSTITUTE(SUBSTITUTE(SUBSTITUTE(D602," ",""),"/",""),".",""))</f>
        <v>INV38004</v>
      </c>
      <c r="I602" s="9" t="n">
        <f aca="false">IF(COUNTIFS($C$5:C602,C602,$H$5:H602,H602,$E$5:E602,E602)&gt;1,1,0)</f>
        <v>0</v>
      </c>
      <c r="J602" s="9" t="n">
        <f aca="false">IF(AND(I602=0,COUNTIFS($C$5:$C$634,C602,$E$5:$E$634,E602,$B$5:$B$634,"&gt;="&amp;(B602-Parameters!$B$12),$B$5:$B$634,"&lt;="&amp;(B602+Parameters!$B$12),$H$5:$H$634,"&lt;&gt;"&amp;H602)&gt;0),1,0)</f>
        <v>0</v>
      </c>
      <c r="K602" s="9" t="n">
        <f aca="false">IF(AND(E602&gt;=Parameters!$B$11,ROUND(MOD(ROUND(E602,2),Parameters!$B$10),2)=0),1,0)</f>
        <v>0</v>
      </c>
      <c r="L602" s="9" t="n">
        <f aca="false">IF(AND(E602&lt;Parameters!$B$7,E602&gt;=Parameters!$B$7*(1-Parameters!$B$9)),1,0)</f>
        <v>0</v>
      </c>
      <c r="M602" s="9" t="n">
        <f aca="false">IF(AND(E602&lt;Parameters!$B$7,COUNTIFS($C$5:$C$634,C602,$B$5:$B$634,B602)&gt;1,SUMIFS($E$5:$E$634,$C$5:$C$634,C602,$B$5:$B$634,B602)&gt;=Parameters!$B$7),1,0)</f>
        <v>0</v>
      </c>
      <c r="N602" s="9" t="n">
        <f aca="false">IF(AND(E602&gt;=Parameters!$B$7,F602&lt;&gt;Parameters!$B$8),1,0)</f>
        <v>0</v>
      </c>
      <c r="O602" s="9" t="n">
        <f aca="false">INDEX(Vendor_Benford!$N$6:$N$50,MATCH(C602,Vendor_Benford!$A$6:$A$50,0))</f>
        <v>1</v>
      </c>
      <c r="P602" s="9" t="n">
        <f aca="false">INDEX(Vendor_Benford!$M$6:$M$50,MATCH(C602,Vendor_Benford!$A$6:$A$50,0))</f>
        <v>0</v>
      </c>
      <c r="Q602" s="9" t="n">
        <f aca="false">I602*Parameters!$B$28+J602*Parameters!$B$29+K602*Parameters!$B$30+L602*Parameters!$B$31+M602*Parameters!$B$32+N602*Parameters!$B$33+O602*Parameters!$B$34+P602*Parameters!$B$35</f>
        <v>5</v>
      </c>
      <c r="R602" s="0" t="str">
        <f aca="false">IF(Q602&gt;=Parameters!$B$24,"High","")</f>
        <v>High</v>
      </c>
    </row>
    <row r="603" customFormat="false" ht="15" hidden="false" customHeight="false" outlineLevel="0" collapsed="false">
      <c r="A603" s="10" t="s">
        <v>1507</v>
      </c>
      <c r="B603" s="8" t="n">
        <v>46007</v>
      </c>
      <c r="C603" s="10" t="s">
        <v>200</v>
      </c>
      <c r="D603" s="10" t="s">
        <v>1508</v>
      </c>
      <c r="E603" s="12" t="n">
        <v>4729.96</v>
      </c>
      <c r="F603" s="10" t="s">
        <v>347</v>
      </c>
      <c r="G603" s="9" t="n">
        <f aca="false">VALUE(LEFT(TEXT(E603,"0.00"),1))</f>
        <v>4</v>
      </c>
      <c r="H603" s="0" t="str">
        <f aca="false">UPPER(SUBSTITUTE(SUBSTITUTE(SUBSTITUTE(D603," ",""),"/",""),".",""))</f>
        <v>INV31011</v>
      </c>
      <c r="I603" s="9" t="n">
        <f aca="false">IF(COUNTIFS($C$5:C603,C603,$H$5:H603,H603,$E$5:E603,E603)&gt;1,1,0)</f>
        <v>0</v>
      </c>
      <c r="J603" s="9" t="n">
        <f aca="false">IF(AND(I603=0,COUNTIFS($C$5:$C$634,C603,$E$5:$E$634,E603,$B$5:$B$634,"&gt;="&amp;(B603-Parameters!$B$12),$B$5:$B$634,"&lt;="&amp;(B603+Parameters!$B$12),$H$5:$H$634,"&lt;&gt;"&amp;H603)&gt;0),1,0)</f>
        <v>0</v>
      </c>
      <c r="K603" s="9" t="n">
        <f aca="false">IF(AND(E603&gt;=Parameters!$B$11,ROUND(MOD(ROUND(E603,2),Parameters!$B$10),2)=0),1,0)</f>
        <v>0</v>
      </c>
      <c r="L603" s="9" t="n">
        <f aca="false">IF(AND(E603&lt;Parameters!$B$7,E603&gt;=Parameters!$B$7*(1-Parameters!$B$9)),1,0)</f>
        <v>0</v>
      </c>
      <c r="M603" s="9" t="n">
        <f aca="false">IF(AND(E603&lt;Parameters!$B$7,COUNTIFS($C$5:$C$634,C603,$B$5:$B$634,B603)&gt;1,SUMIFS($E$5:$E$634,$C$5:$C$634,C603,$B$5:$B$634,B603)&gt;=Parameters!$B$7),1,0)</f>
        <v>1</v>
      </c>
      <c r="N603" s="9" t="n">
        <f aca="false">IF(AND(E603&gt;=Parameters!$B$7,F603&lt;&gt;Parameters!$B$8),1,0)</f>
        <v>0</v>
      </c>
      <c r="O603" s="9" t="n">
        <f aca="false">INDEX(Vendor_Benford!$N$6:$N$50,MATCH(C603,Vendor_Benford!$A$6:$A$50,0))</f>
        <v>0</v>
      </c>
      <c r="P603" s="9" t="n">
        <f aca="false">INDEX(Vendor_Benford!$M$6:$M$50,MATCH(C603,Vendor_Benford!$A$6:$A$50,0))</f>
        <v>1</v>
      </c>
      <c r="Q603" s="9" t="n">
        <f aca="false">I603*Parameters!$B$28+J603*Parameters!$B$29+K603*Parameters!$B$30+L603*Parameters!$B$31+M603*Parameters!$B$32+N603*Parameters!$B$33+O603*Parameters!$B$34+P603*Parameters!$B$35</f>
        <v>5</v>
      </c>
      <c r="R603" s="0" t="str">
        <f aca="false">IF(Q603&gt;=Parameters!$B$24,"High","")</f>
        <v>High</v>
      </c>
    </row>
    <row r="604" customFormat="false" ht="15" hidden="false" customHeight="false" outlineLevel="0" collapsed="false">
      <c r="A604" s="10" t="s">
        <v>1509</v>
      </c>
      <c r="B604" s="8" t="n">
        <v>46007</v>
      </c>
      <c r="C604" s="10" t="s">
        <v>200</v>
      </c>
      <c r="D604" s="10" t="s">
        <v>1510</v>
      </c>
      <c r="E604" s="12" t="n">
        <v>4974.35</v>
      </c>
      <c r="F604" s="10" t="s">
        <v>347</v>
      </c>
      <c r="G604" s="9" t="n">
        <f aca="false">VALUE(LEFT(TEXT(E604,"0.00"),1))</f>
        <v>4</v>
      </c>
      <c r="H604" s="0" t="str">
        <f aca="false">UPPER(SUBSTITUTE(SUBSTITUTE(SUBSTITUTE(D604," ",""),"/",""),".",""))</f>
        <v>INV31024</v>
      </c>
      <c r="I604" s="9" t="n">
        <f aca="false">IF(COUNTIFS($C$5:C604,C604,$H$5:H604,H604,$E$5:E604,E604)&gt;1,1,0)</f>
        <v>0</v>
      </c>
      <c r="J604" s="9" t="n">
        <f aca="false">IF(AND(I604=0,COUNTIFS($C$5:$C$634,C604,$E$5:$E$634,E604,$B$5:$B$634,"&gt;="&amp;(B604-Parameters!$B$12),$B$5:$B$634,"&lt;="&amp;(B604+Parameters!$B$12),$H$5:$H$634,"&lt;&gt;"&amp;H604)&gt;0),1,0)</f>
        <v>0</v>
      </c>
      <c r="K604" s="9" t="n">
        <f aca="false">IF(AND(E604&gt;=Parameters!$B$11,ROUND(MOD(ROUND(E604,2),Parameters!$B$10),2)=0),1,0)</f>
        <v>0</v>
      </c>
      <c r="L604" s="9" t="n">
        <f aca="false">IF(AND(E604&lt;Parameters!$B$7,E604&gt;=Parameters!$B$7*(1-Parameters!$B$9)),1,0)</f>
        <v>1</v>
      </c>
      <c r="M604" s="9" t="n">
        <f aca="false">IF(AND(E604&lt;Parameters!$B$7,COUNTIFS($C$5:$C$634,C604,$B$5:$B$634,B604)&gt;1,SUMIFS($E$5:$E$634,$C$5:$C$634,C604,$B$5:$B$634,B604)&gt;=Parameters!$B$7),1,0)</f>
        <v>1</v>
      </c>
      <c r="N604" s="9" t="n">
        <f aca="false">IF(AND(E604&gt;=Parameters!$B$7,F604&lt;&gt;Parameters!$B$8),1,0)</f>
        <v>0</v>
      </c>
      <c r="O604" s="9" t="n">
        <f aca="false">INDEX(Vendor_Benford!$N$6:$N$50,MATCH(C604,Vendor_Benford!$A$6:$A$50,0))</f>
        <v>0</v>
      </c>
      <c r="P604" s="9" t="n">
        <f aca="false">INDEX(Vendor_Benford!$M$6:$M$50,MATCH(C604,Vendor_Benford!$A$6:$A$50,0))</f>
        <v>1</v>
      </c>
      <c r="Q604" s="9" t="n">
        <f aca="false">I604*Parameters!$B$28+J604*Parameters!$B$29+K604*Parameters!$B$30+L604*Parameters!$B$31+M604*Parameters!$B$32+N604*Parameters!$B$33+O604*Parameters!$B$34+P604*Parameters!$B$35</f>
        <v>7</v>
      </c>
      <c r="R604" s="0" t="str">
        <f aca="false">IF(Q604&gt;=Parameters!$B$24,"High","")</f>
        <v>High</v>
      </c>
    </row>
    <row r="605" customFormat="false" ht="15" hidden="false" customHeight="false" outlineLevel="0" collapsed="false">
      <c r="A605" s="10" t="s">
        <v>1511</v>
      </c>
      <c r="B605" s="8" t="n">
        <v>46007</v>
      </c>
      <c r="C605" s="10" t="s">
        <v>200</v>
      </c>
      <c r="D605" s="10" t="s">
        <v>1512</v>
      </c>
      <c r="E605" s="12" t="n">
        <v>4771.66</v>
      </c>
      <c r="F605" s="10" t="s">
        <v>347</v>
      </c>
      <c r="G605" s="9" t="n">
        <f aca="false">VALUE(LEFT(TEXT(E605,"0.00"),1))</f>
        <v>4</v>
      </c>
      <c r="H605" s="0" t="str">
        <f aca="false">UPPER(SUBSTITUTE(SUBSTITUTE(SUBSTITUTE(D605," ",""),"/",""),".",""))</f>
        <v>INV31039</v>
      </c>
      <c r="I605" s="9" t="n">
        <f aca="false">IF(COUNTIFS($C$5:C605,C605,$H$5:H605,H605,$E$5:E605,E605)&gt;1,1,0)</f>
        <v>0</v>
      </c>
      <c r="J605" s="9" t="n">
        <f aca="false">IF(AND(I605=0,COUNTIFS($C$5:$C$634,C605,$E$5:$E$634,E605,$B$5:$B$634,"&gt;="&amp;(B605-Parameters!$B$12),$B$5:$B$634,"&lt;="&amp;(B605+Parameters!$B$12),$H$5:$H$634,"&lt;&gt;"&amp;H605)&gt;0),1,0)</f>
        <v>0</v>
      </c>
      <c r="K605" s="9" t="n">
        <f aca="false">IF(AND(E605&gt;=Parameters!$B$11,ROUND(MOD(ROUND(E605,2),Parameters!$B$10),2)=0),1,0)</f>
        <v>0</v>
      </c>
      <c r="L605" s="9" t="n">
        <f aca="false">IF(AND(E605&lt;Parameters!$B$7,E605&gt;=Parameters!$B$7*(1-Parameters!$B$9)),1,0)</f>
        <v>1</v>
      </c>
      <c r="M605" s="9" t="n">
        <f aca="false">IF(AND(E605&lt;Parameters!$B$7,COUNTIFS($C$5:$C$634,C605,$B$5:$B$634,B605)&gt;1,SUMIFS($E$5:$E$634,$C$5:$C$634,C605,$B$5:$B$634,B605)&gt;=Parameters!$B$7),1,0)</f>
        <v>1</v>
      </c>
      <c r="N605" s="9" t="n">
        <f aca="false">IF(AND(E605&gt;=Parameters!$B$7,F605&lt;&gt;Parameters!$B$8),1,0)</f>
        <v>0</v>
      </c>
      <c r="O605" s="9" t="n">
        <f aca="false">INDEX(Vendor_Benford!$N$6:$N$50,MATCH(C605,Vendor_Benford!$A$6:$A$50,0))</f>
        <v>0</v>
      </c>
      <c r="P605" s="9" t="n">
        <f aca="false">INDEX(Vendor_Benford!$M$6:$M$50,MATCH(C605,Vendor_Benford!$A$6:$A$50,0))</f>
        <v>1</v>
      </c>
      <c r="Q605" s="9" t="n">
        <f aca="false">I605*Parameters!$B$28+J605*Parameters!$B$29+K605*Parameters!$B$30+L605*Parameters!$B$31+M605*Parameters!$B$32+N605*Parameters!$B$33+O605*Parameters!$B$34+P605*Parameters!$B$35</f>
        <v>7</v>
      </c>
      <c r="R605" s="0" t="str">
        <f aca="false">IF(Q605&gt;=Parameters!$B$24,"High","")</f>
        <v>High</v>
      </c>
    </row>
    <row r="606" customFormat="false" ht="15" hidden="false" customHeight="false" outlineLevel="0" collapsed="false">
      <c r="A606" s="10" t="s">
        <v>1513</v>
      </c>
      <c r="B606" s="8" t="n">
        <v>46008</v>
      </c>
      <c r="C606" s="10" t="s">
        <v>113</v>
      </c>
      <c r="D606" s="10" t="s">
        <v>1514</v>
      </c>
      <c r="E606" s="12" t="n">
        <v>4900</v>
      </c>
      <c r="F606" s="10" t="s">
        <v>347</v>
      </c>
      <c r="G606" s="9" t="n">
        <f aca="false">VALUE(LEFT(TEXT(E606,"0.00"),1))</f>
        <v>4</v>
      </c>
      <c r="H606" s="0" t="str">
        <f aca="false">UPPER(SUBSTITUTE(SUBSTITUTE(SUBSTITUTE(D606," ",""),"/",""),".",""))</f>
        <v>LIC2512</v>
      </c>
      <c r="I606" s="9" t="n">
        <f aca="false">IF(COUNTIFS($C$5:C606,C606,$H$5:H606,H606,$E$5:E606,E606)&gt;1,1,0)</f>
        <v>0</v>
      </c>
      <c r="J606" s="9" t="n">
        <f aca="false">IF(AND(I606=0,COUNTIFS($C$5:$C$634,C606,$E$5:$E$634,E606,$B$5:$B$634,"&gt;="&amp;(B606-Parameters!$B$12),$B$5:$B$634,"&lt;="&amp;(B606+Parameters!$B$12),$H$5:$H$634,"&lt;&gt;"&amp;H606)&gt;0),1,0)</f>
        <v>1</v>
      </c>
      <c r="K606" s="9" t="n">
        <f aca="false">IF(AND(E606&gt;=Parameters!$B$11,ROUND(MOD(ROUND(E606,2),Parameters!$B$10),2)=0),1,0)</f>
        <v>0</v>
      </c>
      <c r="L606" s="9" t="n">
        <f aca="false">IF(AND(E606&lt;Parameters!$B$7,E606&gt;=Parameters!$B$7*(1-Parameters!$B$9)),1,0)</f>
        <v>1</v>
      </c>
      <c r="M606" s="9" t="n">
        <f aca="false">IF(AND(E606&lt;Parameters!$B$7,COUNTIFS($C$5:$C$634,C606,$B$5:$B$634,B606)&gt;1,SUMIFS($E$5:$E$634,$C$5:$C$634,C606,$B$5:$B$634,B606)&gt;=Parameters!$B$7),1,0)</f>
        <v>0</v>
      </c>
      <c r="N606" s="9" t="n">
        <f aca="false">IF(AND(E606&gt;=Parameters!$B$7,F606&lt;&gt;Parameters!$B$8),1,0)</f>
        <v>0</v>
      </c>
      <c r="O606" s="9" t="n">
        <f aca="false">INDEX(Vendor_Benford!$N$6:$N$50,MATCH(C606,Vendor_Benford!$A$6:$A$50,0))</f>
        <v>0</v>
      </c>
      <c r="P606" s="9" t="n">
        <f aca="false">INDEX(Vendor_Benford!$M$6:$M$50,MATCH(C606,Vendor_Benford!$A$6:$A$50,0))</f>
        <v>0</v>
      </c>
      <c r="Q606" s="9" t="n">
        <f aca="false">I606*Parameters!$B$28+J606*Parameters!$B$29+K606*Parameters!$B$30+L606*Parameters!$B$31+M606*Parameters!$B$32+N606*Parameters!$B$33+O606*Parameters!$B$34+P606*Parameters!$B$35</f>
        <v>5</v>
      </c>
      <c r="R606" s="0" t="str">
        <f aca="false">IF(Q606&gt;=Parameters!$B$24,"High","")</f>
        <v>High</v>
      </c>
    </row>
    <row r="607" customFormat="false" ht="15" hidden="false" customHeight="false" outlineLevel="0" collapsed="false">
      <c r="A607" s="10" t="s">
        <v>1515</v>
      </c>
      <c r="B607" s="8" t="n">
        <v>46008</v>
      </c>
      <c r="C607" s="10" t="s">
        <v>149</v>
      </c>
      <c r="D607" s="10" t="s">
        <v>1516</v>
      </c>
      <c r="E607" s="12" t="n">
        <v>696.52</v>
      </c>
      <c r="F607" s="10" t="s">
        <v>347</v>
      </c>
      <c r="G607" s="9" t="n">
        <f aca="false">VALUE(LEFT(TEXT(E607,"0.00"),1))</f>
        <v>6</v>
      </c>
      <c r="H607" s="0" t="str">
        <f aca="false">UPPER(SUBSTITUTE(SUBSTITUTE(SUBSTITUTE(D607," ",""),"/",""),".",""))</f>
        <v>INV14004</v>
      </c>
      <c r="I607" s="9" t="n">
        <f aca="false">IF(COUNTIFS($C$5:C607,C607,$H$5:H607,H607,$E$5:E607,E607)&gt;1,1,0)</f>
        <v>0</v>
      </c>
      <c r="J607" s="9" t="n">
        <f aca="false">IF(AND(I607=0,COUNTIFS($C$5:$C$634,C607,$E$5:$E$634,E607,$B$5:$B$634,"&gt;="&amp;(B607-Parameters!$B$12),$B$5:$B$634,"&lt;="&amp;(B607+Parameters!$B$12),$H$5:$H$634,"&lt;&gt;"&amp;H607)&gt;0),1,0)</f>
        <v>0</v>
      </c>
      <c r="K607" s="9" t="n">
        <f aca="false">IF(AND(E607&gt;=Parameters!$B$11,ROUND(MOD(ROUND(E607,2),Parameters!$B$10),2)=0),1,0)</f>
        <v>0</v>
      </c>
      <c r="L607" s="9" t="n">
        <f aca="false">IF(AND(E607&lt;Parameters!$B$7,E607&gt;=Parameters!$B$7*(1-Parameters!$B$9)),1,0)</f>
        <v>0</v>
      </c>
      <c r="M607" s="9" t="n">
        <f aca="false">IF(AND(E607&lt;Parameters!$B$7,COUNTIFS($C$5:$C$634,C607,$B$5:$B$634,B607)&gt;1,SUMIFS($E$5:$E$634,$C$5:$C$634,C607,$B$5:$B$634,B607)&gt;=Parameters!$B$7),1,0)</f>
        <v>0</v>
      </c>
      <c r="N607" s="9" t="n">
        <f aca="false">IF(AND(E607&gt;=Parameters!$B$7,F607&lt;&gt;Parameters!$B$8),1,0)</f>
        <v>0</v>
      </c>
      <c r="O607" s="9" t="n">
        <f aca="false">INDEX(Vendor_Benford!$N$6:$N$50,MATCH(C607,Vendor_Benford!$A$6:$A$50,0))</f>
        <v>0</v>
      </c>
      <c r="P607" s="9" t="n">
        <f aca="false">INDEX(Vendor_Benford!$M$6:$M$50,MATCH(C607,Vendor_Benford!$A$6:$A$50,0))</f>
        <v>0</v>
      </c>
      <c r="Q607" s="9" t="n">
        <f aca="false">I607*Parameters!$B$28+J607*Parameters!$B$29+K607*Parameters!$B$30+L607*Parameters!$B$31+M607*Parameters!$B$32+N607*Parameters!$B$33+O607*Parameters!$B$34+P607*Parameters!$B$35</f>
        <v>0</v>
      </c>
      <c r="R607" s="0" t="str">
        <f aca="false">IF(Q607&gt;=Parameters!$B$24,"High","")</f>
        <v/>
      </c>
    </row>
    <row r="608" customFormat="false" ht="15" hidden="false" customHeight="false" outlineLevel="0" collapsed="false">
      <c r="A608" s="10" t="s">
        <v>1517</v>
      </c>
      <c r="B608" s="8" t="n">
        <v>46009</v>
      </c>
      <c r="C608" s="10" t="s">
        <v>125</v>
      </c>
      <c r="D608" s="10" t="s">
        <v>1518</v>
      </c>
      <c r="E608" s="12" t="n">
        <v>9753.85</v>
      </c>
      <c r="F608" s="10" t="s">
        <v>40</v>
      </c>
      <c r="G608" s="9" t="n">
        <f aca="false">VALUE(LEFT(TEXT(E608,"0.00"),1))</f>
        <v>9</v>
      </c>
      <c r="H608" s="0" t="str">
        <f aca="false">UPPER(SUBSTITUTE(SUBSTITUTE(SUBSTITUTE(D608," ",""),"/",""),".",""))</f>
        <v>INV6007</v>
      </c>
      <c r="I608" s="9" t="n">
        <f aca="false">IF(COUNTIFS($C$5:C608,C608,$H$5:H608,H608,$E$5:E608,E608)&gt;1,1,0)</f>
        <v>0</v>
      </c>
      <c r="J608" s="9" t="n">
        <f aca="false">IF(AND(I608=0,COUNTIFS($C$5:$C$634,C608,$E$5:$E$634,E608,$B$5:$B$634,"&gt;="&amp;(B608-Parameters!$B$12),$B$5:$B$634,"&lt;="&amp;(B608+Parameters!$B$12),$H$5:$H$634,"&lt;&gt;"&amp;H608)&gt;0),1,0)</f>
        <v>0</v>
      </c>
      <c r="K608" s="9" t="n">
        <f aca="false">IF(AND(E608&gt;=Parameters!$B$11,ROUND(MOD(ROUND(E608,2),Parameters!$B$10),2)=0),1,0)</f>
        <v>0</v>
      </c>
      <c r="L608" s="9" t="n">
        <f aca="false">IF(AND(E608&lt;Parameters!$B$7,E608&gt;=Parameters!$B$7*(1-Parameters!$B$9)),1,0)</f>
        <v>0</v>
      </c>
      <c r="M608" s="9" t="n">
        <f aca="false">IF(AND(E608&lt;Parameters!$B$7,COUNTIFS($C$5:$C$634,C608,$B$5:$B$634,B608)&gt;1,SUMIFS($E$5:$E$634,$C$5:$C$634,C608,$B$5:$B$634,B608)&gt;=Parameters!$B$7),1,0)</f>
        <v>0</v>
      </c>
      <c r="N608" s="9" t="n">
        <f aca="false">IF(AND(E608&gt;=Parameters!$B$7,F608&lt;&gt;Parameters!$B$8),1,0)</f>
        <v>0</v>
      </c>
      <c r="O608" s="9" t="n">
        <f aca="false">INDEX(Vendor_Benford!$N$6:$N$50,MATCH(C608,Vendor_Benford!$A$6:$A$50,0))</f>
        <v>0</v>
      </c>
      <c r="P608" s="9" t="n">
        <f aca="false">INDEX(Vendor_Benford!$M$6:$M$50,MATCH(C608,Vendor_Benford!$A$6:$A$50,0))</f>
        <v>0</v>
      </c>
      <c r="Q608" s="9" t="n">
        <f aca="false">I608*Parameters!$B$28+J608*Parameters!$B$29+K608*Parameters!$B$30+L608*Parameters!$B$31+M608*Parameters!$B$32+N608*Parameters!$B$33+O608*Parameters!$B$34+P608*Parameters!$B$35</f>
        <v>0</v>
      </c>
      <c r="R608" s="0" t="str">
        <f aca="false">IF(Q608&gt;=Parameters!$B$24,"High","")</f>
        <v/>
      </c>
    </row>
    <row r="609" customFormat="false" ht="15" hidden="false" customHeight="false" outlineLevel="0" collapsed="false">
      <c r="A609" s="10" t="s">
        <v>1519</v>
      </c>
      <c r="B609" s="8" t="n">
        <v>46009</v>
      </c>
      <c r="C609" s="10" t="s">
        <v>215</v>
      </c>
      <c r="D609" s="10" t="s">
        <v>1520</v>
      </c>
      <c r="E609" s="12" t="n">
        <v>1113.18</v>
      </c>
      <c r="F609" s="10" t="s">
        <v>347</v>
      </c>
      <c r="G609" s="9" t="n">
        <f aca="false">VALUE(LEFT(TEXT(E609,"0.00"),1))</f>
        <v>1</v>
      </c>
      <c r="H609" s="0" t="str">
        <f aca="false">UPPER(SUBSTITUTE(SUBSTITUTE(SUBSTITUTE(D609," ",""),"/",""),".",""))</f>
        <v>INV36005</v>
      </c>
      <c r="I609" s="9" t="n">
        <f aca="false">IF(COUNTIFS($C$5:C609,C609,$H$5:H609,H609,$E$5:E609,E609)&gt;1,1,0)</f>
        <v>0</v>
      </c>
      <c r="J609" s="9" t="n">
        <f aca="false">IF(AND(I609=0,COUNTIFS($C$5:$C$634,C609,$E$5:$E$634,E609,$B$5:$B$634,"&gt;="&amp;(B609-Parameters!$B$12),$B$5:$B$634,"&lt;="&amp;(B609+Parameters!$B$12),$H$5:$H$634,"&lt;&gt;"&amp;H609)&gt;0),1,0)</f>
        <v>0</v>
      </c>
      <c r="K609" s="9" t="n">
        <f aca="false">IF(AND(E609&gt;=Parameters!$B$11,ROUND(MOD(ROUND(E609,2),Parameters!$B$10),2)=0),1,0)</f>
        <v>0</v>
      </c>
      <c r="L609" s="9" t="n">
        <f aca="false">IF(AND(E609&lt;Parameters!$B$7,E609&gt;=Parameters!$B$7*(1-Parameters!$B$9)),1,0)</f>
        <v>0</v>
      </c>
      <c r="M609" s="9" t="n">
        <f aca="false">IF(AND(E609&lt;Parameters!$B$7,COUNTIFS($C$5:$C$634,C609,$B$5:$B$634,B609)&gt;1,SUMIFS($E$5:$E$634,$C$5:$C$634,C609,$B$5:$B$634,B609)&gt;=Parameters!$B$7),1,0)</f>
        <v>0</v>
      </c>
      <c r="N609" s="9" t="n">
        <f aca="false">IF(AND(E609&gt;=Parameters!$B$7,F609&lt;&gt;Parameters!$B$8),1,0)</f>
        <v>0</v>
      </c>
      <c r="O609" s="9" t="n">
        <f aca="false">INDEX(Vendor_Benford!$N$6:$N$50,MATCH(C609,Vendor_Benford!$A$6:$A$50,0))</f>
        <v>0</v>
      </c>
      <c r="P609" s="9" t="n">
        <f aca="false">INDEX(Vendor_Benford!$M$6:$M$50,MATCH(C609,Vendor_Benford!$A$6:$A$50,0))</f>
        <v>0</v>
      </c>
      <c r="Q609" s="9" t="n">
        <f aca="false">I609*Parameters!$B$28+J609*Parameters!$B$29+K609*Parameters!$B$30+L609*Parameters!$B$31+M609*Parameters!$B$32+N609*Parameters!$B$33+O609*Parameters!$B$34+P609*Parameters!$B$35</f>
        <v>0</v>
      </c>
      <c r="R609" s="0" t="str">
        <f aca="false">IF(Q609&gt;=Parameters!$B$24,"High","")</f>
        <v/>
      </c>
    </row>
    <row r="610" customFormat="false" ht="15" hidden="false" customHeight="false" outlineLevel="0" collapsed="false">
      <c r="A610" s="10" t="s">
        <v>1521</v>
      </c>
      <c r="B610" s="8" t="n">
        <v>46010</v>
      </c>
      <c r="C610" s="10" t="s">
        <v>203</v>
      </c>
      <c r="D610" s="10" t="s">
        <v>1522</v>
      </c>
      <c r="E610" s="12" t="n">
        <v>76421.36</v>
      </c>
      <c r="F610" s="10" t="s">
        <v>40</v>
      </c>
      <c r="G610" s="9" t="n">
        <f aca="false">VALUE(LEFT(TEXT(E610,"0.00"),1))</f>
        <v>7</v>
      </c>
      <c r="H610" s="0" t="str">
        <f aca="false">UPPER(SUBSTITUTE(SUBSTITUTE(SUBSTITUTE(D610," ",""),"/",""),".",""))</f>
        <v>INV32016</v>
      </c>
      <c r="I610" s="9" t="n">
        <f aca="false">IF(COUNTIFS($C$5:C610,C610,$H$5:H610,H610,$E$5:E610,E610)&gt;1,1,0)</f>
        <v>0</v>
      </c>
      <c r="J610" s="9" t="n">
        <f aca="false">IF(AND(I610=0,COUNTIFS($C$5:$C$634,C610,$E$5:$E$634,E610,$B$5:$B$634,"&gt;="&amp;(B610-Parameters!$B$12),$B$5:$B$634,"&lt;="&amp;(B610+Parameters!$B$12),$H$5:$H$634,"&lt;&gt;"&amp;H610)&gt;0),1,0)</f>
        <v>0</v>
      </c>
      <c r="K610" s="9" t="n">
        <f aca="false">IF(AND(E610&gt;=Parameters!$B$11,ROUND(MOD(ROUND(E610,2),Parameters!$B$10),2)=0),1,0)</f>
        <v>0</v>
      </c>
      <c r="L610" s="9" t="n">
        <f aca="false">IF(AND(E610&lt;Parameters!$B$7,E610&gt;=Parameters!$B$7*(1-Parameters!$B$9)),1,0)</f>
        <v>0</v>
      </c>
      <c r="M610" s="9" t="n">
        <f aca="false">IF(AND(E610&lt;Parameters!$B$7,COUNTIFS($C$5:$C$634,C610,$B$5:$B$634,B610)&gt;1,SUMIFS($E$5:$E$634,$C$5:$C$634,C610,$B$5:$B$634,B610)&gt;=Parameters!$B$7),1,0)</f>
        <v>0</v>
      </c>
      <c r="N610" s="9" t="n">
        <f aca="false">IF(AND(E610&gt;=Parameters!$B$7,F610&lt;&gt;Parameters!$B$8),1,0)</f>
        <v>0</v>
      </c>
      <c r="O610" s="9" t="n">
        <f aca="false">INDEX(Vendor_Benford!$N$6:$N$50,MATCH(C610,Vendor_Benford!$A$6:$A$50,0))</f>
        <v>0</v>
      </c>
      <c r="P610" s="9" t="n">
        <f aca="false">INDEX(Vendor_Benford!$M$6:$M$50,MATCH(C610,Vendor_Benford!$A$6:$A$50,0))</f>
        <v>0</v>
      </c>
      <c r="Q610" s="9" t="n">
        <f aca="false">I610*Parameters!$B$28+J610*Parameters!$B$29+K610*Parameters!$B$30+L610*Parameters!$B$31+M610*Parameters!$B$32+N610*Parameters!$B$33+O610*Parameters!$B$34+P610*Parameters!$B$35</f>
        <v>0</v>
      </c>
      <c r="R610" s="0" t="str">
        <f aca="false">IF(Q610&gt;=Parameters!$B$24,"High","")</f>
        <v/>
      </c>
    </row>
    <row r="611" customFormat="false" ht="15" hidden="false" customHeight="false" outlineLevel="0" collapsed="false">
      <c r="A611" s="10" t="s">
        <v>1523</v>
      </c>
      <c r="B611" s="8" t="n">
        <v>46010</v>
      </c>
      <c r="C611" s="10" t="s">
        <v>206</v>
      </c>
      <c r="D611" s="10" t="s">
        <v>1524</v>
      </c>
      <c r="E611" s="12" t="n">
        <v>533.25</v>
      </c>
      <c r="F611" s="10" t="s">
        <v>347</v>
      </c>
      <c r="G611" s="9" t="n">
        <f aca="false">VALUE(LEFT(TEXT(E611,"0.00"),1))</f>
        <v>5</v>
      </c>
      <c r="H611" s="0" t="str">
        <f aca="false">UPPER(SUBSTITUTE(SUBSTITUTE(SUBSTITUTE(D611," ",""),"/",""),".",""))</f>
        <v>INV33014</v>
      </c>
      <c r="I611" s="9" t="n">
        <f aca="false">IF(COUNTIFS($C$5:C611,C611,$H$5:H611,H611,$E$5:E611,E611)&gt;1,1,0)</f>
        <v>0</v>
      </c>
      <c r="J611" s="9" t="n">
        <f aca="false">IF(AND(I611=0,COUNTIFS($C$5:$C$634,C611,$E$5:$E$634,E611,$B$5:$B$634,"&gt;="&amp;(B611-Parameters!$B$12),$B$5:$B$634,"&lt;="&amp;(B611+Parameters!$B$12),$H$5:$H$634,"&lt;&gt;"&amp;H611)&gt;0),1,0)</f>
        <v>0</v>
      </c>
      <c r="K611" s="9" t="n">
        <f aca="false">IF(AND(E611&gt;=Parameters!$B$11,ROUND(MOD(ROUND(E611,2),Parameters!$B$10),2)=0),1,0)</f>
        <v>0</v>
      </c>
      <c r="L611" s="9" t="n">
        <f aca="false">IF(AND(E611&lt;Parameters!$B$7,E611&gt;=Parameters!$B$7*(1-Parameters!$B$9)),1,0)</f>
        <v>0</v>
      </c>
      <c r="M611" s="9" t="n">
        <f aca="false">IF(AND(E611&lt;Parameters!$B$7,COUNTIFS($C$5:$C$634,C611,$B$5:$B$634,B611)&gt;1,SUMIFS($E$5:$E$634,$C$5:$C$634,C611,$B$5:$B$634,B611)&gt;=Parameters!$B$7),1,0)</f>
        <v>0</v>
      </c>
      <c r="N611" s="9" t="n">
        <f aca="false">IF(AND(E611&gt;=Parameters!$B$7,F611&lt;&gt;Parameters!$B$8),1,0)</f>
        <v>0</v>
      </c>
      <c r="O611" s="9" t="n">
        <f aca="false">INDEX(Vendor_Benford!$N$6:$N$50,MATCH(C611,Vendor_Benford!$A$6:$A$50,0))</f>
        <v>0</v>
      </c>
      <c r="P611" s="9" t="n">
        <f aca="false">INDEX(Vendor_Benford!$M$6:$M$50,MATCH(C611,Vendor_Benford!$A$6:$A$50,0))</f>
        <v>0</v>
      </c>
      <c r="Q611" s="9" t="n">
        <f aca="false">I611*Parameters!$B$28+J611*Parameters!$B$29+K611*Parameters!$B$30+L611*Parameters!$B$31+M611*Parameters!$B$32+N611*Parameters!$B$33+O611*Parameters!$B$34+P611*Parameters!$B$35</f>
        <v>0</v>
      </c>
      <c r="R611" s="0" t="str">
        <f aca="false">IF(Q611&gt;=Parameters!$B$24,"High","")</f>
        <v/>
      </c>
    </row>
    <row r="612" customFormat="false" ht="15" hidden="false" customHeight="false" outlineLevel="0" collapsed="false">
      <c r="A612" s="10" t="s">
        <v>1525</v>
      </c>
      <c r="B612" s="8" t="n">
        <v>46013</v>
      </c>
      <c r="C612" s="10" t="s">
        <v>140</v>
      </c>
      <c r="D612" s="10" t="s">
        <v>1526</v>
      </c>
      <c r="E612" s="12" t="n">
        <v>1772.09</v>
      </c>
      <c r="F612" s="10" t="s">
        <v>347</v>
      </c>
      <c r="G612" s="9" t="n">
        <f aca="false">VALUE(LEFT(TEXT(E612,"0.00"),1))</f>
        <v>1</v>
      </c>
      <c r="H612" s="0" t="str">
        <f aca="false">UPPER(SUBSTITUTE(SUBSTITUTE(SUBSTITUTE(D612," ",""),"/",""),".",""))</f>
        <v>INV11007</v>
      </c>
      <c r="I612" s="9" t="n">
        <f aca="false">IF(COUNTIFS($C$5:C612,C612,$H$5:H612,H612,$E$5:E612,E612)&gt;1,1,0)</f>
        <v>0</v>
      </c>
      <c r="J612" s="9" t="n">
        <f aca="false">IF(AND(I612=0,COUNTIFS($C$5:$C$634,C612,$E$5:$E$634,E612,$B$5:$B$634,"&gt;="&amp;(B612-Parameters!$B$12),$B$5:$B$634,"&lt;="&amp;(B612+Parameters!$B$12),$H$5:$H$634,"&lt;&gt;"&amp;H612)&gt;0),1,0)</f>
        <v>0</v>
      </c>
      <c r="K612" s="9" t="n">
        <f aca="false">IF(AND(E612&gt;=Parameters!$B$11,ROUND(MOD(ROUND(E612,2),Parameters!$B$10),2)=0),1,0)</f>
        <v>0</v>
      </c>
      <c r="L612" s="9" t="n">
        <f aca="false">IF(AND(E612&lt;Parameters!$B$7,E612&gt;=Parameters!$B$7*(1-Parameters!$B$9)),1,0)</f>
        <v>0</v>
      </c>
      <c r="M612" s="9" t="n">
        <f aca="false">IF(AND(E612&lt;Parameters!$B$7,COUNTIFS($C$5:$C$634,C612,$B$5:$B$634,B612)&gt;1,SUMIFS($E$5:$E$634,$C$5:$C$634,C612,$B$5:$B$634,B612)&gt;=Parameters!$B$7),1,0)</f>
        <v>0</v>
      </c>
      <c r="N612" s="9" t="n">
        <f aca="false">IF(AND(E612&gt;=Parameters!$B$7,F612&lt;&gt;Parameters!$B$8),1,0)</f>
        <v>0</v>
      </c>
      <c r="O612" s="9" t="n">
        <f aca="false">INDEX(Vendor_Benford!$N$6:$N$50,MATCH(C612,Vendor_Benford!$A$6:$A$50,0))</f>
        <v>0</v>
      </c>
      <c r="P612" s="9" t="n">
        <f aca="false">INDEX(Vendor_Benford!$M$6:$M$50,MATCH(C612,Vendor_Benford!$A$6:$A$50,0))</f>
        <v>0</v>
      </c>
      <c r="Q612" s="9" t="n">
        <f aca="false">I612*Parameters!$B$28+J612*Parameters!$B$29+K612*Parameters!$B$30+L612*Parameters!$B$31+M612*Parameters!$B$32+N612*Parameters!$B$33+O612*Parameters!$B$34+P612*Parameters!$B$35</f>
        <v>0</v>
      </c>
      <c r="R612" s="0" t="str">
        <f aca="false">IF(Q612&gt;=Parameters!$B$24,"High","")</f>
        <v/>
      </c>
    </row>
    <row r="613" customFormat="false" ht="15" hidden="false" customHeight="false" outlineLevel="0" collapsed="false">
      <c r="A613" s="10" t="s">
        <v>1527</v>
      </c>
      <c r="B613" s="8" t="n">
        <v>46013</v>
      </c>
      <c r="C613" s="10" t="s">
        <v>239</v>
      </c>
      <c r="D613" s="10" t="s">
        <v>1528</v>
      </c>
      <c r="E613" s="12" t="n">
        <v>417.44</v>
      </c>
      <c r="F613" s="10" t="s">
        <v>347</v>
      </c>
      <c r="G613" s="9" t="n">
        <f aca="false">VALUE(LEFT(TEXT(E613,"0.00"),1))</f>
        <v>4</v>
      </c>
      <c r="H613" s="0" t="str">
        <f aca="false">UPPER(SUBSTITUTE(SUBSTITUTE(SUBSTITUTE(D613," ",""),"/",""),".",""))</f>
        <v>INV44001</v>
      </c>
      <c r="I613" s="9" t="n">
        <f aca="false">IF(COUNTIFS($C$5:C613,C613,$H$5:H613,H613,$E$5:E613,E613)&gt;1,1,0)</f>
        <v>0</v>
      </c>
      <c r="J613" s="9" t="n">
        <f aca="false">IF(AND(I613=0,COUNTIFS($C$5:$C$634,C613,$E$5:$E$634,E613,$B$5:$B$634,"&gt;="&amp;(B613-Parameters!$B$12),$B$5:$B$634,"&lt;="&amp;(B613+Parameters!$B$12),$H$5:$H$634,"&lt;&gt;"&amp;H613)&gt;0),1,0)</f>
        <v>0</v>
      </c>
      <c r="K613" s="9" t="n">
        <f aca="false">IF(AND(E613&gt;=Parameters!$B$11,ROUND(MOD(ROUND(E613,2),Parameters!$B$10),2)=0),1,0)</f>
        <v>0</v>
      </c>
      <c r="L613" s="9" t="n">
        <f aca="false">IF(AND(E613&lt;Parameters!$B$7,E613&gt;=Parameters!$B$7*(1-Parameters!$B$9)),1,0)</f>
        <v>0</v>
      </c>
      <c r="M613" s="9" t="n">
        <f aca="false">IF(AND(E613&lt;Parameters!$B$7,COUNTIFS($C$5:$C$634,C613,$B$5:$B$634,B613)&gt;1,SUMIFS($E$5:$E$634,$C$5:$C$634,C613,$B$5:$B$634,B613)&gt;=Parameters!$B$7),1,0)</f>
        <v>0</v>
      </c>
      <c r="N613" s="9" t="n">
        <f aca="false">IF(AND(E613&gt;=Parameters!$B$7,F613&lt;&gt;Parameters!$B$8),1,0)</f>
        <v>0</v>
      </c>
      <c r="O613" s="9" t="n">
        <f aca="false">INDEX(Vendor_Benford!$N$6:$N$50,MATCH(C613,Vendor_Benford!$A$6:$A$50,0))</f>
        <v>0</v>
      </c>
      <c r="P613" s="9" t="n">
        <f aca="false">INDEX(Vendor_Benford!$M$6:$M$50,MATCH(C613,Vendor_Benford!$A$6:$A$50,0))</f>
        <v>0</v>
      </c>
      <c r="Q613" s="9" t="n">
        <f aca="false">I613*Parameters!$B$28+J613*Parameters!$B$29+K613*Parameters!$B$30+L613*Parameters!$B$31+M613*Parameters!$B$32+N613*Parameters!$B$33+O613*Parameters!$B$34+P613*Parameters!$B$35</f>
        <v>0</v>
      </c>
      <c r="R613" s="0" t="str">
        <f aca="false">IF(Q613&gt;=Parameters!$B$24,"High","")</f>
        <v/>
      </c>
    </row>
    <row r="614" customFormat="false" ht="15" hidden="false" customHeight="false" outlineLevel="0" collapsed="false">
      <c r="A614" s="10" t="s">
        <v>1529</v>
      </c>
      <c r="B614" s="8" t="n">
        <v>46014</v>
      </c>
      <c r="C614" s="10" t="s">
        <v>194</v>
      </c>
      <c r="D614" s="10" t="s">
        <v>1530</v>
      </c>
      <c r="E614" s="12" t="n">
        <v>1569.35</v>
      </c>
      <c r="F614" s="10" t="s">
        <v>347</v>
      </c>
      <c r="G614" s="9" t="n">
        <f aca="false">VALUE(LEFT(TEXT(E614,"0.00"),1))</f>
        <v>1</v>
      </c>
      <c r="H614" s="0" t="str">
        <f aca="false">UPPER(SUBSTITUTE(SUBSTITUTE(SUBSTITUTE(D614," ",""),"/",""),".",""))</f>
        <v>INV29008</v>
      </c>
      <c r="I614" s="9" t="n">
        <f aca="false">IF(COUNTIFS($C$5:C614,C614,$H$5:H614,H614,$E$5:E614,E614)&gt;1,1,0)</f>
        <v>0</v>
      </c>
      <c r="J614" s="9" t="n">
        <f aca="false">IF(AND(I614=0,COUNTIFS($C$5:$C$634,C614,$E$5:$E$634,E614,$B$5:$B$634,"&gt;="&amp;(B614-Parameters!$B$12),$B$5:$B$634,"&lt;="&amp;(B614+Parameters!$B$12),$H$5:$H$634,"&lt;&gt;"&amp;H614)&gt;0),1,0)</f>
        <v>0</v>
      </c>
      <c r="K614" s="9" t="n">
        <f aca="false">IF(AND(E614&gt;=Parameters!$B$11,ROUND(MOD(ROUND(E614,2),Parameters!$B$10),2)=0),1,0)</f>
        <v>0</v>
      </c>
      <c r="L614" s="9" t="n">
        <f aca="false">IF(AND(E614&lt;Parameters!$B$7,E614&gt;=Parameters!$B$7*(1-Parameters!$B$9)),1,0)</f>
        <v>0</v>
      </c>
      <c r="M614" s="9" t="n">
        <f aca="false">IF(AND(E614&lt;Parameters!$B$7,COUNTIFS($C$5:$C$634,C614,$B$5:$B$634,B614)&gt;1,SUMIFS($E$5:$E$634,$C$5:$C$634,C614,$B$5:$B$634,B614)&gt;=Parameters!$B$7),1,0)</f>
        <v>0</v>
      </c>
      <c r="N614" s="9" t="n">
        <f aca="false">IF(AND(E614&gt;=Parameters!$B$7,F614&lt;&gt;Parameters!$B$8),1,0)</f>
        <v>0</v>
      </c>
      <c r="O614" s="9" t="n">
        <f aca="false">INDEX(Vendor_Benford!$N$6:$N$50,MATCH(C614,Vendor_Benford!$A$6:$A$50,0))</f>
        <v>0</v>
      </c>
      <c r="P614" s="9" t="n">
        <f aca="false">INDEX(Vendor_Benford!$M$6:$M$50,MATCH(C614,Vendor_Benford!$A$6:$A$50,0))</f>
        <v>0</v>
      </c>
      <c r="Q614" s="9" t="n">
        <f aca="false">I614*Parameters!$B$28+J614*Parameters!$B$29+K614*Parameters!$B$30+L614*Parameters!$B$31+M614*Parameters!$B$32+N614*Parameters!$B$33+O614*Parameters!$B$34+P614*Parameters!$B$35</f>
        <v>0</v>
      </c>
      <c r="R614" s="0" t="str">
        <f aca="false">IF(Q614&gt;=Parameters!$B$24,"High","")</f>
        <v/>
      </c>
    </row>
    <row r="615" customFormat="false" ht="15" hidden="false" customHeight="false" outlineLevel="0" collapsed="false">
      <c r="A615" s="10" t="s">
        <v>1531</v>
      </c>
      <c r="B615" s="8" t="n">
        <v>46015</v>
      </c>
      <c r="C615" s="10" t="s">
        <v>158</v>
      </c>
      <c r="D615" s="10" t="s">
        <v>1532</v>
      </c>
      <c r="E615" s="12" t="n">
        <v>7958.08</v>
      </c>
      <c r="F615" s="10" t="s">
        <v>40</v>
      </c>
      <c r="G615" s="9" t="n">
        <f aca="false">VALUE(LEFT(TEXT(E615,"0.00"),1))</f>
        <v>7</v>
      </c>
      <c r="H615" s="0" t="str">
        <f aca="false">UPPER(SUBSTITUTE(SUBSTITUTE(SUBSTITUTE(D615," ",""),"/",""),".",""))</f>
        <v>INV17002</v>
      </c>
      <c r="I615" s="9" t="n">
        <f aca="false">IF(COUNTIFS($C$5:C615,C615,$H$5:H615,H615,$E$5:E615,E615)&gt;1,1,0)</f>
        <v>0</v>
      </c>
      <c r="J615" s="9" t="n">
        <f aca="false">IF(AND(I615=0,COUNTIFS($C$5:$C$634,C615,$E$5:$E$634,E615,$B$5:$B$634,"&gt;="&amp;(B615-Parameters!$B$12),$B$5:$B$634,"&lt;="&amp;(B615+Parameters!$B$12),$H$5:$H$634,"&lt;&gt;"&amp;H615)&gt;0),1,0)</f>
        <v>0</v>
      </c>
      <c r="K615" s="9" t="n">
        <f aca="false">IF(AND(E615&gt;=Parameters!$B$11,ROUND(MOD(ROUND(E615,2),Parameters!$B$10),2)=0),1,0)</f>
        <v>0</v>
      </c>
      <c r="L615" s="9" t="n">
        <f aca="false">IF(AND(E615&lt;Parameters!$B$7,E615&gt;=Parameters!$B$7*(1-Parameters!$B$9)),1,0)</f>
        <v>0</v>
      </c>
      <c r="M615" s="9" t="n">
        <f aca="false">IF(AND(E615&lt;Parameters!$B$7,COUNTIFS($C$5:$C$634,C615,$B$5:$B$634,B615)&gt;1,SUMIFS($E$5:$E$634,$C$5:$C$634,C615,$B$5:$B$634,B615)&gt;=Parameters!$B$7),1,0)</f>
        <v>0</v>
      </c>
      <c r="N615" s="9" t="n">
        <f aca="false">IF(AND(E615&gt;=Parameters!$B$7,F615&lt;&gt;Parameters!$B$8),1,0)</f>
        <v>0</v>
      </c>
      <c r="O615" s="9" t="n">
        <f aca="false">INDEX(Vendor_Benford!$N$6:$N$50,MATCH(C615,Vendor_Benford!$A$6:$A$50,0))</f>
        <v>0</v>
      </c>
      <c r="P615" s="9" t="n">
        <f aca="false">INDEX(Vendor_Benford!$M$6:$M$50,MATCH(C615,Vendor_Benford!$A$6:$A$50,0))</f>
        <v>0</v>
      </c>
      <c r="Q615" s="9" t="n">
        <f aca="false">I615*Parameters!$B$28+J615*Parameters!$B$29+K615*Parameters!$B$30+L615*Parameters!$B$31+M615*Parameters!$B$32+N615*Parameters!$B$33+O615*Parameters!$B$34+P615*Parameters!$B$35</f>
        <v>0</v>
      </c>
      <c r="R615" s="0" t="str">
        <f aca="false">IF(Q615&gt;=Parameters!$B$24,"High","")</f>
        <v/>
      </c>
    </row>
    <row r="616" customFormat="false" ht="15" hidden="false" customHeight="false" outlineLevel="0" collapsed="false">
      <c r="A616" s="10" t="s">
        <v>1533</v>
      </c>
      <c r="B616" s="8" t="n">
        <v>46015</v>
      </c>
      <c r="C616" s="10" t="s">
        <v>161</v>
      </c>
      <c r="D616" s="10" t="s">
        <v>1534</v>
      </c>
      <c r="E616" s="12" t="n">
        <v>154.28</v>
      </c>
      <c r="F616" s="10" t="s">
        <v>347</v>
      </c>
      <c r="G616" s="9" t="n">
        <f aca="false">VALUE(LEFT(TEXT(E616,"0.00"),1))</f>
        <v>1</v>
      </c>
      <c r="H616" s="0" t="str">
        <f aca="false">UPPER(SUBSTITUTE(SUBSTITUTE(SUBSTITUTE(D616," ",""),"/",""),".",""))</f>
        <v>INV18005</v>
      </c>
      <c r="I616" s="9" t="n">
        <f aca="false">IF(COUNTIFS($C$5:C616,C616,$H$5:H616,H616,$E$5:E616,E616)&gt;1,1,0)</f>
        <v>0</v>
      </c>
      <c r="J616" s="9" t="n">
        <f aca="false">IF(AND(I616=0,COUNTIFS($C$5:$C$634,C616,$E$5:$E$634,E616,$B$5:$B$634,"&gt;="&amp;(B616-Parameters!$B$12),$B$5:$B$634,"&lt;="&amp;(B616+Parameters!$B$12),$H$5:$H$634,"&lt;&gt;"&amp;H616)&gt;0),1,0)</f>
        <v>0</v>
      </c>
      <c r="K616" s="9" t="n">
        <f aca="false">IF(AND(E616&gt;=Parameters!$B$11,ROUND(MOD(ROUND(E616,2),Parameters!$B$10),2)=0),1,0)</f>
        <v>0</v>
      </c>
      <c r="L616" s="9" t="n">
        <f aca="false">IF(AND(E616&lt;Parameters!$B$7,E616&gt;=Parameters!$B$7*(1-Parameters!$B$9)),1,0)</f>
        <v>0</v>
      </c>
      <c r="M616" s="9" t="n">
        <f aca="false">IF(AND(E616&lt;Parameters!$B$7,COUNTIFS($C$5:$C$634,C616,$B$5:$B$634,B616)&gt;1,SUMIFS($E$5:$E$634,$C$5:$C$634,C616,$B$5:$B$634,B616)&gt;=Parameters!$B$7),1,0)</f>
        <v>0</v>
      </c>
      <c r="N616" s="9" t="n">
        <f aca="false">IF(AND(E616&gt;=Parameters!$B$7,F616&lt;&gt;Parameters!$B$8),1,0)</f>
        <v>0</v>
      </c>
      <c r="O616" s="9" t="n">
        <f aca="false">INDEX(Vendor_Benford!$N$6:$N$50,MATCH(C616,Vendor_Benford!$A$6:$A$50,0))</f>
        <v>0</v>
      </c>
      <c r="P616" s="9" t="n">
        <f aca="false">INDEX(Vendor_Benford!$M$6:$M$50,MATCH(C616,Vendor_Benford!$A$6:$A$50,0))</f>
        <v>0</v>
      </c>
      <c r="Q616" s="9" t="n">
        <f aca="false">I616*Parameters!$B$28+J616*Parameters!$B$29+K616*Parameters!$B$30+L616*Parameters!$B$31+M616*Parameters!$B$32+N616*Parameters!$B$33+O616*Parameters!$B$34+P616*Parameters!$B$35</f>
        <v>0</v>
      </c>
      <c r="R616" s="0" t="str">
        <f aca="false">IF(Q616&gt;=Parameters!$B$24,"High","")</f>
        <v/>
      </c>
    </row>
    <row r="617" customFormat="false" ht="15" hidden="false" customHeight="false" outlineLevel="0" collapsed="false">
      <c r="A617" s="10" t="s">
        <v>1535</v>
      </c>
      <c r="B617" s="8" t="n">
        <v>46015</v>
      </c>
      <c r="C617" s="10" t="s">
        <v>161</v>
      </c>
      <c r="D617" s="10" t="s">
        <v>1536</v>
      </c>
      <c r="E617" s="12" t="n">
        <v>489.27</v>
      </c>
      <c r="F617" s="10" t="s">
        <v>347</v>
      </c>
      <c r="G617" s="9" t="n">
        <f aca="false">VALUE(LEFT(TEXT(E617,"0.00"),1))</f>
        <v>4</v>
      </c>
      <c r="H617" s="0" t="str">
        <f aca="false">UPPER(SUBSTITUTE(SUBSTITUTE(SUBSTITUTE(D617," ",""),"/",""),".",""))</f>
        <v>INV18011</v>
      </c>
      <c r="I617" s="9" t="n">
        <f aca="false">IF(COUNTIFS($C$5:C617,C617,$H$5:H617,H617,$E$5:E617,E617)&gt;1,1,0)</f>
        <v>0</v>
      </c>
      <c r="J617" s="9" t="n">
        <f aca="false">IF(AND(I617=0,COUNTIFS($C$5:$C$634,C617,$E$5:$E$634,E617,$B$5:$B$634,"&gt;="&amp;(B617-Parameters!$B$12),$B$5:$B$634,"&lt;="&amp;(B617+Parameters!$B$12),$H$5:$H$634,"&lt;&gt;"&amp;H617)&gt;0),1,0)</f>
        <v>0</v>
      </c>
      <c r="K617" s="9" t="n">
        <f aca="false">IF(AND(E617&gt;=Parameters!$B$11,ROUND(MOD(ROUND(E617,2),Parameters!$B$10),2)=0),1,0)</f>
        <v>0</v>
      </c>
      <c r="L617" s="9" t="n">
        <f aca="false">IF(AND(E617&lt;Parameters!$B$7,E617&gt;=Parameters!$B$7*(1-Parameters!$B$9)),1,0)</f>
        <v>0</v>
      </c>
      <c r="M617" s="9" t="n">
        <f aca="false">IF(AND(E617&lt;Parameters!$B$7,COUNTIFS($C$5:$C$634,C617,$B$5:$B$634,B617)&gt;1,SUMIFS($E$5:$E$634,$C$5:$C$634,C617,$B$5:$B$634,B617)&gt;=Parameters!$B$7),1,0)</f>
        <v>0</v>
      </c>
      <c r="N617" s="9" t="n">
        <f aca="false">IF(AND(E617&gt;=Parameters!$B$7,F617&lt;&gt;Parameters!$B$8),1,0)</f>
        <v>0</v>
      </c>
      <c r="O617" s="9" t="n">
        <f aca="false">INDEX(Vendor_Benford!$N$6:$N$50,MATCH(C617,Vendor_Benford!$A$6:$A$50,0))</f>
        <v>0</v>
      </c>
      <c r="P617" s="9" t="n">
        <f aca="false">INDEX(Vendor_Benford!$M$6:$M$50,MATCH(C617,Vendor_Benford!$A$6:$A$50,0))</f>
        <v>0</v>
      </c>
      <c r="Q617" s="9" t="n">
        <f aca="false">I617*Parameters!$B$28+J617*Parameters!$B$29+K617*Parameters!$B$30+L617*Parameters!$B$31+M617*Parameters!$B$32+N617*Parameters!$B$33+O617*Parameters!$B$34+P617*Parameters!$B$35</f>
        <v>0</v>
      </c>
      <c r="R617" s="0" t="str">
        <f aca="false">IF(Q617&gt;=Parameters!$B$24,"High","")</f>
        <v/>
      </c>
    </row>
    <row r="618" customFormat="false" ht="15" hidden="false" customHeight="false" outlineLevel="0" collapsed="false">
      <c r="A618" s="10" t="s">
        <v>1537</v>
      </c>
      <c r="B618" s="8" t="n">
        <v>46016</v>
      </c>
      <c r="C618" s="10" t="s">
        <v>122</v>
      </c>
      <c r="D618" s="10" t="s">
        <v>1538</v>
      </c>
      <c r="E618" s="12" t="n">
        <v>5066.99</v>
      </c>
      <c r="F618" s="10" t="s">
        <v>40</v>
      </c>
      <c r="G618" s="9" t="n">
        <f aca="false">VALUE(LEFT(TEXT(E618,"0.00"),1))</f>
        <v>5</v>
      </c>
      <c r="H618" s="0" t="str">
        <f aca="false">UPPER(SUBSTITUTE(SUBSTITUTE(SUBSTITUTE(D618," ",""),"/",""),".",""))</f>
        <v>INV5003</v>
      </c>
      <c r="I618" s="9" t="n">
        <f aca="false">IF(COUNTIFS($C$5:C618,C618,$H$5:H618,H618,$E$5:E618,E618)&gt;1,1,0)</f>
        <v>0</v>
      </c>
      <c r="J618" s="9" t="n">
        <f aca="false">IF(AND(I618=0,COUNTIFS($C$5:$C$634,C618,$E$5:$E$634,E618,$B$5:$B$634,"&gt;="&amp;(B618-Parameters!$B$12),$B$5:$B$634,"&lt;="&amp;(B618+Parameters!$B$12),$H$5:$H$634,"&lt;&gt;"&amp;H618)&gt;0),1,0)</f>
        <v>0</v>
      </c>
      <c r="K618" s="9" t="n">
        <f aca="false">IF(AND(E618&gt;=Parameters!$B$11,ROUND(MOD(ROUND(E618,2),Parameters!$B$10),2)=0),1,0)</f>
        <v>0</v>
      </c>
      <c r="L618" s="9" t="n">
        <f aca="false">IF(AND(E618&lt;Parameters!$B$7,E618&gt;=Parameters!$B$7*(1-Parameters!$B$9)),1,0)</f>
        <v>0</v>
      </c>
      <c r="M618" s="9" t="n">
        <f aca="false">IF(AND(E618&lt;Parameters!$B$7,COUNTIFS($C$5:$C$634,C618,$B$5:$B$634,B618)&gt;1,SUMIFS($E$5:$E$634,$C$5:$C$634,C618,$B$5:$B$634,B618)&gt;=Parameters!$B$7),1,0)</f>
        <v>0</v>
      </c>
      <c r="N618" s="9" t="n">
        <f aca="false">IF(AND(E618&gt;=Parameters!$B$7,F618&lt;&gt;Parameters!$B$8),1,0)</f>
        <v>0</v>
      </c>
      <c r="O618" s="9" t="n">
        <f aca="false">INDEX(Vendor_Benford!$N$6:$N$50,MATCH(C618,Vendor_Benford!$A$6:$A$50,0))</f>
        <v>0</v>
      </c>
      <c r="P618" s="9" t="n">
        <f aca="false">INDEX(Vendor_Benford!$M$6:$M$50,MATCH(C618,Vendor_Benford!$A$6:$A$50,0))</f>
        <v>0</v>
      </c>
      <c r="Q618" s="9" t="n">
        <f aca="false">I618*Parameters!$B$28+J618*Parameters!$B$29+K618*Parameters!$B$30+L618*Parameters!$B$31+M618*Parameters!$B$32+N618*Parameters!$B$33+O618*Parameters!$B$34+P618*Parameters!$B$35</f>
        <v>0</v>
      </c>
      <c r="R618" s="0" t="str">
        <f aca="false">IF(Q618&gt;=Parameters!$B$24,"High","")</f>
        <v/>
      </c>
    </row>
    <row r="619" customFormat="false" ht="15" hidden="false" customHeight="false" outlineLevel="0" collapsed="false">
      <c r="A619" s="10" t="s">
        <v>1539</v>
      </c>
      <c r="B619" s="8" t="n">
        <v>46016</v>
      </c>
      <c r="C619" s="10" t="s">
        <v>143</v>
      </c>
      <c r="D619" s="10" t="s">
        <v>1540</v>
      </c>
      <c r="E619" s="12" t="n">
        <v>300.31</v>
      </c>
      <c r="F619" s="10" t="s">
        <v>40</v>
      </c>
      <c r="G619" s="9" t="n">
        <f aca="false">VALUE(LEFT(TEXT(E619,"0.00"),1))</f>
        <v>3</v>
      </c>
      <c r="H619" s="0" t="str">
        <f aca="false">UPPER(SUBSTITUTE(SUBSTITUTE(SUBSTITUTE(D619," ",""),"/",""),".",""))</f>
        <v>INV12010</v>
      </c>
      <c r="I619" s="9" t="n">
        <f aca="false">IF(COUNTIFS($C$5:C619,C619,$H$5:H619,H619,$E$5:E619,E619)&gt;1,1,0)</f>
        <v>0</v>
      </c>
      <c r="J619" s="9" t="n">
        <f aca="false">IF(AND(I619=0,COUNTIFS($C$5:$C$634,C619,$E$5:$E$634,E619,$B$5:$B$634,"&gt;="&amp;(B619-Parameters!$B$12),$B$5:$B$634,"&lt;="&amp;(B619+Parameters!$B$12),$H$5:$H$634,"&lt;&gt;"&amp;H619)&gt;0),1,0)</f>
        <v>0</v>
      </c>
      <c r="K619" s="9" t="n">
        <f aca="false">IF(AND(E619&gt;=Parameters!$B$11,ROUND(MOD(ROUND(E619,2),Parameters!$B$10),2)=0),1,0)</f>
        <v>0</v>
      </c>
      <c r="L619" s="9" t="n">
        <f aca="false">IF(AND(E619&lt;Parameters!$B$7,E619&gt;=Parameters!$B$7*(1-Parameters!$B$9)),1,0)</f>
        <v>0</v>
      </c>
      <c r="M619" s="9" t="n">
        <f aca="false">IF(AND(E619&lt;Parameters!$B$7,COUNTIFS($C$5:$C$634,C619,$B$5:$B$634,B619)&gt;1,SUMIFS($E$5:$E$634,$C$5:$C$634,C619,$B$5:$B$634,B619)&gt;=Parameters!$B$7),1,0)</f>
        <v>0</v>
      </c>
      <c r="N619" s="9" t="n">
        <f aca="false">IF(AND(E619&gt;=Parameters!$B$7,F619&lt;&gt;Parameters!$B$8),1,0)</f>
        <v>0</v>
      </c>
      <c r="O619" s="9" t="n">
        <f aca="false">INDEX(Vendor_Benford!$N$6:$N$50,MATCH(C619,Vendor_Benford!$A$6:$A$50,0))</f>
        <v>0</v>
      </c>
      <c r="P619" s="9" t="n">
        <f aca="false">INDEX(Vendor_Benford!$M$6:$M$50,MATCH(C619,Vendor_Benford!$A$6:$A$50,0))</f>
        <v>0</v>
      </c>
      <c r="Q619" s="9" t="n">
        <f aca="false">I619*Parameters!$B$28+J619*Parameters!$B$29+K619*Parameters!$B$30+L619*Parameters!$B$31+M619*Parameters!$B$32+N619*Parameters!$B$33+O619*Parameters!$B$34+P619*Parameters!$B$35</f>
        <v>0</v>
      </c>
      <c r="R619" s="0" t="str">
        <f aca="false">IF(Q619&gt;=Parameters!$B$24,"High","")</f>
        <v/>
      </c>
    </row>
    <row r="620" customFormat="false" ht="15" hidden="false" customHeight="false" outlineLevel="0" collapsed="false">
      <c r="A620" s="10" t="s">
        <v>1541</v>
      </c>
      <c r="B620" s="8" t="n">
        <v>46016</v>
      </c>
      <c r="C620" s="10" t="s">
        <v>233</v>
      </c>
      <c r="D620" s="10" t="s">
        <v>1542</v>
      </c>
      <c r="E620" s="12" t="n">
        <v>3517.19</v>
      </c>
      <c r="F620" s="10" t="s">
        <v>40</v>
      </c>
      <c r="G620" s="9" t="n">
        <f aca="false">VALUE(LEFT(TEXT(E620,"0.00"),1))</f>
        <v>3</v>
      </c>
      <c r="H620" s="0" t="str">
        <f aca="false">UPPER(SUBSTITUTE(SUBSTITUTE(SUBSTITUTE(D620," ",""),"/",""),".",""))</f>
        <v>INV42006</v>
      </c>
      <c r="I620" s="9" t="n">
        <f aca="false">IF(COUNTIFS($C$5:C620,C620,$H$5:H620,H620,$E$5:E620,E620)&gt;1,1,0)</f>
        <v>0</v>
      </c>
      <c r="J620" s="9" t="n">
        <f aca="false">IF(AND(I620=0,COUNTIFS($C$5:$C$634,C620,$E$5:$E$634,E620,$B$5:$B$634,"&gt;="&amp;(B620-Parameters!$B$12),$B$5:$B$634,"&lt;="&amp;(B620+Parameters!$B$12),$H$5:$H$634,"&lt;&gt;"&amp;H620)&gt;0),1,0)</f>
        <v>0</v>
      </c>
      <c r="K620" s="9" t="n">
        <f aca="false">IF(AND(E620&gt;=Parameters!$B$11,ROUND(MOD(ROUND(E620,2),Parameters!$B$10),2)=0),1,0)</f>
        <v>0</v>
      </c>
      <c r="L620" s="9" t="n">
        <f aca="false">IF(AND(E620&lt;Parameters!$B$7,E620&gt;=Parameters!$B$7*(1-Parameters!$B$9)),1,0)</f>
        <v>0</v>
      </c>
      <c r="M620" s="9" t="n">
        <f aca="false">IF(AND(E620&lt;Parameters!$B$7,COUNTIFS($C$5:$C$634,C620,$B$5:$B$634,B620)&gt;1,SUMIFS($E$5:$E$634,$C$5:$C$634,C620,$B$5:$B$634,B620)&gt;=Parameters!$B$7),1,0)</f>
        <v>0</v>
      </c>
      <c r="N620" s="9" t="n">
        <f aca="false">IF(AND(E620&gt;=Parameters!$B$7,F620&lt;&gt;Parameters!$B$8),1,0)</f>
        <v>0</v>
      </c>
      <c r="O620" s="9" t="n">
        <f aca="false">INDEX(Vendor_Benford!$N$6:$N$50,MATCH(C620,Vendor_Benford!$A$6:$A$50,0))</f>
        <v>0</v>
      </c>
      <c r="P620" s="9" t="n">
        <f aca="false">INDEX(Vendor_Benford!$M$6:$M$50,MATCH(C620,Vendor_Benford!$A$6:$A$50,0))</f>
        <v>0</v>
      </c>
      <c r="Q620" s="9" t="n">
        <f aca="false">I620*Parameters!$B$28+J620*Parameters!$B$29+K620*Parameters!$B$30+L620*Parameters!$B$31+M620*Parameters!$B$32+N620*Parameters!$B$33+O620*Parameters!$B$34+P620*Parameters!$B$35</f>
        <v>0</v>
      </c>
      <c r="R620" s="0" t="str">
        <f aca="false">IF(Q620&gt;=Parameters!$B$24,"High","")</f>
        <v/>
      </c>
    </row>
    <row r="621" customFormat="false" ht="15" hidden="false" customHeight="false" outlineLevel="0" collapsed="false">
      <c r="A621" s="10" t="s">
        <v>1543</v>
      </c>
      <c r="B621" s="8" t="n">
        <v>46017</v>
      </c>
      <c r="C621" s="10" t="s">
        <v>173</v>
      </c>
      <c r="D621" s="10" t="s">
        <v>1544</v>
      </c>
      <c r="E621" s="12" t="n">
        <v>13673.15</v>
      </c>
      <c r="F621" s="10" t="s">
        <v>40</v>
      </c>
      <c r="G621" s="9" t="n">
        <f aca="false">VALUE(LEFT(TEXT(E621,"0.00"),1))</f>
        <v>1</v>
      </c>
      <c r="H621" s="0" t="str">
        <f aca="false">UPPER(SUBSTITUTE(SUBSTITUTE(SUBSTITUTE(D621," ",""),"/",""),".",""))</f>
        <v>INV22001</v>
      </c>
      <c r="I621" s="9" t="n">
        <f aca="false">IF(COUNTIFS($C$5:C621,C621,$H$5:H621,H621,$E$5:E621,E621)&gt;1,1,0)</f>
        <v>0</v>
      </c>
      <c r="J621" s="9" t="n">
        <f aca="false">IF(AND(I621=0,COUNTIFS($C$5:$C$634,C621,$E$5:$E$634,E621,$B$5:$B$634,"&gt;="&amp;(B621-Parameters!$B$12),$B$5:$B$634,"&lt;="&amp;(B621+Parameters!$B$12),$H$5:$H$634,"&lt;&gt;"&amp;H621)&gt;0),1,0)</f>
        <v>0</v>
      </c>
      <c r="K621" s="9" t="n">
        <f aca="false">IF(AND(E621&gt;=Parameters!$B$11,ROUND(MOD(ROUND(E621,2),Parameters!$B$10),2)=0),1,0)</f>
        <v>0</v>
      </c>
      <c r="L621" s="9" t="n">
        <f aca="false">IF(AND(E621&lt;Parameters!$B$7,E621&gt;=Parameters!$B$7*(1-Parameters!$B$9)),1,0)</f>
        <v>0</v>
      </c>
      <c r="M621" s="9" t="n">
        <f aca="false">IF(AND(E621&lt;Parameters!$B$7,COUNTIFS($C$5:$C$634,C621,$B$5:$B$634,B621)&gt;1,SUMIFS($E$5:$E$634,$C$5:$C$634,C621,$B$5:$B$634,B621)&gt;=Parameters!$B$7),1,0)</f>
        <v>0</v>
      </c>
      <c r="N621" s="9" t="n">
        <f aca="false">IF(AND(E621&gt;=Parameters!$B$7,F621&lt;&gt;Parameters!$B$8),1,0)</f>
        <v>0</v>
      </c>
      <c r="O621" s="9" t="n">
        <f aca="false">INDEX(Vendor_Benford!$N$6:$N$50,MATCH(C621,Vendor_Benford!$A$6:$A$50,0))</f>
        <v>0</v>
      </c>
      <c r="P621" s="9" t="n">
        <f aca="false">INDEX(Vendor_Benford!$M$6:$M$50,MATCH(C621,Vendor_Benford!$A$6:$A$50,0))</f>
        <v>0</v>
      </c>
      <c r="Q621" s="9" t="n">
        <f aca="false">I621*Parameters!$B$28+J621*Parameters!$B$29+K621*Parameters!$B$30+L621*Parameters!$B$31+M621*Parameters!$B$32+N621*Parameters!$B$33+O621*Parameters!$B$34+P621*Parameters!$B$35</f>
        <v>0</v>
      </c>
      <c r="R621" s="0" t="str">
        <f aca="false">IF(Q621&gt;=Parameters!$B$24,"High","")</f>
        <v/>
      </c>
    </row>
    <row r="622" customFormat="false" ht="15" hidden="false" customHeight="false" outlineLevel="0" collapsed="false">
      <c r="A622" s="10" t="s">
        <v>1545</v>
      </c>
      <c r="B622" s="8" t="n">
        <v>46017</v>
      </c>
      <c r="C622" s="10" t="s">
        <v>206</v>
      </c>
      <c r="D622" s="10" t="s">
        <v>1546</v>
      </c>
      <c r="E622" s="12" t="n">
        <v>150.94</v>
      </c>
      <c r="F622" s="10" t="s">
        <v>347</v>
      </c>
      <c r="G622" s="9" t="n">
        <f aca="false">VALUE(LEFT(TEXT(E622,"0.00"),1))</f>
        <v>1</v>
      </c>
      <c r="H622" s="0" t="str">
        <f aca="false">UPPER(SUBSTITUTE(SUBSTITUTE(SUBSTITUTE(D622," ",""),"/",""),".",""))</f>
        <v>INV33021</v>
      </c>
      <c r="I622" s="9" t="n">
        <f aca="false">IF(COUNTIFS($C$5:C622,C622,$H$5:H622,H622,$E$5:E622,E622)&gt;1,1,0)</f>
        <v>0</v>
      </c>
      <c r="J622" s="9" t="n">
        <f aca="false">IF(AND(I622=0,COUNTIFS($C$5:$C$634,C622,$E$5:$E$634,E622,$B$5:$B$634,"&gt;="&amp;(B622-Parameters!$B$12),$B$5:$B$634,"&lt;="&amp;(B622+Parameters!$B$12),$H$5:$H$634,"&lt;&gt;"&amp;H622)&gt;0),1,0)</f>
        <v>0</v>
      </c>
      <c r="K622" s="9" t="n">
        <f aca="false">IF(AND(E622&gt;=Parameters!$B$11,ROUND(MOD(ROUND(E622,2),Parameters!$B$10),2)=0),1,0)</f>
        <v>0</v>
      </c>
      <c r="L622" s="9" t="n">
        <f aca="false">IF(AND(E622&lt;Parameters!$B$7,E622&gt;=Parameters!$B$7*(1-Parameters!$B$9)),1,0)</f>
        <v>0</v>
      </c>
      <c r="M622" s="9" t="n">
        <f aca="false">IF(AND(E622&lt;Parameters!$B$7,COUNTIFS($C$5:$C$634,C622,$B$5:$B$634,B622)&gt;1,SUMIFS($E$5:$E$634,$C$5:$C$634,C622,$B$5:$B$634,B622)&gt;=Parameters!$B$7),1,0)</f>
        <v>0</v>
      </c>
      <c r="N622" s="9" t="n">
        <f aca="false">IF(AND(E622&gt;=Parameters!$B$7,F622&lt;&gt;Parameters!$B$8),1,0)</f>
        <v>0</v>
      </c>
      <c r="O622" s="9" t="n">
        <f aca="false">INDEX(Vendor_Benford!$N$6:$N$50,MATCH(C622,Vendor_Benford!$A$6:$A$50,0))</f>
        <v>0</v>
      </c>
      <c r="P622" s="9" t="n">
        <f aca="false">INDEX(Vendor_Benford!$M$6:$M$50,MATCH(C622,Vendor_Benford!$A$6:$A$50,0))</f>
        <v>0</v>
      </c>
      <c r="Q622" s="9" t="n">
        <f aca="false">I622*Parameters!$B$28+J622*Parameters!$B$29+K622*Parameters!$B$30+L622*Parameters!$B$31+M622*Parameters!$B$32+N622*Parameters!$B$33+O622*Parameters!$B$34+P622*Parameters!$B$35</f>
        <v>0</v>
      </c>
      <c r="R622" s="0" t="str">
        <f aca="false">IF(Q622&gt;=Parameters!$B$24,"High","")</f>
        <v/>
      </c>
    </row>
    <row r="623" customFormat="false" ht="15" hidden="false" customHeight="false" outlineLevel="0" collapsed="false">
      <c r="A623" s="10" t="s">
        <v>1547</v>
      </c>
      <c r="B623" s="8" t="n">
        <v>46017</v>
      </c>
      <c r="C623" s="10" t="s">
        <v>224</v>
      </c>
      <c r="D623" s="10" t="s">
        <v>1548</v>
      </c>
      <c r="E623" s="12" t="n">
        <v>3473.24</v>
      </c>
      <c r="F623" s="10" t="s">
        <v>40</v>
      </c>
      <c r="G623" s="9" t="n">
        <f aca="false">VALUE(LEFT(TEXT(E623,"0.00"),1))</f>
        <v>3</v>
      </c>
      <c r="H623" s="0" t="str">
        <f aca="false">UPPER(SUBSTITUTE(SUBSTITUTE(SUBSTITUTE(D623," ",""),"/",""),".",""))</f>
        <v>INV39015</v>
      </c>
      <c r="I623" s="9" t="n">
        <f aca="false">IF(COUNTIFS($C$5:C623,C623,$H$5:H623,H623,$E$5:E623,E623)&gt;1,1,0)</f>
        <v>0</v>
      </c>
      <c r="J623" s="9" t="n">
        <f aca="false">IF(AND(I623=0,COUNTIFS($C$5:$C$634,C623,$E$5:$E$634,E623,$B$5:$B$634,"&gt;="&amp;(B623-Parameters!$B$12),$B$5:$B$634,"&lt;="&amp;(B623+Parameters!$B$12),$H$5:$H$634,"&lt;&gt;"&amp;H623)&gt;0),1,0)</f>
        <v>0</v>
      </c>
      <c r="K623" s="9" t="n">
        <f aca="false">IF(AND(E623&gt;=Parameters!$B$11,ROUND(MOD(ROUND(E623,2),Parameters!$B$10),2)=0),1,0)</f>
        <v>0</v>
      </c>
      <c r="L623" s="9" t="n">
        <f aca="false">IF(AND(E623&lt;Parameters!$B$7,E623&gt;=Parameters!$B$7*(1-Parameters!$B$9)),1,0)</f>
        <v>0</v>
      </c>
      <c r="M623" s="9" t="n">
        <f aca="false">IF(AND(E623&lt;Parameters!$B$7,COUNTIFS($C$5:$C$634,C623,$B$5:$B$634,B623)&gt;1,SUMIFS($E$5:$E$634,$C$5:$C$634,C623,$B$5:$B$634,B623)&gt;=Parameters!$B$7),1,0)</f>
        <v>0</v>
      </c>
      <c r="N623" s="9" t="n">
        <f aca="false">IF(AND(E623&gt;=Parameters!$B$7,F623&lt;&gt;Parameters!$B$8),1,0)</f>
        <v>0</v>
      </c>
      <c r="O623" s="9" t="n">
        <f aca="false">INDEX(Vendor_Benford!$N$6:$N$50,MATCH(C623,Vendor_Benford!$A$6:$A$50,0))</f>
        <v>0</v>
      </c>
      <c r="P623" s="9" t="n">
        <f aca="false">INDEX(Vendor_Benford!$M$6:$M$50,MATCH(C623,Vendor_Benford!$A$6:$A$50,0))</f>
        <v>0</v>
      </c>
      <c r="Q623" s="9" t="n">
        <f aca="false">I623*Parameters!$B$28+J623*Parameters!$B$29+K623*Parameters!$B$30+L623*Parameters!$B$31+M623*Parameters!$B$32+N623*Parameters!$B$33+O623*Parameters!$B$34+P623*Parameters!$B$35</f>
        <v>0</v>
      </c>
      <c r="R623" s="0" t="str">
        <f aca="false">IF(Q623&gt;=Parameters!$B$24,"High","")</f>
        <v/>
      </c>
    </row>
    <row r="624" customFormat="false" ht="15" hidden="false" customHeight="false" outlineLevel="0" collapsed="false">
      <c r="A624" s="10" t="s">
        <v>1549</v>
      </c>
      <c r="B624" s="8" t="n">
        <v>46020</v>
      </c>
      <c r="C624" s="10" t="s">
        <v>146</v>
      </c>
      <c r="D624" s="10" t="s">
        <v>1550</v>
      </c>
      <c r="E624" s="12" t="n">
        <v>18880.06</v>
      </c>
      <c r="F624" s="10" t="s">
        <v>40</v>
      </c>
      <c r="G624" s="9" t="n">
        <f aca="false">VALUE(LEFT(TEXT(E624,"0.00"),1))</f>
        <v>1</v>
      </c>
      <c r="H624" s="0" t="str">
        <f aca="false">UPPER(SUBSTITUTE(SUBSTITUTE(SUBSTITUTE(D624," ",""),"/",""),".",""))</f>
        <v>INV13015</v>
      </c>
      <c r="I624" s="9" t="n">
        <f aca="false">IF(COUNTIFS($C$5:C624,C624,$H$5:H624,H624,$E$5:E624,E624)&gt;1,1,0)</f>
        <v>0</v>
      </c>
      <c r="J624" s="9" t="n">
        <f aca="false">IF(AND(I624=0,COUNTIFS($C$5:$C$634,C624,$E$5:$E$634,E624,$B$5:$B$634,"&gt;="&amp;(B624-Parameters!$B$12),$B$5:$B$634,"&lt;="&amp;(B624+Parameters!$B$12),$H$5:$H$634,"&lt;&gt;"&amp;H624)&gt;0),1,0)</f>
        <v>0</v>
      </c>
      <c r="K624" s="9" t="n">
        <f aca="false">IF(AND(E624&gt;=Parameters!$B$11,ROUND(MOD(ROUND(E624,2),Parameters!$B$10),2)=0),1,0)</f>
        <v>0</v>
      </c>
      <c r="L624" s="9" t="n">
        <f aca="false">IF(AND(E624&lt;Parameters!$B$7,E624&gt;=Parameters!$B$7*(1-Parameters!$B$9)),1,0)</f>
        <v>0</v>
      </c>
      <c r="M624" s="9" t="n">
        <f aca="false">IF(AND(E624&lt;Parameters!$B$7,COUNTIFS($C$5:$C$634,C624,$B$5:$B$634,B624)&gt;1,SUMIFS($E$5:$E$634,$C$5:$C$634,C624,$B$5:$B$634,B624)&gt;=Parameters!$B$7),1,0)</f>
        <v>0</v>
      </c>
      <c r="N624" s="9" t="n">
        <f aca="false">IF(AND(E624&gt;=Parameters!$B$7,F624&lt;&gt;Parameters!$B$8),1,0)</f>
        <v>0</v>
      </c>
      <c r="O624" s="9" t="n">
        <f aca="false">INDEX(Vendor_Benford!$N$6:$N$50,MATCH(C624,Vendor_Benford!$A$6:$A$50,0))</f>
        <v>0</v>
      </c>
      <c r="P624" s="9" t="n">
        <f aca="false">INDEX(Vendor_Benford!$M$6:$M$50,MATCH(C624,Vendor_Benford!$A$6:$A$50,0))</f>
        <v>0</v>
      </c>
      <c r="Q624" s="9" t="n">
        <f aca="false">I624*Parameters!$B$28+J624*Parameters!$B$29+K624*Parameters!$B$30+L624*Parameters!$B$31+M624*Parameters!$B$32+N624*Parameters!$B$33+O624*Parameters!$B$34+P624*Parameters!$B$35</f>
        <v>0</v>
      </c>
      <c r="R624" s="0" t="str">
        <f aca="false">IF(Q624&gt;=Parameters!$B$24,"High","")</f>
        <v/>
      </c>
    </row>
    <row r="625" customFormat="false" ht="15" hidden="false" customHeight="false" outlineLevel="0" collapsed="false">
      <c r="A625" s="10" t="s">
        <v>1551</v>
      </c>
      <c r="B625" s="8" t="n">
        <v>46020</v>
      </c>
      <c r="C625" s="10" t="s">
        <v>155</v>
      </c>
      <c r="D625" s="10" t="s">
        <v>1552</v>
      </c>
      <c r="E625" s="12" t="n">
        <v>18248.58</v>
      </c>
      <c r="F625" s="10" t="s">
        <v>40</v>
      </c>
      <c r="G625" s="9" t="n">
        <f aca="false">VALUE(LEFT(TEXT(E625,"0.00"),1))</f>
        <v>1</v>
      </c>
      <c r="H625" s="0" t="str">
        <f aca="false">UPPER(SUBSTITUTE(SUBSTITUTE(SUBSTITUTE(D625," ",""),"/",""),".",""))</f>
        <v>INV16012</v>
      </c>
      <c r="I625" s="9" t="n">
        <f aca="false">IF(COUNTIFS($C$5:C625,C625,$H$5:H625,H625,$E$5:E625,E625)&gt;1,1,0)</f>
        <v>0</v>
      </c>
      <c r="J625" s="9" t="n">
        <f aca="false">IF(AND(I625=0,COUNTIFS($C$5:$C$634,C625,$E$5:$E$634,E625,$B$5:$B$634,"&gt;="&amp;(B625-Parameters!$B$12),$B$5:$B$634,"&lt;="&amp;(B625+Parameters!$B$12),$H$5:$H$634,"&lt;&gt;"&amp;H625)&gt;0),1,0)</f>
        <v>0</v>
      </c>
      <c r="K625" s="9" t="n">
        <f aca="false">IF(AND(E625&gt;=Parameters!$B$11,ROUND(MOD(ROUND(E625,2),Parameters!$B$10),2)=0),1,0)</f>
        <v>0</v>
      </c>
      <c r="L625" s="9" t="n">
        <f aca="false">IF(AND(E625&lt;Parameters!$B$7,E625&gt;=Parameters!$B$7*(1-Parameters!$B$9)),1,0)</f>
        <v>0</v>
      </c>
      <c r="M625" s="9" t="n">
        <f aca="false">IF(AND(E625&lt;Parameters!$B$7,COUNTIFS($C$5:$C$634,C625,$B$5:$B$634,B625)&gt;1,SUMIFS($E$5:$E$634,$C$5:$C$634,C625,$B$5:$B$634,B625)&gt;=Parameters!$B$7),1,0)</f>
        <v>0</v>
      </c>
      <c r="N625" s="9" t="n">
        <f aca="false">IF(AND(E625&gt;=Parameters!$B$7,F625&lt;&gt;Parameters!$B$8),1,0)</f>
        <v>0</v>
      </c>
      <c r="O625" s="9" t="n">
        <f aca="false">INDEX(Vendor_Benford!$N$6:$N$50,MATCH(C625,Vendor_Benford!$A$6:$A$50,0))</f>
        <v>0</v>
      </c>
      <c r="P625" s="9" t="n">
        <f aca="false">INDEX(Vendor_Benford!$M$6:$M$50,MATCH(C625,Vendor_Benford!$A$6:$A$50,0))</f>
        <v>0</v>
      </c>
      <c r="Q625" s="9" t="n">
        <f aca="false">I625*Parameters!$B$28+J625*Parameters!$B$29+K625*Parameters!$B$30+L625*Parameters!$B$31+M625*Parameters!$B$32+N625*Parameters!$B$33+O625*Parameters!$B$34+P625*Parameters!$B$35</f>
        <v>0</v>
      </c>
      <c r="R625" s="0" t="str">
        <f aca="false">IF(Q625&gt;=Parameters!$B$24,"High","")</f>
        <v/>
      </c>
    </row>
    <row r="626" customFormat="false" ht="15" hidden="false" customHeight="false" outlineLevel="0" collapsed="false">
      <c r="A626" s="10" t="s">
        <v>1553</v>
      </c>
      <c r="B626" s="8" t="n">
        <v>46020</v>
      </c>
      <c r="C626" s="10" t="s">
        <v>161</v>
      </c>
      <c r="D626" s="10" t="s">
        <v>1554</v>
      </c>
      <c r="E626" s="12" t="n">
        <v>5299.27</v>
      </c>
      <c r="F626" s="10" t="s">
        <v>40</v>
      </c>
      <c r="G626" s="9" t="n">
        <f aca="false">VALUE(LEFT(TEXT(E626,"0.00"),1))</f>
        <v>5</v>
      </c>
      <c r="H626" s="0" t="str">
        <f aca="false">UPPER(SUBSTITUTE(SUBSTITUTE(SUBSTITUTE(D626," ",""),"/",""),".",""))</f>
        <v>INV18015</v>
      </c>
      <c r="I626" s="9" t="n">
        <f aca="false">IF(COUNTIFS($C$5:C626,C626,$H$5:H626,H626,$E$5:E626,E626)&gt;1,1,0)</f>
        <v>0</v>
      </c>
      <c r="J626" s="9" t="n">
        <f aca="false">IF(AND(I626=0,COUNTIFS($C$5:$C$634,C626,$E$5:$E$634,E626,$B$5:$B$634,"&gt;="&amp;(B626-Parameters!$B$12),$B$5:$B$634,"&lt;="&amp;(B626+Parameters!$B$12),$H$5:$H$634,"&lt;&gt;"&amp;H626)&gt;0),1,0)</f>
        <v>0</v>
      </c>
      <c r="K626" s="9" t="n">
        <f aca="false">IF(AND(E626&gt;=Parameters!$B$11,ROUND(MOD(ROUND(E626,2),Parameters!$B$10),2)=0),1,0)</f>
        <v>0</v>
      </c>
      <c r="L626" s="9" t="n">
        <f aca="false">IF(AND(E626&lt;Parameters!$B$7,E626&gt;=Parameters!$B$7*(1-Parameters!$B$9)),1,0)</f>
        <v>0</v>
      </c>
      <c r="M626" s="9" t="n">
        <f aca="false">IF(AND(E626&lt;Parameters!$B$7,COUNTIFS($C$5:$C$634,C626,$B$5:$B$634,B626)&gt;1,SUMIFS($E$5:$E$634,$C$5:$C$634,C626,$B$5:$B$634,B626)&gt;=Parameters!$B$7),1,0)</f>
        <v>0</v>
      </c>
      <c r="N626" s="9" t="n">
        <f aca="false">IF(AND(E626&gt;=Parameters!$B$7,F626&lt;&gt;Parameters!$B$8),1,0)</f>
        <v>0</v>
      </c>
      <c r="O626" s="9" t="n">
        <f aca="false">INDEX(Vendor_Benford!$N$6:$N$50,MATCH(C626,Vendor_Benford!$A$6:$A$50,0))</f>
        <v>0</v>
      </c>
      <c r="P626" s="9" t="n">
        <f aca="false">INDEX(Vendor_Benford!$M$6:$M$50,MATCH(C626,Vendor_Benford!$A$6:$A$50,0))</f>
        <v>0</v>
      </c>
      <c r="Q626" s="9" t="n">
        <f aca="false">I626*Parameters!$B$28+J626*Parameters!$B$29+K626*Parameters!$B$30+L626*Parameters!$B$31+M626*Parameters!$B$32+N626*Parameters!$B$33+O626*Parameters!$B$34+P626*Parameters!$B$35</f>
        <v>0</v>
      </c>
      <c r="R626" s="0" t="str">
        <f aca="false">IF(Q626&gt;=Parameters!$B$24,"High","")</f>
        <v/>
      </c>
    </row>
    <row r="627" customFormat="false" ht="15" hidden="false" customHeight="false" outlineLevel="0" collapsed="false">
      <c r="A627" s="10" t="s">
        <v>1555</v>
      </c>
      <c r="B627" s="8" t="n">
        <v>46020</v>
      </c>
      <c r="C627" s="10" t="s">
        <v>164</v>
      </c>
      <c r="D627" s="10" t="s">
        <v>1556</v>
      </c>
      <c r="E627" s="12" t="n">
        <v>48065.82</v>
      </c>
      <c r="F627" s="10" t="s">
        <v>40</v>
      </c>
      <c r="G627" s="9" t="n">
        <f aca="false">VALUE(LEFT(TEXT(E627,"0.00"),1))</f>
        <v>4</v>
      </c>
      <c r="H627" s="0" t="str">
        <f aca="false">UPPER(SUBSTITUTE(SUBSTITUTE(SUBSTITUTE(D627," ",""),"/",""),".",""))</f>
        <v>INV19004</v>
      </c>
      <c r="I627" s="9" t="n">
        <f aca="false">IF(COUNTIFS($C$5:C627,C627,$H$5:H627,H627,$E$5:E627,E627)&gt;1,1,0)</f>
        <v>0</v>
      </c>
      <c r="J627" s="9" t="n">
        <f aca="false">IF(AND(I627=0,COUNTIFS($C$5:$C$634,C627,$E$5:$E$634,E627,$B$5:$B$634,"&gt;="&amp;(B627-Parameters!$B$12),$B$5:$B$634,"&lt;="&amp;(B627+Parameters!$B$12),$H$5:$H$634,"&lt;&gt;"&amp;H627)&gt;0),1,0)</f>
        <v>0</v>
      </c>
      <c r="K627" s="9" t="n">
        <f aca="false">IF(AND(E627&gt;=Parameters!$B$11,ROUND(MOD(ROUND(E627,2),Parameters!$B$10),2)=0),1,0)</f>
        <v>0</v>
      </c>
      <c r="L627" s="9" t="n">
        <f aca="false">IF(AND(E627&lt;Parameters!$B$7,E627&gt;=Parameters!$B$7*(1-Parameters!$B$9)),1,0)</f>
        <v>0</v>
      </c>
      <c r="M627" s="9" t="n">
        <f aca="false">IF(AND(E627&lt;Parameters!$B$7,COUNTIFS($C$5:$C$634,C627,$B$5:$B$634,B627)&gt;1,SUMIFS($E$5:$E$634,$C$5:$C$634,C627,$B$5:$B$634,B627)&gt;=Parameters!$B$7),1,0)</f>
        <v>0</v>
      </c>
      <c r="N627" s="9" t="n">
        <f aca="false">IF(AND(E627&gt;=Parameters!$B$7,F627&lt;&gt;Parameters!$B$8),1,0)</f>
        <v>0</v>
      </c>
      <c r="O627" s="9" t="n">
        <f aca="false">INDEX(Vendor_Benford!$N$6:$N$50,MATCH(C627,Vendor_Benford!$A$6:$A$50,0))</f>
        <v>0</v>
      </c>
      <c r="P627" s="9" t="n">
        <f aca="false">INDEX(Vendor_Benford!$M$6:$M$50,MATCH(C627,Vendor_Benford!$A$6:$A$50,0))</f>
        <v>0</v>
      </c>
      <c r="Q627" s="9" t="n">
        <f aca="false">I627*Parameters!$B$28+J627*Parameters!$B$29+K627*Parameters!$B$30+L627*Parameters!$B$31+M627*Parameters!$B$32+N627*Parameters!$B$33+O627*Parameters!$B$34+P627*Parameters!$B$35</f>
        <v>0</v>
      </c>
      <c r="R627" s="0" t="str">
        <f aca="false">IF(Q627&gt;=Parameters!$B$24,"High","")</f>
        <v/>
      </c>
    </row>
    <row r="628" customFormat="false" ht="15" hidden="false" customHeight="false" outlineLevel="0" collapsed="false">
      <c r="A628" s="10" t="s">
        <v>1557</v>
      </c>
      <c r="B628" s="8" t="n">
        <v>46020</v>
      </c>
      <c r="C628" s="10" t="s">
        <v>194</v>
      </c>
      <c r="D628" s="10" t="s">
        <v>1558</v>
      </c>
      <c r="E628" s="12" t="n">
        <v>36000</v>
      </c>
      <c r="F628" s="10" t="s">
        <v>40</v>
      </c>
      <c r="G628" s="9" t="n">
        <f aca="false">VALUE(LEFT(TEXT(E628,"0.00"),1))</f>
        <v>3</v>
      </c>
      <c r="H628" s="0" t="str">
        <f aca="false">UPPER(SUBSTITUTE(SUBSTITUTE(SUBSTITUTE(D628," ",""),"/",""),".",""))</f>
        <v>INV29011</v>
      </c>
      <c r="I628" s="9" t="n">
        <f aca="false">IF(COUNTIFS($C$5:C628,C628,$H$5:H628,H628,$E$5:E628,E628)&gt;1,1,0)</f>
        <v>0</v>
      </c>
      <c r="J628" s="9" t="n">
        <f aca="false">IF(AND(I628=0,COUNTIFS($C$5:$C$634,C628,$E$5:$E$634,E628,$B$5:$B$634,"&gt;="&amp;(B628-Parameters!$B$12),$B$5:$B$634,"&lt;="&amp;(B628+Parameters!$B$12),$H$5:$H$634,"&lt;&gt;"&amp;H628)&gt;0),1,0)</f>
        <v>0</v>
      </c>
      <c r="K628" s="9" t="n">
        <f aca="false">IF(AND(E628&gt;=Parameters!$B$11,ROUND(MOD(ROUND(E628,2),Parameters!$B$10),2)=0),1,0)</f>
        <v>1</v>
      </c>
      <c r="L628" s="9" t="n">
        <f aca="false">IF(AND(E628&lt;Parameters!$B$7,E628&gt;=Parameters!$B$7*(1-Parameters!$B$9)),1,0)</f>
        <v>0</v>
      </c>
      <c r="M628" s="9" t="n">
        <f aca="false">IF(AND(E628&lt;Parameters!$B$7,COUNTIFS($C$5:$C$634,C628,$B$5:$B$634,B628)&gt;1,SUMIFS($E$5:$E$634,$C$5:$C$634,C628,$B$5:$B$634,B628)&gt;=Parameters!$B$7),1,0)</f>
        <v>0</v>
      </c>
      <c r="N628" s="9" t="n">
        <f aca="false">IF(AND(E628&gt;=Parameters!$B$7,F628&lt;&gt;Parameters!$B$8),1,0)</f>
        <v>0</v>
      </c>
      <c r="O628" s="9" t="n">
        <f aca="false">INDEX(Vendor_Benford!$N$6:$N$50,MATCH(C628,Vendor_Benford!$A$6:$A$50,0))</f>
        <v>0</v>
      </c>
      <c r="P628" s="9" t="n">
        <f aca="false">INDEX(Vendor_Benford!$M$6:$M$50,MATCH(C628,Vendor_Benford!$A$6:$A$50,0))</f>
        <v>0</v>
      </c>
      <c r="Q628" s="9" t="n">
        <f aca="false">I628*Parameters!$B$28+J628*Parameters!$B$29+K628*Parameters!$B$30+L628*Parameters!$B$31+M628*Parameters!$B$32+N628*Parameters!$B$33+O628*Parameters!$B$34+P628*Parameters!$B$35</f>
        <v>2</v>
      </c>
      <c r="R628" s="0" t="str">
        <f aca="false">IF(Q628&gt;=Parameters!$B$24,"High","")</f>
        <v/>
      </c>
    </row>
    <row r="629" customFormat="false" ht="15" hidden="false" customHeight="false" outlineLevel="0" collapsed="false">
      <c r="A629" s="10" t="s">
        <v>1559</v>
      </c>
      <c r="B629" s="8" t="n">
        <v>46021</v>
      </c>
      <c r="C629" s="10" t="s">
        <v>122</v>
      </c>
      <c r="D629" s="10" t="s">
        <v>1560</v>
      </c>
      <c r="E629" s="12" t="n">
        <v>326.56</v>
      </c>
      <c r="F629" s="10" t="s">
        <v>347</v>
      </c>
      <c r="G629" s="9" t="n">
        <f aca="false">VALUE(LEFT(TEXT(E629,"0.00"),1))</f>
        <v>3</v>
      </c>
      <c r="H629" s="0" t="str">
        <f aca="false">UPPER(SUBSTITUTE(SUBSTITUTE(SUBSTITUTE(D629," ",""),"/",""),".",""))</f>
        <v>INV5009</v>
      </c>
      <c r="I629" s="9" t="n">
        <f aca="false">IF(COUNTIFS($C$5:C629,C629,$H$5:H629,H629,$E$5:E629,E629)&gt;1,1,0)</f>
        <v>0</v>
      </c>
      <c r="J629" s="9" t="n">
        <f aca="false">IF(AND(I629=0,COUNTIFS($C$5:$C$634,C629,$E$5:$E$634,E629,$B$5:$B$634,"&gt;="&amp;(B629-Parameters!$B$12),$B$5:$B$634,"&lt;="&amp;(B629+Parameters!$B$12),$H$5:$H$634,"&lt;&gt;"&amp;H629)&gt;0),1,0)</f>
        <v>0</v>
      </c>
      <c r="K629" s="9" t="n">
        <f aca="false">IF(AND(E629&gt;=Parameters!$B$11,ROUND(MOD(ROUND(E629,2),Parameters!$B$10),2)=0),1,0)</f>
        <v>0</v>
      </c>
      <c r="L629" s="9" t="n">
        <f aca="false">IF(AND(E629&lt;Parameters!$B$7,E629&gt;=Parameters!$B$7*(1-Parameters!$B$9)),1,0)</f>
        <v>0</v>
      </c>
      <c r="M629" s="9" t="n">
        <f aca="false">IF(AND(E629&lt;Parameters!$B$7,COUNTIFS($C$5:$C$634,C629,$B$5:$B$634,B629)&gt;1,SUMIFS($E$5:$E$634,$C$5:$C$634,C629,$B$5:$B$634,B629)&gt;=Parameters!$B$7),1,0)</f>
        <v>0</v>
      </c>
      <c r="N629" s="9" t="n">
        <f aca="false">IF(AND(E629&gt;=Parameters!$B$7,F629&lt;&gt;Parameters!$B$8),1,0)</f>
        <v>0</v>
      </c>
      <c r="O629" s="9" t="n">
        <f aca="false">INDEX(Vendor_Benford!$N$6:$N$50,MATCH(C629,Vendor_Benford!$A$6:$A$50,0))</f>
        <v>0</v>
      </c>
      <c r="P629" s="9" t="n">
        <f aca="false">INDEX(Vendor_Benford!$M$6:$M$50,MATCH(C629,Vendor_Benford!$A$6:$A$50,0))</f>
        <v>0</v>
      </c>
      <c r="Q629" s="9" t="n">
        <f aca="false">I629*Parameters!$B$28+J629*Parameters!$B$29+K629*Parameters!$B$30+L629*Parameters!$B$31+M629*Parameters!$B$32+N629*Parameters!$B$33+O629*Parameters!$B$34+P629*Parameters!$B$35</f>
        <v>0</v>
      </c>
      <c r="R629" s="0" t="str">
        <f aca="false">IF(Q629&gt;=Parameters!$B$24,"High","")</f>
        <v/>
      </c>
    </row>
    <row r="630" customFormat="false" ht="15" hidden="false" customHeight="false" outlineLevel="0" collapsed="false">
      <c r="A630" s="10" t="s">
        <v>1561</v>
      </c>
      <c r="B630" s="8" t="n">
        <v>46021</v>
      </c>
      <c r="C630" s="10" t="s">
        <v>155</v>
      </c>
      <c r="D630" s="10" t="s">
        <v>1562</v>
      </c>
      <c r="E630" s="12" t="n">
        <v>9543.84</v>
      </c>
      <c r="F630" s="10" t="s">
        <v>40</v>
      </c>
      <c r="G630" s="9" t="n">
        <f aca="false">VALUE(LEFT(TEXT(E630,"0.00"),1))</f>
        <v>9</v>
      </c>
      <c r="H630" s="0" t="str">
        <f aca="false">UPPER(SUBSTITUTE(SUBSTITUTE(SUBSTITUTE(D630," ",""),"/",""),".",""))</f>
        <v>INV16010</v>
      </c>
      <c r="I630" s="9" t="n">
        <f aca="false">IF(COUNTIFS($C$5:C630,C630,$H$5:H630,H630,$E$5:E630,E630)&gt;1,1,0)</f>
        <v>0</v>
      </c>
      <c r="J630" s="9" t="n">
        <f aca="false">IF(AND(I630=0,COUNTIFS($C$5:$C$634,C630,$E$5:$E$634,E630,$B$5:$B$634,"&gt;="&amp;(B630-Parameters!$B$12),$B$5:$B$634,"&lt;="&amp;(B630+Parameters!$B$12),$H$5:$H$634,"&lt;&gt;"&amp;H630)&gt;0),1,0)</f>
        <v>0</v>
      </c>
      <c r="K630" s="9" t="n">
        <f aca="false">IF(AND(E630&gt;=Parameters!$B$11,ROUND(MOD(ROUND(E630,2),Parameters!$B$10),2)=0),1,0)</f>
        <v>0</v>
      </c>
      <c r="L630" s="9" t="n">
        <f aca="false">IF(AND(E630&lt;Parameters!$B$7,E630&gt;=Parameters!$B$7*(1-Parameters!$B$9)),1,0)</f>
        <v>0</v>
      </c>
      <c r="M630" s="9" t="n">
        <f aca="false">IF(AND(E630&lt;Parameters!$B$7,COUNTIFS($C$5:$C$634,C630,$B$5:$B$634,B630)&gt;1,SUMIFS($E$5:$E$634,$C$5:$C$634,C630,$B$5:$B$634,B630)&gt;=Parameters!$B$7),1,0)</f>
        <v>0</v>
      </c>
      <c r="N630" s="9" t="n">
        <f aca="false">IF(AND(E630&gt;=Parameters!$B$7,F630&lt;&gt;Parameters!$B$8),1,0)</f>
        <v>0</v>
      </c>
      <c r="O630" s="9" t="n">
        <f aca="false">INDEX(Vendor_Benford!$N$6:$N$50,MATCH(C630,Vendor_Benford!$A$6:$A$50,0))</f>
        <v>0</v>
      </c>
      <c r="P630" s="9" t="n">
        <f aca="false">INDEX(Vendor_Benford!$M$6:$M$50,MATCH(C630,Vendor_Benford!$A$6:$A$50,0))</f>
        <v>0</v>
      </c>
      <c r="Q630" s="9" t="n">
        <f aca="false">I630*Parameters!$B$28+J630*Parameters!$B$29+K630*Parameters!$B$30+L630*Parameters!$B$31+M630*Parameters!$B$32+N630*Parameters!$B$33+O630*Parameters!$B$34+P630*Parameters!$B$35</f>
        <v>0</v>
      </c>
      <c r="R630" s="0" t="str">
        <f aca="false">IF(Q630&gt;=Parameters!$B$24,"High","")</f>
        <v/>
      </c>
    </row>
    <row r="631" customFormat="false" ht="15" hidden="false" customHeight="false" outlineLevel="0" collapsed="false">
      <c r="A631" s="10" t="s">
        <v>1563</v>
      </c>
      <c r="B631" s="8" t="n">
        <v>46021</v>
      </c>
      <c r="C631" s="10" t="s">
        <v>200</v>
      </c>
      <c r="D631" s="10" t="s">
        <v>1564</v>
      </c>
      <c r="E631" s="12" t="n">
        <v>4882.35</v>
      </c>
      <c r="F631" s="10" t="s">
        <v>347</v>
      </c>
      <c r="G631" s="9" t="n">
        <f aca="false">VALUE(LEFT(TEXT(E631,"0.00"),1))</f>
        <v>4</v>
      </c>
      <c r="H631" s="0" t="str">
        <f aca="false">UPPER(SUBSTITUTE(SUBSTITUTE(SUBSTITUTE(D631," ",""),"/",""),".",""))</f>
        <v>INV31020</v>
      </c>
      <c r="I631" s="9" t="n">
        <f aca="false">IF(COUNTIFS($C$5:C631,C631,$H$5:H631,H631,$E$5:E631,E631)&gt;1,1,0)</f>
        <v>0</v>
      </c>
      <c r="J631" s="9" t="n">
        <f aca="false">IF(AND(I631=0,COUNTIFS($C$5:$C$634,C631,$E$5:$E$634,E631,$B$5:$B$634,"&gt;="&amp;(B631-Parameters!$B$12),$B$5:$B$634,"&lt;="&amp;(B631+Parameters!$B$12),$H$5:$H$634,"&lt;&gt;"&amp;H631)&gt;0),1,0)</f>
        <v>0</v>
      </c>
      <c r="K631" s="9" t="n">
        <f aca="false">IF(AND(E631&gt;=Parameters!$B$11,ROUND(MOD(ROUND(E631,2),Parameters!$B$10),2)=0),1,0)</f>
        <v>0</v>
      </c>
      <c r="L631" s="9" t="n">
        <f aca="false">IF(AND(E631&lt;Parameters!$B$7,E631&gt;=Parameters!$B$7*(1-Parameters!$B$9)),1,0)</f>
        <v>1</v>
      </c>
      <c r="M631" s="9" t="n">
        <f aca="false">IF(AND(E631&lt;Parameters!$B$7,COUNTIFS($C$5:$C$634,C631,$B$5:$B$634,B631)&gt;1,SUMIFS($E$5:$E$634,$C$5:$C$634,C631,$B$5:$B$634,B631)&gt;=Parameters!$B$7),1,0)</f>
        <v>0</v>
      </c>
      <c r="N631" s="9" t="n">
        <f aca="false">IF(AND(E631&gt;=Parameters!$B$7,F631&lt;&gt;Parameters!$B$8),1,0)</f>
        <v>0</v>
      </c>
      <c r="O631" s="9" t="n">
        <f aca="false">INDEX(Vendor_Benford!$N$6:$N$50,MATCH(C631,Vendor_Benford!$A$6:$A$50,0))</f>
        <v>0</v>
      </c>
      <c r="P631" s="9" t="n">
        <f aca="false">INDEX(Vendor_Benford!$M$6:$M$50,MATCH(C631,Vendor_Benford!$A$6:$A$50,0))</f>
        <v>1</v>
      </c>
      <c r="Q631" s="9" t="n">
        <f aca="false">I631*Parameters!$B$28+J631*Parameters!$B$29+K631*Parameters!$B$30+L631*Parameters!$B$31+M631*Parameters!$B$32+N631*Parameters!$B$33+O631*Parameters!$B$34+P631*Parameters!$B$35</f>
        <v>4</v>
      </c>
      <c r="R631" s="0" t="str">
        <f aca="false">IF(Q631&gt;=Parameters!$B$24,"High","")</f>
        <v/>
      </c>
    </row>
    <row r="632" customFormat="false" ht="15" hidden="false" customHeight="false" outlineLevel="0" collapsed="false">
      <c r="A632" s="10" t="s">
        <v>1565</v>
      </c>
      <c r="B632" s="8" t="n">
        <v>46022</v>
      </c>
      <c r="C632" s="10" t="s">
        <v>140</v>
      </c>
      <c r="D632" s="10" t="s">
        <v>1566</v>
      </c>
      <c r="E632" s="12" t="n">
        <v>1795.79</v>
      </c>
      <c r="F632" s="10" t="s">
        <v>347</v>
      </c>
      <c r="G632" s="9" t="n">
        <f aca="false">VALUE(LEFT(TEXT(E632,"0.00"),1))</f>
        <v>1</v>
      </c>
      <c r="H632" s="0" t="str">
        <f aca="false">UPPER(SUBSTITUTE(SUBSTITUTE(SUBSTITUTE(D632," ",""),"/",""),".",""))</f>
        <v>INV11008</v>
      </c>
      <c r="I632" s="9" t="n">
        <f aca="false">IF(COUNTIFS($C$5:C632,C632,$H$5:H632,H632,$E$5:E632,E632)&gt;1,1,0)</f>
        <v>0</v>
      </c>
      <c r="J632" s="9" t="n">
        <f aca="false">IF(AND(I632=0,COUNTIFS($C$5:$C$634,C632,$E$5:$E$634,E632,$B$5:$B$634,"&gt;="&amp;(B632-Parameters!$B$12),$B$5:$B$634,"&lt;="&amp;(B632+Parameters!$B$12),$H$5:$H$634,"&lt;&gt;"&amp;H632)&gt;0),1,0)</f>
        <v>0</v>
      </c>
      <c r="K632" s="9" t="n">
        <f aca="false">IF(AND(E632&gt;=Parameters!$B$11,ROUND(MOD(ROUND(E632,2),Parameters!$B$10),2)=0),1,0)</f>
        <v>0</v>
      </c>
      <c r="L632" s="9" t="n">
        <f aca="false">IF(AND(E632&lt;Parameters!$B$7,E632&gt;=Parameters!$B$7*(1-Parameters!$B$9)),1,0)</f>
        <v>0</v>
      </c>
      <c r="M632" s="9" t="n">
        <f aca="false">IF(AND(E632&lt;Parameters!$B$7,COUNTIFS($C$5:$C$634,C632,$B$5:$B$634,B632)&gt;1,SUMIFS($E$5:$E$634,$C$5:$C$634,C632,$B$5:$B$634,B632)&gt;=Parameters!$B$7),1,0)</f>
        <v>0</v>
      </c>
      <c r="N632" s="9" t="n">
        <f aca="false">IF(AND(E632&gt;=Parameters!$B$7,F632&lt;&gt;Parameters!$B$8),1,0)</f>
        <v>0</v>
      </c>
      <c r="O632" s="9" t="n">
        <f aca="false">INDEX(Vendor_Benford!$N$6:$N$50,MATCH(C632,Vendor_Benford!$A$6:$A$50,0))</f>
        <v>0</v>
      </c>
      <c r="P632" s="9" t="n">
        <f aca="false">INDEX(Vendor_Benford!$M$6:$M$50,MATCH(C632,Vendor_Benford!$A$6:$A$50,0))</f>
        <v>0</v>
      </c>
      <c r="Q632" s="9" t="n">
        <f aca="false">I632*Parameters!$B$28+J632*Parameters!$B$29+K632*Parameters!$B$30+L632*Parameters!$B$31+M632*Parameters!$B$32+N632*Parameters!$B$33+O632*Parameters!$B$34+P632*Parameters!$B$35</f>
        <v>0</v>
      </c>
      <c r="R632" s="0" t="str">
        <f aca="false">IF(Q632&gt;=Parameters!$B$24,"High","")</f>
        <v/>
      </c>
    </row>
    <row r="633" customFormat="false" ht="15" hidden="false" customHeight="false" outlineLevel="0" collapsed="false">
      <c r="A633" s="10" t="s">
        <v>1567</v>
      </c>
      <c r="B633" s="8" t="n">
        <v>46022</v>
      </c>
      <c r="C633" s="10" t="s">
        <v>146</v>
      </c>
      <c r="D633" s="10" t="s">
        <v>1568</v>
      </c>
      <c r="E633" s="12" t="n">
        <v>140.25</v>
      </c>
      <c r="F633" s="10" t="s">
        <v>40</v>
      </c>
      <c r="G633" s="9" t="n">
        <f aca="false">VALUE(LEFT(TEXT(E633,"0.00"),1))</f>
        <v>1</v>
      </c>
      <c r="H633" s="0" t="str">
        <f aca="false">UPPER(SUBSTITUTE(SUBSTITUTE(SUBSTITUTE(D633," ",""),"/",""),".",""))</f>
        <v>INV13002</v>
      </c>
      <c r="I633" s="9" t="n">
        <f aca="false">IF(COUNTIFS($C$5:C633,C633,$H$5:H633,H633,$E$5:E633,E633)&gt;1,1,0)</f>
        <v>0</v>
      </c>
      <c r="J633" s="9" t="n">
        <f aca="false">IF(AND(I633=0,COUNTIFS($C$5:$C$634,C633,$E$5:$E$634,E633,$B$5:$B$634,"&gt;="&amp;(B633-Parameters!$B$12),$B$5:$B$634,"&lt;="&amp;(B633+Parameters!$B$12),$H$5:$H$634,"&lt;&gt;"&amp;H633)&gt;0),1,0)</f>
        <v>0</v>
      </c>
      <c r="K633" s="9" t="n">
        <f aca="false">IF(AND(E633&gt;=Parameters!$B$11,ROUND(MOD(ROUND(E633,2),Parameters!$B$10),2)=0),1,0)</f>
        <v>0</v>
      </c>
      <c r="L633" s="9" t="n">
        <f aca="false">IF(AND(E633&lt;Parameters!$B$7,E633&gt;=Parameters!$B$7*(1-Parameters!$B$9)),1,0)</f>
        <v>0</v>
      </c>
      <c r="M633" s="9" t="n">
        <f aca="false">IF(AND(E633&lt;Parameters!$B$7,COUNTIFS($C$5:$C$634,C633,$B$5:$B$634,B633)&gt;1,SUMIFS($E$5:$E$634,$C$5:$C$634,C633,$B$5:$B$634,B633)&gt;=Parameters!$B$7),1,0)</f>
        <v>0</v>
      </c>
      <c r="N633" s="9" t="n">
        <f aca="false">IF(AND(E633&gt;=Parameters!$B$7,F633&lt;&gt;Parameters!$B$8),1,0)</f>
        <v>0</v>
      </c>
      <c r="O633" s="9" t="n">
        <f aca="false">INDEX(Vendor_Benford!$N$6:$N$50,MATCH(C633,Vendor_Benford!$A$6:$A$50,0))</f>
        <v>0</v>
      </c>
      <c r="P633" s="9" t="n">
        <f aca="false">INDEX(Vendor_Benford!$M$6:$M$50,MATCH(C633,Vendor_Benford!$A$6:$A$50,0))</f>
        <v>0</v>
      </c>
      <c r="Q633" s="9" t="n">
        <f aca="false">I633*Parameters!$B$28+J633*Parameters!$B$29+K633*Parameters!$B$30+L633*Parameters!$B$31+M633*Parameters!$B$32+N633*Parameters!$B$33+O633*Parameters!$B$34+P633*Parameters!$B$35</f>
        <v>0</v>
      </c>
      <c r="R633" s="0" t="str">
        <f aca="false">IF(Q633&gt;=Parameters!$B$24,"High","")</f>
        <v/>
      </c>
    </row>
    <row r="634" customFormat="false" ht="15" hidden="false" customHeight="false" outlineLevel="0" collapsed="false">
      <c r="A634" s="10" t="s">
        <v>1569</v>
      </c>
      <c r="B634" s="8" t="n">
        <v>46022</v>
      </c>
      <c r="C634" s="10" t="s">
        <v>206</v>
      </c>
      <c r="D634" s="10" t="s">
        <v>1570</v>
      </c>
      <c r="E634" s="12" t="n">
        <v>3185.98</v>
      </c>
      <c r="F634" s="10" t="s">
        <v>40</v>
      </c>
      <c r="G634" s="9" t="n">
        <f aca="false">VALUE(LEFT(TEXT(E634,"0.00"),1))</f>
        <v>3</v>
      </c>
      <c r="H634" s="0" t="str">
        <f aca="false">UPPER(SUBSTITUTE(SUBSTITUTE(SUBSTITUTE(D634," ",""),"/",""),".",""))</f>
        <v>INV33005</v>
      </c>
      <c r="I634" s="9" t="n">
        <f aca="false">IF(COUNTIFS($C$5:C634,C634,$H$5:H634,H634,$E$5:E634,E634)&gt;1,1,0)</f>
        <v>0</v>
      </c>
      <c r="J634" s="9" t="n">
        <f aca="false">IF(AND(I634=0,COUNTIFS($C$5:$C$634,C634,$E$5:$E$634,E634,$B$5:$B$634,"&gt;="&amp;(B634-Parameters!$B$12),$B$5:$B$634,"&lt;="&amp;(B634+Parameters!$B$12),$H$5:$H$634,"&lt;&gt;"&amp;H634)&gt;0),1,0)</f>
        <v>0</v>
      </c>
      <c r="K634" s="9" t="n">
        <f aca="false">IF(AND(E634&gt;=Parameters!$B$11,ROUND(MOD(ROUND(E634,2),Parameters!$B$10),2)=0),1,0)</f>
        <v>0</v>
      </c>
      <c r="L634" s="9" t="n">
        <f aca="false">IF(AND(E634&lt;Parameters!$B$7,E634&gt;=Parameters!$B$7*(1-Parameters!$B$9)),1,0)</f>
        <v>0</v>
      </c>
      <c r="M634" s="9" t="n">
        <f aca="false">IF(AND(E634&lt;Parameters!$B$7,COUNTIFS($C$5:$C$634,C634,$B$5:$B$634,B634)&gt;1,SUMIFS($E$5:$E$634,$C$5:$C$634,C634,$B$5:$B$634,B634)&gt;=Parameters!$B$7),1,0)</f>
        <v>0</v>
      </c>
      <c r="N634" s="9" t="n">
        <f aca="false">IF(AND(E634&gt;=Parameters!$B$7,F634&lt;&gt;Parameters!$B$8),1,0)</f>
        <v>0</v>
      </c>
      <c r="O634" s="9" t="n">
        <f aca="false">INDEX(Vendor_Benford!$N$6:$N$50,MATCH(C634,Vendor_Benford!$A$6:$A$50,0))</f>
        <v>0</v>
      </c>
      <c r="P634" s="9" t="n">
        <f aca="false">INDEX(Vendor_Benford!$M$6:$M$50,MATCH(C634,Vendor_Benford!$A$6:$A$50,0))</f>
        <v>0</v>
      </c>
      <c r="Q634" s="9" t="n">
        <f aca="false">I634*Parameters!$B$28+J634*Parameters!$B$29+K634*Parameters!$B$30+L634*Parameters!$B$31+M634*Parameters!$B$32+N634*Parameters!$B$33+O634*Parameters!$B$34+P634*Parameters!$B$35</f>
        <v>0</v>
      </c>
      <c r="R634" s="0" t="str">
        <f aca="false">IF(Q634&gt;=Parameters!$B$24,"High","")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4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5" t="s">
        <v>1571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1572</v>
      </c>
    </row>
    <row r="4" customFormat="false" ht="33.75" hidden="false" customHeight="true" outlineLevel="0" collapsed="false">
      <c r="A4" s="7" t="s">
        <v>305</v>
      </c>
      <c r="B4" s="7" t="s">
        <v>1573</v>
      </c>
      <c r="C4" s="7" t="s">
        <v>1574</v>
      </c>
      <c r="D4" s="7" t="s">
        <v>1575</v>
      </c>
      <c r="E4" s="7" t="s">
        <v>1576</v>
      </c>
      <c r="F4" s="7" t="s">
        <v>1577</v>
      </c>
      <c r="G4" s="7" t="s">
        <v>1578</v>
      </c>
      <c r="H4" s="7" t="s">
        <v>1579</v>
      </c>
    </row>
    <row r="5" customFormat="false" ht="15" hidden="false" customHeight="false" outlineLevel="0" collapsed="false">
      <c r="A5" s="0" t="n">
        <v>1</v>
      </c>
      <c r="B5" s="0" t="n">
        <f aca="false">COUNTIF(Payments!$G$5:$G$634,A5)</f>
        <v>169</v>
      </c>
      <c r="C5" s="13" t="n">
        <f aca="false">B5/$B$15</f>
        <v>0.268253968253968</v>
      </c>
      <c r="D5" s="13" t="n">
        <f aca="false">LOG10(1+1/A5)</f>
        <v>0.301029995663981</v>
      </c>
      <c r="E5" s="13" t="n">
        <f aca="false">C5-D5</f>
        <v>-0.032776027410013</v>
      </c>
      <c r="F5" s="14" t="n">
        <f aca="false">MAX(0,ABS(E5)-1/(2*$B$15))/SQRT(D5*(1-D5)/$B$15)</f>
        <v>1.7500354746159</v>
      </c>
      <c r="G5" s="0" t="str">
        <f aca="false">IF(F5&gt;Parameters!$B$15,"Yes","No")</f>
        <v>No</v>
      </c>
      <c r="H5" s="14" t="n">
        <f aca="false">$B$15*(C5-D5)^2/D5</f>
        <v>2.24824380493983</v>
      </c>
    </row>
    <row r="6" customFormat="false" ht="15" hidden="false" customHeight="false" outlineLevel="0" collapsed="false">
      <c r="A6" s="0" t="n">
        <v>2</v>
      </c>
      <c r="B6" s="0" t="n">
        <f aca="false">COUNTIF(Payments!$G$5:$G$634,A6)</f>
        <v>116</v>
      </c>
      <c r="C6" s="13" t="n">
        <f aca="false">B6/$B$15</f>
        <v>0.184126984126984</v>
      </c>
      <c r="D6" s="13" t="n">
        <f aca="false">LOG10(1+1/A6)</f>
        <v>0.176091259055681</v>
      </c>
      <c r="E6" s="13" t="n">
        <f aca="false">C6-D6</f>
        <v>0.0080357250713029</v>
      </c>
      <c r="F6" s="14" t="n">
        <f aca="false">MAX(0,ABS(E6)-1/(2*$B$15))/SQRT(D6*(1-D6)/$B$15)</f>
        <v>0.477226767374621</v>
      </c>
      <c r="G6" s="0" t="str">
        <f aca="false">IF(F6&gt;Parameters!$B$15,"Yes","No")</f>
        <v>No</v>
      </c>
      <c r="H6" s="14" t="n">
        <f aca="false">$B$15*(C6-D6)^2/D6</f>
        <v>0.231021761067215</v>
      </c>
    </row>
    <row r="7" customFormat="false" ht="15" hidden="false" customHeight="false" outlineLevel="0" collapsed="false">
      <c r="A7" s="0" t="n">
        <v>3</v>
      </c>
      <c r="B7" s="0" t="n">
        <f aca="false">COUNTIF(Payments!$G$5:$G$634,A7)</f>
        <v>56</v>
      </c>
      <c r="C7" s="13" t="n">
        <f aca="false">B7/$B$15</f>
        <v>0.0888888888888889</v>
      </c>
      <c r="D7" s="13" t="n">
        <f aca="false">LOG10(1+1/A7)</f>
        <v>0.1249387366083</v>
      </c>
      <c r="E7" s="13" t="n">
        <f aca="false">C7-D7</f>
        <v>-0.036049847719411</v>
      </c>
      <c r="F7" s="14" t="n">
        <f aca="false">MAX(0,ABS(E7)-1/(2*$B$15))/SQRT(D7*(1-D7)/$B$15)</f>
        <v>2.67631946904965</v>
      </c>
      <c r="G7" s="0" t="str">
        <f aca="false">IF(F7&gt;Parameters!$B$15,"Yes","No")</f>
        <v>Yes</v>
      </c>
      <c r="H7" s="14" t="n">
        <f aca="false">$B$15*(C7-D7)^2/D7</f>
        <v>6.55315301082551</v>
      </c>
    </row>
    <row r="8" customFormat="false" ht="15" hidden="false" customHeight="false" outlineLevel="0" collapsed="false">
      <c r="A8" s="0" t="n">
        <v>4</v>
      </c>
      <c r="B8" s="0" t="n">
        <f aca="false">COUNTIF(Payments!$G$5:$G$634,A8)</f>
        <v>111</v>
      </c>
      <c r="C8" s="13" t="n">
        <f aca="false">B8/$B$15</f>
        <v>0.176190476190476</v>
      </c>
      <c r="D8" s="13" t="n">
        <f aca="false">LOG10(1+1/A8)</f>
        <v>0.0969100130080564</v>
      </c>
      <c r="E8" s="13" t="n">
        <f aca="false">C8-D8</f>
        <v>0.0792804631824198</v>
      </c>
      <c r="F8" s="14" t="n">
        <f aca="false">MAX(0,ABS(E8)-1/(2*$B$15))/SQRT(D8*(1-D8)/$B$15)</f>
        <v>6.65912437659673</v>
      </c>
      <c r="G8" s="0" t="str">
        <f aca="false">IF(F8&gt;Parameters!$B$15,"Yes","No")</f>
        <v>Yes</v>
      </c>
      <c r="H8" s="14" t="n">
        <f aca="false">$B$15*(C8-D8)^2/D8</f>
        <v>40.8605544237703</v>
      </c>
    </row>
    <row r="9" customFormat="false" ht="15" hidden="false" customHeight="false" outlineLevel="0" collapsed="false">
      <c r="A9" s="0" t="n">
        <v>5</v>
      </c>
      <c r="B9" s="0" t="n">
        <f aca="false">COUNTIF(Payments!$G$5:$G$634,A9)</f>
        <v>44</v>
      </c>
      <c r="C9" s="13" t="n">
        <f aca="false">B9/$B$15</f>
        <v>0.0698412698412698</v>
      </c>
      <c r="D9" s="13" t="n">
        <f aca="false">LOG10(1+1/A9)</f>
        <v>0.0791812460476248</v>
      </c>
      <c r="E9" s="13" t="n">
        <f aca="false">C9-D9</f>
        <v>-0.00933997620635498</v>
      </c>
      <c r="F9" s="14" t="n">
        <f aca="false">MAX(0,ABS(E9)-1/(2*$B$15))/SQRT(D9*(1-D9)/$B$15)</f>
        <v>0.794422353843759</v>
      </c>
      <c r="G9" s="0" t="str">
        <f aca="false">IF(F9&gt;Parameters!$B$15,"Yes","No")</f>
        <v>No</v>
      </c>
      <c r="H9" s="14" t="n">
        <f aca="false">$B$15*(C9-D9)^2/D9</f>
        <v>0.69408036284462</v>
      </c>
    </row>
    <row r="10" customFormat="false" ht="15" hidden="false" customHeight="false" outlineLevel="0" collapsed="false">
      <c r="A10" s="0" t="n">
        <v>6</v>
      </c>
      <c r="B10" s="0" t="n">
        <f aca="false">COUNTIF(Payments!$G$5:$G$634,A10)</f>
        <v>41</v>
      </c>
      <c r="C10" s="13" t="n">
        <f aca="false">B10/$B$15</f>
        <v>0.0650793650793651</v>
      </c>
      <c r="D10" s="13" t="n">
        <f aca="false">LOG10(1+1/A10)</f>
        <v>0.0669467896306132</v>
      </c>
      <c r="E10" s="13" t="n">
        <f aca="false">C10-D10</f>
        <v>-0.00186742455124814</v>
      </c>
      <c r="F10" s="14" t="n">
        <f aca="false">MAX(0,ABS(E10)-1/(2*$B$15))/SQRT(D10*(1-D10)/$B$15)</f>
        <v>0.107836299688115</v>
      </c>
      <c r="G10" s="0" t="str">
        <f aca="false">IF(F10&gt;Parameters!$B$15,"Yes","No")</f>
        <v>No</v>
      </c>
      <c r="H10" s="14" t="n">
        <f aca="false">$B$15*(C10-D10)^2/D10</f>
        <v>0.03281685228706</v>
      </c>
    </row>
    <row r="11" customFormat="false" ht="15" hidden="false" customHeight="false" outlineLevel="0" collapsed="false">
      <c r="A11" s="0" t="n">
        <v>7</v>
      </c>
      <c r="B11" s="0" t="n">
        <f aca="false">COUNTIF(Payments!$G$5:$G$634,A11)</f>
        <v>31</v>
      </c>
      <c r="C11" s="13" t="n">
        <f aca="false">B11/$B$15</f>
        <v>0.0492063492063492</v>
      </c>
      <c r="D11" s="13" t="n">
        <f aca="false">LOG10(1+1/A11)</f>
        <v>0.0579919469776867</v>
      </c>
      <c r="E11" s="13" t="n">
        <f aca="false">C11-D11</f>
        <v>-0.00878559777133753</v>
      </c>
      <c r="F11" s="14" t="n">
        <f aca="false">MAX(0,ABS(E11)-1/(2*$B$15))/SQRT(D11*(1-D11)/$B$15)</f>
        <v>0.858245857831825</v>
      </c>
      <c r="G11" s="0" t="str">
        <f aca="false">IF(F11&gt;Parameters!$B$15,"Yes","No")</f>
        <v>No</v>
      </c>
      <c r="H11" s="14" t="n">
        <f aca="false">$B$15*(C11-D11)^2/D11</f>
        <v>0.838523989969516</v>
      </c>
    </row>
    <row r="12" customFormat="false" ht="15" hidden="false" customHeight="false" outlineLevel="0" collapsed="false">
      <c r="A12" s="0" t="n">
        <v>8</v>
      </c>
      <c r="B12" s="0" t="n">
        <f aca="false">COUNTIF(Payments!$G$5:$G$634,A12)</f>
        <v>39</v>
      </c>
      <c r="C12" s="13" t="n">
        <f aca="false">B12/$B$15</f>
        <v>0.0619047619047619</v>
      </c>
      <c r="D12" s="13" t="n">
        <f aca="false">LOG10(1+1/A12)</f>
        <v>0.0511525224473813</v>
      </c>
      <c r="E12" s="13" t="n">
        <f aca="false">C12-D12</f>
        <v>0.0107522394573806</v>
      </c>
      <c r="F12" s="14" t="n">
        <f aca="false">MAX(0,ABS(E12)-1/(2*$B$15))/SQRT(D12*(1-D12)/$B$15)</f>
        <v>1.13458317250795</v>
      </c>
      <c r="G12" s="0" t="str">
        <f aca="false">IF(F12&gt;Parameters!$B$15,"Yes","No")</f>
        <v>No</v>
      </c>
      <c r="H12" s="14" t="n">
        <f aca="false">$B$15*(C12-D12)^2/D12</f>
        <v>1.4238733130844</v>
      </c>
    </row>
    <row r="13" customFormat="false" ht="15" hidden="false" customHeight="false" outlineLevel="0" collapsed="false">
      <c r="A13" s="0" t="n">
        <v>9</v>
      </c>
      <c r="B13" s="0" t="n">
        <f aca="false">COUNTIF(Payments!$G$5:$G$634,A13)</f>
        <v>23</v>
      </c>
      <c r="C13" s="13" t="n">
        <f aca="false">B13/$B$15</f>
        <v>0.0365079365079365</v>
      </c>
      <c r="D13" s="13" t="n">
        <f aca="false">LOG10(1+1/A13)</f>
        <v>0.0457574905606751</v>
      </c>
      <c r="E13" s="13" t="n">
        <f aca="false">C13-D13</f>
        <v>-0.00924955405273863</v>
      </c>
      <c r="F13" s="14" t="n">
        <f aca="false">MAX(0,ABS(E13)-1/(2*$B$15))/SQRT(D13*(1-D13)/$B$15)</f>
        <v>1.01571017082428</v>
      </c>
      <c r="G13" s="0" t="str">
        <f aca="false">IF(F13&gt;Parameters!$B$15,"Yes","No")</f>
        <v>No</v>
      </c>
      <c r="H13" s="14" t="n">
        <f aca="false">$B$15*(C13-D13)^2/D13</f>
        <v>1.17793124031758</v>
      </c>
    </row>
    <row r="15" customFormat="false" ht="15" hidden="false" customHeight="false" outlineLevel="0" collapsed="false">
      <c r="A15" s="0" t="s">
        <v>1580</v>
      </c>
      <c r="B15" s="0" t="n">
        <f aca="false">SUM(B5:B13)</f>
        <v>630</v>
      </c>
    </row>
    <row r="16" customFormat="false" ht="15" hidden="false" customHeight="false" outlineLevel="0" collapsed="false">
      <c r="A16" s="0" t="s">
        <v>1581</v>
      </c>
      <c r="B16" s="15" t="n">
        <f aca="false">SUMPRODUCT(ABS(E5:E13))/9</f>
        <v>0.0217929839358007</v>
      </c>
    </row>
    <row r="17" customFormat="false" ht="15" hidden="false" customHeight="false" outlineLevel="0" collapsed="false">
      <c r="A17" s="0" t="s">
        <v>1582</v>
      </c>
      <c r="B17" s="0" t="str">
        <f aca="false">IF(B16&lt;=0.006,"Close conformity",IF(B16&lt;=0.012,"Acceptable conformity",IF(B16&lt;=0.015,"Marginally acceptable conformity","Nonconformity")))</f>
        <v>Nonconformity</v>
      </c>
    </row>
    <row r="18" customFormat="false" ht="15" hidden="false" customHeight="false" outlineLevel="0" collapsed="false">
      <c r="A18" s="0" t="s">
        <v>1583</v>
      </c>
      <c r="B18" s="14" t="n">
        <f aca="false">SUM(H5:H13)</f>
        <v>54.0601987591061</v>
      </c>
    </row>
    <row r="19" customFormat="false" ht="15" hidden="false" customHeight="false" outlineLevel="0" collapsed="false">
      <c r="A19" s="0" t="s">
        <v>1584</v>
      </c>
      <c r="B19" s="0" t="n">
        <f aca="false">Parameters!$B$16</f>
        <v>15.507</v>
      </c>
    </row>
    <row r="20" customFormat="false" ht="15" hidden="false" customHeight="false" outlineLevel="0" collapsed="false">
      <c r="A20" s="0" t="s">
        <v>1585</v>
      </c>
      <c r="B20" s="0" t="str">
        <f aca="false">IF(B18&gt;B19,"Reject conformity","Do not reject")</f>
        <v>Reject conformity</v>
      </c>
    </row>
    <row r="21" customFormat="false" ht="15" hidden="false" customHeight="false" outlineLevel="0" collapsed="false">
      <c r="A21" s="0" t="s">
        <v>1586</v>
      </c>
      <c r="B21" s="0" t="n">
        <f aca="false">COUNTIF(G5:G13,"Yes")</f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11" min="2" style="0" width="14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</cols>
  <sheetData>
    <row r="1" customFormat="false" ht="17.35" hidden="false" customHeight="false" outlineLevel="0" collapsed="false">
      <c r="A1" s="5" t="s">
        <v>1587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1588</v>
      </c>
    </row>
    <row r="4" customFormat="false" ht="33.75" hidden="false" customHeight="true" outlineLevel="0" collapsed="false">
      <c r="A4" s="7" t="s">
        <v>301</v>
      </c>
      <c r="B4" s="7" t="s">
        <v>1589</v>
      </c>
      <c r="C4" s="7" t="s">
        <v>1590</v>
      </c>
      <c r="D4" s="7" t="s">
        <v>1591</v>
      </c>
      <c r="E4" s="7" t="s">
        <v>1592</v>
      </c>
      <c r="F4" s="7" t="s">
        <v>1593</v>
      </c>
      <c r="G4" s="7" t="s">
        <v>1594</v>
      </c>
      <c r="H4" s="7" t="s">
        <v>1595</v>
      </c>
      <c r="I4" s="7" t="s">
        <v>1596</v>
      </c>
      <c r="J4" s="7" t="s">
        <v>1597</v>
      </c>
      <c r="K4" s="7" t="s">
        <v>1598</v>
      </c>
      <c r="L4" s="7" t="s">
        <v>1581</v>
      </c>
      <c r="M4" s="7" t="s">
        <v>1599</v>
      </c>
      <c r="N4" s="7" t="s">
        <v>312</v>
      </c>
    </row>
    <row r="5" customFormat="false" ht="15" hidden="false" customHeight="false" outlineLevel="0" collapsed="false">
      <c r="A5" s="0" t="s">
        <v>1600</v>
      </c>
      <c r="C5" s="15" t="n">
        <f aca="false">LOG10(1+1/1)</f>
        <v>0.301029995663981</v>
      </c>
      <c r="D5" s="15" t="n">
        <f aca="false">LOG10(1+1/2)</f>
        <v>0.176091259055681</v>
      </c>
      <c r="E5" s="15" t="n">
        <f aca="false">LOG10(1+1/3)</f>
        <v>0.1249387366083</v>
      </c>
      <c r="F5" s="15" t="n">
        <f aca="false">LOG10(1+1/4)</f>
        <v>0.0969100130080564</v>
      </c>
      <c r="G5" s="15" t="n">
        <f aca="false">LOG10(1+1/5)</f>
        <v>0.0791812460476248</v>
      </c>
      <c r="H5" s="15" t="n">
        <f aca="false">LOG10(1+1/6)</f>
        <v>0.0669467896306132</v>
      </c>
      <c r="I5" s="15" t="n">
        <f aca="false">LOG10(1+1/7)</f>
        <v>0.0579919469776867</v>
      </c>
      <c r="J5" s="15" t="n">
        <f aca="false">LOG10(1+1/8)</f>
        <v>0.0511525224473813</v>
      </c>
      <c r="K5" s="15" t="n">
        <f aca="false">LOG10(1+1/9)</f>
        <v>0.0457574905606751</v>
      </c>
    </row>
    <row r="6" customFormat="false" ht="15" hidden="false" customHeight="false" outlineLevel="0" collapsed="false">
      <c r="A6" s="0" t="s">
        <v>110</v>
      </c>
      <c r="B6" s="0" t="n">
        <f aca="false">COUNTIF(Payments!$C$5:$C$634,A6)</f>
        <v>12</v>
      </c>
      <c r="C6" s="0" t="n">
        <f aca="false">COUNTIFS(Payments!$C$5:$C$634,$A6,Payments!$G$5:$G$634,1)</f>
        <v>0</v>
      </c>
      <c r="D6" s="0" t="n">
        <f aca="false">COUNTIFS(Payments!$C$5:$C$634,$A6,Payments!$G$5:$G$634,2)</f>
        <v>0</v>
      </c>
      <c r="E6" s="0" t="n">
        <f aca="false">COUNTIFS(Payments!$C$5:$C$634,$A6,Payments!$G$5:$G$634,3)</f>
        <v>0</v>
      </c>
      <c r="F6" s="0" t="n">
        <f aca="false">COUNTIFS(Payments!$C$5:$C$634,$A6,Payments!$G$5:$G$634,4)</f>
        <v>0</v>
      </c>
      <c r="G6" s="0" t="n">
        <f aca="false">COUNTIFS(Payments!$C$5:$C$634,$A6,Payments!$G$5:$G$634,5)</f>
        <v>0</v>
      </c>
      <c r="H6" s="0" t="n">
        <f aca="false">COUNTIFS(Payments!$C$5:$C$634,$A6,Payments!$G$5:$G$634,6)</f>
        <v>0</v>
      </c>
      <c r="I6" s="0" t="n">
        <f aca="false">COUNTIFS(Payments!$C$5:$C$634,$A6,Payments!$G$5:$G$634,7)</f>
        <v>0</v>
      </c>
      <c r="J6" s="0" t="n">
        <f aca="false">COUNTIFS(Payments!$C$5:$C$634,$A6,Payments!$G$5:$G$634,8)</f>
        <v>12</v>
      </c>
      <c r="K6" s="0" t="n">
        <f aca="false">COUNTIFS(Payments!$C$5:$C$634,$A6,Payments!$G$5:$G$634,9)</f>
        <v>0</v>
      </c>
      <c r="L6" s="15" t="n">
        <f aca="false">IF(B6=0,0,SUMPRODUCT(ABS(C6:K6/B6-$C$5:$K$5))/9)</f>
        <v>0.210854995011693</v>
      </c>
      <c r="M6" s="9" t="n">
        <f aca="false">IF(AND(B6&gt;=Parameters!$B$13,L6&gt;Parameters!$B$14),1,0)</f>
        <v>0</v>
      </c>
      <c r="N6" s="9" t="n">
        <f aca="false">IF(COUNTIF(Employees!$B$5:$B$29,INDEX(Vendors!$C$5:$C$49,MATCH(A6,Vendors!$A$5:$A$49,0)))&gt;0,1,0)</f>
        <v>0</v>
      </c>
    </row>
    <row r="7" customFormat="false" ht="15" hidden="false" customHeight="false" outlineLevel="0" collapsed="false">
      <c r="A7" s="0" t="s">
        <v>113</v>
      </c>
      <c r="B7" s="0" t="n">
        <f aca="false">COUNTIF(Payments!$C$5:$C$634,A7)</f>
        <v>12</v>
      </c>
      <c r="C7" s="0" t="n">
        <f aca="false">COUNTIFS(Payments!$C$5:$C$634,$A7,Payments!$G$5:$G$634,1)</f>
        <v>0</v>
      </c>
      <c r="D7" s="0" t="n">
        <f aca="false">COUNTIFS(Payments!$C$5:$C$634,$A7,Payments!$G$5:$G$634,2)</f>
        <v>0</v>
      </c>
      <c r="E7" s="0" t="n">
        <f aca="false">COUNTIFS(Payments!$C$5:$C$634,$A7,Payments!$G$5:$G$634,3)</f>
        <v>0</v>
      </c>
      <c r="F7" s="0" t="n">
        <f aca="false">COUNTIFS(Payments!$C$5:$C$634,$A7,Payments!$G$5:$G$634,4)</f>
        <v>12</v>
      </c>
      <c r="G7" s="0" t="n">
        <f aca="false">COUNTIFS(Payments!$C$5:$C$634,$A7,Payments!$G$5:$G$634,5)</f>
        <v>0</v>
      </c>
      <c r="H7" s="0" t="n">
        <f aca="false">COUNTIFS(Payments!$C$5:$C$634,$A7,Payments!$G$5:$G$634,6)</f>
        <v>0</v>
      </c>
      <c r="I7" s="0" t="n">
        <f aca="false">COUNTIFS(Payments!$C$5:$C$634,$A7,Payments!$G$5:$G$634,7)</f>
        <v>0</v>
      </c>
      <c r="J7" s="0" t="n">
        <f aca="false">COUNTIFS(Payments!$C$5:$C$634,$A7,Payments!$G$5:$G$634,8)</f>
        <v>0</v>
      </c>
      <c r="K7" s="0" t="n">
        <f aca="false">COUNTIFS(Payments!$C$5:$C$634,$A7,Payments!$G$5:$G$634,9)</f>
        <v>0</v>
      </c>
      <c r="L7" s="15" t="n">
        <f aca="false">IF(B7=0,0,SUMPRODUCT(ABS(C7:K7/B7-$C$5:$K$5))/9)</f>
        <v>0.200686663775987</v>
      </c>
      <c r="M7" s="9" t="n">
        <f aca="false">IF(AND(B7&gt;=Parameters!$B$13,L7&gt;Parameters!$B$14),1,0)</f>
        <v>0</v>
      </c>
      <c r="N7" s="9" t="n">
        <f aca="false">IF(COUNTIF(Employees!$B$5:$B$29,INDEX(Vendors!$C$5:$C$49,MATCH(A7,Vendors!$A$5:$A$49,0)))&gt;0,1,0)</f>
        <v>0</v>
      </c>
    </row>
    <row r="8" customFormat="false" ht="15" hidden="false" customHeight="false" outlineLevel="0" collapsed="false">
      <c r="A8" s="0" t="s">
        <v>116</v>
      </c>
      <c r="B8" s="0" t="n">
        <f aca="false">COUNTIF(Payments!$C$5:$C$634,A8)</f>
        <v>16</v>
      </c>
      <c r="C8" s="0" t="n">
        <f aca="false">COUNTIFS(Payments!$C$5:$C$634,$A8,Payments!$G$5:$G$634,1)</f>
        <v>7</v>
      </c>
      <c r="D8" s="0" t="n">
        <f aca="false">COUNTIFS(Payments!$C$5:$C$634,$A8,Payments!$G$5:$G$634,2)</f>
        <v>3</v>
      </c>
      <c r="E8" s="0" t="n">
        <f aca="false">COUNTIFS(Payments!$C$5:$C$634,$A8,Payments!$G$5:$G$634,3)</f>
        <v>2</v>
      </c>
      <c r="F8" s="0" t="n">
        <f aca="false">COUNTIFS(Payments!$C$5:$C$634,$A8,Payments!$G$5:$G$634,4)</f>
        <v>3</v>
      </c>
      <c r="G8" s="0" t="n">
        <f aca="false">COUNTIFS(Payments!$C$5:$C$634,$A8,Payments!$G$5:$G$634,5)</f>
        <v>0</v>
      </c>
      <c r="H8" s="0" t="n">
        <f aca="false">COUNTIFS(Payments!$C$5:$C$634,$A8,Payments!$G$5:$G$634,6)</f>
        <v>1</v>
      </c>
      <c r="I8" s="0" t="n">
        <f aca="false">COUNTIFS(Payments!$C$5:$C$634,$A8,Payments!$G$5:$G$634,7)</f>
        <v>0</v>
      </c>
      <c r="J8" s="0" t="n">
        <f aca="false">COUNTIFS(Payments!$C$5:$C$634,$A8,Payments!$G$5:$G$634,8)</f>
        <v>0</v>
      </c>
      <c r="K8" s="0" t="n">
        <f aca="false">COUNTIFS(Payments!$C$5:$C$634,$A8,Payments!$G$5:$G$634,9)</f>
        <v>0</v>
      </c>
      <c r="L8" s="15" t="n">
        <f aca="false">IF(B8=0,0,SUMPRODUCT(ABS(C8:K8/B8-$C$5:$K$5))/9)</f>
        <v>0.0530066657031069</v>
      </c>
      <c r="M8" s="9" t="n">
        <f aca="false">IF(AND(B8&gt;=Parameters!$B$13,L8&gt;Parameters!$B$14),1,0)</f>
        <v>0</v>
      </c>
      <c r="N8" s="9" t="n">
        <f aca="false">IF(COUNTIF(Employees!$B$5:$B$29,INDEX(Vendors!$C$5:$C$49,MATCH(A8,Vendors!$A$5:$A$49,0)))&gt;0,1,0)</f>
        <v>0</v>
      </c>
    </row>
    <row r="9" customFormat="false" ht="15" hidden="false" customHeight="false" outlineLevel="0" collapsed="false">
      <c r="A9" s="0" t="s">
        <v>119</v>
      </c>
      <c r="B9" s="0" t="n">
        <f aca="false">COUNTIF(Payments!$C$5:$C$634,A9)</f>
        <v>10</v>
      </c>
      <c r="C9" s="0" t="n">
        <f aca="false">COUNTIFS(Payments!$C$5:$C$634,$A9,Payments!$G$5:$G$634,1)</f>
        <v>5</v>
      </c>
      <c r="D9" s="0" t="n">
        <f aca="false">COUNTIFS(Payments!$C$5:$C$634,$A9,Payments!$G$5:$G$634,2)</f>
        <v>1</v>
      </c>
      <c r="E9" s="0" t="n">
        <f aca="false">COUNTIFS(Payments!$C$5:$C$634,$A9,Payments!$G$5:$G$634,3)</f>
        <v>0</v>
      </c>
      <c r="F9" s="0" t="n">
        <f aca="false">COUNTIFS(Payments!$C$5:$C$634,$A9,Payments!$G$5:$G$634,4)</f>
        <v>1</v>
      </c>
      <c r="G9" s="0" t="n">
        <f aca="false">COUNTIFS(Payments!$C$5:$C$634,$A9,Payments!$G$5:$G$634,5)</f>
        <v>0</v>
      </c>
      <c r="H9" s="0" t="n">
        <f aca="false">COUNTIFS(Payments!$C$5:$C$634,$A9,Payments!$G$5:$G$634,6)</f>
        <v>1</v>
      </c>
      <c r="I9" s="0" t="n">
        <f aca="false">COUNTIFS(Payments!$C$5:$C$634,$A9,Payments!$G$5:$G$634,7)</f>
        <v>0</v>
      </c>
      <c r="J9" s="0" t="n">
        <f aca="false">COUNTIFS(Payments!$C$5:$C$634,$A9,Payments!$G$5:$G$634,8)</f>
        <v>2</v>
      </c>
      <c r="K9" s="0" t="n">
        <f aca="false">COUNTIFS(Payments!$C$5:$C$634,$A9,Payments!$G$5:$G$634,9)</f>
        <v>0</v>
      </c>
      <c r="L9" s="15" t="n">
        <f aca="false">IF(B9=0,0,SUMPRODUCT(ABS(C9:K9/B9-$C$5:$K$5))/9)</f>
        <v>0.0853245953888818</v>
      </c>
      <c r="M9" s="9" t="n">
        <f aca="false">IF(AND(B9&gt;=Parameters!$B$13,L9&gt;Parameters!$B$14),1,0)</f>
        <v>0</v>
      </c>
      <c r="N9" s="9" t="n">
        <f aca="false">IF(COUNTIF(Employees!$B$5:$B$29,INDEX(Vendors!$C$5:$C$49,MATCH(A9,Vendors!$A$5:$A$49,0)))&gt;0,1,0)</f>
        <v>0</v>
      </c>
    </row>
    <row r="10" customFormat="false" ht="15" hidden="false" customHeight="false" outlineLevel="0" collapsed="false">
      <c r="A10" s="0" t="s">
        <v>122</v>
      </c>
      <c r="B10" s="0" t="n">
        <f aca="false">COUNTIF(Payments!$C$5:$C$634,A10)</f>
        <v>18</v>
      </c>
      <c r="C10" s="0" t="n">
        <f aca="false">COUNTIFS(Payments!$C$5:$C$634,$A10,Payments!$G$5:$G$634,1)</f>
        <v>4</v>
      </c>
      <c r="D10" s="0" t="n">
        <f aca="false">COUNTIFS(Payments!$C$5:$C$634,$A10,Payments!$G$5:$G$634,2)</f>
        <v>6</v>
      </c>
      <c r="E10" s="0" t="n">
        <f aca="false">COUNTIFS(Payments!$C$5:$C$634,$A10,Payments!$G$5:$G$634,3)</f>
        <v>5</v>
      </c>
      <c r="F10" s="0" t="n">
        <f aca="false">COUNTIFS(Payments!$C$5:$C$634,$A10,Payments!$G$5:$G$634,4)</f>
        <v>0</v>
      </c>
      <c r="G10" s="0" t="n">
        <f aca="false">COUNTIFS(Payments!$C$5:$C$634,$A10,Payments!$G$5:$G$634,5)</f>
        <v>2</v>
      </c>
      <c r="H10" s="0" t="n">
        <f aca="false">COUNTIFS(Payments!$C$5:$C$634,$A10,Payments!$G$5:$G$634,6)</f>
        <v>0</v>
      </c>
      <c r="I10" s="0" t="n">
        <f aca="false">COUNTIFS(Payments!$C$5:$C$634,$A10,Payments!$G$5:$G$634,7)</f>
        <v>0</v>
      </c>
      <c r="J10" s="0" t="n">
        <f aca="false">COUNTIFS(Payments!$C$5:$C$634,$A10,Payments!$G$5:$G$634,8)</f>
        <v>0</v>
      </c>
      <c r="K10" s="0" t="n">
        <f aca="false">COUNTIFS(Payments!$C$5:$C$634,$A10,Payments!$G$5:$G$634,9)</f>
        <v>1</v>
      </c>
      <c r="L10" s="15" t="n">
        <f aca="false">IF(B10=0,0,SUMPRODUCT(ABS(C10:K10/B10-$C$5:$K$5))/9)</f>
        <v>0.0781797878901104</v>
      </c>
      <c r="M10" s="9" t="n">
        <f aca="false">IF(AND(B10&gt;=Parameters!$B$13,L10&gt;Parameters!$B$14),1,0)</f>
        <v>0</v>
      </c>
      <c r="N10" s="9" t="n">
        <f aca="false">IF(COUNTIF(Employees!$B$5:$B$29,INDEX(Vendors!$C$5:$C$49,MATCH(A10,Vendors!$A$5:$A$49,0)))&gt;0,1,0)</f>
        <v>0</v>
      </c>
    </row>
    <row r="11" customFormat="false" ht="15" hidden="false" customHeight="false" outlineLevel="0" collapsed="false">
      <c r="A11" s="0" t="s">
        <v>125</v>
      </c>
      <c r="B11" s="0" t="n">
        <f aca="false">COUNTIF(Payments!$C$5:$C$634,A11)</f>
        <v>8</v>
      </c>
      <c r="C11" s="0" t="n">
        <f aca="false">COUNTIFS(Payments!$C$5:$C$634,$A11,Payments!$G$5:$G$634,1)</f>
        <v>2</v>
      </c>
      <c r="D11" s="0" t="n">
        <f aca="false">COUNTIFS(Payments!$C$5:$C$634,$A11,Payments!$G$5:$G$634,2)</f>
        <v>1</v>
      </c>
      <c r="E11" s="0" t="n">
        <f aca="false">COUNTIFS(Payments!$C$5:$C$634,$A11,Payments!$G$5:$G$634,3)</f>
        <v>1</v>
      </c>
      <c r="F11" s="0" t="n">
        <f aca="false">COUNTIFS(Payments!$C$5:$C$634,$A11,Payments!$G$5:$G$634,4)</f>
        <v>0</v>
      </c>
      <c r="G11" s="0" t="n">
        <f aca="false">COUNTIFS(Payments!$C$5:$C$634,$A11,Payments!$G$5:$G$634,5)</f>
        <v>1</v>
      </c>
      <c r="H11" s="0" t="n">
        <f aca="false">COUNTIFS(Payments!$C$5:$C$634,$A11,Payments!$G$5:$G$634,6)</f>
        <v>0</v>
      </c>
      <c r="I11" s="0" t="n">
        <f aca="false">COUNTIFS(Payments!$C$5:$C$634,$A11,Payments!$G$5:$G$634,7)</f>
        <v>0</v>
      </c>
      <c r="J11" s="0" t="n">
        <f aca="false">COUNTIFS(Payments!$C$5:$C$634,$A11,Payments!$G$5:$G$634,8)</f>
        <v>2</v>
      </c>
      <c r="K11" s="0" t="n">
        <f aca="false">COUNTIFS(Payments!$C$5:$C$634,$A11,Payments!$G$5:$G$634,9)</f>
        <v>1</v>
      </c>
      <c r="L11" s="15" t="n">
        <f aca="false">IF(B11=0,0,SUMPRODUCT(ABS(C11:K11/B11-$C$5:$K$5))/9)</f>
        <v>0.0719933342968931</v>
      </c>
      <c r="M11" s="9" t="n">
        <f aca="false">IF(AND(B11&gt;=Parameters!$B$13,L11&gt;Parameters!$B$14),1,0)</f>
        <v>0</v>
      </c>
      <c r="N11" s="9" t="n">
        <f aca="false">IF(COUNTIF(Employees!$B$5:$B$29,INDEX(Vendors!$C$5:$C$49,MATCH(A11,Vendors!$A$5:$A$49,0)))&gt;0,1,0)</f>
        <v>0</v>
      </c>
    </row>
    <row r="12" customFormat="false" ht="15" hidden="false" customHeight="false" outlineLevel="0" collapsed="false">
      <c r="A12" s="0" t="s">
        <v>128</v>
      </c>
      <c r="B12" s="0" t="n">
        <f aca="false">COUNTIF(Payments!$C$5:$C$634,A12)</f>
        <v>16</v>
      </c>
      <c r="C12" s="0" t="n">
        <f aca="false">COUNTIFS(Payments!$C$5:$C$634,$A12,Payments!$G$5:$G$634,1)</f>
        <v>5</v>
      </c>
      <c r="D12" s="0" t="n">
        <f aca="false">COUNTIFS(Payments!$C$5:$C$634,$A12,Payments!$G$5:$G$634,2)</f>
        <v>5</v>
      </c>
      <c r="E12" s="0" t="n">
        <f aca="false">COUNTIFS(Payments!$C$5:$C$634,$A12,Payments!$G$5:$G$634,3)</f>
        <v>2</v>
      </c>
      <c r="F12" s="0" t="n">
        <f aca="false">COUNTIFS(Payments!$C$5:$C$634,$A12,Payments!$G$5:$G$634,4)</f>
        <v>1</v>
      </c>
      <c r="G12" s="0" t="n">
        <f aca="false">COUNTIFS(Payments!$C$5:$C$634,$A12,Payments!$G$5:$G$634,5)</f>
        <v>0</v>
      </c>
      <c r="H12" s="0" t="n">
        <f aca="false">COUNTIFS(Payments!$C$5:$C$634,$A12,Payments!$G$5:$G$634,6)</f>
        <v>2</v>
      </c>
      <c r="I12" s="0" t="n">
        <f aca="false">COUNTIFS(Payments!$C$5:$C$634,$A12,Payments!$G$5:$G$634,7)</f>
        <v>1</v>
      </c>
      <c r="J12" s="0" t="n">
        <f aca="false">COUNTIFS(Payments!$C$5:$C$634,$A12,Payments!$G$5:$G$634,8)</f>
        <v>0</v>
      </c>
      <c r="K12" s="0" t="n">
        <f aca="false">COUNTIFS(Payments!$C$5:$C$634,$A12,Payments!$G$5:$G$634,9)</f>
        <v>0</v>
      </c>
      <c r="L12" s="15" t="n">
        <f aca="false">IF(B12=0,0,SUMPRODUCT(ABS(C12:K12/B12-$C$5:$K$5))/9)</f>
        <v>0.0467780604586084</v>
      </c>
      <c r="M12" s="9" t="n">
        <f aca="false">IF(AND(B12&gt;=Parameters!$B$13,L12&gt;Parameters!$B$14),1,0)</f>
        <v>0</v>
      </c>
      <c r="N12" s="9" t="n">
        <f aca="false">IF(COUNTIF(Employees!$B$5:$B$29,INDEX(Vendors!$C$5:$C$49,MATCH(A12,Vendors!$A$5:$A$49,0)))&gt;0,1,0)</f>
        <v>0</v>
      </c>
    </row>
    <row r="13" customFormat="false" ht="15" hidden="false" customHeight="false" outlineLevel="0" collapsed="false">
      <c r="A13" s="0" t="s">
        <v>131</v>
      </c>
      <c r="B13" s="0" t="n">
        <f aca="false">COUNTIF(Payments!$C$5:$C$634,A13)</f>
        <v>16</v>
      </c>
      <c r="C13" s="0" t="n">
        <f aca="false">COUNTIFS(Payments!$C$5:$C$634,$A13,Payments!$G$5:$G$634,1)</f>
        <v>4</v>
      </c>
      <c r="D13" s="0" t="n">
        <f aca="false">COUNTIFS(Payments!$C$5:$C$634,$A13,Payments!$G$5:$G$634,2)</f>
        <v>4</v>
      </c>
      <c r="E13" s="0" t="n">
        <f aca="false">COUNTIFS(Payments!$C$5:$C$634,$A13,Payments!$G$5:$G$634,3)</f>
        <v>3</v>
      </c>
      <c r="F13" s="0" t="n">
        <f aca="false">COUNTIFS(Payments!$C$5:$C$634,$A13,Payments!$G$5:$G$634,4)</f>
        <v>2</v>
      </c>
      <c r="G13" s="0" t="n">
        <f aca="false">COUNTIFS(Payments!$C$5:$C$634,$A13,Payments!$G$5:$G$634,5)</f>
        <v>1</v>
      </c>
      <c r="H13" s="0" t="n">
        <f aca="false">COUNTIFS(Payments!$C$5:$C$634,$A13,Payments!$G$5:$G$634,6)</f>
        <v>0</v>
      </c>
      <c r="I13" s="0" t="n">
        <f aca="false">COUNTIFS(Payments!$C$5:$C$634,$A13,Payments!$G$5:$G$634,7)</f>
        <v>1</v>
      </c>
      <c r="J13" s="0" t="n">
        <f aca="false">COUNTIFS(Payments!$C$5:$C$634,$A13,Payments!$G$5:$G$634,8)</f>
        <v>1</v>
      </c>
      <c r="K13" s="0" t="n">
        <f aca="false">COUNTIFS(Payments!$C$5:$C$634,$A13,Payments!$G$5:$G$634,9)</f>
        <v>0</v>
      </c>
      <c r="L13" s="15" t="n">
        <f aca="false">IF(B13=0,0,SUMPRODUCT(ABS(C13:K13/B13-$C$5:$K$5))/9)</f>
        <v>0.0400923382006432</v>
      </c>
      <c r="M13" s="9" t="n">
        <f aca="false">IF(AND(B13&gt;=Parameters!$B$13,L13&gt;Parameters!$B$14),1,0)</f>
        <v>0</v>
      </c>
      <c r="N13" s="9" t="n">
        <f aca="false">IF(COUNTIF(Employees!$B$5:$B$29,INDEX(Vendors!$C$5:$C$49,MATCH(A13,Vendors!$A$5:$A$49,0)))&gt;0,1,0)</f>
        <v>0</v>
      </c>
    </row>
    <row r="14" customFormat="false" ht="15" hidden="false" customHeight="false" outlineLevel="0" collapsed="false">
      <c r="A14" s="0" t="s">
        <v>134</v>
      </c>
      <c r="B14" s="0" t="n">
        <f aca="false">COUNTIF(Payments!$C$5:$C$634,A14)</f>
        <v>27</v>
      </c>
      <c r="C14" s="0" t="n">
        <f aca="false">COUNTIFS(Payments!$C$5:$C$634,$A14,Payments!$G$5:$G$634,1)</f>
        <v>7</v>
      </c>
      <c r="D14" s="0" t="n">
        <f aca="false">COUNTIFS(Payments!$C$5:$C$634,$A14,Payments!$G$5:$G$634,2)</f>
        <v>8</v>
      </c>
      <c r="E14" s="0" t="n">
        <f aca="false">COUNTIFS(Payments!$C$5:$C$634,$A14,Payments!$G$5:$G$634,3)</f>
        <v>4</v>
      </c>
      <c r="F14" s="0" t="n">
        <f aca="false">COUNTIFS(Payments!$C$5:$C$634,$A14,Payments!$G$5:$G$634,4)</f>
        <v>3</v>
      </c>
      <c r="G14" s="0" t="n">
        <f aca="false">COUNTIFS(Payments!$C$5:$C$634,$A14,Payments!$G$5:$G$634,5)</f>
        <v>1</v>
      </c>
      <c r="H14" s="0" t="n">
        <f aca="false">COUNTIFS(Payments!$C$5:$C$634,$A14,Payments!$G$5:$G$634,6)</f>
        <v>2</v>
      </c>
      <c r="I14" s="0" t="n">
        <f aca="false">COUNTIFS(Payments!$C$5:$C$634,$A14,Payments!$G$5:$G$634,7)</f>
        <v>1</v>
      </c>
      <c r="J14" s="0" t="n">
        <f aca="false">COUNTIFS(Payments!$C$5:$C$634,$A14,Payments!$G$5:$G$634,8)</f>
        <v>0</v>
      </c>
      <c r="K14" s="0" t="n">
        <f aca="false">COUNTIFS(Payments!$C$5:$C$634,$A14,Payments!$G$5:$G$634,9)</f>
        <v>1</v>
      </c>
      <c r="L14" s="15" t="n">
        <f aca="false">IF(B14=0,0,SUMPRODUCT(ABS(C14:K14/B14-$C$5:$K$5))/9)</f>
        <v>0.036609518072662</v>
      </c>
      <c r="M14" s="9" t="n">
        <f aca="false">IF(AND(B14&gt;=Parameters!$B$13,L14&gt;Parameters!$B$14),1,0)</f>
        <v>0</v>
      </c>
      <c r="N14" s="9" t="n">
        <f aca="false">IF(COUNTIF(Employees!$B$5:$B$29,INDEX(Vendors!$C$5:$C$49,MATCH(A14,Vendors!$A$5:$A$49,0)))&gt;0,1,0)</f>
        <v>0</v>
      </c>
    </row>
    <row r="15" customFormat="false" ht="15" hidden="false" customHeight="false" outlineLevel="0" collapsed="false">
      <c r="A15" s="0" t="s">
        <v>137</v>
      </c>
      <c r="B15" s="0" t="n">
        <f aca="false">COUNTIF(Payments!$C$5:$C$634,A15)</f>
        <v>7</v>
      </c>
      <c r="C15" s="0" t="n">
        <f aca="false">COUNTIFS(Payments!$C$5:$C$634,$A15,Payments!$G$5:$G$634,1)</f>
        <v>1</v>
      </c>
      <c r="D15" s="0" t="n">
        <f aca="false">COUNTIFS(Payments!$C$5:$C$634,$A15,Payments!$G$5:$G$634,2)</f>
        <v>2</v>
      </c>
      <c r="E15" s="0" t="n">
        <f aca="false">COUNTIFS(Payments!$C$5:$C$634,$A15,Payments!$G$5:$G$634,3)</f>
        <v>1</v>
      </c>
      <c r="F15" s="0" t="n">
        <f aca="false">COUNTIFS(Payments!$C$5:$C$634,$A15,Payments!$G$5:$G$634,4)</f>
        <v>2</v>
      </c>
      <c r="G15" s="0" t="n">
        <f aca="false">COUNTIFS(Payments!$C$5:$C$634,$A15,Payments!$G$5:$G$634,5)</f>
        <v>1</v>
      </c>
      <c r="H15" s="0" t="n">
        <f aca="false">COUNTIFS(Payments!$C$5:$C$634,$A15,Payments!$G$5:$G$634,6)</f>
        <v>0</v>
      </c>
      <c r="I15" s="0" t="n">
        <f aca="false">COUNTIFS(Payments!$C$5:$C$634,$A15,Payments!$G$5:$G$634,7)</f>
        <v>0</v>
      </c>
      <c r="J15" s="0" t="n">
        <f aca="false">COUNTIFS(Payments!$C$5:$C$634,$A15,Payments!$G$5:$G$634,8)</f>
        <v>0</v>
      </c>
      <c r="K15" s="0" t="n">
        <f aca="false">COUNTIFS(Payments!$C$5:$C$634,$A15,Payments!$G$5:$G$634,9)</f>
        <v>0</v>
      </c>
      <c r="L15" s="15" t="n">
        <f aca="false">IF(B15=0,0,SUMPRODUCT(ABS(C15:K15/B15-$C$5:$K$5))/9)</f>
        <v>0.0844492449829322</v>
      </c>
      <c r="M15" s="9" t="n">
        <f aca="false">IF(AND(B15&gt;=Parameters!$B$13,L15&gt;Parameters!$B$14),1,0)</f>
        <v>0</v>
      </c>
      <c r="N15" s="9" t="n">
        <f aca="false">IF(COUNTIF(Employees!$B$5:$B$29,INDEX(Vendors!$C$5:$C$49,MATCH(A15,Vendors!$A$5:$A$49,0)))&gt;0,1,0)</f>
        <v>0</v>
      </c>
    </row>
    <row r="16" customFormat="false" ht="15" hidden="false" customHeight="false" outlineLevel="0" collapsed="false">
      <c r="A16" s="0" t="s">
        <v>140</v>
      </c>
      <c r="B16" s="0" t="n">
        <f aca="false">COUNTIF(Payments!$C$5:$C$634,A16)</f>
        <v>20</v>
      </c>
      <c r="C16" s="0" t="n">
        <f aca="false">COUNTIFS(Payments!$C$5:$C$634,$A16,Payments!$G$5:$G$634,1)</f>
        <v>8</v>
      </c>
      <c r="D16" s="0" t="n">
        <f aca="false">COUNTIFS(Payments!$C$5:$C$634,$A16,Payments!$G$5:$G$634,2)</f>
        <v>3</v>
      </c>
      <c r="E16" s="0" t="n">
        <f aca="false">COUNTIFS(Payments!$C$5:$C$634,$A16,Payments!$G$5:$G$634,3)</f>
        <v>0</v>
      </c>
      <c r="F16" s="0" t="n">
        <f aca="false">COUNTIFS(Payments!$C$5:$C$634,$A16,Payments!$G$5:$G$634,4)</f>
        <v>2</v>
      </c>
      <c r="G16" s="0" t="n">
        <f aca="false">COUNTIFS(Payments!$C$5:$C$634,$A16,Payments!$G$5:$G$634,5)</f>
        <v>1</v>
      </c>
      <c r="H16" s="0" t="n">
        <f aca="false">COUNTIFS(Payments!$C$5:$C$634,$A16,Payments!$G$5:$G$634,6)</f>
        <v>0</v>
      </c>
      <c r="I16" s="0" t="n">
        <f aca="false">COUNTIFS(Payments!$C$5:$C$634,$A16,Payments!$G$5:$G$634,7)</f>
        <v>2</v>
      </c>
      <c r="J16" s="0" t="n">
        <f aca="false">COUNTIFS(Payments!$C$5:$C$634,$A16,Payments!$G$5:$G$634,8)</f>
        <v>2</v>
      </c>
      <c r="K16" s="0" t="n">
        <f aca="false">COUNTIFS(Payments!$C$5:$C$634,$A16,Payments!$G$5:$G$634,9)</f>
        <v>2</v>
      </c>
      <c r="L16" s="15" t="n">
        <f aca="false">IF(B16=0,0,SUMPRODUCT(ABS(C16:K16/B16-$C$5:$K$5))/9)</f>
        <v>0.0549240069649376</v>
      </c>
      <c r="M16" s="9" t="n">
        <f aca="false">IF(AND(B16&gt;=Parameters!$B$13,L16&gt;Parameters!$B$14),1,0)</f>
        <v>0</v>
      </c>
      <c r="N16" s="9" t="n">
        <f aca="false">IF(COUNTIF(Employees!$B$5:$B$29,INDEX(Vendors!$C$5:$C$49,MATCH(A16,Vendors!$A$5:$A$49,0)))&gt;0,1,0)</f>
        <v>0</v>
      </c>
    </row>
    <row r="17" customFormat="false" ht="15" hidden="false" customHeight="false" outlineLevel="0" collapsed="false">
      <c r="A17" s="0" t="s">
        <v>143</v>
      </c>
      <c r="B17" s="0" t="n">
        <f aca="false">COUNTIF(Payments!$C$5:$C$634,A17)</f>
        <v>24</v>
      </c>
      <c r="C17" s="0" t="n">
        <f aca="false">COUNTIFS(Payments!$C$5:$C$634,$A17,Payments!$G$5:$G$634,1)</f>
        <v>6</v>
      </c>
      <c r="D17" s="0" t="n">
        <f aca="false">COUNTIFS(Payments!$C$5:$C$634,$A17,Payments!$G$5:$G$634,2)</f>
        <v>4</v>
      </c>
      <c r="E17" s="0" t="n">
        <f aca="false">COUNTIFS(Payments!$C$5:$C$634,$A17,Payments!$G$5:$G$634,3)</f>
        <v>3</v>
      </c>
      <c r="F17" s="0" t="n">
        <f aca="false">COUNTIFS(Payments!$C$5:$C$634,$A17,Payments!$G$5:$G$634,4)</f>
        <v>2</v>
      </c>
      <c r="G17" s="0" t="n">
        <f aca="false">COUNTIFS(Payments!$C$5:$C$634,$A17,Payments!$G$5:$G$634,5)</f>
        <v>1</v>
      </c>
      <c r="H17" s="0" t="n">
        <f aca="false">COUNTIFS(Payments!$C$5:$C$634,$A17,Payments!$G$5:$G$634,6)</f>
        <v>4</v>
      </c>
      <c r="I17" s="0" t="n">
        <f aca="false">COUNTIFS(Payments!$C$5:$C$634,$A17,Payments!$G$5:$G$634,7)</f>
        <v>3</v>
      </c>
      <c r="J17" s="0" t="n">
        <f aca="false">COUNTIFS(Payments!$C$5:$C$634,$A17,Payments!$G$5:$G$634,8)</f>
        <v>0</v>
      </c>
      <c r="K17" s="0" t="n">
        <f aca="false">COUNTIFS(Payments!$C$5:$C$634,$A17,Payments!$G$5:$G$634,9)</f>
        <v>1</v>
      </c>
      <c r="L17" s="15" t="n">
        <f aca="false">IF(B17=0,0,SUMPRODUCT(ABS(C17:K17/B17-$C$5:$K$5))/9)</f>
        <v>0.037064265211126</v>
      </c>
      <c r="M17" s="9" t="n">
        <f aca="false">IF(AND(B17&gt;=Parameters!$B$13,L17&gt;Parameters!$B$14),1,0)</f>
        <v>0</v>
      </c>
      <c r="N17" s="9" t="n">
        <f aca="false">IF(COUNTIF(Employees!$B$5:$B$29,INDEX(Vendors!$C$5:$C$49,MATCH(A17,Vendors!$A$5:$A$49,0)))&gt;0,1,0)</f>
        <v>0</v>
      </c>
    </row>
    <row r="18" customFormat="false" ht="15" hidden="false" customHeight="false" outlineLevel="0" collapsed="false">
      <c r="A18" s="0" t="s">
        <v>146</v>
      </c>
      <c r="B18" s="0" t="n">
        <f aca="false">COUNTIF(Payments!$C$5:$C$634,A18)</f>
        <v>17</v>
      </c>
      <c r="C18" s="0" t="n">
        <f aca="false">COUNTIFS(Payments!$C$5:$C$634,$A18,Payments!$G$5:$G$634,1)</f>
        <v>8</v>
      </c>
      <c r="D18" s="0" t="n">
        <f aca="false">COUNTIFS(Payments!$C$5:$C$634,$A18,Payments!$G$5:$G$634,2)</f>
        <v>0</v>
      </c>
      <c r="E18" s="0" t="n">
        <f aca="false">COUNTIFS(Payments!$C$5:$C$634,$A18,Payments!$G$5:$G$634,3)</f>
        <v>2</v>
      </c>
      <c r="F18" s="0" t="n">
        <f aca="false">COUNTIFS(Payments!$C$5:$C$634,$A18,Payments!$G$5:$G$634,4)</f>
        <v>0</v>
      </c>
      <c r="G18" s="0" t="n">
        <f aca="false">COUNTIFS(Payments!$C$5:$C$634,$A18,Payments!$G$5:$G$634,5)</f>
        <v>3</v>
      </c>
      <c r="H18" s="0" t="n">
        <f aca="false">COUNTIFS(Payments!$C$5:$C$634,$A18,Payments!$G$5:$G$634,6)</f>
        <v>1</v>
      </c>
      <c r="I18" s="0" t="n">
        <f aca="false">COUNTIFS(Payments!$C$5:$C$634,$A18,Payments!$G$5:$G$634,7)</f>
        <v>3</v>
      </c>
      <c r="J18" s="0" t="n">
        <f aca="false">COUNTIFS(Payments!$C$5:$C$634,$A18,Payments!$G$5:$G$634,8)</f>
        <v>0</v>
      </c>
      <c r="K18" s="0" t="n">
        <f aca="false">COUNTIFS(Payments!$C$5:$C$634,$A18,Payments!$G$5:$G$634,9)</f>
        <v>0</v>
      </c>
      <c r="L18" s="15" t="n">
        <f aca="false">IF(B18=0,0,SUMPRODUCT(ABS(C18:K18/B18-$C$5:$K$5))/9)</f>
        <v>0.085628049572314</v>
      </c>
      <c r="M18" s="9" t="n">
        <f aca="false">IF(AND(B18&gt;=Parameters!$B$13,L18&gt;Parameters!$B$14),1,0)</f>
        <v>0</v>
      </c>
      <c r="N18" s="9" t="n">
        <f aca="false">IF(COUNTIF(Employees!$B$5:$B$29,INDEX(Vendors!$C$5:$C$49,MATCH(A18,Vendors!$A$5:$A$49,0)))&gt;0,1,0)</f>
        <v>0</v>
      </c>
    </row>
    <row r="19" customFormat="false" ht="15" hidden="false" customHeight="false" outlineLevel="0" collapsed="false">
      <c r="A19" s="0" t="s">
        <v>149</v>
      </c>
      <c r="B19" s="0" t="n">
        <f aca="false">COUNTIF(Payments!$C$5:$C$634,A19)</f>
        <v>6</v>
      </c>
      <c r="C19" s="0" t="n">
        <f aca="false">COUNTIFS(Payments!$C$5:$C$634,$A19,Payments!$G$5:$G$634,1)</f>
        <v>2</v>
      </c>
      <c r="D19" s="0" t="n">
        <f aca="false">COUNTIFS(Payments!$C$5:$C$634,$A19,Payments!$G$5:$G$634,2)</f>
        <v>2</v>
      </c>
      <c r="E19" s="0" t="n">
        <f aca="false">COUNTIFS(Payments!$C$5:$C$634,$A19,Payments!$G$5:$G$634,3)</f>
        <v>0</v>
      </c>
      <c r="F19" s="0" t="n">
        <f aca="false">COUNTIFS(Payments!$C$5:$C$634,$A19,Payments!$G$5:$G$634,4)</f>
        <v>0</v>
      </c>
      <c r="G19" s="0" t="n">
        <f aca="false">COUNTIFS(Payments!$C$5:$C$634,$A19,Payments!$G$5:$G$634,5)</f>
        <v>0</v>
      </c>
      <c r="H19" s="0" t="n">
        <f aca="false">COUNTIFS(Payments!$C$5:$C$634,$A19,Payments!$G$5:$G$634,6)</f>
        <v>2</v>
      </c>
      <c r="I19" s="0" t="n">
        <f aca="false">COUNTIFS(Payments!$C$5:$C$634,$A19,Payments!$G$5:$G$634,7)</f>
        <v>0</v>
      </c>
      <c r="J19" s="0" t="n">
        <f aca="false">COUNTIFS(Payments!$C$5:$C$634,$A19,Payments!$G$5:$G$634,8)</f>
        <v>0</v>
      </c>
      <c r="K19" s="0" t="n">
        <f aca="false">COUNTIFS(Payments!$C$5:$C$634,$A19,Payments!$G$5:$G$634,9)</f>
        <v>0</v>
      </c>
      <c r="L19" s="15" t="n">
        <f aca="false">IF(B19=0,0,SUMPRODUCT(ABS(C19:K19/B19-$C$5:$K$5))/9)</f>
        <v>0.101318212366605</v>
      </c>
      <c r="M19" s="9" t="n">
        <f aca="false">IF(AND(B19&gt;=Parameters!$B$13,L19&gt;Parameters!$B$14),1,0)</f>
        <v>0</v>
      </c>
      <c r="N19" s="9" t="n">
        <f aca="false">IF(COUNTIF(Employees!$B$5:$B$29,INDEX(Vendors!$C$5:$C$49,MATCH(A19,Vendors!$A$5:$A$49,0)))&gt;0,1,0)</f>
        <v>0</v>
      </c>
    </row>
    <row r="20" customFormat="false" ht="15" hidden="false" customHeight="false" outlineLevel="0" collapsed="false">
      <c r="A20" s="0" t="s">
        <v>152</v>
      </c>
      <c r="B20" s="0" t="n">
        <f aca="false">COUNTIF(Payments!$C$5:$C$634,A20)</f>
        <v>22</v>
      </c>
      <c r="C20" s="0" t="n">
        <f aca="false">COUNTIFS(Payments!$C$5:$C$634,$A20,Payments!$G$5:$G$634,1)</f>
        <v>7</v>
      </c>
      <c r="D20" s="0" t="n">
        <f aca="false">COUNTIFS(Payments!$C$5:$C$634,$A20,Payments!$G$5:$G$634,2)</f>
        <v>5</v>
      </c>
      <c r="E20" s="0" t="n">
        <f aca="false">COUNTIFS(Payments!$C$5:$C$634,$A20,Payments!$G$5:$G$634,3)</f>
        <v>3</v>
      </c>
      <c r="F20" s="0" t="n">
        <f aca="false">COUNTIFS(Payments!$C$5:$C$634,$A20,Payments!$G$5:$G$634,4)</f>
        <v>2</v>
      </c>
      <c r="G20" s="0" t="n">
        <f aca="false">COUNTIFS(Payments!$C$5:$C$634,$A20,Payments!$G$5:$G$634,5)</f>
        <v>0</v>
      </c>
      <c r="H20" s="0" t="n">
        <f aca="false">COUNTIFS(Payments!$C$5:$C$634,$A20,Payments!$G$5:$G$634,6)</f>
        <v>2</v>
      </c>
      <c r="I20" s="0" t="n">
        <f aca="false">COUNTIFS(Payments!$C$5:$C$634,$A20,Payments!$G$5:$G$634,7)</f>
        <v>1</v>
      </c>
      <c r="J20" s="0" t="n">
        <f aca="false">COUNTIFS(Payments!$C$5:$C$634,$A20,Payments!$G$5:$G$634,8)</f>
        <v>2</v>
      </c>
      <c r="K20" s="0" t="n">
        <f aca="false">COUNTIFS(Payments!$C$5:$C$634,$A20,Payments!$G$5:$G$634,9)</f>
        <v>0</v>
      </c>
      <c r="L20" s="15" t="n">
        <f aca="false">IF(B20=0,0,SUMPRODUCT(ABS(C20:K20/B20-$C$5:$K$5))/9)</f>
        <v>0.0318837911623126</v>
      </c>
      <c r="M20" s="9" t="n">
        <f aca="false">IF(AND(B20&gt;=Parameters!$B$13,L20&gt;Parameters!$B$14),1,0)</f>
        <v>0</v>
      </c>
      <c r="N20" s="9" t="n">
        <f aca="false">IF(COUNTIF(Employees!$B$5:$B$29,INDEX(Vendors!$C$5:$C$49,MATCH(A20,Vendors!$A$5:$A$49,0)))&gt;0,1,0)</f>
        <v>0</v>
      </c>
    </row>
    <row r="21" customFormat="false" ht="15" hidden="false" customHeight="false" outlineLevel="0" collapsed="false">
      <c r="A21" s="0" t="s">
        <v>155</v>
      </c>
      <c r="B21" s="0" t="n">
        <f aca="false">COUNTIF(Payments!$C$5:$C$634,A21)</f>
        <v>24</v>
      </c>
      <c r="C21" s="0" t="n">
        <f aca="false">COUNTIFS(Payments!$C$5:$C$634,$A21,Payments!$G$5:$G$634,1)</f>
        <v>7</v>
      </c>
      <c r="D21" s="0" t="n">
        <f aca="false">COUNTIFS(Payments!$C$5:$C$634,$A21,Payments!$G$5:$G$634,2)</f>
        <v>4</v>
      </c>
      <c r="E21" s="0" t="n">
        <f aca="false">COUNTIFS(Payments!$C$5:$C$634,$A21,Payments!$G$5:$G$634,3)</f>
        <v>2</v>
      </c>
      <c r="F21" s="0" t="n">
        <f aca="false">COUNTIFS(Payments!$C$5:$C$634,$A21,Payments!$G$5:$G$634,4)</f>
        <v>5</v>
      </c>
      <c r="G21" s="0" t="n">
        <f aca="false">COUNTIFS(Payments!$C$5:$C$634,$A21,Payments!$G$5:$G$634,5)</f>
        <v>3</v>
      </c>
      <c r="H21" s="0" t="n">
        <f aca="false">COUNTIFS(Payments!$C$5:$C$634,$A21,Payments!$G$5:$G$634,6)</f>
        <v>0</v>
      </c>
      <c r="I21" s="0" t="n">
        <f aca="false">COUNTIFS(Payments!$C$5:$C$634,$A21,Payments!$G$5:$G$634,7)</f>
        <v>1</v>
      </c>
      <c r="J21" s="0" t="n">
        <f aca="false">COUNTIFS(Payments!$C$5:$C$634,$A21,Payments!$G$5:$G$634,8)</f>
        <v>1</v>
      </c>
      <c r="K21" s="0" t="n">
        <f aca="false">COUNTIFS(Payments!$C$5:$C$634,$A21,Payments!$G$5:$G$634,9)</f>
        <v>1</v>
      </c>
      <c r="L21" s="15" t="n">
        <f aca="false">IF(B21=0,0,SUMPRODUCT(ABS(C21:K21/B21-$C$5:$K$5))/9)</f>
        <v>0.0349426831728116</v>
      </c>
      <c r="M21" s="9" t="n">
        <f aca="false">IF(AND(B21&gt;=Parameters!$B$13,L21&gt;Parameters!$B$14),1,0)</f>
        <v>0</v>
      </c>
      <c r="N21" s="9" t="n">
        <f aca="false">IF(COUNTIF(Employees!$B$5:$B$29,INDEX(Vendors!$C$5:$C$49,MATCH(A21,Vendors!$A$5:$A$49,0)))&gt;0,1,0)</f>
        <v>0</v>
      </c>
    </row>
    <row r="22" customFormat="false" ht="15" hidden="false" customHeight="false" outlineLevel="0" collapsed="false">
      <c r="A22" s="0" t="s">
        <v>158</v>
      </c>
      <c r="B22" s="0" t="n">
        <f aca="false">COUNTIF(Payments!$C$5:$C$634,A22)</f>
        <v>4</v>
      </c>
      <c r="C22" s="0" t="n">
        <f aca="false">COUNTIFS(Payments!$C$5:$C$634,$A22,Payments!$G$5:$G$634,1)</f>
        <v>1</v>
      </c>
      <c r="D22" s="0" t="n">
        <f aca="false">COUNTIFS(Payments!$C$5:$C$634,$A22,Payments!$G$5:$G$634,2)</f>
        <v>1</v>
      </c>
      <c r="E22" s="0" t="n">
        <f aca="false">COUNTIFS(Payments!$C$5:$C$634,$A22,Payments!$G$5:$G$634,3)</f>
        <v>0</v>
      </c>
      <c r="F22" s="0" t="n">
        <f aca="false">COUNTIFS(Payments!$C$5:$C$634,$A22,Payments!$G$5:$G$634,4)</f>
        <v>0</v>
      </c>
      <c r="G22" s="0" t="n">
        <f aca="false">COUNTIFS(Payments!$C$5:$C$634,$A22,Payments!$G$5:$G$634,5)</f>
        <v>0</v>
      </c>
      <c r="H22" s="0" t="n">
        <f aca="false">COUNTIFS(Payments!$C$5:$C$634,$A22,Payments!$G$5:$G$634,6)</f>
        <v>1</v>
      </c>
      <c r="I22" s="0" t="n">
        <f aca="false">COUNTIFS(Payments!$C$5:$C$634,$A22,Payments!$G$5:$G$634,7)</f>
        <v>1</v>
      </c>
      <c r="J22" s="0" t="n">
        <f aca="false">COUNTIFS(Payments!$C$5:$C$634,$A22,Payments!$G$5:$G$634,8)</f>
        <v>0</v>
      </c>
      <c r="K22" s="0" t="n">
        <f aca="false">COUNTIFS(Payments!$C$5:$C$634,$A22,Payments!$G$5:$G$634,9)</f>
        <v>0</v>
      </c>
      <c r="L22" s="15" t="n">
        <f aca="false">IF(B22=0,0,SUMPRODUCT(ABS(C22:K22/B22-$C$5:$K$5))/9)</f>
        <v>0.0997711120746709</v>
      </c>
      <c r="M22" s="9" t="n">
        <f aca="false">IF(AND(B22&gt;=Parameters!$B$13,L22&gt;Parameters!$B$14),1,0)</f>
        <v>0</v>
      </c>
      <c r="N22" s="9" t="n">
        <f aca="false">IF(COUNTIF(Employees!$B$5:$B$29,INDEX(Vendors!$C$5:$C$49,MATCH(A22,Vendors!$A$5:$A$49,0)))&gt;0,1,0)</f>
        <v>0</v>
      </c>
    </row>
    <row r="23" customFormat="false" ht="15" hidden="false" customHeight="false" outlineLevel="0" collapsed="false">
      <c r="A23" s="0" t="s">
        <v>161</v>
      </c>
      <c r="B23" s="0" t="n">
        <f aca="false">COUNTIF(Payments!$C$5:$C$634,A23)</f>
        <v>22</v>
      </c>
      <c r="C23" s="0" t="n">
        <f aca="false">COUNTIFS(Payments!$C$5:$C$634,$A23,Payments!$G$5:$G$634,1)</f>
        <v>6</v>
      </c>
      <c r="D23" s="0" t="n">
        <f aca="false">COUNTIFS(Payments!$C$5:$C$634,$A23,Payments!$G$5:$G$634,2)</f>
        <v>5</v>
      </c>
      <c r="E23" s="0" t="n">
        <f aca="false">COUNTIFS(Payments!$C$5:$C$634,$A23,Payments!$G$5:$G$634,3)</f>
        <v>2</v>
      </c>
      <c r="F23" s="0" t="n">
        <f aca="false">COUNTIFS(Payments!$C$5:$C$634,$A23,Payments!$G$5:$G$634,4)</f>
        <v>3</v>
      </c>
      <c r="G23" s="0" t="n">
        <f aca="false">COUNTIFS(Payments!$C$5:$C$634,$A23,Payments!$G$5:$G$634,5)</f>
        <v>3</v>
      </c>
      <c r="H23" s="0" t="n">
        <f aca="false">COUNTIFS(Payments!$C$5:$C$634,$A23,Payments!$G$5:$G$634,6)</f>
        <v>2</v>
      </c>
      <c r="I23" s="0" t="n">
        <f aca="false">COUNTIFS(Payments!$C$5:$C$634,$A23,Payments!$G$5:$G$634,7)</f>
        <v>1</v>
      </c>
      <c r="J23" s="0" t="n">
        <f aca="false">COUNTIFS(Payments!$C$5:$C$634,$A23,Payments!$G$5:$G$634,8)</f>
        <v>0</v>
      </c>
      <c r="K23" s="0" t="n">
        <f aca="false">COUNTIFS(Payments!$C$5:$C$634,$A23,Payments!$G$5:$G$634,9)</f>
        <v>0</v>
      </c>
      <c r="L23" s="15" t="n">
        <f aca="false">IF(B23=0,0,SUMPRODUCT(ABS(C23:K23/B23-$C$5:$K$5))/9)</f>
        <v>0.0381732851482478</v>
      </c>
      <c r="M23" s="9" t="n">
        <f aca="false">IF(AND(B23&gt;=Parameters!$B$13,L23&gt;Parameters!$B$14),1,0)</f>
        <v>0</v>
      </c>
      <c r="N23" s="9" t="n">
        <f aca="false">IF(COUNTIF(Employees!$B$5:$B$29,INDEX(Vendors!$C$5:$C$49,MATCH(A23,Vendors!$A$5:$A$49,0)))&gt;0,1,0)</f>
        <v>0</v>
      </c>
    </row>
    <row r="24" customFormat="false" ht="15" hidden="false" customHeight="false" outlineLevel="0" collapsed="false">
      <c r="A24" s="0" t="s">
        <v>164</v>
      </c>
      <c r="B24" s="0" t="n">
        <f aca="false">COUNTIF(Payments!$C$5:$C$634,A24)</f>
        <v>10</v>
      </c>
      <c r="C24" s="0" t="n">
        <f aca="false">COUNTIFS(Payments!$C$5:$C$634,$A24,Payments!$G$5:$G$634,1)</f>
        <v>3</v>
      </c>
      <c r="D24" s="0" t="n">
        <f aca="false">COUNTIFS(Payments!$C$5:$C$634,$A24,Payments!$G$5:$G$634,2)</f>
        <v>3</v>
      </c>
      <c r="E24" s="0" t="n">
        <f aca="false">COUNTIFS(Payments!$C$5:$C$634,$A24,Payments!$G$5:$G$634,3)</f>
        <v>1</v>
      </c>
      <c r="F24" s="0" t="n">
        <f aca="false">COUNTIFS(Payments!$C$5:$C$634,$A24,Payments!$G$5:$G$634,4)</f>
        <v>1</v>
      </c>
      <c r="G24" s="0" t="n">
        <f aca="false">COUNTIFS(Payments!$C$5:$C$634,$A24,Payments!$G$5:$G$634,5)</f>
        <v>0</v>
      </c>
      <c r="H24" s="0" t="n">
        <f aca="false">COUNTIFS(Payments!$C$5:$C$634,$A24,Payments!$G$5:$G$634,6)</f>
        <v>1</v>
      </c>
      <c r="I24" s="0" t="n">
        <f aca="false">COUNTIFS(Payments!$C$5:$C$634,$A24,Payments!$G$5:$G$634,7)</f>
        <v>0</v>
      </c>
      <c r="J24" s="0" t="n">
        <f aca="false">COUNTIFS(Payments!$C$5:$C$634,$A24,Payments!$G$5:$G$634,8)</f>
        <v>1</v>
      </c>
      <c r="K24" s="0" t="n">
        <f aca="false">COUNTIFS(Payments!$C$5:$C$634,$A24,Payments!$G$5:$G$634,9)</f>
        <v>0</v>
      </c>
      <c r="L24" s="15" t="n">
        <f aca="false">IF(B24=0,0,SUMPRODUCT(ABS(C24:K24/B24-$C$5:$K$5))/9)</f>
        <v>0.0464220924129484</v>
      </c>
      <c r="M24" s="9" t="n">
        <f aca="false">IF(AND(B24&gt;=Parameters!$B$13,L24&gt;Parameters!$B$14),1,0)</f>
        <v>0</v>
      </c>
      <c r="N24" s="9" t="n">
        <f aca="false">IF(COUNTIF(Employees!$B$5:$B$29,INDEX(Vendors!$C$5:$C$49,MATCH(A24,Vendors!$A$5:$A$49,0)))&gt;0,1,0)</f>
        <v>0</v>
      </c>
    </row>
    <row r="25" customFormat="false" ht="15" hidden="false" customHeight="false" outlineLevel="0" collapsed="false">
      <c r="A25" s="0" t="s">
        <v>167</v>
      </c>
      <c r="B25" s="0" t="n">
        <f aca="false">COUNTIF(Payments!$C$5:$C$634,A25)</f>
        <v>12</v>
      </c>
      <c r="C25" s="0" t="n">
        <f aca="false">COUNTIFS(Payments!$C$5:$C$634,$A25,Payments!$G$5:$G$634,1)</f>
        <v>1</v>
      </c>
      <c r="D25" s="0" t="n">
        <f aca="false">COUNTIFS(Payments!$C$5:$C$634,$A25,Payments!$G$5:$G$634,2)</f>
        <v>6</v>
      </c>
      <c r="E25" s="0" t="n">
        <f aca="false">COUNTIFS(Payments!$C$5:$C$634,$A25,Payments!$G$5:$G$634,3)</f>
        <v>2</v>
      </c>
      <c r="F25" s="0" t="n">
        <f aca="false">COUNTIFS(Payments!$C$5:$C$634,$A25,Payments!$G$5:$G$634,4)</f>
        <v>0</v>
      </c>
      <c r="G25" s="0" t="n">
        <f aca="false">COUNTIFS(Payments!$C$5:$C$634,$A25,Payments!$G$5:$G$634,5)</f>
        <v>0</v>
      </c>
      <c r="H25" s="0" t="n">
        <f aca="false">COUNTIFS(Payments!$C$5:$C$634,$A25,Payments!$G$5:$G$634,6)</f>
        <v>1</v>
      </c>
      <c r="I25" s="0" t="n">
        <f aca="false">COUNTIFS(Payments!$C$5:$C$634,$A25,Payments!$G$5:$G$634,7)</f>
        <v>0</v>
      </c>
      <c r="J25" s="0" t="n">
        <f aca="false">COUNTIFS(Payments!$C$5:$C$634,$A25,Payments!$G$5:$G$634,8)</f>
        <v>2</v>
      </c>
      <c r="K25" s="0" t="n">
        <f aca="false">COUNTIFS(Payments!$C$5:$C$634,$A25,Payments!$G$5:$G$634,9)</f>
        <v>0</v>
      </c>
      <c r="L25" s="15" t="n">
        <f aca="false">IF(B25=0,0,SUMPRODUCT(ABS(C25:K25/B25-$C$5:$K$5))/9)</f>
        <v>0.11056385753882</v>
      </c>
      <c r="M25" s="9" t="n">
        <f aca="false">IF(AND(B25&gt;=Parameters!$B$13,L25&gt;Parameters!$B$14),1,0)</f>
        <v>0</v>
      </c>
      <c r="N25" s="9" t="n">
        <f aca="false">IF(COUNTIF(Employees!$B$5:$B$29,INDEX(Vendors!$C$5:$C$49,MATCH(A25,Vendors!$A$5:$A$49,0)))&gt;0,1,0)</f>
        <v>0</v>
      </c>
    </row>
    <row r="26" customFormat="false" ht="15" hidden="false" customHeight="false" outlineLevel="0" collapsed="false">
      <c r="A26" s="0" t="s">
        <v>170</v>
      </c>
      <c r="B26" s="0" t="n">
        <f aca="false">COUNTIF(Payments!$C$5:$C$634,A26)</f>
        <v>8</v>
      </c>
      <c r="C26" s="0" t="n">
        <f aca="false">COUNTIFS(Payments!$C$5:$C$634,$A26,Payments!$G$5:$G$634,1)</f>
        <v>1</v>
      </c>
      <c r="D26" s="0" t="n">
        <f aca="false">COUNTIFS(Payments!$C$5:$C$634,$A26,Payments!$G$5:$G$634,2)</f>
        <v>1</v>
      </c>
      <c r="E26" s="0" t="n">
        <f aca="false">COUNTIFS(Payments!$C$5:$C$634,$A26,Payments!$G$5:$G$634,3)</f>
        <v>0</v>
      </c>
      <c r="F26" s="0" t="n">
        <f aca="false">COUNTIFS(Payments!$C$5:$C$634,$A26,Payments!$G$5:$G$634,4)</f>
        <v>0</v>
      </c>
      <c r="G26" s="0" t="n">
        <f aca="false">COUNTIFS(Payments!$C$5:$C$634,$A26,Payments!$G$5:$G$634,5)</f>
        <v>1</v>
      </c>
      <c r="H26" s="0" t="n">
        <f aca="false">COUNTIFS(Payments!$C$5:$C$634,$A26,Payments!$G$5:$G$634,6)</f>
        <v>1</v>
      </c>
      <c r="I26" s="0" t="n">
        <f aca="false">COUNTIFS(Payments!$C$5:$C$634,$A26,Payments!$G$5:$G$634,7)</f>
        <v>1</v>
      </c>
      <c r="J26" s="0" t="n">
        <f aca="false">COUNTIFS(Payments!$C$5:$C$634,$A26,Payments!$G$5:$G$634,8)</f>
        <v>2</v>
      </c>
      <c r="K26" s="0" t="n">
        <f aca="false">COUNTIFS(Payments!$C$5:$C$634,$A26,Payments!$G$5:$G$634,9)</f>
        <v>1</v>
      </c>
      <c r="L26" s="15" t="n">
        <f aca="false">IF(B26=0,0,SUMPRODUCT(ABS(C26:K26/B26-$C$5:$K$5))/9)</f>
        <v>0.0997711120746709</v>
      </c>
      <c r="M26" s="9" t="n">
        <f aca="false">IF(AND(B26&gt;=Parameters!$B$13,L26&gt;Parameters!$B$14),1,0)</f>
        <v>0</v>
      </c>
      <c r="N26" s="9" t="n">
        <f aca="false">IF(COUNTIF(Employees!$B$5:$B$29,INDEX(Vendors!$C$5:$C$49,MATCH(A26,Vendors!$A$5:$A$49,0)))&gt;0,1,0)</f>
        <v>0</v>
      </c>
    </row>
    <row r="27" customFormat="false" ht="15" hidden="false" customHeight="false" outlineLevel="0" collapsed="false">
      <c r="A27" s="0" t="s">
        <v>173</v>
      </c>
      <c r="B27" s="0" t="n">
        <f aca="false">COUNTIF(Payments!$C$5:$C$634,A27)</f>
        <v>21</v>
      </c>
      <c r="C27" s="0" t="n">
        <f aca="false">COUNTIFS(Payments!$C$5:$C$634,$A27,Payments!$G$5:$G$634,1)</f>
        <v>11</v>
      </c>
      <c r="D27" s="0" t="n">
        <f aca="false">COUNTIFS(Payments!$C$5:$C$634,$A27,Payments!$G$5:$G$634,2)</f>
        <v>0</v>
      </c>
      <c r="E27" s="0" t="n">
        <f aca="false">COUNTIFS(Payments!$C$5:$C$634,$A27,Payments!$G$5:$G$634,3)</f>
        <v>1</v>
      </c>
      <c r="F27" s="0" t="n">
        <f aca="false">COUNTIFS(Payments!$C$5:$C$634,$A27,Payments!$G$5:$G$634,4)</f>
        <v>2</v>
      </c>
      <c r="G27" s="0" t="n">
        <f aca="false">COUNTIFS(Payments!$C$5:$C$634,$A27,Payments!$G$5:$G$634,5)</f>
        <v>0</v>
      </c>
      <c r="H27" s="0" t="n">
        <f aca="false">COUNTIFS(Payments!$C$5:$C$634,$A27,Payments!$G$5:$G$634,6)</f>
        <v>1</v>
      </c>
      <c r="I27" s="0" t="n">
        <f aca="false">COUNTIFS(Payments!$C$5:$C$634,$A27,Payments!$G$5:$G$634,7)</f>
        <v>0</v>
      </c>
      <c r="J27" s="0" t="n">
        <f aca="false">COUNTIFS(Payments!$C$5:$C$634,$A27,Payments!$G$5:$G$634,8)</f>
        <v>4</v>
      </c>
      <c r="K27" s="0" t="n">
        <f aca="false">COUNTIFS(Payments!$C$5:$C$634,$A27,Payments!$G$5:$G$634,9)</f>
        <v>2</v>
      </c>
      <c r="L27" s="15" t="n">
        <f aca="false">IF(B27=0,0,SUMPRODUCT(ABS(C27:K27/B27-$C$5:$K$5))/9)</f>
        <v>0.0914630668559493</v>
      </c>
      <c r="M27" s="9" t="n">
        <f aca="false">IF(AND(B27&gt;=Parameters!$B$13,L27&gt;Parameters!$B$14),1,0)</f>
        <v>0</v>
      </c>
      <c r="N27" s="9" t="n">
        <f aca="false">IF(COUNTIF(Employees!$B$5:$B$29,INDEX(Vendors!$C$5:$C$49,MATCH(A27,Vendors!$A$5:$A$49,0)))&gt;0,1,0)</f>
        <v>0</v>
      </c>
    </row>
    <row r="28" customFormat="false" ht="15" hidden="false" customHeight="false" outlineLevel="0" collapsed="false">
      <c r="A28" s="0" t="s">
        <v>176</v>
      </c>
      <c r="B28" s="0" t="n">
        <f aca="false">COUNTIF(Payments!$C$5:$C$634,A28)</f>
        <v>2</v>
      </c>
      <c r="C28" s="0" t="n">
        <f aca="false">COUNTIFS(Payments!$C$5:$C$634,$A28,Payments!$G$5:$G$634,1)</f>
        <v>0</v>
      </c>
      <c r="D28" s="0" t="n">
        <f aca="false">COUNTIFS(Payments!$C$5:$C$634,$A28,Payments!$G$5:$G$634,2)</f>
        <v>1</v>
      </c>
      <c r="E28" s="0" t="n">
        <f aca="false">COUNTIFS(Payments!$C$5:$C$634,$A28,Payments!$G$5:$G$634,3)</f>
        <v>0</v>
      </c>
      <c r="F28" s="0" t="n">
        <f aca="false">COUNTIFS(Payments!$C$5:$C$634,$A28,Payments!$G$5:$G$634,4)</f>
        <v>0</v>
      </c>
      <c r="G28" s="0" t="n">
        <f aca="false">COUNTIFS(Payments!$C$5:$C$634,$A28,Payments!$G$5:$G$634,5)</f>
        <v>0</v>
      </c>
      <c r="H28" s="0" t="n">
        <f aca="false">COUNTIFS(Payments!$C$5:$C$634,$A28,Payments!$G$5:$G$634,6)</f>
        <v>0</v>
      </c>
      <c r="I28" s="0" t="n">
        <f aca="false">COUNTIFS(Payments!$C$5:$C$634,$A28,Payments!$G$5:$G$634,7)</f>
        <v>0</v>
      </c>
      <c r="J28" s="0" t="n">
        <f aca="false">COUNTIFS(Payments!$C$5:$C$634,$A28,Payments!$G$5:$G$634,8)</f>
        <v>0</v>
      </c>
      <c r="K28" s="0" t="n">
        <f aca="false">COUNTIFS(Payments!$C$5:$C$634,$A28,Payments!$G$5:$G$634,9)</f>
        <v>1</v>
      </c>
      <c r="L28" s="15" t="n">
        <f aca="false">IF(B28=0,0,SUMPRODUCT(ABS(C28:K28/B28-$C$5:$K$5))/9)</f>
        <v>0.172922500085254</v>
      </c>
      <c r="M28" s="9" t="n">
        <f aca="false">IF(AND(B28&gt;=Parameters!$B$13,L28&gt;Parameters!$B$14),1,0)</f>
        <v>0</v>
      </c>
      <c r="N28" s="9" t="n">
        <f aca="false">IF(COUNTIF(Employees!$B$5:$B$29,INDEX(Vendors!$C$5:$C$49,MATCH(A28,Vendors!$A$5:$A$49,0)))&gt;0,1,0)</f>
        <v>0</v>
      </c>
    </row>
    <row r="29" customFormat="false" ht="15" hidden="false" customHeight="false" outlineLevel="0" collapsed="false">
      <c r="A29" s="0" t="s">
        <v>179</v>
      </c>
      <c r="B29" s="0" t="n">
        <f aca="false">COUNTIF(Payments!$C$5:$C$634,A29)</f>
        <v>7</v>
      </c>
      <c r="C29" s="0" t="n">
        <f aca="false">COUNTIFS(Payments!$C$5:$C$634,$A29,Payments!$G$5:$G$634,1)</f>
        <v>1</v>
      </c>
      <c r="D29" s="0" t="n">
        <f aca="false">COUNTIFS(Payments!$C$5:$C$634,$A29,Payments!$G$5:$G$634,2)</f>
        <v>3</v>
      </c>
      <c r="E29" s="0" t="n">
        <f aca="false">COUNTIFS(Payments!$C$5:$C$634,$A29,Payments!$G$5:$G$634,3)</f>
        <v>0</v>
      </c>
      <c r="F29" s="0" t="n">
        <f aca="false">COUNTIFS(Payments!$C$5:$C$634,$A29,Payments!$G$5:$G$634,4)</f>
        <v>0</v>
      </c>
      <c r="G29" s="0" t="n">
        <f aca="false">COUNTIFS(Payments!$C$5:$C$634,$A29,Payments!$G$5:$G$634,5)</f>
        <v>2</v>
      </c>
      <c r="H29" s="0" t="n">
        <f aca="false">COUNTIFS(Payments!$C$5:$C$634,$A29,Payments!$G$5:$G$634,6)</f>
        <v>0</v>
      </c>
      <c r="I29" s="0" t="n">
        <f aca="false">COUNTIFS(Payments!$C$5:$C$634,$A29,Payments!$G$5:$G$634,7)</f>
        <v>0</v>
      </c>
      <c r="J29" s="0" t="n">
        <f aca="false">COUNTIFS(Payments!$C$5:$C$634,$A29,Payments!$G$5:$G$634,8)</f>
        <v>1</v>
      </c>
      <c r="K29" s="0" t="n">
        <f aca="false">COUNTIFS(Payments!$C$5:$C$634,$A29,Payments!$G$5:$G$634,9)</f>
        <v>0</v>
      </c>
      <c r="L29" s="15" t="n">
        <f aca="false">IF(B29=0,0,SUMPRODUCT(ABS(C29:K29/B29-$C$5:$K$5))/9)</f>
        <v>0.122381739909371</v>
      </c>
      <c r="M29" s="9" t="n">
        <f aca="false">IF(AND(B29&gt;=Parameters!$B$13,L29&gt;Parameters!$B$14),1,0)</f>
        <v>0</v>
      </c>
      <c r="N29" s="9" t="n">
        <f aca="false">IF(COUNTIF(Employees!$B$5:$B$29,INDEX(Vendors!$C$5:$C$49,MATCH(A29,Vendors!$A$5:$A$49,0)))&gt;0,1,0)</f>
        <v>0</v>
      </c>
    </row>
    <row r="30" customFormat="false" ht="15" hidden="false" customHeight="false" outlineLevel="0" collapsed="false">
      <c r="A30" s="0" t="s">
        <v>182</v>
      </c>
      <c r="B30" s="0" t="n">
        <f aca="false">COUNTIF(Payments!$C$5:$C$634,A30)</f>
        <v>14</v>
      </c>
      <c r="C30" s="0" t="n">
        <f aca="false">COUNTIFS(Payments!$C$5:$C$634,$A30,Payments!$G$5:$G$634,1)</f>
        <v>1</v>
      </c>
      <c r="D30" s="0" t="n">
        <f aca="false">COUNTIFS(Payments!$C$5:$C$634,$A30,Payments!$G$5:$G$634,2)</f>
        <v>1</v>
      </c>
      <c r="E30" s="0" t="n">
        <f aca="false">COUNTIFS(Payments!$C$5:$C$634,$A30,Payments!$G$5:$G$634,3)</f>
        <v>4</v>
      </c>
      <c r="F30" s="0" t="n">
        <f aca="false">COUNTIFS(Payments!$C$5:$C$634,$A30,Payments!$G$5:$G$634,4)</f>
        <v>2</v>
      </c>
      <c r="G30" s="0" t="n">
        <f aca="false">COUNTIFS(Payments!$C$5:$C$634,$A30,Payments!$G$5:$G$634,5)</f>
        <v>2</v>
      </c>
      <c r="H30" s="0" t="n">
        <f aca="false">COUNTIFS(Payments!$C$5:$C$634,$A30,Payments!$G$5:$G$634,6)</f>
        <v>3</v>
      </c>
      <c r="I30" s="0" t="n">
        <f aca="false">COUNTIFS(Payments!$C$5:$C$634,$A30,Payments!$G$5:$G$634,7)</f>
        <v>1</v>
      </c>
      <c r="J30" s="0" t="n">
        <f aca="false">COUNTIFS(Payments!$C$5:$C$634,$A30,Payments!$G$5:$G$634,8)</f>
        <v>0</v>
      </c>
      <c r="K30" s="0" t="n">
        <f aca="false">COUNTIFS(Payments!$C$5:$C$634,$A30,Payments!$G$5:$G$634,9)</f>
        <v>0</v>
      </c>
      <c r="L30" s="15" t="n">
        <f aca="false">IF(B30=0,0,SUMPRODUCT(ABS(C30:K30/B30-$C$5:$K$5))/9)</f>
        <v>0.0958164721934613</v>
      </c>
      <c r="M30" s="9" t="n">
        <f aca="false">IF(AND(B30&gt;=Parameters!$B$13,L30&gt;Parameters!$B$14),1,0)</f>
        <v>0</v>
      </c>
      <c r="N30" s="9" t="n">
        <f aca="false">IF(COUNTIF(Employees!$B$5:$B$29,INDEX(Vendors!$C$5:$C$49,MATCH(A30,Vendors!$A$5:$A$49,0)))&gt;0,1,0)</f>
        <v>0</v>
      </c>
    </row>
    <row r="31" customFormat="false" ht="15" hidden="false" customHeight="false" outlineLevel="0" collapsed="false">
      <c r="A31" s="0" t="s">
        <v>185</v>
      </c>
      <c r="B31" s="0" t="n">
        <f aca="false">COUNTIF(Payments!$C$5:$C$634,A31)</f>
        <v>4</v>
      </c>
      <c r="C31" s="0" t="n">
        <f aca="false">COUNTIFS(Payments!$C$5:$C$634,$A31,Payments!$G$5:$G$634,1)</f>
        <v>1</v>
      </c>
      <c r="D31" s="0" t="n">
        <f aca="false">COUNTIFS(Payments!$C$5:$C$634,$A31,Payments!$G$5:$G$634,2)</f>
        <v>2</v>
      </c>
      <c r="E31" s="0" t="n">
        <f aca="false">COUNTIFS(Payments!$C$5:$C$634,$A31,Payments!$G$5:$G$634,3)</f>
        <v>0</v>
      </c>
      <c r="F31" s="0" t="n">
        <f aca="false">COUNTIFS(Payments!$C$5:$C$634,$A31,Payments!$G$5:$G$634,4)</f>
        <v>1</v>
      </c>
      <c r="G31" s="0" t="n">
        <f aca="false">COUNTIFS(Payments!$C$5:$C$634,$A31,Payments!$G$5:$G$634,5)</f>
        <v>0</v>
      </c>
      <c r="H31" s="0" t="n">
        <f aca="false">COUNTIFS(Payments!$C$5:$C$634,$A31,Payments!$G$5:$G$634,6)</f>
        <v>0</v>
      </c>
      <c r="I31" s="0" t="n">
        <f aca="false">COUNTIFS(Payments!$C$5:$C$634,$A31,Payments!$G$5:$G$634,7)</f>
        <v>0</v>
      </c>
      <c r="J31" s="0" t="n">
        <f aca="false">COUNTIFS(Payments!$C$5:$C$634,$A31,Payments!$G$5:$G$634,8)</f>
        <v>0</v>
      </c>
      <c r="K31" s="0" t="n">
        <f aca="false">COUNTIFS(Payments!$C$5:$C$634,$A31,Payments!$G$5:$G$634,9)</f>
        <v>0</v>
      </c>
      <c r="L31" s="15" t="n">
        <f aca="false">IF(B31=0,0,SUMPRODUCT(ABS(C31:K31/B31-$C$5:$K$5))/9)</f>
        <v>0.105999717319169</v>
      </c>
      <c r="M31" s="9" t="n">
        <f aca="false">IF(AND(B31&gt;=Parameters!$B$13,L31&gt;Parameters!$B$14),1,0)</f>
        <v>0</v>
      </c>
      <c r="N31" s="9" t="n">
        <f aca="false">IF(COUNTIF(Employees!$B$5:$B$29,INDEX(Vendors!$C$5:$C$49,MATCH(A31,Vendors!$A$5:$A$49,0)))&gt;0,1,0)</f>
        <v>0</v>
      </c>
    </row>
    <row r="32" customFormat="false" ht="15" hidden="false" customHeight="false" outlineLevel="0" collapsed="false">
      <c r="A32" s="0" t="s">
        <v>188</v>
      </c>
      <c r="B32" s="0" t="n">
        <f aca="false">COUNTIF(Payments!$C$5:$C$634,A32)</f>
        <v>4</v>
      </c>
      <c r="C32" s="0" t="n">
        <f aca="false">COUNTIFS(Payments!$C$5:$C$634,$A32,Payments!$G$5:$G$634,1)</f>
        <v>1</v>
      </c>
      <c r="D32" s="0" t="n">
        <f aca="false">COUNTIFS(Payments!$C$5:$C$634,$A32,Payments!$G$5:$G$634,2)</f>
        <v>0</v>
      </c>
      <c r="E32" s="0" t="n">
        <f aca="false">COUNTIFS(Payments!$C$5:$C$634,$A32,Payments!$G$5:$G$634,3)</f>
        <v>0</v>
      </c>
      <c r="F32" s="0" t="n">
        <f aca="false">COUNTIFS(Payments!$C$5:$C$634,$A32,Payments!$G$5:$G$634,4)</f>
        <v>0</v>
      </c>
      <c r="G32" s="0" t="n">
        <f aca="false">COUNTIFS(Payments!$C$5:$C$634,$A32,Payments!$G$5:$G$634,5)</f>
        <v>1</v>
      </c>
      <c r="H32" s="0" t="n">
        <f aca="false">COUNTIFS(Payments!$C$5:$C$634,$A32,Payments!$G$5:$G$634,6)</f>
        <v>2</v>
      </c>
      <c r="I32" s="0" t="n">
        <f aca="false">COUNTIFS(Payments!$C$5:$C$634,$A32,Payments!$G$5:$G$634,7)</f>
        <v>0</v>
      </c>
      <c r="J32" s="0" t="n">
        <f aca="false">COUNTIFS(Payments!$C$5:$C$634,$A32,Payments!$G$5:$G$634,8)</f>
        <v>0</v>
      </c>
      <c r="K32" s="0" t="n">
        <f aca="false">COUNTIFS(Payments!$C$5:$C$634,$A32,Payments!$G$5:$G$634,9)</f>
        <v>0</v>
      </c>
      <c r="L32" s="15" t="n">
        <f aca="false">IF(B32=0,0,SUMPRODUCT(ABS(C32:K32/B32-$C$5:$K$5))/9)</f>
        <v>0.13419376984928</v>
      </c>
      <c r="M32" s="9" t="n">
        <f aca="false">IF(AND(B32&gt;=Parameters!$B$13,L32&gt;Parameters!$B$14),1,0)</f>
        <v>0</v>
      </c>
      <c r="N32" s="9" t="n">
        <f aca="false">IF(COUNTIF(Employees!$B$5:$B$29,INDEX(Vendors!$C$5:$C$49,MATCH(A32,Vendors!$A$5:$A$49,0)))&gt;0,1,0)</f>
        <v>0</v>
      </c>
    </row>
    <row r="33" customFormat="false" ht="15" hidden="false" customHeight="false" outlineLevel="0" collapsed="false">
      <c r="A33" s="0" t="s">
        <v>191</v>
      </c>
      <c r="B33" s="0" t="n">
        <f aca="false">COUNTIF(Payments!$C$5:$C$634,A33)</f>
        <v>9</v>
      </c>
      <c r="C33" s="0" t="n">
        <f aca="false">COUNTIFS(Payments!$C$5:$C$634,$A33,Payments!$G$5:$G$634,1)</f>
        <v>2</v>
      </c>
      <c r="D33" s="0" t="n">
        <f aca="false">COUNTIFS(Payments!$C$5:$C$634,$A33,Payments!$G$5:$G$634,2)</f>
        <v>2</v>
      </c>
      <c r="E33" s="0" t="n">
        <f aca="false">COUNTIFS(Payments!$C$5:$C$634,$A33,Payments!$G$5:$G$634,3)</f>
        <v>1</v>
      </c>
      <c r="F33" s="0" t="n">
        <f aca="false">COUNTIFS(Payments!$C$5:$C$634,$A33,Payments!$G$5:$G$634,4)</f>
        <v>2</v>
      </c>
      <c r="G33" s="0" t="n">
        <f aca="false">COUNTIFS(Payments!$C$5:$C$634,$A33,Payments!$G$5:$G$634,5)</f>
        <v>0</v>
      </c>
      <c r="H33" s="0" t="n">
        <f aca="false">COUNTIFS(Payments!$C$5:$C$634,$A33,Payments!$G$5:$G$634,6)</f>
        <v>1</v>
      </c>
      <c r="I33" s="0" t="n">
        <f aca="false">COUNTIFS(Payments!$C$5:$C$634,$A33,Payments!$G$5:$G$634,7)</f>
        <v>0</v>
      </c>
      <c r="J33" s="0" t="n">
        <f aca="false">COUNTIFS(Payments!$C$5:$C$634,$A33,Payments!$G$5:$G$634,8)</f>
        <v>1</v>
      </c>
      <c r="K33" s="0" t="n">
        <f aca="false">COUNTIFS(Payments!$C$5:$C$634,$A33,Payments!$G$5:$G$634,9)</f>
        <v>0</v>
      </c>
      <c r="L33" s="15" t="n">
        <f aca="false">IF(B33=0,0,SUMPRODUCT(ABS(C33:K33/B33-$C$5:$K$5))/9)</f>
        <v>0.0612369072277632</v>
      </c>
      <c r="M33" s="9" t="n">
        <f aca="false">IF(AND(B33&gt;=Parameters!$B$13,L33&gt;Parameters!$B$14),1,0)</f>
        <v>0</v>
      </c>
      <c r="N33" s="9" t="n">
        <f aca="false">IF(COUNTIF(Employees!$B$5:$B$29,INDEX(Vendors!$C$5:$C$49,MATCH(A33,Vendors!$A$5:$A$49,0)))&gt;0,1,0)</f>
        <v>0</v>
      </c>
    </row>
    <row r="34" customFormat="false" ht="15" hidden="false" customHeight="false" outlineLevel="0" collapsed="false">
      <c r="A34" s="0" t="s">
        <v>194</v>
      </c>
      <c r="B34" s="0" t="n">
        <f aca="false">COUNTIF(Payments!$C$5:$C$634,A34)</f>
        <v>12</v>
      </c>
      <c r="C34" s="0" t="n">
        <f aca="false">COUNTIFS(Payments!$C$5:$C$634,$A34,Payments!$G$5:$G$634,1)</f>
        <v>4</v>
      </c>
      <c r="D34" s="0" t="n">
        <f aca="false">COUNTIFS(Payments!$C$5:$C$634,$A34,Payments!$G$5:$G$634,2)</f>
        <v>1</v>
      </c>
      <c r="E34" s="0" t="n">
        <f aca="false">COUNTIFS(Payments!$C$5:$C$634,$A34,Payments!$G$5:$G$634,3)</f>
        <v>1</v>
      </c>
      <c r="F34" s="0" t="n">
        <f aca="false">COUNTIFS(Payments!$C$5:$C$634,$A34,Payments!$G$5:$G$634,4)</f>
        <v>2</v>
      </c>
      <c r="G34" s="0" t="n">
        <f aca="false">COUNTIFS(Payments!$C$5:$C$634,$A34,Payments!$G$5:$G$634,5)</f>
        <v>2</v>
      </c>
      <c r="H34" s="0" t="n">
        <f aca="false">COUNTIFS(Payments!$C$5:$C$634,$A34,Payments!$G$5:$G$634,6)</f>
        <v>0</v>
      </c>
      <c r="I34" s="0" t="n">
        <f aca="false">COUNTIFS(Payments!$C$5:$C$634,$A34,Payments!$G$5:$G$634,7)</f>
        <v>1</v>
      </c>
      <c r="J34" s="0" t="n">
        <f aca="false">COUNTIFS(Payments!$C$5:$C$634,$A34,Payments!$G$5:$G$634,8)</f>
        <v>0</v>
      </c>
      <c r="K34" s="0" t="n">
        <f aca="false">COUNTIFS(Payments!$C$5:$C$634,$A34,Payments!$G$5:$G$634,9)</f>
        <v>1</v>
      </c>
      <c r="L34" s="15" t="n">
        <f aca="false">IF(B34=0,0,SUMPRODUCT(ABS(C34:K34/B34-$C$5:$K$5))/9)</f>
        <v>0.0561028091278464</v>
      </c>
      <c r="M34" s="9" t="n">
        <f aca="false">IF(AND(B34&gt;=Parameters!$B$13,L34&gt;Parameters!$B$14),1,0)</f>
        <v>0</v>
      </c>
      <c r="N34" s="9" t="n">
        <f aca="false">IF(COUNTIF(Employees!$B$5:$B$29,INDEX(Vendors!$C$5:$C$49,MATCH(A34,Vendors!$A$5:$A$49,0)))&gt;0,1,0)</f>
        <v>0</v>
      </c>
    </row>
    <row r="35" customFormat="false" ht="15" hidden="false" customHeight="false" outlineLevel="0" collapsed="false">
      <c r="A35" s="0" t="s">
        <v>197</v>
      </c>
      <c r="B35" s="0" t="n">
        <f aca="false">COUNTIF(Payments!$C$5:$C$634,A35)</f>
        <v>12</v>
      </c>
      <c r="C35" s="0" t="n">
        <f aca="false">COUNTIFS(Payments!$C$5:$C$634,$A35,Payments!$G$5:$G$634,1)</f>
        <v>2</v>
      </c>
      <c r="D35" s="0" t="n">
        <f aca="false">COUNTIFS(Payments!$C$5:$C$634,$A35,Payments!$G$5:$G$634,2)</f>
        <v>5</v>
      </c>
      <c r="E35" s="0" t="n">
        <f aca="false">COUNTIFS(Payments!$C$5:$C$634,$A35,Payments!$G$5:$G$634,3)</f>
        <v>0</v>
      </c>
      <c r="F35" s="0" t="n">
        <f aca="false">COUNTIFS(Payments!$C$5:$C$634,$A35,Payments!$G$5:$G$634,4)</f>
        <v>2</v>
      </c>
      <c r="G35" s="0" t="n">
        <f aca="false">COUNTIFS(Payments!$C$5:$C$634,$A35,Payments!$G$5:$G$634,5)</f>
        <v>1</v>
      </c>
      <c r="H35" s="0" t="n">
        <f aca="false">COUNTIFS(Payments!$C$5:$C$634,$A35,Payments!$G$5:$G$634,6)</f>
        <v>1</v>
      </c>
      <c r="I35" s="0" t="n">
        <f aca="false">COUNTIFS(Payments!$C$5:$C$634,$A35,Payments!$G$5:$G$634,7)</f>
        <v>0</v>
      </c>
      <c r="J35" s="0" t="n">
        <f aca="false">COUNTIFS(Payments!$C$5:$C$634,$A35,Payments!$G$5:$G$634,8)</f>
        <v>0</v>
      </c>
      <c r="K35" s="0" t="n">
        <f aca="false">COUNTIFS(Payments!$C$5:$C$634,$A35,Payments!$G$5:$G$634,9)</f>
        <v>1</v>
      </c>
      <c r="L35" s="15" t="n">
        <f aca="false">IF(B35=0,0,SUMPRODUCT(ABS(C35:K35/B35-$C$5:$K$5))/9)</f>
        <v>0.0818770077845961</v>
      </c>
      <c r="M35" s="9" t="n">
        <f aca="false">IF(AND(B35&gt;=Parameters!$B$13,L35&gt;Parameters!$B$14),1,0)</f>
        <v>0</v>
      </c>
      <c r="N35" s="9" t="n">
        <f aca="false">IF(COUNTIF(Employees!$B$5:$B$29,INDEX(Vendors!$C$5:$C$49,MATCH(A35,Vendors!$A$5:$A$49,0)))&gt;0,1,0)</f>
        <v>0</v>
      </c>
    </row>
    <row r="36" customFormat="false" ht="15" hidden="false" customHeight="false" outlineLevel="0" collapsed="false">
      <c r="A36" s="0" t="s">
        <v>200</v>
      </c>
      <c r="B36" s="0" t="n">
        <f aca="false">COUNTIF(Payments!$C$5:$C$634,A36)</f>
        <v>45</v>
      </c>
      <c r="C36" s="0" t="n">
        <f aca="false">COUNTIFS(Payments!$C$5:$C$634,$A36,Payments!$G$5:$G$634,1)</f>
        <v>0</v>
      </c>
      <c r="D36" s="0" t="n">
        <f aca="false">COUNTIFS(Payments!$C$5:$C$634,$A36,Payments!$G$5:$G$634,2)</f>
        <v>0</v>
      </c>
      <c r="E36" s="0" t="n">
        <f aca="false">COUNTIFS(Payments!$C$5:$C$634,$A36,Payments!$G$5:$G$634,3)</f>
        <v>0</v>
      </c>
      <c r="F36" s="0" t="n">
        <f aca="false">COUNTIFS(Payments!$C$5:$C$634,$A36,Payments!$G$5:$G$634,4)</f>
        <v>45</v>
      </c>
      <c r="G36" s="0" t="n">
        <f aca="false">COUNTIFS(Payments!$C$5:$C$634,$A36,Payments!$G$5:$G$634,5)</f>
        <v>0</v>
      </c>
      <c r="H36" s="0" t="n">
        <f aca="false">COUNTIFS(Payments!$C$5:$C$634,$A36,Payments!$G$5:$G$634,6)</f>
        <v>0</v>
      </c>
      <c r="I36" s="0" t="n">
        <f aca="false">COUNTIFS(Payments!$C$5:$C$634,$A36,Payments!$G$5:$G$634,7)</f>
        <v>0</v>
      </c>
      <c r="J36" s="0" t="n">
        <f aca="false">COUNTIFS(Payments!$C$5:$C$634,$A36,Payments!$G$5:$G$634,8)</f>
        <v>0</v>
      </c>
      <c r="K36" s="0" t="n">
        <f aca="false">COUNTIFS(Payments!$C$5:$C$634,$A36,Payments!$G$5:$G$634,9)</f>
        <v>0</v>
      </c>
      <c r="L36" s="15" t="n">
        <f aca="false">IF(B36=0,0,SUMPRODUCT(ABS(C36:K36/B36-$C$5:$K$5))/9)</f>
        <v>0.200686663775987</v>
      </c>
      <c r="M36" s="9" t="n">
        <f aca="false">IF(AND(B36&gt;=Parameters!$B$13,L36&gt;Parameters!$B$14),1,0)</f>
        <v>1</v>
      </c>
      <c r="N36" s="9" t="n">
        <f aca="false">IF(COUNTIF(Employees!$B$5:$B$29,INDEX(Vendors!$C$5:$C$49,MATCH(A36,Vendors!$A$5:$A$49,0)))&gt;0,1,0)</f>
        <v>0</v>
      </c>
    </row>
    <row r="37" customFormat="false" ht="15" hidden="false" customHeight="false" outlineLevel="0" collapsed="false">
      <c r="A37" s="0" t="s">
        <v>203</v>
      </c>
      <c r="B37" s="0" t="n">
        <f aca="false">COUNTIF(Payments!$C$5:$C$634,A37)</f>
        <v>17</v>
      </c>
      <c r="C37" s="0" t="n">
        <f aca="false">COUNTIFS(Payments!$C$5:$C$634,$A37,Payments!$G$5:$G$634,1)</f>
        <v>3</v>
      </c>
      <c r="D37" s="0" t="n">
        <f aca="false">COUNTIFS(Payments!$C$5:$C$634,$A37,Payments!$G$5:$G$634,2)</f>
        <v>3</v>
      </c>
      <c r="E37" s="0" t="n">
        <f aca="false">COUNTIFS(Payments!$C$5:$C$634,$A37,Payments!$G$5:$G$634,3)</f>
        <v>1</v>
      </c>
      <c r="F37" s="0" t="n">
        <f aca="false">COUNTIFS(Payments!$C$5:$C$634,$A37,Payments!$G$5:$G$634,4)</f>
        <v>2</v>
      </c>
      <c r="G37" s="0" t="n">
        <f aca="false">COUNTIFS(Payments!$C$5:$C$634,$A37,Payments!$G$5:$G$634,5)</f>
        <v>2</v>
      </c>
      <c r="H37" s="0" t="n">
        <f aca="false">COUNTIFS(Payments!$C$5:$C$634,$A37,Payments!$G$5:$G$634,6)</f>
        <v>0</v>
      </c>
      <c r="I37" s="0" t="n">
        <f aca="false">COUNTIFS(Payments!$C$5:$C$634,$A37,Payments!$G$5:$G$634,7)</f>
        <v>3</v>
      </c>
      <c r="J37" s="0" t="n">
        <f aca="false">COUNTIFS(Payments!$C$5:$C$634,$A37,Payments!$G$5:$G$634,8)</f>
        <v>0</v>
      </c>
      <c r="K37" s="0" t="n">
        <f aca="false">COUNTIFS(Payments!$C$5:$C$634,$A37,Payments!$G$5:$G$634,9)</f>
        <v>3</v>
      </c>
      <c r="L37" s="15" t="n">
        <f aca="false">IF(B37=0,0,SUMPRODUCT(ABS(C37:K37/B37-$C$5:$K$5))/9)</f>
        <v>0.0686164281562704</v>
      </c>
      <c r="M37" s="9" t="n">
        <f aca="false">IF(AND(B37&gt;=Parameters!$B$13,L37&gt;Parameters!$B$14),1,0)</f>
        <v>0</v>
      </c>
      <c r="N37" s="9" t="n">
        <f aca="false">IF(COUNTIF(Employees!$B$5:$B$29,INDEX(Vendors!$C$5:$C$49,MATCH(A37,Vendors!$A$5:$A$49,0)))&gt;0,1,0)</f>
        <v>0</v>
      </c>
    </row>
    <row r="38" customFormat="false" ht="15" hidden="false" customHeight="false" outlineLevel="0" collapsed="false">
      <c r="A38" s="0" t="s">
        <v>206</v>
      </c>
      <c r="B38" s="0" t="n">
        <f aca="false">COUNTIF(Payments!$C$5:$C$634,A38)</f>
        <v>23</v>
      </c>
      <c r="C38" s="0" t="n">
        <f aca="false">COUNTIFS(Payments!$C$5:$C$634,$A38,Payments!$G$5:$G$634,1)</f>
        <v>9</v>
      </c>
      <c r="D38" s="0" t="n">
        <f aca="false">COUNTIFS(Payments!$C$5:$C$634,$A38,Payments!$G$5:$G$634,2)</f>
        <v>3</v>
      </c>
      <c r="E38" s="0" t="n">
        <f aca="false">COUNTIFS(Payments!$C$5:$C$634,$A38,Payments!$G$5:$G$634,3)</f>
        <v>1</v>
      </c>
      <c r="F38" s="0" t="n">
        <f aca="false">COUNTIFS(Payments!$C$5:$C$634,$A38,Payments!$G$5:$G$634,4)</f>
        <v>4</v>
      </c>
      <c r="G38" s="0" t="n">
        <f aca="false">COUNTIFS(Payments!$C$5:$C$634,$A38,Payments!$G$5:$G$634,5)</f>
        <v>2</v>
      </c>
      <c r="H38" s="0" t="n">
        <f aca="false">COUNTIFS(Payments!$C$5:$C$634,$A38,Payments!$G$5:$G$634,6)</f>
        <v>2</v>
      </c>
      <c r="I38" s="0" t="n">
        <f aca="false">COUNTIFS(Payments!$C$5:$C$634,$A38,Payments!$G$5:$G$634,7)</f>
        <v>2</v>
      </c>
      <c r="J38" s="0" t="n">
        <f aca="false">COUNTIFS(Payments!$C$5:$C$634,$A38,Payments!$G$5:$G$634,8)</f>
        <v>0</v>
      </c>
      <c r="K38" s="0" t="n">
        <f aca="false">COUNTIFS(Payments!$C$5:$C$634,$A38,Payments!$G$5:$G$634,9)</f>
        <v>0</v>
      </c>
      <c r="L38" s="15" t="n">
        <f aca="false">IF(B38=0,0,SUMPRODUCT(ABS(C38:K38/B38-$C$5:$K$5))/9)</f>
        <v>0.0497837700430615</v>
      </c>
      <c r="M38" s="9" t="n">
        <f aca="false">IF(AND(B38&gt;=Parameters!$B$13,L38&gt;Parameters!$B$14),1,0)</f>
        <v>0</v>
      </c>
      <c r="N38" s="9" t="n">
        <f aca="false">IF(COUNTIF(Employees!$B$5:$B$29,INDEX(Vendors!$C$5:$C$49,MATCH(A38,Vendors!$A$5:$A$49,0)))&gt;0,1,0)</f>
        <v>0</v>
      </c>
    </row>
    <row r="39" customFormat="false" ht="15" hidden="false" customHeight="false" outlineLevel="0" collapsed="false">
      <c r="A39" s="0" t="s">
        <v>209</v>
      </c>
      <c r="B39" s="0" t="n">
        <f aca="false">COUNTIF(Payments!$C$5:$C$634,A39)</f>
        <v>14</v>
      </c>
      <c r="C39" s="0" t="n">
        <f aca="false">COUNTIFS(Payments!$C$5:$C$634,$A39,Payments!$G$5:$G$634,1)</f>
        <v>4</v>
      </c>
      <c r="D39" s="0" t="n">
        <f aca="false">COUNTIFS(Payments!$C$5:$C$634,$A39,Payments!$G$5:$G$634,2)</f>
        <v>2</v>
      </c>
      <c r="E39" s="0" t="n">
        <f aca="false">COUNTIFS(Payments!$C$5:$C$634,$A39,Payments!$G$5:$G$634,3)</f>
        <v>1</v>
      </c>
      <c r="F39" s="0" t="n">
        <f aca="false">COUNTIFS(Payments!$C$5:$C$634,$A39,Payments!$G$5:$G$634,4)</f>
        <v>1</v>
      </c>
      <c r="G39" s="0" t="n">
        <f aca="false">COUNTIFS(Payments!$C$5:$C$634,$A39,Payments!$G$5:$G$634,5)</f>
        <v>2</v>
      </c>
      <c r="H39" s="0" t="n">
        <f aca="false">COUNTIFS(Payments!$C$5:$C$634,$A39,Payments!$G$5:$G$634,6)</f>
        <v>1</v>
      </c>
      <c r="I39" s="0" t="n">
        <f aca="false">COUNTIFS(Payments!$C$5:$C$634,$A39,Payments!$G$5:$G$634,7)</f>
        <v>2</v>
      </c>
      <c r="J39" s="0" t="n">
        <f aca="false">COUNTIFS(Payments!$C$5:$C$634,$A39,Payments!$G$5:$G$634,8)</f>
        <v>0</v>
      </c>
      <c r="K39" s="0" t="n">
        <f aca="false">COUNTIFS(Payments!$C$5:$C$634,$A39,Payments!$G$5:$G$634,9)</f>
        <v>1</v>
      </c>
      <c r="L39" s="15" t="n">
        <f aca="false">IF(B39=0,0,SUMPRODUCT(ABS(C39:K39/B39-$C$5:$K$5))/9)</f>
        <v>0.0397097678566286</v>
      </c>
      <c r="M39" s="9" t="n">
        <f aca="false">IF(AND(B39&gt;=Parameters!$B$13,L39&gt;Parameters!$B$14),1,0)</f>
        <v>0</v>
      </c>
      <c r="N39" s="9" t="n">
        <f aca="false">IF(COUNTIF(Employees!$B$5:$B$29,INDEX(Vendors!$C$5:$C$49,MATCH(A39,Vendors!$A$5:$A$49,0)))&gt;0,1,0)</f>
        <v>0</v>
      </c>
    </row>
    <row r="40" customFormat="false" ht="15" hidden="false" customHeight="false" outlineLevel="0" collapsed="false">
      <c r="A40" s="0" t="s">
        <v>212</v>
      </c>
      <c r="B40" s="0" t="n">
        <f aca="false">COUNTIF(Payments!$C$5:$C$634,A40)</f>
        <v>19</v>
      </c>
      <c r="C40" s="0" t="n">
        <f aca="false">COUNTIFS(Payments!$C$5:$C$634,$A40,Payments!$G$5:$G$634,1)</f>
        <v>6</v>
      </c>
      <c r="D40" s="0" t="n">
        <f aca="false">COUNTIFS(Payments!$C$5:$C$634,$A40,Payments!$G$5:$G$634,2)</f>
        <v>2</v>
      </c>
      <c r="E40" s="0" t="n">
        <f aca="false">COUNTIFS(Payments!$C$5:$C$634,$A40,Payments!$G$5:$G$634,3)</f>
        <v>4</v>
      </c>
      <c r="F40" s="0" t="n">
        <f aca="false">COUNTIFS(Payments!$C$5:$C$634,$A40,Payments!$G$5:$G$634,4)</f>
        <v>0</v>
      </c>
      <c r="G40" s="0" t="n">
        <f aca="false">COUNTIFS(Payments!$C$5:$C$634,$A40,Payments!$G$5:$G$634,5)</f>
        <v>2</v>
      </c>
      <c r="H40" s="0" t="n">
        <f aca="false">COUNTIFS(Payments!$C$5:$C$634,$A40,Payments!$G$5:$G$634,6)</f>
        <v>2</v>
      </c>
      <c r="I40" s="0" t="n">
        <f aca="false">COUNTIFS(Payments!$C$5:$C$634,$A40,Payments!$G$5:$G$634,7)</f>
        <v>2</v>
      </c>
      <c r="J40" s="0" t="n">
        <f aca="false">COUNTIFS(Payments!$C$5:$C$634,$A40,Payments!$G$5:$G$634,8)</f>
        <v>1</v>
      </c>
      <c r="K40" s="0" t="n">
        <f aca="false">COUNTIFS(Payments!$C$5:$C$634,$A40,Payments!$G$5:$G$634,9)</f>
        <v>0</v>
      </c>
      <c r="L40" s="15" t="n">
        <f aca="false">IF(B40=0,0,SUMPRODUCT(ABS(C40:K40/B40-$C$5:$K$5))/9)</f>
        <v>0.0474434677177058</v>
      </c>
      <c r="M40" s="9" t="n">
        <f aca="false">IF(AND(B40&gt;=Parameters!$B$13,L40&gt;Parameters!$B$14),1,0)</f>
        <v>0</v>
      </c>
      <c r="N40" s="9" t="n">
        <f aca="false">IF(COUNTIF(Employees!$B$5:$B$29,INDEX(Vendors!$C$5:$C$49,MATCH(A40,Vendors!$A$5:$A$49,0)))&gt;0,1,0)</f>
        <v>0</v>
      </c>
    </row>
    <row r="41" customFormat="false" ht="15" hidden="false" customHeight="false" outlineLevel="0" collapsed="false">
      <c r="A41" s="0" t="s">
        <v>215</v>
      </c>
      <c r="B41" s="0" t="n">
        <f aca="false">COUNTIF(Payments!$C$5:$C$634,A41)</f>
        <v>7</v>
      </c>
      <c r="C41" s="0" t="n">
        <f aca="false">COUNTIFS(Payments!$C$5:$C$634,$A41,Payments!$G$5:$G$634,1)</f>
        <v>2</v>
      </c>
      <c r="D41" s="0" t="n">
        <f aca="false">COUNTIFS(Payments!$C$5:$C$634,$A41,Payments!$G$5:$G$634,2)</f>
        <v>3</v>
      </c>
      <c r="E41" s="0" t="n">
        <f aca="false">COUNTIFS(Payments!$C$5:$C$634,$A41,Payments!$G$5:$G$634,3)</f>
        <v>0</v>
      </c>
      <c r="F41" s="0" t="n">
        <f aca="false">COUNTIFS(Payments!$C$5:$C$634,$A41,Payments!$G$5:$G$634,4)</f>
        <v>0</v>
      </c>
      <c r="G41" s="0" t="n">
        <f aca="false">COUNTIFS(Payments!$C$5:$C$634,$A41,Payments!$G$5:$G$634,5)</f>
        <v>0</v>
      </c>
      <c r="H41" s="0" t="n">
        <f aca="false">COUNTIFS(Payments!$C$5:$C$634,$A41,Payments!$G$5:$G$634,6)</f>
        <v>2</v>
      </c>
      <c r="I41" s="0" t="n">
        <f aca="false">COUNTIFS(Payments!$C$5:$C$634,$A41,Payments!$G$5:$G$634,7)</f>
        <v>0</v>
      </c>
      <c r="J41" s="0" t="n">
        <f aca="false">COUNTIFS(Payments!$C$5:$C$634,$A41,Payments!$G$5:$G$634,8)</f>
        <v>0</v>
      </c>
      <c r="K41" s="0" t="n">
        <f aca="false">COUNTIFS(Payments!$C$5:$C$634,$A41,Payments!$G$5:$G$634,9)</f>
        <v>0</v>
      </c>
      <c r="L41" s="15" t="n">
        <f aca="false">IF(B41=0,0,SUMPRODUCT(ABS(C41:K41/B41-$C$5:$K$5))/9)</f>
        <v>0.104721703466538</v>
      </c>
      <c r="M41" s="9" t="n">
        <f aca="false">IF(AND(B41&gt;=Parameters!$B$13,L41&gt;Parameters!$B$14),1,0)</f>
        <v>0</v>
      </c>
      <c r="N41" s="9" t="n">
        <f aca="false">IF(COUNTIF(Employees!$B$5:$B$29,INDEX(Vendors!$C$5:$C$49,MATCH(A41,Vendors!$A$5:$A$49,0)))&gt;0,1,0)</f>
        <v>0</v>
      </c>
    </row>
    <row r="42" customFormat="false" ht="15" hidden="false" customHeight="false" outlineLevel="0" collapsed="false">
      <c r="A42" s="0" t="s">
        <v>218</v>
      </c>
      <c r="B42" s="0" t="n">
        <f aca="false">COUNTIF(Payments!$C$5:$C$634,A42)</f>
        <v>17</v>
      </c>
      <c r="C42" s="0" t="n">
        <f aca="false">COUNTIFS(Payments!$C$5:$C$634,$A42,Payments!$G$5:$G$634,1)</f>
        <v>7</v>
      </c>
      <c r="D42" s="0" t="n">
        <f aca="false">COUNTIFS(Payments!$C$5:$C$634,$A42,Payments!$G$5:$G$634,2)</f>
        <v>5</v>
      </c>
      <c r="E42" s="0" t="n">
        <f aca="false">COUNTIFS(Payments!$C$5:$C$634,$A42,Payments!$G$5:$G$634,3)</f>
        <v>1</v>
      </c>
      <c r="F42" s="0" t="n">
        <f aca="false">COUNTIFS(Payments!$C$5:$C$634,$A42,Payments!$G$5:$G$634,4)</f>
        <v>1</v>
      </c>
      <c r="G42" s="0" t="n">
        <f aca="false">COUNTIFS(Payments!$C$5:$C$634,$A42,Payments!$G$5:$G$634,5)</f>
        <v>2</v>
      </c>
      <c r="H42" s="0" t="n">
        <f aca="false">COUNTIFS(Payments!$C$5:$C$634,$A42,Payments!$G$5:$G$634,6)</f>
        <v>0</v>
      </c>
      <c r="I42" s="0" t="n">
        <f aca="false">COUNTIFS(Payments!$C$5:$C$634,$A42,Payments!$G$5:$G$634,7)</f>
        <v>0</v>
      </c>
      <c r="J42" s="0" t="n">
        <f aca="false">COUNTIFS(Payments!$C$5:$C$634,$A42,Payments!$G$5:$G$634,8)</f>
        <v>0</v>
      </c>
      <c r="K42" s="0" t="n">
        <f aca="false">COUNTIFS(Payments!$C$5:$C$634,$A42,Payments!$G$5:$G$634,9)</f>
        <v>1</v>
      </c>
      <c r="L42" s="15" t="n">
        <f aca="false">IF(B42=0,0,SUMPRODUCT(ABS(C42:K42/B42-$C$5:$K$5))/9)</f>
        <v>0.0622873221885574</v>
      </c>
      <c r="M42" s="9" t="n">
        <f aca="false">IF(AND(B42&gt;=Parameters!$B$13,L42&gt;Parameters!$B$14),1,0)</f>
        <v>0</v>
      </c>
      <c r="N42" s="9" t="n">
        <f aca="false">IF(COUNTIF(Employees!$B$5:$B$29,INDEX(Vendors!$C$5:$C$49,MATCH(A42,Vendors!$A$5:$A$49,0)))&gt;0,1,0)</f>
        <v>0</v>
      </c>
    </row>
    <row r="43" customFormat="false" ht="15" hidden="false" customHeight="false" outlineLevel="0" collapsed="false">
      <c r="A43" s="0" t="s">
        <v>221</v>
      </c>
      <c r="B43" s="0" t="n">
        <f aca="false">COUNTIF(Payments!$C$5:$C$634,A43)</f>
        <v>10</v>
      </c>
      <c r="C43" s="0" t="n">
        <f aca="false">COUNTIFS(Payments!$C$5:$C$634,$A43,Payments!$G$5:$G$634,1)</f>
        <v>5</v>
      </c>
      <c r="D43" s="0" t="n">
        <f aca="false">COUNTIFS(Payments!$C$5:$C$634,$A43,Payments!$G$5:$G$634,2)</f>
        <v>1</v>
      </c>
      <c r="E43" s="0" t="n">
        <f aca="false">COUNTIFS(Payments!$C$5:$C$634,$A43,Payments!$G$5:$G$634,3)</f>
        <v>2</v>
      </c>
      <c r="F43" s="0" t="n">
        <f aca="false">COUNTIFS(Payments!$C$5:$C$634,$A43,Payments!$G$5:$G$634,4)</f>
        <v>0</v>
      </c>
      <c r="G43" s="0" t="n">
        <f aca="false">COUNTIFS(Payments!$C$5:$C$634,$A43,Payments!$G$5:$G$634,5)</f>
        <v>1</v>
      </c>
      <c r="H43" s="0" t="n">
        <f aca="false">COUNTIFS(Payments!$C$5:$C$634,$A43,Payments!$G$5:$G$634,6)</f>
        <v>1</v>
      </c>
      <c r="I43" s="0" t="n">
        <f aca="false">COUNTIFS(Payments!$C$5:$C$634,$A43,Payments!$G$5:$G$634,7)</f>
        <v>0</v>
      </c>
      <c r="J43" s="0" t="n">
        <f aca="false">COUNTIFS(Payments!$C$5:$C$634,$A43,Payments!$G$5:$G$634,8)</f>
        <v>0</v>
      </c>
      <c r="K43" s="0" t="n">
        <f aca="false">COUNTIFS(Payments!$C$5:$C$634,$A43,Payments!$G$5:$G$634,9)</f>
        <v>0</v>
      </c>
      <c r="L43" s="15" t="n">
        <f aca="false">IF(B43=0,0,SUMPRODUCT(ABS(C43:K43/B43-$C$5:$K$5))/9)</f>
        <v>0.0728673848998846</v>
      </c>
      <c r="M43" s="9" t="n">
        <f aca="false">IF(AND(B43&gt;=Parameters!$B$13,L43&gt;Parameters!$B$14),1,0)</f>
        <v>0</v>
      </c>
      <c r="N43" s="9" t="n">
        <f aca="false">IF(COUNTIF(Employees!$B$5:$B$29,INDEX(Vendors!$C$5:$C$49,MATCH(A43,Vendors!$A$5:$A$49,0)))&gt;0,1,0)</f>
        <v>1</v>
      </c>
    </row>
    <row r="44" customFormat="false" ht="15" hidden="false" customHeight="false" outlineLevel="0" collapsed="false">
      <c r="A44" s="0" t="s">
        <v>224</v>
      </c>
      <c r="B44" s="0" t="n">
        <f aca="false">COUNTIF(Payments!$C$5:$C$634,A44)</f>
        <v>21</v>
      </c>
      <c r="C44" s="0" t="n">
        <f aca="false">COUNTIFS(Payments!$C$5:$C$634,$A44,Payments!$G$5:$G$634,1)</f>
        <v>4</v>
      </c>
      <c r="D44" s="0" t="n">
        <f aca="false">COUNTIFS(Payments!$C$5:$C$634,$A44,Payments!$G$5:$G$634,2)</f>
        <v>5</v>
      </c>
      <c r="E44" s="0" t="n">
        <f aca="false">COUNTIFS(Payments!$C$5:$C$634,$A44,Payments!$G$5:$G$634,3)</f>
        <v>2</v>
      </c>
      <c r="F44" s="0" t="n">
        <f aca="false">COUNTIFS(Payments!$C$5:$C$634,$A44,Payments!$G$5:$G$634,4)</f>
        <v>3</v>
      </c>
      <c r="G44" s="0" t="n">
        <f aca="false">COUNTIFS(Payments!$C$5:$C$634,$A44,Payments!$G$5:$G$634,5)</f>
        <v>2</v>
      </c>
      <c r="H44" s="0" t="n">
        <f aca="false">COUNTIFS(Payments!$C$5:$C$634,$A44,Payments!$G$5:$G$634,6)</f>
        <v>2</v>
      </c>
      <c r="I44" s="0" t="n">
        <f aca="false">COUNTIFS(Payments!$C$5:$C$634,$A44,Payments!$G$5:$G$634,7)</f>
        <v>1</v>
      </c>
      <c r="J44" s="0" t="n">
        <f aca="false">COUNTIFS(Payments!$C$5:$C$634,$A44,Payments!$G$5:$G$634,8)</f>
        <v>1</v>
      </c>
      <c r="K44" s="0" t="n">
        <f aca="false">COUNTIFS(Payments!$C$5:$C$634,$A44,Payments!$G$5:$G$634,9)</f>
        <v>1</v>
      </c>
      <c r="L44" s="15" t="n">
        <f aca="false">IF(B44=0,0,SUMPRODUCT(ABS(C44:K44/B44-$C$5:$K$5))/9)</f>
        <v>0.0342579601655485</v>
      </c>
      <c r="M44" s="9" t="n">
        <f aca="false">IF(AND(B44&gt;=Parameters!$B$13,L44&gt;Parameters!$B$14),1,0)</f>
        <v>0</v>
      </c>
      <c r="N44" s="9" t="n">
        <f aca="false">IF(COUNTIF(Employees!$B$5:$B$29,INDEX(Vendors!$C$5:$C$49,MATCH(A44,Vendors!$A$5:$A$49,0)))&gt;0,1,0)</f>
        <v>0</v>
      </c>
    </row>
    <row r="45" customFormat="false" ht="15" hidden="false" customHeight="false" outlineLevel="0" collapsed="false">
      <c r="A45" s="0" t="s">
        <v>227</v>
      </c>
      <c r="B45" s="0" t="n">
        <f aca="false">COUNTIF(Payments!$C$5:$C$634,A45)</f>
        <v>7</v>
      </c>
      <c r="C45" s="0" t="n">
        <f aca="false">COUNTIFS(Payments!$C$5:$C$634,$A45,Payments!$G$5:$G$634,1)</f>
        <v>4</v>
      </c>
      <c r="D45" s="0" t="n">
        <f aca="false">COUNTIFS(Payments!$C$5:$C$634,$A45,Payments!$G$5:$G$634,2)</f>
        <v>1</v>
      </c>
      <c r="E45" s="0" t="n">
        <f aca="false">COUNTIFS(Payments!$C$5:$C$634,$A45,Payments!$G$5:$G$634,3)</f>
        <v>0</v>
      </c>
      <c r="F45" s="0" t="n">
        <f aca="false">COUNTIFS(Payments!$C$5:$C$634,$A45,Payments!$G$5:$G$634,4)</f>
        <v>1</v>
      </c>
      <c r="G45" s="0" t="n">
        <f aca="false">COUNTIFS(Payments!$C$5:$C$634,$A45,Payments!$G$5:$G$634,5)</f>
        <v>0</v>
      </c>
      <c r="H45" s="0" t="n">
        <f aca="false">COUNTIFS(Payments!$C$5:$C$634,$A45,Payments!$G$5:$G$634,6)</f>
        <v>1</v>
      </c>
      <c r="I45" s="0" t="n">
        <f aca="false">COUNTIFS(Payments!$C$5:$C$634,$A45,Payments!$G$5:$G$634,7)</f>
        <v>0</v>
      </c>
      <c r="J45" s="0" t="n">
        <f aca="false">COUNTIFS(Payments!$C$5:$C$634,$A45,Payments!$G$5:$G$634,8)</f>
        <v>0</v>
      </c>
      <c r="K45" s="0" t="n">
        <f aca="false">COUNTIFS(Payments!$C$5:$C$634,$A45,Payments!$G$5:$G$634,9)</f>
        <v>0</v>
      </c>
      <c r="L45" s="15" t="n">
        <f aca="false">IF(B45=0,0,SUMPRODUCT(ABS(C45:K45/B45-$C$5:$K$5))/9)</f>
        <v>0.0871680130756014</v>
      </c>
      <c r="M45" s="9" t="n">
        <f aca="false">IF(AND(B45&gt;=Parameters!$B$13,L45&gt;Parameters!$B$14),1,0)</f>
        <v>0</v>
      </c>
      <c r="N45" s="9" t="n">
        <f aca="false">IF(COUNTIF(Employees!$B$5:$B$29,INDEX(Vendors!$C$5:$C$49,MATCH(A45,Vendors!$A$5:$A$49,0)))&gt;0,1,0)</f>
        <v>0</v>
      </c>
    </row>
    <row r="46" customFormat="false" ht="15" hidden="false" customHeight="false" outlineLevel="0" collapsed="false">
      <c r="A46" s="0" t="s">
        <v>230</v>
      </c>
      <c r="B46" s="0" t="n">
        <f aca="false">COUNTIF(Payments!$C$5:$C$634,A46)</f>
        <v>2</v>
      </c>
      <c r="C46" s="0" t="n">
        <f aca="false">COUNTIFS(Payments!$C$5:$C$634,$A46,Payments!$G$5:$G$634,1)</f>
        <v>1</v>
      </c>
      <c r="D46" s="0" t="n">
        <f aca="false">COUNTIFS(Payments!$C$5:$C$634,$A46,Payments!$G$5:$G$634,2)</f>
        <v>0</v>
      </c>
      <c r="E46" s="0" t="n">
        <f aca="false">COUNTIFS(Payments!$C$5:$C$634,$A46,Payments!$G$5:$G$634,3)</f>
        <v>1</v>
      </c>
      <c r="F46" s="0" t="n">
        <f aca="false">COUNTIFS(Payments!$C$5:$C$634,$A46,Payments!$G$5:$G$634,4)</f>
        <v>0</v>
      </c>
      <c r="G46" s="0" t="n">
        <f aca="false">COUNTIFS(Payments!$C$5:$C$634,$A46,Payments!$G$5:$G$634,5)</f>
        <v>0</v>
      </c>
      <c r="H46" s="0" t="n">
        <f aca="false">COUNTIFS(Payments!$C$5:$C$634,$A46,Payments!$G$5:$G$634,6)</f>
        <v>0</v>
      </c>
      <c r="I46" s="0" t="n">
        <f aca="false">COUNTIFS(Payments!$C$5:$C$634,$A46,Payments!$G$5:$G$634,7)</f>
        <v>0</v>
      </c>
      <c r="J46" s="0" t="n">
        <f aca="false">COUNTIFS(Payments!$C$5:$C$634,$A46,Payments!$G$5:$G$634,8)</f>
        <v>0</v>
      </c>
      <c r="K46" s="0" t="n">
        <f aca="false">COUNTIFS(Payments!$C$5:$C$634,$A46,Payments!$G$5:$G$634,9)</f>
        <v>0</v>
      </c>
      <c r="L46" s="15" t="n">
        <f aca="false">IF(B46=0,0,SUMPRODUCT(ABS(C46:K46/B46-$C$5:$K$5))/9)</f>
        <v>0.127562503939493</v>
      </c>
      <c r="M46" s="9" t="n">
        <f aca="false">IF(AND(B46&gt;=Parameters!$B$13,L46&gt;Parameters!$B$14),1,0)</f>
        <v>0</v>
      </c>
      <c r="N46" s="9" t="n">
        <f aca="false">IF(COUNTIF(Employees!$B$5:$B$29,INDEX(Vendors!$C$5:$C$49,MATCH(A46,Vendors!$A$5:$A$49,0)))&gt;0,1,0)</f>
        <v>0</v>
      </c>
    </row>
    <row r="47" customFormat="false" ht="15" hidden="false" customHeight="false" outlineLevel="0" collapsed="false">
      <c r="A47" s="0" t="s">
        <v>233</v>
      </c>
      <c r="B47" s="0" t="n">
        <f aca="false">COUNTIF(Payments!$C$5:$C$634,A47)</f>
        <v>12</v>
      </c>
      <c r="C47" s="0" t="n">
        <f aca="false">COUNTIFS(Payments!$C$5:$C$634,$A47,Payments!$G$5:$G$634,1)</f>
        <v>4</v>
      </c>
      <c r="D47" s="0" t="n">
        <f aca="false">COUNTIFS(Payments!$C$5:$C$634,$A47,Payments!$G$5:$G$634,2)</f>
        <v>1</v>
      </c>
      <c r="E47" s="0" t="n">
        <f aca="false">COUNTIFS(Payments!$C$5:$C$634,$A47,Payments!$G$5:$G$634,3)</f>
        <v>1</v>
      </c>
      <c r="F47" s="0" t="n">
        <f aca="false">COUNTIFS(Payments!$C$5:$C$634,$A47,Payments!$G$5:$G$634,4)</f>
        <v>0</v>
      </c>
      <c r="G47" s="0" t="n">
        <f aca="false">COUNTIFS(Payments!$C$5:$C$634,$A47,Payments!$G$5:$G$634,5)</f>
        <v>2</v>
      </c>
      <c r="H47" s="0" t="n">
        <f aca="false">COUNTIFS(Payments!$C$5:$C$634,$A47,Payments!$G$5:$G$634,6)</f>
        <v>0</v>
      </c>
      <c r="I47" s="0" t="n">
        <f aca="false">COUNTIFS(Payments!$C$5:$C$634,$A47,Payments!$G$5:$G$634,7)</f>
        <v>2</v>
      </c>
      <c r="J47" s="0" t="n">
        <f aca="false">COUNTIFS(Payments!$C$5:$C$634,$A47,Payments!$G$5:$G$634,8)</f>
        <v>1</v>
      </c>
      <c r="K47" s="0" t="n">
        <f aca="false">COUNTIFS(Payments!$C$5:$C$634,$A47,Payments!$G$5:$G$634,9)</f>
        <v>1</v>
      </c>
      <c r="L47" s="15" t="n">
        <f aca="false">IF(B47=0,0,SUMPRODUCT(ABS(C47:K47/B47-$C$5:$K$5))/9)</f>
        <v>0.066271140363552</v>
      </c>
      <c r="M47" s="9" t="n">
        <f aca="false">IF(AND(B47&gt;=Parameters!$B$13,L47&gt;Parameters!$B$14),1,0)</f>
        <v>0</v>
      </c>
      <c r="N47" s="9" t="n">
        <f aca="false">IF(COUNTIF(Employees!$B$5:$B$29,INDEX(Vendors!$C$5:$C$49,MATCH(A47,Vendors!$A$5:$A$49,0)))&gt;0,1,0)</f>
        <v>0</v>
      </c>
    </row>
    <row r="48" customFormat="false" ht="15" hidden="false" customHeight="false" outlineLevel="0" collapsed="false">
      <c r="A48" s="0" t="s">
        <v>236</v>
      </c>
      <c r="B48" s="0" t="n">
        <f aca="false">COUNTIF(Payments!$C$5:$C$634,A48)</f>
        <v>11</v>
      </c>
      <c r="C48" s="0" t="n">
        <f aca="false">COUNTIFS(Payments!$C$5:$C$634,$A48,Payments!$G$5:$G$634,1)</f>
        <v>2</v>
      </c>
      <c r="D48" s="0" t="n">
        <f aca="false">COUNTIFS(Payments!$C$5:$C$634,$A48,Payments!$G$5:$G$634,2)</f>
        <v>6</v>
      </c>
      <c r="E48" s="0" t="n">
        <f aca="false">COUNTIFS(Payments!$C$5:$C$634,$A48,Payments!$G$5:$G$634,3)</f>
        <v>0</v>
      </c>
      <c r="F48" s="0" t="n">
        <f aca="false">COUNTIFS(Payments!$C$5:$C$634,$A48,Payments!$G$5:$G$634,4)</f>
        <v>1</v>
      </c>
      <c r="G48" s="0" t="n">
        <f aca="false">COUNTIFS(Payments!$C$5:$C$634,$A48,Payments!$G$5:$G$634,5)</f>
        <v>1</v>
      </c>
      <c r="H48" s="0" t="n">
        <f aca="false">COUNTIFS(Payments!$C$5:$C$634,$A48,Payments!$G$5:$G$634,6)</f>
        <v>0</v>
      </c>
      <c r="I48" s="0" t="n">
        <f aca="false">COUNTIFS(Payments!$C$5:$C$634,$A48,Payments!$G$5:$G$634,7)</f>
        <v>0</v>
      </c>
      <c r="J48" s="0" t="n">
        <f aca="false">COUNTIFS(Payments!$C$5:$C$634,$A48,Payments!$G$5:$G$634,8)</f>
        <v>1</v>
      </c>
      <c r="K48" s="0" t="n">
        <f aca="false">COUNTIFS(Payments!$C$5:$C$634,$A48,Payments!$G$5:$G$634,9)</f>
        <v>0</v>
      </c>
      <c r="L48" s="15" t="n">
        <f aca="false">IF(B48=0,0,SUMPRODUCT(ABS(C48:K48/B48-$C$5:$K$5))/9)</f>
        <v>0.0935217110493422</v>
      </c>
      <c r="M48" s="9" t="n">
        <f aca="false">IF(AND(B48&gt;=Parameters!$B$13,L48&gt;Parameters!$B$14),1,0)</f>
        <v>0</v>
      </c>
      <c r="N48" s="9" t="n">
        <f aca="false">IF(COUNTIF(Employees!$B$5:$B$29,INDEX(Vendors!$C$5:$C$49,MATCH(A48,Vendors!$A$5:$A$49,0)))&gt;0,1,0)</f>
        <v>0</v>
      </c>
    </row>
    <row r="49" customFormat="false" ht="15" hidden="false" customHeight="false" outlineLevel="0" collapsed="false">
      <c r="A49" s="0" t="s">
        <v>239</v>
      </c>
      <c r="B49" s="0" t="n">
        <f aca="false">COUNTIF(Payments!$C$5:$C$634,A49)</f>
        <v>18</v>
      </c>
      <c r="C49" s="0" t="n">
        <f aca="false">COUNTIFS(Payments!$C$5:$C$634,$A49,Payments!$G$5:$G$634,1)</f>
        <v>5</v>
      </c>
      <c r="D49" s="0" t="n">
        <f aca="false">COUNTIFS(Payments!$C$5:$C$634,$A49,Payments!$G$5:$G$634,2)</f>
        <v>3</v>
      </c>
      <c r="E49" s="0" t="n">
        <f aca="false">COUNTIFS(Payments!$C$5:$C$634,$A49,Payments!$G$5:$G$634,3)</f>
        <v>1</v>
      </c>
      <c r="F49" s="0" t="n">
        <f aca="false">COUNTIFS(Payments!$C$5:$C$634,$A49,Payments!$G$5:$G$634,4)</f>
        <v>3</v>
      </c>
      <c r="G49" s="0" t="n">
        <f aca="false">COUNTIFS(Payments!$C$5:$C$634,$A49,Payments!$G$5:$G$634,5)</f>
        <v>2</v>
      </c>
      <c r="H49" s="0" t="n">
        <f aca="false">COUNTIFS(Payments!$C$5:$C$634,$A49,Payments!$G$5:$G$634,6)</f>
        <v>1</v>
      </c>
      <c r="I49" s="0" t="n">
        <f aca="false">COUNTIFS(Payments!$C$5:$C$634,$A49,Payments!$G$5:$G$634,7)</f>
        <v>0</v>
      </c>
      <c r="J49" s="0" t="n">
        <f aca="false">COUNTIFS(Payments!$C$5:$C$634,$A49,Payments!$G$5:$G$634,8)</f>
        <v>1</v>
      </c>
      <c r="K49" s="0" t="n">
        <f aca="false">COUNTIFS(Payments!$C$5:$C$634,$A49,Payments!$G$5:$G$634,9)</f>
        <v>2</v>
      </c>
      <c r="L49" s="15" t="n">
        <f aca="false">IF(B49=0,0,SUMPRODUCT(ABS(C49:K49/B49-$C$5:$K$5))/9)</f>
        <v>0.0380984827512682</v>
      </c>
      <c r="M49" s="9" t="n">
        <f aca="false">IF(AND(B49&gt;=Parameters!$B$13,L49&gt;Parameters!$B$14),1,0)</f>
        <v>0</v>
      </c>
      <c r="N49" s="9" t="n">
        <f aca="false">IF(COUNTIF(Employees!$B$5:$B$29,INDEX(Vendors!$C$5:$C$49,MATCH(A49,Vendors!$A$5:$A$49,0)))&gt;0,1,0)</f>
        <v>0</v>
      </c>
    </row>
    <row r="50" customFormat="false" ht="15" hidden="false" customHeight="false" outlineLevel="0" collapsed="false">
      <c r="A50" s="0" t="s">
        <v>242</v>
      </c>
      <c r="B50" s="0" t="n">
        <f aca="false">COUNTIF(Payments!$C$5:$C$634,A50)</f>
        <v>11</v>
      </c>
      <c r="C50" s="0" t="n">
        <f aca="false">COUNTIFS(Payments!$C$5:$C$634,$A50,Payments!$G$5:$G$634,1)</f>
        <v>5</v>
      </c>
      <c r="D50" s="0" t="n">
        <f aca="false">COUNTIFS(Payments!$C$5:$C$634,$A50,Payments!$G$5:$G$634,2)</f>
        <v>2</v>
      </c>
      <c r="E50" s="0" t="n">
        <f aca="false">COUNTIFS(Payments!$C$5:$C$634,$A50,Payments!$G$5:$G$634,3)</f>
        <v>1</v>
      </c>
      <c r="F50" s="0" t="n">
        <f aca="false">COUNTIFS(Payments!$C$5:$C$634,$A50,Payments!$G$5:$G$634,4)</f>
        <v>0</v>
      </c>
      <c r="G50" s="0" t="n">
        <f aca="false">COUNTIFS(Payments!$C$5:$C$634,$A50,Payments!$G$5:$G$634,5)</f>
        <v>0</v>
      </c>
      <c r="H50" s="0" t="n">
        <f aca="false">COUNTIFS(Payments!$C$5:$C$634,$A50,Payments!$G$5:$G$634,6)</f>
        <v>0</v>
      </c>
      <c r="I50" s="0" t="n">
        <f aca="false">COUNTIFS(Payments!$C$5:$C$634,$A50,Payments!$G$5:$G$634,7)</f>
        <v>1</v>
      </c>
      <c r="J50" s="0" t="n">
        <f aca="false">COUNTIFS(Payments!$C$5:$C$634,$A50,Payments!$G$5:$G$634,8)</f>
        <v>1</v>
      </c>
      <c r="K50" s="0" t="n">
        <f aca="false">COUNTIFS(Payments!$C$5:$C$634,$A50,Payments!$G$5:$G$634,9)</f>
        <v>1</v>
      </c>
      <c r="L50" s="15" t="n">
        <f aca="false">IF(B50=0,0,SUMPRODUCT(ABS(C50:K50/B50-$C$5:$K$5))/9)</f>
        <v>0.0615705987523341</v>
      </c>
      <c r="M50" s="9" t="n">
        <f aca="false">IF(AND(B50&gt;=Parameters!$B$13,L50&gt;Parameters!$B$14),1,0)</f>
        <v>0</v>
      </c>
      <c r="N50" s="9" t="n">
        <f aca="false">IF(COUNTIF(Employees!$B$5:$B$29,INDEX(Vendors!$C$5:$C$49,MATCH(A50,Vendors!$A$5:$A$49,0)))&gt;0,1,0)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5" t="s">
        <v>1601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246</v>
      </c>
    </row>
    <row r="4" customFormat="false" ht="33.75" hidden="false" customHeight="true" outlineLevel="0" collapsed="false">
      <c r="A4" s="7" t="s">
        <v>1602</v>
      </c>
      <c r="B4" s="7" t="s">
        <v>1603</v>
      </c>
      <c r="C4" s="7" t="s">
        <v>1604</v>
      </c>
    </row>
    <row r="5" customFormat="false" ht="15" hidden="false" customHeight="false" outlineLevel="0" collapsed="false">
      <c r="A5" s="10" t="n">
        <v>1000</v>
      </c>
      <c r="B5" s="10" t="s">
        <v>1605</v>
      </c>
      <c r="C5" s="10" t="s">
        <v>1606</v>
      </c>
    </row>
    <row r="6" customFormat="false" ht="15" hidden="false" customHeight="false" outlineLevel="0" collapsed="false">
      <c r="A6" s="10" t="n">
        <v>1100</v>
      </c>
      <c r="B6" s="10" t="s">
        <v>1607</v>
      </c>
      <c r="C6" s="10" t="s">
        <v>1606</v>
      </c>
    </row>
    <row r="7" customFormat="false" ht="15" hidden="false" customHeight="false" outlineLevel="0" collapsed="false">
      <c r="A7" s="10" t="n">
        <v>1200</v>
      </c>
      <c r="B7" s="10" t="s">
        <v>1608</v>
      </c>
      <c r="C7" s="10" t="s">
        <v>1606</v>
      </c>
    </row>
    <row r="8" customFormat="false" ht="15" hidden="false" customHeight="false" outlineLevel="0" collapsed="false">
      <c r="A8" s="10" t="n">
        <v>1500</v>
      </c>
      <c r="B8" s="10" t="s">
        <v>1609</v>
      </c>
      <c r="C8" s="10" t="s">
        <v>1606</v>
      </c>
    </row>
    <row r="9" customFormat="false" ht="15" hidden="false" customHeight="false" outlineLevel="0" collapsed="false">
      <c r="A9" s="10" t="n">
        <v>2000</v>
      </c>
      <c r="B9" s="10" t="s">
        <v>1610</v>
      </c>
      <c r="C9" s="10" t="s">
        <v>1611</v>
      </c>
    </row>
    <row r="10" customFormat="false" ht="15" hidden="false" customHeight="false" outlineLevel="0" collapsed="false">
      <c r="A10" s="10" t="n">
        <v>2100</v>
      </c>
      <c r="B10" s="10" t="s">
        <v>1612</v>
      </c>
      <c r="C10" s="10" t="s">
        <v>1611</v>
      </c>
    </row>
    <row r="11" customFormat="false" ht="15" hidden="false" customHeight="false" outlineLevel="0" collapsed="false">
      <c r="A11" s="10" t="n">
        <v>2500</v>
      </c>
      <c r="B11" s="10" t="s">
        <v>1613</v>
      </c>
      <c r="C11" s="10" t="s">
        <v>1611</v>
      </c>
    </row>
    <row r="12" customFormat="false" ht="15" hidden="false" customHeight="false" outlineLevel="0" collapsed="false">
      <c r="A12" s="10" t="n">
        <v>4000</v>
      </c>
      <c r="B12" s="10" t="s">
        <v>1614</v>
      </c>
      <c r="C12" s="10" t="s">
        <v>1615</v>
      </c>
    </row>
    <row r="13" customFormat="false" ht="15" hidden="false" customHeight="false" outlineLevel="0" collapsed="false">
      <c r="A13" s="10" t="n">
        <v>4100</v>
      </c>
      <c r="B13" s="10" t="s">
        <v>1616</v>
      </c>
      <c r="C13" s="10" t="s">
        <v>1615</v>
      </c>
    </row>
    <row r="14" customFormat="false" ht="15" hidden="false" customHeight="false" outlineLevel="0" collapsed="false">
      <c r="A14" s="10" t="n">
        <v>5000</v>
      </c>
      <c r="B14" s="10" t="s">
        <v>1617</v>
      </c>
      <c r="C14" s="10" t="s">
        <v>1618</v>
      </c>
    </row>
    <row r="15" customFormat="false" ht="15" hidden="false" customHeight="false" outlineLevel="0" collapsed="false">
      <c r="A15" s="10" t="n">
        <v>6000</v>
      </c>
      <c r="B15" s="10" t="s">
        <v>1619</v>
      </c>
      <c r="C15" s="10" t="s">
        <v>1618</v>
      </c>
    </row>
    <row r="16" customFormat="false" ht="15" hidden="false" customHeight="false" outlineLevel="0" collapsed="false">
      <c r="A16" s="10" t="n">
        <v>6100</v>
      </c>
      <c r="B16" s="10" t="s">
        <v>1620</v>
      </c>
      <c r="C16" s="10" t="s">
        <v>1618</v>
      </c>
    </row>
    <row r="17" customFormat="false" ht="15" hidden="false" customHeight="false" outlineLevel="0" collapsed="false">
      <c r="A17" s="10" t="n">
        <v>6200</v>
      </c>
      <c r="B17" s="10" t="s">
        <v>1621</v>
      </c>
      <c r="C17" s="10" t="s">
        <v>1618</v>
      </c>
    </row>
    <row r="18" customFormat="false" ht="15" hidden="false" customHeight="false" outlineLevel="0" collapsed="false">
      <c r="A18" s="10" t="n">
        <v>6900</v>
      </c>
      <c r="B18" s="10" t="s">
        <v>1622</v>
      </c>
      <c r="C18" s="10" t="s">
        <v>1618</v>
      </c>
    </row>
    <row r="19" customFormat="false" ht="15" hidden="false" customHeight="false" outlineLevel="0" collapsed="false">
      <c r="A19" s="10" t="n">
        <v>9999</v>
      </c>
      <c r="B19" s="10" t="s">
        <v>1623</v>
      </c>
      <c r="C19" s="10" t="s">
        <v>1623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  <col collapsed="false" customWidth="true" hidden="false" outlineLevel="0" max="11" min="11" style="0" width="34"/>
  </cols>
  <sheetData>
    <row r="1" customFormat="false" ht="17.35" hidden="false" customHeight="false" outlineLevel="0" collapsed="false">
      <c r="A1" s="5" t="s">
        <v>1624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1625</v>
      </c>
    </row>
    <row r="4" customFormat="false" ht="33.75" hidden="false" customHeight="true" outlineLevel="0" collapsed="false">
      <c r="A4" s="7" t="s">
        <v>1626</v>
      </c>
      <c r="B4" s="7" t="s">
        <v>1627</v>
      </c>
      <c r="C4" s="7" t="s">
        <v>1628</v>
      </c>
      <c r="D4" s="7" t="s">
        <v>1629</v>
      </c>
      <c r="E4" s="7" t="s">
        <v>1602</v>
      </c>
      <c r="F4" s="7" t="s">
        <v>1604</v>
      </c>
      <c r="G4" s="7" t="s">
        <v>1630</v>
      </c>
      <c r="H4" s="7" t="s">
        <v>1631</v>
      </c>
      <c r="I4" s="7" t="s">
        <v>1632</v>
      </c>
      <c r="J4" s="7" t="s">
        <v>1633</v>
      </c>
      <c r="K4" s="7" t="s">
        <v>1634</v>
      </c>
    </row>
    <row r="5" customFormat="false" ht="15" hidden="false" customHeight="false" outlineLevel="0" collapsed="false">
      <c r="A5" s="10" t="s">
        <v>1635</v>
      </c>
      <c r="B5" s="10" t="n">
        <v>1001</v>
      </c>
      <c r="C5" s="8" t="n">
        <v>45658</v>
      </c>
      <c r="D5" s="8" t="n">
        <v>45657</v>
      </c>
      <c r="E5" s="10" t="n">
        <v>1000</v>
      </c>
      <c r="F5" s="0" t="str">
        <f aca="false">INDEX(COA!$C$5:$C$19,MATCH(E5,COA!$A$5:$A$19,0))</f>
        <v>Asset</v>
      </c>
      <c r="G5" s="12" t="n">
        <v>4474.19</v>
      </c>
      <c r="H5" s="12" t="n">
        <v>0</v>
      </c>
      <c r="I5" s="10" t="s">
        <v>103</v>
      </c>
      <c r="J5" s="10" t="s">
        <v>1636</v>
      </c>
      <c r="K5" s="10" t="s">
        <v>1637</v>
      </c>
    </row>
    <row r="6" customFormat="false" ht="15" hidden="false" customHeight="false" outlineLevel="0" collapsed="false">
      <c r="A6" s="10" t="s">
        <v>1638</v>
      </c>
      <c r="B6" s="10" t="n">
        <v>1001</v>
      </c>
      <c r="C6" s="8" t="n">
        <v>45658</v>
      </c>
      <c r="D6" s="8" t="n">
        <v>45657</v>
      </c>
      <c r="E6" s="10" t="n">
        <v>1100</v>
      </c>
      <c r="F6" s="0" t="str">
        <f aca="false">INDEX(COA!$C$5:$C$19,MATCH(E6,COA!$A$5:$A$19,0))</f>
        <v>Asset</v>
      </c>
      <c r="G6" s="12" t="n">
        <v>0</v>
      </c>
      <c r="H6" s="12" t="n">
        <v>4474.19</v>
      </c>
      <c r="I6" s="10" t="s">
        <v>103</v>
      </c>
      <c r="J6" s="10" t="s">
        <v>1636</v>
      </c>
      <c r="K6" s="10" t="s">
        <v>1637</v>
      </c>
    </row>
    <row r="7" customFormat="false" ht="15" hidden="false" customHeight="false" outlineLevel="0" collapsed="false">
      <c r="A7" s="10" t="s">
        <v>1639</v>
      </c>
      <c r="B7" s="10" t="n">
        <v>1002</v>
      </c>
      <c r="C7" s="8" t="n">
        <v>45658</v>
      </c>
      <c r="D7" s="8" t="n">
        <v>45656</v>
      </c>
      <c r="E7" s="10" t="n">
        <v>1100</v>
      </c>
      <c r="F7" s="0" t="str">
        <f aca="false">INDEX(COA!$C$5:$C$19,MATCH(E7,COA!$A$5:$A$19,0))</f>
        <v>Asset</v>
      </c>
      <c r="G7" s="12" t="n">
        <v>2895.32</v>
      </c>
      <c r="H7" s="12" t="n">
        <v>0</v>
      </c>
      <c r="I7" s="10" t="s">
        <v>103</v>
      </c>
      <c r="J7" s="10" t="s">
        <v>1636</v>
      </c>
      <c r="K7" s="10" t="s">
        <v>1640</v>
      </c>
    </row>
    <row r="8" customFormat="false" ht="15" hidden="false" customHeight="false" outlineLevel="0" collapsed="false">
      <c r="A8" s="10" t="s">
        <v>1641</v>
      </c>
      <c r="B8" s="10" t="n">
        <v>1002</v>
      </c>
      <c r="C8" s="8" t="n">
        <v>45658</v>
      </c>
      <c r="D8" s="8" t="n">
        <v>45656</v>
      </c>
      <c r="E8" s="10" t="n">
        <v>4000</v>
      </c>
      <c r="F8" s="0" t="str">
        <f aca="false">INDEX(COA!$C$5:$C$19,MATCH(E8,COA!$A$5:$A$19,0))</f>
        <v>Revenue</v>
      </c>
      <c r="G8" s="12" t="n">
        <v>0</v>
      </c>
      <c r="H8" s="12" t="n">
        <v>2895.32</v>
      </c>
      <c r="I8" s="10" t="s">
        <v>103</v>
      </c>
      <c r="J8" s="10" t="s">
        <v>1636</v>
      </c>
      <c r="K8" s="10" t="s">
        <v>1640</v>
      </c>
    </row>
    <row r="9" customFormat="false" ht="15" hidden="false" customHeight="false" outlineLevel="0" collapsed="false">
      <c r="A9" s="10" t="s">
        <v>1642</v>
      </c>
      <c r="B9" s="10" t="n">
        <v>1003</v>
      </c>
      <c r="C9" s="8" t="n">
        <v>45658</v>
      </c>
      <c r="D9" s="8" t="n">
        <v>45655</v>
      </c>
      <c r="E9" s="10" t="n">
        <v>1100</v>
      </c>
      <c r="F9" s="0" t="str">
        <f aca="false">INDEX(COA!$C$5:$C$19,MATCH(E9,COA!$A$5:$A$19,0))</f>
        <v>Asset</v>
      </c>
      <c r="G9" s="12" t="n">
        <v>9816.58</v>
      </c>
      <c r="H9" s="12" t="n">
        <v>0</v>
      </c>
      <c r="I9" s="10" t="s">
        <v>103</v>
      </c>
      <c r="J9" s="10" t="s">
        <v>1636</v>
      </c>
      <c r="K9" s="10" t="s">
        <v>1640</v>
      </c>
    </row>
    <row r="10" customFormat="false" ht="15" hidden="false" customHeight="false" outlineLevel="0" collapsed="false">
      <c r="A10" s="10" t="s">
        <v>1643</v>
      </c>
      <c r="B10" s="10" t="n">
        <v>1003</v>
      </c>
      <c r="C10" s="8" t="n">
        <v>45658</v>
      </c>
      <c r="D10" s="8" t="n">
        <v>45655</v>
      </c>
      <c r="E10" s="10" t="n">
        <v>1100</v>
      </c>
      <c r="F10" s="0" t="str">
        <f aca="false">INDEX(COA!$C$5:$C$19,MATCH(E10,COA!$A$5:$A$19,0))</f>
        <v>Asset</v>
      </c>
      <c r="G10" s="12" t="n">
        <v>4207.11</v>
      </c>
      <c r="H10" s="12" t="n">
        <v>0</v>
      </c>
      <c r="I10" s="10" t="s">
        <v>103</v>
      </c>
      <c r="J10" s="10" t="s">
        <v>1636</v>
      </c>
      <c r="K10" s="10" t="s">
        <v>1640</v>
      </c>
    </row>
    <row r="11" customFormat="false" ht="15" hidden="false" customHeight="false" outlineLevel="0" collapsed="false">
      <c r="A11" s="10" t="s">
        <v>1644</v>
      </c>
      <c r="B11" s="10" t="n">
        <v>1003</v>
      </c>
      <c r="C11" s="8" t="n">
        <v>45658</v>
      </c>
      <c r="D11" s="8" t="n">
        <v>45655</v>
      </c>
      <c r="E11" s="10" t="n">
        <v>4000</v>
      </c>
      <c r="F11" s="0" t="str">
        <f aca="false">INDEX(COA!$C$5:$C$19,MATCH(E11,COA!$A$5:$A$19,0))</f>
        <v>Revenue</v>
      </c>
      <c r="G11" s="12" t="n">
        <v>0</v>
      </c>
      <c r="H11" s="12" t="n">
        <v>14023.69</v>
      </c>
      <c r="I11" s="10" t="s">
        <v>103</v>
      </c>
      <c r="J11" s="10" t="s">
        <v>1636</v>
      </c>
      <c r="K11" s="10" t="s">
        <v>1640</v>
      </c>
    </row>
    <row r="12" customFormat="false" ht="15" hidden="false" customHeight="false" outlineLevel="0" collapsed="false">
      <c r="A12" s="10" t="s">
        <v>1645</v>
      </c>
      <c r="B12" s="10" t="n">
        <v>1004</v>
      </c>
      <c r="C12" s="8" t="n">
        <v>45659</v>
      </c>
      <c r="D12" s="8" t="n">
        <v>45657</v>
      </c>
      <c r="E12" s="10" t="n">
        <v>1100</v>
      </c>
      <c r="F12" s="0" t="str">
        <f aca="false">INDEX(COA!$C$5:$C$19,MATCH(E12,COA!$A$5:$A$19,0))</f>
        <v>Asset</v>
      </c>
      <c r="G12" s="12" t="n">
        <v>1008.74</v>
      </c>
      <c r="H12" s="12" t="n">
        <v>0</v>
      </c>
      <c r="I12" s="10" t="s">
        <v>103</v>
      </c>
      <c r="J12" s="10" t="s">
        <v>1636</v>
      </c>
      <c r="K12" s="10" t="s">
        <v>1640</v>
      </c>
    </row>
    <row r="13" customFormat="false" ht="15" hidden="false" customHeight="false" outlineLevel="0" collapsed="false">
      <c r="A13" s="10" t="s">
        <v>1646</v>
      </c>
      <c r="B13" s="10" t="n">
        <v>1004</v>
      </c>
      <c r="C13" s="8" t="n">
        <v>45659</v>
      </c>
      <c r="D13" s="8" t="n">
        <v>45657</v>
      </c>
      <c r="E13" s="10" t="n">
        <v>4000</v>
      </c>
      <c r="F13" s="0" t="str">
        <f aca="false">INDEX(COA!$C$5:$C$19,MATCH(E13,COA!$A$5:$A$19,0))</f>
        <v>Revenue</v>
      </c>
      <c r="G13" s="12" t="n">
        <v>0</v>
      </c>
      <c r="H13" s="12" t="n">
        <v>1008.74</v>
      </c>
      <c r="I13" s="10" t="s">
        <v>103</v>
      </c>
      <c r="J13" s="10" t="s">
        <v>1636</v>
      </c>
      <c r="K13" s="10" t="s">
        <v>1640</v>
      </c>
    </row>
    <row r="14" customFormat="false" ht="15" hidden="false" customHeight="false" outlineLevel="0" collapsed="false">
      <c r="A14" s="10" t="s">
        <v>1647</v>
      </c>
      <c r="B14" s="10" t="n">
        <v>1005</v>
      </c>
      <c r="C14" s="8" t="n">
        <v>45659</v>
      </c>
      <c r="D14" s="8" t="n">
        <v>45656</v>
      </c>
      <c r="E14" s="10" t="n">
        <v>6900</v>
      </c>
      <c r="F14" s="0" t="str">
        <f aca="false">INDEX(COA!$C$5:$C$19,MATCH(E14,COA!$A$5:$A$19,0))</f>
        <v>Expense</v>
      </c>
      <c r="G14" s="12" t="n">
        <v>233.11</v>
      </c>
      <c r="H14" s="12" t="n">
        <v>0</v>
      </c>
      <c r="I14" s="10" t="s">
        <v>98</v>
      </c>
      <c r="J14" s="10" t="s">
        <v>1648</v>
      </c>
      <c r="K14" s="10" t="s">
        <v>1649</v>
      </c>
    </row>
    <row r="15" customFormat="false" ht="15" hidden="false" customHeight="false" outlineLevel="0" collapsed="false">
      <c r="A15" s="10" t="s">
        <v>1650</v>
      </c>
      <c r="B15" s="10" t="n">
        <v>1005</v>
      </c>
      <c r="C15" s="8" t="n">
        <v>45659</v>
      </c>
      <c r="D15" s="8" t="n">
        <v>45656</v>
      </c>
      <c r="E15" s="10" t="n">
        <v>2100</v>
      </c>
      <c r="F15" s="0" t="str">
        <f aca="false">INDEX(COA!$C$5:$C$19,MATCH(E15,COA!$A$5:$A$19,0))</f>
        <v>Liability</v>
      </c>
      <c r="G15" s="12" t="n">
        <v>0</v>
      </c>
      <c r="H15" s="12" t="n">
        <v>233.11</v>
      </c>
      <c r="I15" s="10" t="s">
        <v>98</v>
      </c>
      <c r="J15" s="10" t="s">
        <v>1648</v>
      </c>
      <c r="K15" s="10" t="s">
        <v>1649</v>
      </c>
    </row>
    <row r="16" customFormat="false" ht="15" hidden="false" customHeight="false" outlineLevel="0" collapsed="false">
      <c r="A16" s="10" t="s">
        <v>1651</v>
      </c>
      <c r="B16" s="10" t="n">
        <v>1006</v>
      </c>
      <c r="C16" s="8" t="n">
        <v>45659</v>
      </c>
      <c r="D16" s="8" t="n">
        <v>45659</v>
      </c>
      <c r="E16" s="10" t="n">
        <v>6900</v>
      </c>
      <c r="F16" s="0" t="str">
        <f aca="false">INDEX(COA!$C$5:$C$19,MATCH(E16,COA!$A$5:$A$19,0))</f>
        <v>Expense</v>
      </c>
      <c r="G16" s="12" t="n">
        <v>37000</v>
      </c>
      <c r="H16" s="12" t="n">
        <v>0</v>
      </c>
      <c r="I16" s="10" t="s">
        <v>97</v>
      </c>
      <c r="J16" s="10" t="s">
        <v>1648</v>
      </c>
      <c r="K16" s="10" t="s">
        <v>1652</v>
      </c>
    </row>
    <row r="17" customFormat="false" ht="15" hidden="false" customHeight="false" outlineLevel="0" collapsed="false">
      <c r="A17" s="10" t="s">
        <v>1653</v>
      </c>
      <c r="B17" s="10" t="n">
        <v>1006</v>
      </c>
      <c r="C17" s="8" t="n">
        <v>45659</v>
      </c>
      <c r="D17" s="8" t="n">
        <v>45659</v>
      </c>
      <c r="E17" s="10" t="n">
        <v>2100</v>
      </c>
      <c r="F17" s="0" t="str">
        <f aca="false">INDEX(COA!$C$5:$C$19,MATCH(E17,COA!$A$5:$A$19,0))</f>
        <v>Liability</v>
      </c>
      <c r="G17" s="12" t="n">
        <v>0</v>
      </c>
      <c r="H17" s="12" t="n">
        <v>37000</v>
      </c>
      <c r="I17" s="10" t="s">
        <v>97</v>
      </c>
      <c r="J17" s="10" t="s">
        <v>1648</v>
      </c>
      <c r="K17" s="10" t="s">
        <v>1652</v>
      </c>
    </row>
    <row r="18" customFormat="false" ht="15" hidden="false" customHeight="false" outlineLevel="0" collapsed="false">
      <c r="A18" s="10" t="s">
        <v>1654</v>
      </c>
      <c r="B18" s="10" t="n">
        <v>1007</v>
      </c>
      <c r="C18" s="8" t="n">
        <v>45660</v>
      </c>
      <c r="D18" s="8" t="n">
        <v>45657</v>
      </c>
      <c r="E18" s="10" t="n">
        <v>1200</v>
      </c>
      <c r="F18" s="0" t="str">
        <f aca="false">INDEX(COA!$C$5:$C$19,MATCH(E18,COA!$A$5:$A$19,0))</f>
        <v>Asset</v>
      </c>
      <c r="G18" s="12" t="n">
        <v>8919.69</v>
      </c>
      <c r="H18" s="12" t="n">
        <v>0</v>
      </c>
      <c r="I18" s="10" t="s">
        <v>102</v>
      </c>
      <c r="J18" s="10" t="s">
        <v>1636</v>
      </c>
      <c r="K18" s="10" t="s">
        <v>1655</v>
      </c>
    </row>
    <row r="19" customFormat="false" ht="15" hidden="false" customHeight="false" outlineLevel="0" collapsed="false">
      <c r="A19" s="10" t="s">
        <v>1656</v>
      </c>
      <c r="B19" s="10" t="n">
        <v>1007</v>
      </c>
      <c r="C19" s="8" t="n">
        <v>45660</v>
      </c>
      <c r="D19" s="8" t="n">
        <v>45657</v>
      </c>
      <c r="E19" s="10" t="n">
        <v>1200</v>
      </c>
      <c r="F19" s="0" t="str">
        <f aca="false">INDEX(COA!$C$5:$C$19,MATCH(E19,COA!$A$5:$A$19,0))</f>
        <v>Asset</v>
      </c>
      <c r="G19" s="12" t="n">
        <v>3822.72</v>
      </c>
      <c r="H19" s="12" t="n">
        <v>0</v>
      </c>
      <c r="I19" s="10" t="s">
        <v>102</v>
      </c>
      <c r="J19" s="10" t="s">
        <v>1636</v>
      </c>
      <c r="K19" s="10" t="s">
        <v>1655</v>
      </c>
    </row>
    <row r="20" customFormat="false" ht="15" hidden="false" customHeight="false" outlineLevel="0" collapsed="false">
      <c r="A20" s="10" t="s">
        <v>1657</v>
      </c>
      <c r="B20" s="10" t="n">
        <v>1007</v>
      </c>
      <c r="C20" s="8" t="n">
        <v>45660</v>
      </c>
      <c r="D20" s="8" t="n">
        <v>45657</v>
      </c>
      <c r="E20" s="10" t="n">
        <v>2000</v>
      </c>
      <c r="F20" s="0" t="str">
        <f aca="false">INDEX(COA!$C$5:$C$19,MATCH(E20,COA!$A$5:$A$19,0))</f>
        <v>Liability</v>
      </c>
      <c r="G20" s="12" t="n">
        <v>0</v>
      </c>
      <c r="H20" s="12" t="n">
        <v>12742.41</v>
      </c>
      <c r="I20" s="10" t="s">
        <v>102</v>
      </c>
      <c r="J20" s="10" t="s">
        <v>1636</v>
      </c>
      <c r="K20" s="10" t="s">
        <v>1655</v>
      </c>
    </row>
    <row r="21" customFormat="false" ht="15" hidden="false" customHeight="false" outlineLevel="0" collapsed="false">
      <c r="A21" s="10" t="s">
        <v>1658</v>
      </c>
      <c r="B21" s="10" t="n">
        <v>1008</v>
      </c>
      <c r="C21" s="8" t="n">
        <v>45660</v>
      </c>
      <c r="D21" s="8" t="n">
        <v>45658</v>
      </c>
      <c r="E21" s="10" t="n">
        <v>2000</v>
      </c>
      <c r="F21" s="0" t="str">
        <f aca="false">INDEX(COA!$C$5:$C$19,MATCH(E21,COA!$A$5:$A$19,0))</f>
        <v>Liability</v>
      </c>
      <c r="G21" s="12" t="n">
        <v>80868.07</v>
      </c>
      <c r="H21" s="12" t="n">
        <v>0</v>
      </c>
      <c r="I21" s="10" t="s">
        <v>104</v>
      </c>
      <c r="J21" s="10" t="s">
        <v>1636</v>
      </c>
      <c r="K21" s="10" t="s">
        <v>1659</v>
      </c>
    </row>
    <row r="22" customFormat="false" ht="15" hidden="false" customHeight="false" outlineLevel="0" collapsed="false">
      <c r="A22" s="10" t="s">
        <v>1660</v>
      </c>
      <c r="B22" s="10" t="n">
        <v>1008</v>
      </c>
      <c r="C22" s="8" t="n">
        <v>45660</v>
      </c>
      <c r="D22" s="8" t="n">
        <v>45658</v>
      </c>
      <c r="E22" s="10" t="n">
        <v>2000</v>
      </c>
      <c r="F22" s="0" t="str">
        <f aca="false">INDEX(COA!$C$5:$C$19,MATCH(E22,COA!$A$5:$A$19,0))</f>
        <v>Liability</v>
      </c>
      <c r="G22" s="12" t="n">
        <v>34657.75</v>
      </c>
      <c r="H22" s="12" t="n">
        <v>0</v>
      </c>
      <c r="I22" s="10" t="s">
        <v>104</v>
      </c>
      <c r="J22" s="10" t="s">
        <v>1636</v>
      </c>
      <c r="K22" s="10" t="s">
        <v>1659</v>
      </c>
    </row>
    <row r="23" customFormat="false" ht="15" hidden="false" customHeight="false" outlineLevel="0" collapsed="false">
      <c r="A23" s="10" t="s">
        <v>1661</v>
      </c>
      <c r="B23" s="10" t="n">
        <v>1008</v>
      </c>
      <c r="C23" s="8" t="n">
        <v>45660</v>
      </c>
      <c r="D23" s="8" t="n">
        <v>45658</v>
      </c>
      <c r="E23" s="10" t="n">
        <v>1000</v>
      </c>
      <c r="F23" s="0" t="str">
        <f aca="false">INDEX(COA!$C$5:$C$19,MATCH(E23,COA!$A$5:$A$19,0))</f>
        <v>Asset</v>
      </c>
      <c r="G23" s="12" t="n">
        <v>0</v>
      </c>
      <c r="H23" s="12" t="n">
        <v>115525.82</v>
      </c>
      <c r="I23" s="10" t="s">
        <v>104</v>
      </c>
      <c r="J23" s="10" t="s">
        <v>1636</v>
      </c>
      <c r="K23" s="10" t="s">
        <v>1659</v>
      </c>
    </row>
    <row r="24" customFormat="false" ht="15" hidden="false" customHeight="false" outlineLevel="0" collapsed="false">
      <c r="A24" s="10" t="s">
        <v>1662</v>
      </c>
      <c r="B24" s="10" t="n">
        <v>1009</v>
      </c>
      <c r="C24" s="8" t="n">
        <v>45663</v>
      </c>
      <c r="D24" s="8" t="n">
        <v>45661</v>
      </c>
      <c r="E24" s="10" t="n">
        <v>2000</v>
      </c>
      <c r="F24" s="0" t="str">
        <f aca="false">INDEX(COA!$C$5:$C$19,MATCH(E24,COA!$A$5:$A$19,0))</f>
        <v>Liability</v>
      </c>
      <c r="G24" s="12" t="n">
        <v>1756.87</v>
      </c>
      <c r="H24" s="12" t="n">
        <v>0</v>
      </c>
      <c r="I24" s="10" t="s">
        <v>104</v>
      </c>
      <c r="J24" s="10" t="s">
        <v>1636</v>
      </c>
      <c r="K24" s="10" t="s">
        <v>1659</v>
      </c>
    </row>
    <row r="25" customFormat="false" ht="15" hidden="false" customHeight="false" outlineLevel="0" collapsed="false">
      <c r="A25" s="10" t="s">
        <v>1663</v>
      </c>
      <c r="B25" s="10" t="n">
        <v>1009</v>
      </c>
      <c r="C25" s="8" t="n">
        <v>45663</v>
      </c>
      <c r="D25" s="8" t="n">
        <v>45661</v>
      </c>
      <c r="E25" s="10" t="n">
        <v>2000</v>
      </c>
      <c r="F25" s="0" t="str">
        <f aca="false">INDEX(COA!$C$5:$C$19,MATCH(E25,COA!$A$5:$A$19,0))</f>
        <v>Liability</v>
      </c>
      <c r="G25" s="12" t="n">
        <v>752.94</v>
      </c>
      <c r="H25" s="12" t="n">
        <v>0</v>
      </c>
      <c r="I25" s="10" t="s">
        <v>104</v>
      </c>
      <c r="J25" s="10" t="s">
        <v>1636</v>
      </c>
      <c r="K25" s="10" t="s">
        <v>1659</v>
      </c>
    </row>
    <row r="26" customFormat="false" ht="15" hidden="false" customHeight="false" outlineLevel="0" collapsed="false">
      <c r="A26" s="10" t="s">
        <v>1664</v>
      </c>
      <c r="B26" s="10" t="n">
        <v>1009</v>
      </c>
      <c r="C26" s="8" t="n">
        <v>45663</v>
      </c>
      <c r="D26" s="8" t="n">
        <v>45661</v>
      </c>
      <c r="E26" s="10" t="n">
        <v>1000</v>
      </c>
      <c r="F26" s="0" t="str">
        <f aca="false">INDEX(COA!$C$5:$C$19,MATCH(E26,COA!$A$5:$A$19,0))</f>
        <v>Asset</v>
      </c>
      <c r="G26" s="12" t="n">
        <v>0</v>
      </c>
      <c r="H26" s="12" t="n">
        <v>2509.81</v>
      </c>
      <c r="I26" s="10" t="s">
        <v>104</v>
      </c>
      <c r="J26" s="10" t="s">
        <v>1636</v>
      </c>
      <c r="K26" s="10" t="s">
        <v>1659</v>
      </c>
    </row>
    <row r="27" customFormat="false" ht="15" hidden="false" customHeight="false" outlineLevel="0" collapsed="false">
      <c r="A27" s="10" t="s">
        <v>1665</v>
      </c>
      <c r="B27" s="10" t="n">
        <v>1010</v>
      </c>
      <c r="C27" s="8" t="n">
        <v>45663</v>
      </c>
      <c r="D27" s="8" t="n">
        <v>45663</v>
      </c>
      <c r="E27" s="10" t="n">
        <v>1200</v>
      </c>
      <c r="F27" s="0" t="str">
        <f aca="false">INDEX(COA!$C$5:$C$19,MATCH(E27,COA!$A$5:$A$19,0))</f>
        <v>Asset</v>
      </c>
      <c r="G27" s="12" t="n">
        <v>20143</v>
      </c>
      <c r="H27" s="12" t="n">
        <v>0</v>
      </c>
      <c r="I27" s="10" t="s">
        <v>102</v>
      </c>
      <c r="J27" s="10" t="s">
        <v>1636</v>
      </c>
      <c r="K27" s="10" t="s">
        <v>1655</v>
      </c>
    </row>
    <row r="28" customFormat="false" ht="15" hidden="false" customHeight="false" outlineLevel="0" collapsed="false">
      <c r="A28" s="10" t="s">
        <v>1666</v>
      </c>
      <c r="B28" s="10" t="n">
        <v>1010</v>
      </c>
      <c r="C28" s="8" t="n">
        <v>45663</v>
      </c>
      <c r="D28" s="8" t="n">
        <v>45663</v>
      </c>
      <c r="E28" s="10" t="n">
        <v>2000</v>
      </c>
      <c r="F28" s="0" t="str">
        <f aca="false">INDEX(COA!$C$5:$C$19,MATCH(E28,COA!$A$5:$A$19,0))</f>
        <v>Liability</v>
      </c>
      <c r="G28" s="12" t="n">
        <v>0</v>
      </c>
      <c r="H28" s="12" t="n">
        <v>20143</v>
      </c>
      <c r="I28" s="10" t="s">
        <v>102</v>
      </c>
      <c r="J28" s="10" t="s">
        <v>1636</v>
      </c>
      <c r="K28" s="10" t="s">
        <v>1655</v>
      </c>
    </row>
    <row r="29" customFormat="false" ht="15" hidden="false" customHeight="false" outlineLevel="0" collapsed="false">
      <c r="A29" s="10" t="s">
        <v>1667</v>
      </c>
      <c r="B29" s="10" t="n">
        <v>1011</v>
      </c>
      <c r="C29" s="8" t="n">
        <v>45664</v>
      </c>
      <c r="D29" s="8" t="n">
        <v>45664</v>
      </c>
      <c r="E29" s="10" t="n">
        <v>2000</v>
      </c>
      <c r="F29" s="0" t="str">
        <f aca="false">INDEX(COA!$C$5:$C$19,MATCH(E29,COA!$A$5:$A$19,0))</f>
        <v>Liability</v>
      </c>
      <c r="G29" s="12" t="n">
        <v>107970.06</v>
      </c>
      <c r="H29" s="12" t="n">
        <v>0</v>
      </c>
      <c r="I29" s="10" t="s">
        <v>104</v>
      </c>
      <c r="J29" s="10" t="s">
        <v>1636</v>
      </c>
      <c r="K29" s="10" t="s">
        <v>1659</v>
      </c>
    </row>
    <row r="30" customFormat="false" ht="15" hidden="false" customHeight="false" outlineLevel="0" collapsed="false">
      <c r="A30" s="10" t="s">
        <v>1668</v>
      </c>
      <c r="B30" s="10" t="n">
        <v>1011</v>
      </c>
      <c r="C30" s="8" t="n">
        <v>45664</v>
      </c>
      <c r="D30" s="8" t="n">
        <v>45664</v>
      </c>
      <c r="E30" s="10" t="n">
        <v>1000</v>
      </c>
      <c r="F30" s="0" t="str">
        <f aca="false">INDEX(COA!$C$5:$C$19,MATCH(E30,COA!$A$5:$A$19,0))</f>
        <v>Asset</v>
      </c>
      <c r="G30" s="12" t="n">
        <v>0</v>
      </c>
      <c r="H30" s="12" t="n">
        <v>107970.06</v>
      </c>
      <c r="I30" s="10" t="s">
        <v>104</v>
      </c>
      <c r="J30" s="10" t="s">
        <v>1636</v>
      </c>
      <c r="K30" s="10" t="s">
        <v>1659</v>
      </c>
    </row>
    <row r="31" customFormat="false" ht="15" hidden="false" customHeight="false" outlineLevel="0" collapsed="false">
      <c r="A31" s="10" t="s">
        <v>1669</v>
      </c>
      <c r="B31" s="10" t="n">
        <v>1012</v>
      </c>
      <c r="C31" s="8" t="n">
        <v>45664</v>
      </c>
      <c r="D31" s="8" t="n">
        <v>45663</v>
      </c>
      <c r="E31" s="10" t="n">
        <v>5000</v>
      </c>
      <c r="F31" s="0" t="str">
        <f aca="false">INDEX(COA!$C$5:$C$19,MATCH(E31,COA!$A$5:$A$19,0))</f>
        <v>Expense</v>
      </c>
      <c r="G31" s="12" t="n">
        <v>662.96</v>
      </c>
      <c r="H31" s="12" t="n">
        <v>0</v>
      </c>
      <c r="I31" s="10" t="s">
        <v>103</v>
      </c>
      <c r="J31" s="10" t="s">
        <v>1636</v>
      </c>
      <c r="K31" s="10" t="s">
        <v>1670</v>
      </c>
    </row>
    <row r="32" customFormat="false" ht="15" hidden="false" customHeight="false" outlineLevel="0" collapsed="false">
      <c r="A32" s="10" t="s">
        <v>1671</v>
      </c>
      <c r="B32" s="10" t="n">
        <v>1012</v>
      </c>
      <c r="C32" s="8" t="n">
        <v>45664</v>
      </c>
      <c r="D32" s="8" t="n">
        <v>45663</v>
      </c>
      <c r="E32" s="10" t="n">
        <v>1200</v>
      </c>
      <c r="F32" s="0" t="str">
        <f aca="false">INDEX(COA!$C$5:$C$19,MATCH(E32,COA!$A$5:$A$19,0))</f>
        <v>Asset</v>
      </c>
      <c r="G32" s="12" t="n">
        <v>0</v>
      </c>
      <c r="H32" s="12" t="n">
        <v>662.96</v>
      </c>
      <c r="I32" s="10" t="s">
        <v>103</v>
      </c>
      <c r="J32" s="10" t="s">
        <v>1636</v>
      </c>
      <c r="K32" s="10" t="s">
        <v>1670</v>
      </c>
    </row>
    <row r="33" customFormat="false" ht="15" hidden="false" customHeight="false" outlineLevel="0" collapsed="false">
      <c r="A33" s="10" t="s">
        <v>1672</v>
      </c>
      <c r="B33" s="10" t="n">
        <v>1013</v>
      </c>
      <c r="C33" s="8" t="n">
        <v>45664</v>
      </c>
      <c r="D33" s="8" t="n">
        <v>45662</v>
      </c>
      <c r="E33" s="10" t="n">
        <v>1200</v>
      </c>
      <c r="F33" s="0" t="str">
        <f aca="false">INDEX(COA!$C$5:$C$19,MATCH(E33,COA!$A$5:$A$19,0))</f>
        <v>Asset</v>
      </c>
      <c r="G33" s="12" t="n">
        <v>777.69</v>
      </c>
      <c r="H33" s="12" t="n">
        <v>0</v>
      </c>
      <c r="I33" s="10" t="s">
        <v>102</v>
      </c>
      <c r="J33" s="10" t="s">
        <v>1636</v>
      </c>
      <c r="K33" s="10" t="s">
        <v>1655</v>
      </c>
    </row>
    <row r="34" customFormat="false" ht="15" hidden="false" customHeight="false" outlineLevel="0" collapsed="false">
      <c r="A34" s="10" t="s">
        <v>1673</v>
      </c>
      <c r="B34" s="10" t="n">
        <v>1013</v>
      </c>
      <c r="C34" s="8" t="n">
        <v>45664</v>
      </c>
      <c r="D34" s="8" t="n">
        <v>45662</v>
      </c>
      <c r="E34" s="10" t="n">
        <v>2000</v>
      </c>
      <c r="F34" s="0" t="str">
        <f aca="false">INDEX(COA!$C$5:$C$19,MATCH(E34,COA!$A$5:$A$19,0))</f>
        <v>Liability</v>
      </c>
      <c r="G34" s="12" t="n">
        <v>0</v>
      </c>
      <c r="H34" s="12" t="n">
        <v>777.69</v>
      </c>
      <c r="I34" s="10" t="s">
        <v>102</v>
      </c>
      <c r="J34" s="10" t="s">
        <v>1636</v>
      </c>
      <c r="K34" s="10" t="s">
        <v>1655</v>
      </c>
    </row>
    <row r="35" customFormat="false" ht="15" hidden="false" customHeight="false" outlineLevel="0" collapsed="false">
      <c r="A35" s="10" t="s">
        <v>1674</v>
      </c>
      <c r="B35" s="10" t="n">
        <v>1014</v>
      </c>
      <c r="C35" s="8" t="n">
        <v>45665</v>
      </c>
      <c r="D35" s="8" t="n">
        <v>45664</v>
      </c>
      <c r="E35" s="10" t="n">
        <v>1100</v>
      </c>
      <c r="F35" s="0" t="str">
        <f aca="false">INDEX(COA!$C$5:$C$19,MATCH(E35,COA!$A$5:$A$19,0))</f>
        <v>Asset</v>
      </c>
      <c r="G35" s="12" t="n">
        <v>2719.24</v>
      </c>
      <c r="H35" s="12" t="n">
        <v>0</v>
      </c>
      <c r="I35" s="10" t="s">
        <v>103</v>
      </c>
      <c r="J35" s="10" t="s">
        <v>1636</v>
      </c>
      <c r="K35" s="10" t="s">
        <v>1640</v>
      </c>
    </row>
    <row r="36" customFormat="false" ht="15" hidden="false" customHeight="false" outlineLevel="0" collapsed="false">
      <c r="A36" s="10" t="s">
        <v>1675</v>
      </c>
      <c r="B36" s="10" t="n">
        <v>1014</v>
      </c>
      <c r="C36" s="8" t="n">
        <v>45665</v>
      </c>
      <c r="D36" s="8" t="n">
        <v>45664</v>
      </c>
      <c r="E36" s="10" t="n">
        <v>4000</v>
      </c>
      <c r="F36" s="0" t="str">
        <f aca="false">INDEX(COA!$C$5:$C$19,MATCH(E36,COA!$A$5:$A$19,0))</f>
        <v>Revenue</v>
      </c>
      <c r="G36" s="12" t="n">
        <v>0</v>
      </c>
      <c r="H36" s="12" t="n">
        <v>2719.24</v>
      </c>
      <c r="I36" s="10" t="s">
        <v>103</v>
      </c>
      <c r="J36" s="10" t="s">
        <v>1636</v>
      </c>
      <c r="K36" s="10" t="s">
        <v>1640</v>
      </c>
    </row>
    <row r="37" customFormat="false" ht="15" hidden="false" customHeight="false" outlineLevel="0" collapsed="false">
      <c r="A37" s="10" t="s">
        <v>1676</v>
      </c>
      <c r="B37" s="10" t="n">
        <v>1015</v>
      </c>
      <c r="C37" s="8" t="n">
        <v>45665</v>
      </c>
      <c r="D37" s="8" t="n">
        <v>45661</v>
      </c>
      <c r="E37" s="10" t="n">
        <v>2100</v>
      </c>
      <c r="F37" s="0" t="str">
        <f aca="false">INDEX(COA!$C$5:$C$19,MATCH(E37,COA!$A$5:$A$19,0))</f>
        <v>Liability</v>
      </c>
      <c r="G37" s="12" t="n">
        <v>2669.05</v>
      </c>
      <c r="H37" s="12" t="n">
        <v>0</v>
      </c>
      <c r="I37" s="10" t="s">
        <v>99</v>
      </c>
      <c r="J37" s="10" t="s">
        <v>1648</v>
      </c>
      <c r="K37" s="10" t="s">
        <v>1677</v>
      </c>
    </row>
    <row r="38" customFormat="false" ht="15" hidden="false" customHeight="false" outlineLevel="0" collapsed="false">
      <c r="A38" s="10" t="s">
        <v>1678</v>
      </c>
      <c r="B38" s="10" t="n">
        <v>1015</v>
      </c>
      <c r="C38" s="8" t="n">
        <v>45665</v>
      </c>
      <c r="D38" s="8" t="n">
        <v>45661</v>
      </c>
      <c r="E38" s="10" t="n">
        <v>2100</v>
      </c>
      <c r="F38" s="0" t="str">
        <f aca="false">INDEX(COA!$C$5:$C$19,MATCH(E38,COA!$A$5:$A$19,0))</f>
        <v>Liability</v>
      </c>
      <c r="G38" s="12" t="n">
        <v>1143.88</v>
      </c>
      <c r="H38" s="12" t="n">
        <v>0</v>
      </c>
      <c r="I38" s="10" t="s">
        <v>99</v>
      </c>
      <c r="J38" s="10" t="s">
        <v>1648</v>
      </c>
      <c r="K38" s="10" t="s">
        <v>1677</v>
      </c>
    </row>
    <row r="39" customFormat="false" ht="15" hidden="false" customHeight="false" outlineLevel="0" collapsed="false">
      <c r="A39" s="10" t="s">
        <v>1679</v>
      </c>
      <c r="B39" s="10" t="n">
        <v>1015</v>
      </c>
      <c r="C39" s="8" t="n">
        <v>45665</v>
      </c>
      <c r="D39" s="8" t="n">
        <v>45661</v>
      </c>
      <c r="E39" s="10" t="n">
        <v>6900</v>
      </c>
      <c r="F39" s="0" t="str">
        <f aca="false">INDEX(COA!$C$5:$C$19,MATCH(E39,COA!$A$5:$A$19,0))</f>
        <v>Expense</v>
      </c>
      <c r="G39" s="12" t="n">
        <v>0</v>
      </c>
      <c r="H39" s="12" t="n">
        <v>3812.93</v>
      </c>
      <c r="I39" s="10" t="s">
        <v>99</v>
      </c>
      <c r="J39" s="10" t="s">
        <v>1648</v>
      </c>
      <c r="K39" s="10" t="s">
        <v>1677</v>
      </c>
    </row>
    <row r="40" customFormat="false" ht="15" hidden="false" customHeight="false" outlineLevel="0" collapsed="false">
      <c r="A40" s="10" t="s">
        <v>1680</v>
      </c>
      <c r="B40" s="10" t="n">
        <v>1016</v>
      </c>
      <c r="C40" s="8" t="n">
        <v>45665</v>
      </c>
      <c r="D40" s="8" t="n">
        <v>45662</v>
      </c>
      <c r="E40" s="10" t="n">
        <v>1100</v>
      </c>
      <c r="F40" s="0" t="str">
        <f aca="false">INDEX(COA!$C$5:$C$19,MATCH(E40,COA!$A$5:$A$19,0))</f>
        <v>Asset</v>
      </c>
      <c r="G40" s="12" t="n">
        <v>362.9</v>
      </c>
      <c r="H40" s="12" t="n">
        <v>0</v>
      </c>
      <c r="I40" s="10" t="s">
        <v>103</v>
      </c>
      <c r="J40" s="10" t="s">
        <v>1636</v>
      </c>
      <c r="K40" s="10" t="s">
        <v>1640</v>
      </c>
    </row>
    <row r="41" customFormat="false" ht="15" hidden="false" customHeight="false" outlineLevel="0" collapsed="false">
      <c r="A41" s="10" t="s">
        <v>1681</v>
      </c>
      <c r="B41" s="10" t="n">
        <v>1016</v>
      </c>
      <c r="C41" s="8" t="n">
        <v>45665</v>
      </c>
      <c r="D41" s="8" t="n">
        <v>45662</v>
      </c>
      <c r="E41" s="10" t="n">
        <v>4000</v>
      </c>
      <c r="F41" s="0" t="str">
        <f aca="false">INDEX(COA!$C$5:$C$19,MATCH(E41,COA!$A$5:$A$19,0))</f>
        <v>Revenue</v>
      </c>
      <c r="G41" s="12" t="n">
        <v>0</v>
      </c>
      <c r="H41" s="12" t="n">
        <v>362.9</v>
      </c>
      <c r="I41" s="10" t="s">
        <v>103</v>
      </c>
      <c r="J41" s="10" t="s">
        <v>1636</v>
      </c>
      <c r="K41" s="10" t="s">
        <v>1640</v>
      </c>
    </row>
    <row r="42" customFormat="false" ht="15" hidden="false" customHeight="false" outlineLevel="0" collapsed="false">
      <c r="A42" s="10" t="s">
        <v>1682</v>
      </c>
      <c r="B42" s="10" t="n">
        <v>1017</v>
      </c>
      <c r="C42" s="8" t="n">
        <v>45666</v>
      </c>
      <c r="D42" s="8" t="n">
        <v>45665</v>
      </c>
      <c r="E42" s="10" t="n">
        <v>6900</v>
      </c>
      <c r="F42" s="0" t="str">
        <f aca="false">INDEX(COA!$C$5:$C$19,MATCH(E42,COA!$A$5:$A$19,0))</f>
        <v>Expense</v>
      </c>
      <c r="G42" s="12" t="n">
        <v>48024.65</v>
      </c>
      <c r="H42" s="12" t="n">
        <v>0</v>
      </c>
      <c r="I42" s="10" t="s">
        <v>101</v>
      </c>
      <c r="J42" s="10" t="s">
        <v>1648</v>
      </c>
      <c r="K42" s="10" t="s">
        <v>1649</v>
      </c>
    </row>
    <row r="43" customFormat="false" ht="15" hidden="false" customHeight="false" outlineLevel="0" collapsed="false">
      <c r="A43" s="10" t="s">
        <v>1683</v>
      </c>
      <c r="B43" s="10" t="n">
        <v>1017</v>
      </c>
      <c r="C43" s="8" t="n">
        <v>45666</v>
      </c>
      <c r="D43" s="8" t="n">
        <v>45665</v>
      </c>
      <c r="E43" s="10" t="n">
        <v>2100</v>
      </c>
      <c r="F43" s="0" t="str">
        <f aca="false">INDEX(COA!$C$5:$C$19,MATCH(E43,COA!$A$5:$A$19,0))</f>
        <v>Liability</v>
      </c>
      <c r="G43" s="12" t="n">
        <v>0</v>
      </c>
      <c r="H43" s="12" t="n">
        <v>48024.65</v>
      </c>
      <c r="I43" s="10" t="s">
        <v>101</v>
      </c>
      <c r="J43" s="10" t="s">
        <v>1648</v>
      </c>
      <c r="K43" s="10" t="s">
        <v>1649</v>
      </c>
    </row>
    <row r="44" customFormat="false" ht="15" hidden="false" customHeight="false" outlineLevel="0" collapsed="false">
      <c r="A44" s="10" t="s">
        <v>1684</v>
      </c>
      <c r="B44" s="10" t="n">
        <v>1018</v>
      </c>
      <c r="C44" s="8" t="n">
        <v>45666</v>
      </c>
      <c r="D44" s="8" t="n">
        <v>45666</v>
      </c>
      <c r="E44" s="10" t="n">
        <v>1100</v>
      </c>
      <c r="F44" s="0" t="str">
        <f aca="false">INDEX(COA!$C$5:$C$19,MATCH(E44,COA!$A$5:$A$19,0))</f>
        <v>Asset</v>
      </c>
      <c r="G44" s="12" t="n">
        <v>432.42</v>
      </c>
      <c r="H44" s="12" t="n">
        <v>0</v>
      </c>
      <c r="I44" s="10" t="s">
        <v>103</v>
      </c>
      <c r="J44" s="10" t="s">
        <v>1636</v>
      </c>
      <c r="K44" s="10" t="s">
        <v>1640</v>
      </c>
    </row>
    <row r="45" customFormat="false" ht="15" hidden="false" customHeight="false" outlineLevel="0" collapsed="false">
      <c r="A45" s="10" t="s">
        <v>1685</v>
      </c>
      <c r="B45" s="10" t="n">
        <v>1018</v>
      </c>
      <c r="C45" s="8" t="n">
        <v>45666</v>
      </c>
      <c r="D45" s="8" t="n">
        <v>45666</v>
      </c>
      <c r="E45" s="10" t="n">
        <v>4000</v>
      </c>
      <c r="F45" s="0" t="str">
        <f aca="false">INDEX(COA!$C$5:$C$19,MATCH(E45,COA!$A$5:$A$19,0))</f>
        <v>Revenue</v>
      </c>
      <c r="G45" s="12" t="n">
        <v>0</v>
      </c>
      <c r="H45" s="12" t="n">
        <v>432.42</v>
      </c>
      <c r="I45" s="10" t="s">
        <v>103</v>
      </c>
      <c r="J45" s="10" t="s">
        <v>1636</v>
      </c>
      <c r="K45" s="10" t="s">
        <v>1640</v>
      </c>
    </row>
    <row r="46" customFormat="false" ht="15" hidden="false" customHeight="false" outlineLevel="0" collapsed="false">
      <c r="A46" s="10" t="s">
        <v>1686</v>
      </c>
      <c r="B46" s="10" t="n">
        <v>1019</v>
      </c>
      <c r="C46" s="8" t="n">
        <v>45666</v>
      </c>
      <c r="D46" s="8" t="n">
        <v>45664</v>
      </c>
      <c r="E46" s="10" t="n">
        <v>1200</v>
      </c>
      <c r="F46" s="0" t="str">
        <f aca="false">INDEX(COA!$C$5:$C$19,MATCH(E46,COA!$A$5:$A$19,0))</f>
        <v>Asset</v>
      </c>
      <c r="G46" s="12" t="n">
        <v>1448.7</v>
      </c>
      <c r="H46" s="12" t="n">
        <v>0</v>
      </c>
      <c r="I46" s="10" t="s">
        <v>102</v>
      </c>
      <c r="J46" s="10" t="s">
        <v>1636</v>
      </c>
      <c r="K46" s="10" t="s">
        <v>1655</v>
      </c>
    </row>
    <row r="47" customFormat="false" ht="15" hidden="false" customHeight="false" outlineLevel="0" collapsed="false">
      <c r="A47" s="10" t="s">
        <v>1687</v>
      </c>
      <c r="B47" s="10" t="n">
        <v>1019</v>
      </c>
      <c r="C47" s="8" t="n">
        <v>45666</v>
      </c>
      <c r="D47" s="8" t="n">
        <v>45664</v>
      </c>
      <c r="E47" s="10" t="n">
        <v>2000</v>
      </c>
      <c r="F47" s="0" t="str">
        <f aca="false">INDEX(COA!$C$5:$C$19,MATCH(E47,COA!$A$5:$A$19,0))</f>
        <v>Liability</v>
      </c>
      <c r="G47" s="12" t="n">
        <v>0</v>
      </c>
      <c r="H47" s="12" t="n">
        <v>1448.7</v>
      </c>
      <c r="I47" s="10" t="s">
        <v>102</v>
      </c>
      <c r="J47" s="10" t="s">
        <v>1636</v>
      </c>
      <c r="K47" s="10" t="s">
        <v>1655</v>
      </c>
    </row>
    <row r="48" customFormat="false" ht="15" hidden="false" customHeight="false" outlineLevel="0" collapsed="false">
      <c r="A48" s="10" t="s">
        <v>1688</v>
      </c>
      <c r="B48" s="10" t="n">
        <v>1020</v>
      </c>
      <c r="C48" s="8" t="n">
        <v>45667</v>
      </c>
      <c r="D48" s="8" t="n">
        <v>45665</v>
      </c>
      <c r="E48" s="10" t="n">
        <v>6200</v>
      </c>
      <c r="F48" s="0" t="str">
        <f aca="false">INDEX(COA!$C$5:$C$19,MATCH(E48,COA!$A$5:$A$19,0))</f>
        <v>Expense</v>
      </c>
      <c r="G48" s="12" t="n">
        <v>20376.07</v>
      </c>
      <c r="H48" s="12" t="n">
        <v>0</v>
      </c>
      <c r="I48" s="10" t="s">
        <v>102</v>
      </c>
      <c r="J48" s="10" t="s">
        <v>1636</v>
      </c>
      <c r="K48" s="10" t="s">
        <v>1689</v>
      </c>
    </row>
    <row r="49" customFormat="false" ht="15" hidden="false" customHeight="false" outlineLevel="0" collapsed="false">
      <c r="A49" s="10" t="s">
        <v>1690</v>
      </c>
      <c r="B49" s="10" t="n">
        <v>1020</v>
      </c>
      <c r="C49" s="8" t="n">
        <v>45667</v>
      </c>
      <c r="D49" s="8" t="n">
        <v>45665</v>
      </c>
      <c r="E49" s="10" t="n">
        <v>2000</v>
      </c>
      <c r="F49" s="0" t="str">
        <f aca="false">INDEX(COA!$C$5:$C$19,MATCH(E49,COA!$A$5:$A$19,0))</f>
        <v>Liability</v>
      </c>
      <c r="G49" s="12" t="n">
        <v>0</v>
      </c>
      <c r="H49" s="12" t="n">
        <v>20376.07</v>
      </c>
      <c r="I49" s="10" t="s">
        <v>102</v>
      </c>
      <c r="J49" s="10" t="s">
        <v>1636</v>
      </c>
      <c r="K49" s="10" t="s">
        <v>1689</v>
      </c>
    </row>
    <row r="50" customFormat="false" ht="15" hidden="false" customHeight="false" outlineLevel="0" collapsed="false">
      <c r="A50" s="10" t="s">
        <v>1691</v>
      </c>
      <c r="B50" s="10" t="n">
        <v>1021</v>
      </c>
      <c r="C50" s="8" t="n">
        <v>45670</v>
      </c>
      <c r="D50" s="8" t="n">
        <v>45666</v>
      </c>
      <c r="E50" s="10" t="n">
        <v>2000</v>
      </c>
      <c r="F50" s="0" t="str">
        <f aca="false">INDEX(COA!$C$5:$C$19,MATCH(E50,COA!$A$5:$A$19,0))</f>
        <v>Liability</v>
      </c>
      <c r="G50" s="12" t="n">
        <v>34637.94</v>
      </c>
      <c r="H50" s="12" t="n">
        <v>0</v>
      </c>
      <c r="I50" s="10" t="s">
        <v>104</v>
      </c>
      <c r="J50" s="10" t="s">
        <v>1636</v>
      </c>
      <c r="K50" s="10" t="s">
        <v>1659</v>
      </c>
    </row>
    <row r="51" customFormat="false" ht="15" hidden="false" customHeight="false" outlineLevel="0" collapsed="false">
      <c r="A51" s="10" t="s">
        <v>1692</v>
      </c>
      <c r="B51" s="10" t="n">
        <v>1021</v>
      </c>
      <c r="C51" s="8" t="n">
        <v>45670</v>
      </c>
      <c r="D51" s="8" t="n">
        <v>45666</v>
      </c>
      <c r="E51" s="10" t="n">
        <v>1000</v>
      </c>
      <c r="F51" s="0" t="str">
        <f aca="false">INDEX(COA!$C$5:$C$19,MATCH(E51,COA!$A$5:$A$19,0))</f>
        <v>Asset</v>
      </c>
      <c r="G51" s="12" t="n">
        <v>0</v>
      </c>
      <c r="H51" s="12" t="n">
        <v>34637.94</v>
      </c>
      <c r="I51" s="10" t="s">
        <v>104</v>
      </c>
      <c r="J51" s="10" t="s">
        <v>1636</v>
      </c>
      <c r="K51" s="10" t="s">
        <v>1659</v>
      </c>
    </row>
    <row r="52" customFormat="false" ht="15" hidden="false" customHeight="false" outlineLevel="0" collapsed="false">
      <c r="A52" s="10" t="s">
        <v>1693</v>
      </c>
      <c r="B52" s="10" t="n">
        <v>1022</v>
      </c>
      <c r="C52" s="8" t="n">
        <v>45670</v>
      </c>
      <c r="D52" s="8" t="n">
        <v>45668</v>
      </c>
      <c r="E52" s="10" t="n">
        <v>1200</v>
      </c>
      <c r="F52" s="0" t="str">
        <f aca="false">INDEX(COA!$C$5:$C$19,MATCH(E52,COA!$A$5:$A$19,0))</f>
        <v>Asset</v>
      </c>
      <c r="G52" s="12" t="n">
        <v>79517.85</v>
      </c>
      <c r="H52" s="12" t="n">
        <v>0</v>
      </c>
      <c r="I52" s="10" t="s">
        <v>102</v>
      </c>
      <c r="J52" s="10" t="s">
        <v>1636</v>
      </c>
      <c r="K52" s="10" t="s">
        <v>1655</v>
      </c>
    </row>
    <row r="53" customFormat="false" ht="15" hidden="false" customHeight="false" outlineLevel="0" collapsed="false">
      <c r="A53" s="10" t="s">
        <v>1694</v>
      </c>
      <c r="B53" s="10" t="n">
        <v>1022</v>
      </c>
      <c r="C53" s="8" t="n">
        <v>45670</v>
      </c>
      <c r="D53" s="8" t="n">
        <v>45668</v>
      </c>
      <c r="E53" s="10" t="n">
        <v>1200</v>
      </c>
      <c r="F53" s="0" t="str">
        <f aca="false">INDEX(COA!$C$5:$C$19,MATCH(E53,COA!$A$5:$A$19,0))</f>
        <v>Asset</v>
      </c>
      <c r="G53" s="12" t="n">
        <v>34079.08</v>
      </c>
      <c r="H53" s="12" t="n">
        <v>0</v>
      </c>
      <c r="I53" s="10" t="s">
        <v>102</v>
      </c>
      <c r="J53" s="10" t="s">
        <v>1636</v>
      </c>
      <c r="K53" s="10" t="s">
        <v>1655</v>
      </c>
    </row>
    <row r="54" customFormat="false" ht="15" hidden="false" customHeight="false" outlineLevel="0" collapsed="false">
      <c r="A54" s="10" t="s">
        <v>1695</v>
      </c>
      <c r="B54" s="10" t="n">
        <v>1022</v>
      </c>
      <c r="C54" s="8" t="n">
        <v>45670</v>
      </c>
      <c r="D54" s="8" t="n">
        <v>45668</v>
      </c>
      <c r="E54" s="10" t="n">
        <v>2000</v>
      </c>
      <c r="F54" s="0" t="str">
        <f aca="false">INDEX(COA!$C$5:$C$19,MATCH(E54,COA!$A$5:$A$19,0))</f>
        <v>Liability</v>
      </c>
      <c r="G54" s="12" t="n">
        <v>0</v>
      </c>
      <c r="H54" s="12" t="n">
        <v>113596.93</v>
      </c>
      <c r="I54" s="10" t="s">
        <v>102</v>
      </c>
      <c r="J54" s="10" t="s">
        <v>1636</v>
      </c>
      <c r="K54" s="10" t="s">
        <v>1655</v>
      </c>
    </row>
    <row r="55" customFormat="false" ht="15" hidden="false" customHeight="false" outlineLevel="0" collapsed="false">
      <c r="A55" s="10" t="s">
        <v>1696</v>
      </c>
      <c r="B55" s="10" t="n">
        <v>1023</v>
      </c>
      <c r="C55" s="8" t="n">
        <v>45671</v>
      </c>
      <c r="D55" s="8" t="n">
        <v>45670</v>
      </c>
      <c r="E55" s="10" t="n">
        <v>5000</v>
      </c>
      <c r="F55" s="0" t="str">
        <f aca="false">INDEX(COA!$C$5:$C$19,MATCH(E55,COA!$A$5:$A$19,0))</f>
        <v>Expense</v>
      </c>
      <c r="G55" s="12" t="n">
        <v>98149.67</v>
      </c>
      <c r="H55" s="12" t="n">
        <v>0</v>
      </c>
      <c r="I55" s="10" t="s">
        <v>103</v>
      </c>
      <c r="J55" s="10" t="s">
        <v>1636</v>
      </c>
      <c r="K55" s="10" t="s">
        <v>1670</v>
      </c>
    </row>
    <row r="56" customFormat="false" ht="15" hidden="false" customHeight="false" outlineLevel="0" collapsed="false">
      <c r="A56" s="10" t="s">
        <v>1697</v>
      </c>
      <c r="B56" s="10" t="n">
        <v>1023</v>
      </c>
      <c r="C56" s="8" t="n">
        <v>45671</v>
      </c>
      <c r="D56" s="8" t="n">
        <v>45670</v>
      </c>
      <c r="E56" s="10" t="n">
        <v>1200</v>
      </c>
      <c r="F56" s="0" t="str">
        <f aca="false">INDEX(COA!$C$5:$C$19,MATCH(E56,COA!$A$5:$A$19,0))</f>
        <v>Asset</v>
      </c>
      <c r="G56" s="12" t="n">
        <v>0</v>
      </c>
      <c r="H56" s="12" t="n">
        <v>98149.67</v>
      </c>
      <c r="I56" s="10" t="s">
        <v>103</v>
      </c>
      <c r="J56" s="10" t="s">
        <v>1636</v>
      </c>
      <c r="K56" s="10" t="s">
        <v>1670</v>
      </c>
    </row>
    <row r="57" customFormat="false" ht="15" hidden="false" customHeight="false" outlineLevel="0" collapsed="false">
      <c r="A57" s="10" t="s">
        <v>1698</v>
      </c>
      <c r="B57" s="10" t="n">
        <v>1024</v>
      </c>
      <c r="C57" s="8" t="n">
        <v>45671</v>
      </c>
      <c r="D57" s="8" t="n">
        <v>45668</v>
      </c>
      <c r="E57" s="10" t="n">
        <v>2000</v>
      </c>
      <c r="F57" s="0" t="str">
        <f aca="false">INDEX(COA!$C$5:$C$19,MATCH(E57,COA!$A$5:$A$19,0))</f>
        <v>Liability</v>
      </c>
      <c r="G57" s="12" t="n">
        <v>1355.07</v>
      </c>
      <c r="H57" s="12" t="n">
        <v>0</v>
      </c>
      <c r="I57" s="10" t="s">
        <v>104</v>
      </c>
      <c r="J57" s="10" t="s">
        <v>1636</v>
      </c>
      <c r="K57" s="10" t="s">
        <v>1659</v>
      </c>
    </row>
    <row r="58" customFormat="false" ht="15" hidden="false" customHeight="false" outlineLevel="0" collapsed="false">
      <c r="A58" s="10" t="s">
        <v>1699</v>
      </c>
      <c r="B58" s="10" t="n">
        <v>1024</v>
      </c>
      <c r="C58" s="8" t="n">
        <v>45671</v>
      </c>
      <c r="D58" s="8" t="n">
        <v>45668</v>
      </c>
      <c r="E58" s="10" t="n">
        <v>1000</v>
      </c>
      <c r="F58" s="0" t="str">
        <f aca="false">INDEX(COA!$C$5:$C$19,MATCH(E58,COA!$A$5:$A$19,0))</f>
        <v>Asset</v>
      </c>
      <c r="G58" s="12" t="n">
        <v>0</v>
      </c>
      <c r="H58" s="12" t="n">
        <v>1355.07</v>
      </c>
      <c r="I58" s="10" t="s">
        <v>104</v>
      </c>
      <c r="J58" s="10" t="s">
        <v>1636</v>
      </c>
      <c r="K58" s="10" t="s">
        <v>1659</v>
      </c>
    </row>
    <row r="59" customFormat="false" ht="15" hidden="false" customHeight="false" outlineLevel="0" collapsed="false">
      <c r="A59" s="10" t="s">
        <v>1700</v>
      </c>
      <c r="B59" s="10" t="n">
        <v>1025</v>
      </c>
      <c r="C59" s="8" t="n">
        <v>45672</v>
      </c>
      <c r="D59" s="8" t="n">
        <v>45670</v>
      </c>
      <c r="E59" s="10" t="n">
        <v>1000</v>
      </c>
      <c r="F59" s="0" t="str">
        <f aca="false">INDEX(COA!$C$5:$C$19,MATCH(E59,COA!$A$5:$A$19,0))</f>
        <v>Asset</v>
      </c>
      <c r="G59" s="12" t="n">
        <v>139982.35</v>
      </c>
      <c r="H59" s="12" t="n">
        <v>0</v>
      </c>
      <c r="I59" s="10" t="s">
        <v>103</v>
      </c>
      <c r="J59" s="10" t="s">
        <v>1636</v>
      </c>
      <c r="K59" s="10" t="s">
        <v>1637</v>
      </c>
    </row>
    <row r="60" customFormat="false" ht="15" hidden="false" customHeight="false" outlineLevel="0" collapsed="false">
      <c r="A60" s="10" t="s">
        <v>1701</v>
      </c>
      <c r="B60" s="10" t="n">
        <v>1025</v>
      </c>
      <c r="C60" s="8" t="n">
        <v>45672</v>
      </c>
      <c r="D60" s="8" t="n">
        <v>45670</v>
      </c>
      <c r="E60" s="10" t="n">
        <v>1100</v>
      </c>
      <c r="F60" s="0" t="str">
        <f aca="false">INDEX(COA!$C$5:$C$19,MATCH(E60,COA!$A$5:$A$19,0))</f>
        <v>Asset</v>
      </c>
      <c r="G60" s="12" t="n">
        <v>0</v>
      </c>
      <c r="H60" s="12" t="n">
        <v>139982.35</v>
      </c>
      <c r="I60" s="10" t="s">
        <v>103</v>
      </c>
      <c r="J60" s="10" t="s">
        <v>1636</v>
      </c>
      <c r="K60" s="10" t="s">
        <v>1637</v>
      </c>
    </row>
    <row r="61" customFormat="false" ht="15" hidden="false" customHeight="false" outlineLevel="0" collapsed="false">
      <c r="A61" s="10" t="s">
        <v>1702</v>
      </c>
      <c r="B61" s="10" t="n">
        <v>1026</v>
      </c>
      <c r="C61" s="8" t="n">
        <v>45672</v>
      </c>
      <c r="D61" s="8" t="n">
        <v>45671</v>
      </c>
      <c r="E61" s="10" t="n">
        <v>2000</v>
      </c>
      <c r="F61" s="0" t="str">
        <f aca="false">INDEX(COA!$C$5:$C$19,MATCH(E61,COA!$A$5:$A$19,0))</f>
        <v>Liability</v>
      </c>
      <c r="G61" s="12" t="n">
        <v>55074.2</v>
      </c>
      <c r="H61" s="12" t="n">
        <v>0</v>
      </c>
      <c r="I61" s="10" t="s">
        <v>104</v>
      </c>
      <c r="J61" s="10" t="s">
        <v>1636</v>
      </c>
      <c r="K61" s="10" t="s">
        <v>1659</v>
      </c>
    </row>
    <row r="62" customFormat="false" ht="15" hidden="false" customHeight="false" outlineLevel="0" collapsed="false">
      <c r="A62" s="10" t="s">
        <v>1703</v>
      </c>
      <c r="B62" s="10" t="n">
        <v>1026</v>
      </c>
      <c r="C62" s="8" t="n">
        <v>45672</v>
      </c>
      <c r="D62" s="8" t="n">
        <v>45671</v>
      </c>
      <c r="E62" s="10" t="n">
        <v>1000</v>
      </c>
      <c r="F62" s="0" t="str">
        <f aca="false">INDEX(COA!$C$5:$C$19,MATCH(E62,COA!$A$5:$A$19,0))</f>
        <v>Asset</v>
      </c>
      <c r="G62" s="12" t="n">
        <v>0</v>
      </c>
      <c r="H62" s="12" t="n">
        <v>55074.2</v>
      </c>
      <c r="I62" s="10" t="s">
        <v>104</v>
      </c>
      <c r="J62" s="10" t="s">
        <v>1636</v>
      </c>
      <c r="K62" s="10" t="s">
        <v>1659</v>
      </c>
    </row>
    <row r="63" customFormat="false" ht="15" hidden="false" customHeight="false" outlineLevel="0" collapsed="false">
      <c r="A63" s="10" t="s">
        <v>1704</v>
      </c>
      <c r="B63" s="10" t="n">
        <v>1027</v>
      </c>
      <c r="C63" s="8" t="n">
        <v>45672</v>
      </c>
      <c r="D63" s="8" t="n">
        <v>45672</v>
      </c>
      <c r="E63" s="10" t="n">
        <v>5000</v>
      </c>
      <c r="F63" s="0" t="str">
        <f aca="false">INDEX(COA!$C$5:$C$19,MATCH(E63,COA!$A$5:$A$19,0))</f>
        <v>Expense</v>
      </c>
      <c r="G63" s="12" t="n">
        <v>32252.62</v>
      </c>
      <c r="H63" s="12" t="n">
        <v>0</v>
      </c>
      <c r="I63" s="10" t="s">
        <v>103</v>
      </c>
      <c r="J63" s="10" t="s">
        <v>1636</v>
      </c>
      <c r="K63" s="10" t="s">
        <v>1670</v>
      </c>
    </row>
    <row r="64" customFormat="false" ht="15" hidden="false" customHeight="false" outlineLevel="0" collapsed="false">
      <c r="A64" s="10" t="s">
        <v>1705</v>
      </c>
      <c r="B64" s="10" t="n">
        <v>1027</v>
      </c>
      <c r="C64" s="8" t="n">
        <v>45672</v>
      </c>
      <c r="D64" s="8" t="n">
        <v>45672</v>
      </c>
      <c r="E64" s="10" t="n">
        <v>5000</v>
      </c>
      <c r="F64" s="0" t="str">
        <f aca="false">INDEX(COA!$C$5:$C$19,MATCH(E64,COA!$A$5:$A$19,0))</f>
        <v>Expense</v>
      </c>
      <c r="G64" s="12" t="n">
        <v>13822.55</v>
      </c>
      <c r="H64" s="12" t="n">
        <v>0</v>
      </c>
      <c r="I64" s="10" t="s">
        <v>103</v>
      </c>
      <c r="J64" s="10" t="s">
        <v>1636</v>
      </c>
      <c r="K64" s="10" t="s">
        <v>1670</v>
      </c>
    </row>
    <row r="65" customFormat="false" ht="15" hidden="false" customHeight="false" outlineLevel="0" collapsed="false">
      <c r="A65" s="10" t="s">
        <v>1706</v>
      </c>
      <c r="B65" s="10" t="n">
        <v>1027</v>
      </c>
      <c r="C65" s="8" t="n">
        <v>45672</v>
      </c>
      <c r="D65" s="8" t="n">
        <v>45672</v>
      </c>
      <c r="E65" s="10" t="n">
        <v>1200</v>
      </c>
      <c r="F65" s="0" t="str">
        <f aca="false">INDEX(COA!$C$5:$C$19,MATCH(E65,COA!$A$5:$A$19,0))</f>
        <v>Asset</v>
      </c>
      <c r="G65" s="12" t="n">
        <v>0</v>
      </c>
      <c r="H65" s="12" t="n">
        <v>46075.17</v>
      </c>
      <c r="I65" s="10" t="s">
        <v>103</v>
      </c>
      <c r="J65" s="10" t="s">
        <v>1636</v>
      </c>
      <c r="K65" s="10" t="s">
        <v>1670</v>
      </c>
    </row>
    <row r="66" customFormat="false" ht="15" hidden="false" customHeight="false" outlineLevel="0" collapsed="false">
      <c r="A66" s="10" t="s">
        <v>1707</v>
      </c>
      <c r="B66" s="10" t="n">
        <v>1028</v>
      </c>
      <c r="C66" s="8" t="n">
        <v>45672</v>
      </c>
      <c r="D66" s="8" t="n">
        <v>45668</v>
      </c>
      <c r="E66" s="10" t="n">
        <v>1000</v>
      </c>
      <c r="F66" s="0" t="str">
        <f aca="false">INDEX(COA!$C$5:$C$19,MATCH(E66,COA!$A$5:$A$19,0))</f>
        <v>Asset</v>
      </c>
      <c r="G66" s="12" t="n">
        <v>10928.65</v>
      </c>
      <c r="H66" s="12" t="n">
        <v>0</v>
      </c>
      <c r="I66" s="10" t="s">
        <v>103</v>
      </c>
      <c r="J66" s="10" t="s">
        <v>1636</v>
      </c>
      <c r="K66" s="10" t="s">
        <v>1637</v>
      </c>
    </row>
    <row r="67" customFormat="false" ht="15" hidden="false" customHeight="false" outlineLevel="0" collapsed="false">
      <c r="A67" s="10" t="s">
        <v>1708</v>
      </c>
      <c r="B67" s="10" t="n">
        <v>1028</v>
      </c>
      <c r="C67" s="8" t="n">
        <v>45672</v>
      </c>
      <c r="D67" s="8" t="n">
        <v>45668</v>
      </c>
      <c r="E67" s="10" t="n">
        <v>1000</v>
      </c>
      <c r="F67" s="0" t="str">
        <f aca="false">INDEX(COA!$C$5:$C$19,MATCH(E67,COA!$A$5:$A$19,0))</f>
        <v>Asset</v>
      </c>
      <c r="G67" s="12" t="n">
        <v>4683.7</v>
      </c>
      <c r="H67" s="12" t="n">
        <v>0</v>
      </c>
      <c r="I67" s="10" t="s">
        <v>103</v>
      </c>
      <c r="J67" s="10" t="s">
        <v>1636</v>
      </c>
      <c r="K67" s="10" t="s">
        <v>1637</v>
      </c>
    </row>
    <row r="68" customFormat="false" ht="15" hidden="false" customHeight="false" outlineLevel="0" collapsed="false">
      <c r="A68" s="10" t="s">
        <v>1709</v>
      </c>
      <c r="B68" s="10" t="n">
        <v>1028</v>
      </c>
      <c r="C68" s="8" t="n">
        <v>45672</v>
      </c>
      <c r="D68" s="8" t="n">
        <v>45668</v>
      </c>
      <c r="E68" s="10" t="n">
        <v>1100</v>
      </c>
      <c r="F68" s="0" t="str">
        <f aca="false">INDEX(COA!$C$5:$C$19,MATCH(E68,COA!$A$5:$A$19,0))</f>
        <v>Asset</v>
      </c>
      <c r="G68" s="12" t="n">
        <v>0</v>
      </c>
      <c r="H68" s="12" t="n">
        <v>15612.35</v>
      </c>
      <c r="I68" s="10" t="s">
        <v>103</v>
      </c>
      <c r="J68" s="10" t="s">
        <v>1636</v>
      </c>
      <c r="K68" s="10" t="s">
        <v>1637</v>
      </c>
    </row>
    <row r="69" customFormat="false" ht="15" hidden="false" customHeight="false" outlineLevel="0" collapsed="false">
      <c r="A69" s="10" t="s">
        <v>1710</v>
      </c>
      <c r="B69" s="10" t="n">
        <v>1029</v>
      </c>
      <c r="C69" s="8" t="n">
        <v>45672</v>
      </c>
      <c r="D69" s="8" t="n">
        <v>45670</v>
      </c>
      <c r="E69" s="10" t="n">
        <v>1200</v>
      </c>
      <c r="F69" s="0" t="str">
        <f aca="false">INDEX(COA!$C$5:$C$19,MATCH(E69,COA!$A$5:$A$19,0))</f>
        <v>Asset</v>
      </c>
      <c r="G69" s="12" t="n">
        <v>35926.19</v>
      </c>
      <c r="H69" s="12" t="n">
        <v>0</v>
      </c>
      <c r="I69" s="10" t="s">
        <v>102</v>
      </c>
      <c r="J69" s="10" t="s">
        <v>1636</v>
      </c>
      <c r="K69" s="10" t="s">
        <v>1655</v>
      </c>
    </row>
    <row r="70" customFormat="false" ht="15" hidden="false" customHeight="false" outlineLevel="0" collapsed="false">
      <c r="A70" s="10" t="s">
        <v>1711</v>
      </c>
      <c r="B70" s="10" t="n">
        <v>1029</v>
      </c>
      <c r="C70" s="8" t="n">
        <v>45672</v>
      </c>
      <c r="D70" s="8" t="n">
        <v>45670</v>
      </c>
      <c r="E70" s="10" t="n">
        <v>1200</v>
      </c>
      <c r="F70" s="0" t="str">
        <f aca="false">INDEX(COA!$C$5:$C$19,MATCH(E70,COA!$A$5:$A$19,0))</f>
        <v>Asset</v>
      </c>
      <c r="G70" s="12" t="n">
        <v>15396.94</v>
      </c>
      <c r="H70" s="12" t="n">
        <v>0</v>
      </c>
      <c r="I70" s="10" t="s">
        <v>102</v>
      </c>
      <c r="J70" s="10" t="s">
        <v>1636</v>
      </c>
      <c r="K70" s="10" t="s">
        <v>1655</v>
      </c>
    </row>
    <row r="71" customFormat="false" ht="15" hidden="false" customHeight="false" outlineLevel="0" collapsed="false">
      <c r="A71" s="10" t="s">
        <v>1712</v>
      </c>
      <c r="B71" s="10" t="n">
        <v>1029</v>
      </c>
      <c r="C71" s="8" t="n">
        <v>45672</v>
      </c>
      <c r="D71" s="8" t="n">
        <v>45670</v>
      </c>
      <c r="E71" s="10" t="n">
        <v>2000</v>
      </c>
      <c r="F71" s="0" t="str">
        <f aca="false">INDEX(COA!$C$5:$C$19,MATCH(E71,COA!$A$5:$A$19,0))</f>
        <v>Liability</v>
      </c>
      <c r="G71" s="12" t="n">
        <v>0</v>
      </c>
      <c r="H71" s="12" t="n">
        <v>51323.13</v>
      </c>
      <c r="I71" s="10" t="s">
        <v>102</v>
      </c>
      <c r="J71" s="10" t="s">
        <v>1636</v>
      </c>
      <c r="K71" s="10" t="s">
        <v>1655</v>
      </c>
    </row>
    <row r="72" customFormat="false" ht="15" hidden="false" customHeight="false" outlineLevel="0" collapsed="false">
      <c r="A72" s="10" t="s">
        <v>1713</v>
      </c>
      <c r="B72" s="10" t="n">
        <v>1030</v>
      </c>
      <c r="C72" s="8" t="n">
        <v>45673</v>
      </c>
      <c r="D72" s="8" t="n">
        <v>45671</v>
      </c>
      <c r="E72" s="10" t="n">
        <v>1100</v>
      </c>
      <c r="F72" s="0" t="str">
        <f aca="false">INDEX(COA!$C$5:$C$19,MATCH(E72,COA!$A$5:$A$19,0))</f>
        <v>Asset</v>
      </c>
      <c r="G72" s="12" t="n">
        <v>994.33</v>
      </c>
      <c r="H72" s="12" t="n">
        <v>0</v>
      </c>
      <c r="I72" s="10" t="s">
        <v>103</v>
      </c>
      <c r="J72" s="10" t="s">
        <v>1636</v>
      </c>
      <c r="K72" s="10" t="s">
        <v>1640</v>
      </c>
    </row>
    <row r="73" customFormat="false" ht="15" hidden="false" customHeight="false" outlineLevel="0" collapsed="false">
      <c r="A73" s="10" t="s">
        <v>1714</v>
      </c>
      <c r="B73" s="10" t="n">
        <v>1030</v>
      </c>
      <c r="C73" s="8" t="n">
        <v>45673</v>
      </c>
      <c r="D73" s="8" t="n">
        <v>45671</v>
      </c>
      <c r="E73" s="10" t="n">
        <v>4000</v>
      </c>
      <c r="F73" s="0" t="str">
        <f aca="false">INDEX(COA!$C$5:$C$19,MATCH(E73,COA!$A$5:$A$19,0))</f>
        <v>Revenue</v>
      </c>
      <c r="G73" s="12" t="n">
        <v>0</v>
      </c>
      <c r="H73" s="12" t="n">
        <v>994.33</v>
      </c>
      <c r="I73" s="10" t="s">
        <v>103</v>
      </c>
      <c r="J73" s="10" t="s">
        <v>1636</v>
      </c>
      <c r="K73" s="10" t="s">
        <v>1640</v>
      </c>
    </row>
    <row r="74" customFormat="false" ht="15" hidden="false" customHeight="false" outlineLevel="0" collapsed="false">
      <c r="A74" s="10" t="s">
        <v>1715</v>
      </c>
      <c r="B74" s="10" t="n">
        <v>1031</v>
      </c>
      <c r="C74" s="8" t="n">
        <v>45673</v>
      </c>
      <c r="D74" s="8" t="n">
        <v>45671</v>
      </c>
      <c r="E74" s="10" t="n">
        <v>1500</v>
      </c>
      <c r="F74" s="0" t="str">
        <f aca="false">INDEX(COA!$C$5:$C$19,MATCH(E74,COA!$A$5:$A$19,0))</f>
        <v>Asset</v>
      </c>
      <c r="G74" s="12" t="n">
        <v>18858.8</v>
      </c>
      <c r="H74" s="12" t="n">
        <v>0</v>
      </c>
      <c r="I74" s="10" t="s">
        <v>102</v>
      </c>
      <c r="J74" s="10" t="s">
        <v>1636</v>
      </c>
      <c r="K74" s="10" t="s">
        <v>1716</v>
      </c>
    </row>
    <row r="75" customFormat="false" ht="15" hidden="false" customHeight="false" outlineLevel="0" collapsed="false">
      <c r="A75" s="10" t="s">
        <v>1717</v>
      </c>
      <c r="B75" s="10" t="n">
        <v>1031</v>
      </c>
      <c r="C75" s="8" t="n">
        <v>45673</v>
      </c>
      <c r="D75" s="8" t="n">
        <v>45671</v>
      </c>
      <c r="E75" s="10" t="n">
        <v>2000</v>
      </c>
      <c r="F75" s="0" t="str">
        <f aca="false">INDEX(COA!$C$5:$C$19,MATCH(E75,COA!$A$5:$A$19,0))</f>
        <v>Liability</v>
      </c>
      <c r="G75" s="12" t="n">
        <v>0</v>
      </c>
      <c r="H75" s="12" t="n">
        <v>18858.8</v>
      </c>
      <c r="I75" s="10" t="s">
        <v>102</v>
      </c>
      <c r="J75" s="10" t="s">
        <v>1636</v>
      </c>
      <c r="K75" s="10" t="s">
        <v>1716</v>
      </c>
    </row>
    <row r="76" customFormat="false" ht="15" hidden="false" customHeight="false" outlineLevel="0" collapsed="false">
      <c r="A76" s="10" t="s">
        <v>1718</v>
      </c>
      <c r="B76" s="10" t="n">
        <v>1032</v>
      </c>
      <c r="C76" s="8" t="n">
        <v>45674</v>
      </c>
      <c r="D76" s="8" t="n">
        <v>45672</v>
      </c>
      <c r="E76" s="10" t="n">
        <v>1200</v>
      </c>
      <c r="F76" s="0" t="str">
        <f aca="false">INDEX(COA!$C$5:$C$19,MATCH(E76,COA!$A$5:$A$19,0))</f>
        <v>Asset</v>
      </c>
      <c r="G76" s="12" t="n">
        <v>12219.41</v>
      </c>
      <c r="H76" s="12" t="n">
        <v>0</v>
      </c>
      <c r="I76" s="10" t="s">
        <v>102</v>
      </c>
      <c r="J76" s="10" t="s">
        <v>1636</v>
      </c>
      <c r="K76" s="10" t="s">
        <v>1655</v>
      </c>
    </row>
    <row r="77" customFormat="false" ht="15" hidden="false" customHeight="false" outlineLevel="0" collapsed="false">
      <c r="A77" s="10" t="s">
        <v>1719</v>
      </c>
      <c r="B77" s="10" t="n">
        <v>1032</v>
      </c>
      <c r="C77" s="8" t="n">
        <v>45674</v>
      </c>
      <c r="D77" s="8" t="n">
        <v>45672</v>
      </c>
      <c r="E77" s="10" t="n">
        <v>2000</v>
      </c>
      <c r="F77" s="0" t="str">
        <f aca="false">INDEX(COA!$C$5:$C$19,MATCH(E77,COA!$A$5:$A$19,0))</f>
        <v>Liability</v>
      </c>
      <c r="G77" s="12" t="n">
        <v>0</v>
      </c>
      <c r="H77" s="12" t="n">
        <v>12219.41</v>
      </c>
      <c r="I77" s="10" t="s">
        <v>102</v>
      </c>
      <c r="J77" s="10" t="s">
        <v>1636</v>
      </c>
      <c r="K77" s="10" t="s">
        <v>1655</v>
      </c>
    </row>
    <row r="78" customFormat="false" ht="15" hidden="false" customHeight="false" outlineLevel="0" collapsed="false">
      <c r="A78" s="10" t="s">
        <v>1720</v>
      </c>
      <c r="B78" s="10" t="n">
        <v>1033</v>
      </c>
      <c r="C78" s="8" t="n">
        <v>45674</v>
      </c>
      <c r="D78" s="8" t="n">
        <v>45674</v>
      </c>
      <c r="E78" s="10" t="n">
        <v>6900</v>
      </c>
      <c r="F78" s="0" t="str">
        <f aca="false">INDEX(COA!$C$5:$C$19,MATCH(E78,COA!$A$5:$A$19,0))</f>
        <v>Expense</v>
      </c>
      <c r="G78" s="12" t="n">
        <v>34428.78</v>
      </c>
      <c r="H78" s="12" t="n">
        <v>0</v>
      </c>
      <c r="I78" s="10" t="s">
        <v>99</v>
      </c>
      <c r="J78" s="10" t="s">
        <v>1648</v>
      </c>
    </row>
    <row r="79" customFormat="false" ht="15" hidden="false" customHeight="false" outlineLevel="0" collapsed="false">
      <c r="A79" s="10" t="s">
        <v>1721</v>
      </c>
      <c r="B79" s="10" t="n">
        <v>1033</v>
      </c>
      <c r="C79" s="8" t="n">
        <v>45674</v>
      </c>
      <c r="D79" s="8" t="n">
        <v>45674</v>
      </c>
      <c r="E79" s="10" t="n">
        <v>2100</v>
      </c>
      <c r="F79" s="0" t="str">
        <f aca="false">INDEX(COA!$C$5:$C$19,MATCH(E79,COA!$A$5:$A$19,0))</f>
        <v>Liability</v>
      </c>
      <c r="G79" s="12" t="n">
        <v>0</v>
      </c>
      <c r="H79" s="12" t="n">
        <v>34428.78</v>
      </c>
      <c r="I79" s="10" t="s">
        <v>99</v>
      </c>
      <c r="J79" s="10" t="s">
        <v>1648</v>
      </c>
    </row>
    <row r="80" customFormat="false" ht="15" hidden="false" customHeight="false" outlineLevel="0" collapsed="false">
      <c r="A80" s="10" t="s">
        <v>1722</v>
      </c>
      <c r="B80" s="10" t="n">
        <v>1034</v>
      </c>
      <c r="C80" s="8" t="n">
        <v>45674</v>
      </c>
      <c r="D80" s="8" t="n">
        <v>45670</v>
      </c>
      <c r="E80" s="10" t="n">
        <v>6900</v>
      </c>
      <c r="F80" s="0" t="str">
        <f aca="false">INDEX(COA!$C$5:$C$19,MATCH(E80,COA!$A$5:$A$19,0))</f>
        <v>Expense</v>
      </c>
      <c r="G80" s="12" t="n">
        <v>71785.26</v>
      </c>
      <c r="H80" s="12" t="n">
        <v>0</v>
      </c>
      <c r="I80" s="10" t="s">
        <v>97</v>
      </c>
      <c r="J80" s="10" t="s">
        <v>1648</v>
      </c>
      <c r="K80" s="10" t="s">
        <v>1649</v>
      </c>
    </row>
    <row r="81" customFormat="false" ht="15" hidden="false" customHeight="false" outlineLevel="0" collapsed="false">
      <c r="A81" s="10" t="s">
        <v>1723</v>
      </c>
      <c r="B81" s="10" t="n">
        <v>1034</v>
      </c>
      <c r="C81" s="8" t="n">
        <v>45674</v>
      </c>
      <c r="D81" s="8" t="n">
        <v>45670</v>
      </c>
      <c r="E81" s="10" t="n">
        <v>2100</v>
      </c>
      <c r="F81" s="0" t="str">
        <f aca="false">INDEX(COA!$C$5:$C$19,MATCH(E81,COA!$A$5:$A$19,0))</f>
        <v>Liability</v>
      </c>
      <c r="G81" s="12" t="n">
        <v>0</v>
      </c>
      <c r="H81" s="12" t="n">
        <v>71785.26</v>
      </c>
      <c r="I81" s="10" t="s">
        <v>97</v>
      </c>
      <c r="J81" s="10" t="s">
        <v>1648</v>
      </c>
      <c r="K81" s="10" t="s">
        <v>1649</v>
      </c>
    </row>
    <row r="82" customFormat="false" ht="15" hidden="false" customHeight="false" outlineLevel="0" collapsed="false">
      <c r="A82" s="10" t="s">
        <v>1724</v>
      </c>
      <c r="B82" s="10" t="n">
        <v>1035</v>
      </c>
      <c r="C82" s="8" t="n">
        <v>45674</v>
      </c>
      <c r="D82" s="8" t="n">
        <v>45672</v>
      </c>
      <c r="E82" s="10" t="n">
        <v>1000</v>
      </c>
      <c r="F82" s="0" t="str">
        <f aca="false">INDEX(COA!$C$5:$C$19,MATCH(E82,COA!$A$5:$A$19,0))</f>
        <v>Asset</v>
      </c>
      <c r="G82" s="12" t="n">
        <v>111700.56</v>
      </c>
      <c r="H82" s="12" t="n">
        <v>0</v>
      </c>
      <c r="I82" s="10" t="s">
        <v>103</v>
      </c>
      <c r="J82" s="10" t="s">
        <v>1636</v>
      </c>
      <c r="K82" s="10" t="s">
        <v>1637</v>
      </c>
    </row>
    <row r="83" customFormat="false" ht="15" hidden="false" customHeight="false" outlineLevel="0" collapsed="false">
      <c r="A83" s="10" t="s">
        <v>1725</v>
      </c>
      <c r="B83" s="10" t="n">
        <v>1035</v>
      </c>
      <c r="C83" s="8" t="n">
        <v>45674</v>
      </c>
      <c r="D83" s="8" t="n">
        <v>45672</v>
      </c>
      <c r="E83" s="10" t="n">
        <v>1100</v>
      </c>
      <c r="F83" s="0" t="str">
        <f aca="false">INDEX(COA!$C$5:$C$19,MATCH(E83,COA!$A$5:$A$19,0))</f>
        <v>Asset</v>
      </c>
      <c r="G83" s="12" t="n">
        <v>0</v>
      </c>
      <c r="H83" s="12" t="n">
        <v>111700.56</v>
      </c>
      <c r="I83" s="10" t="s">
        <v>103</v>
      </c>
      <c r="J83" s="10" t="s">
        <v>1636</v>
      </c>
      <c r="K83" s="10" t="s">
        <v>1637</v>
      </c>
    </row>
    <row r="84" customFormat="false" ht="15" hidden="false" customHeight="false" outlineLevel="0" collapsed="false">
      <c r="A84" s="10" t="s">
        <v>1726</v>
      </c>
      <c r="B84" s="10" t="n">
        <v>1036</v>
      </c>
      <c r="C84" s="8" t="n">
        <v>45674</v>
      </c>
      <c r="D84" s="8" t="n">
        <v>45670</v>
      </c>
      <c r="E84" s="10" t="n">
        <v>5000</v>
      </c>
      <c r="F84" s="0" t="str">
        <f aca="false">INDEX(COA!$C$5:$C$19,MATCH(E84,COA!$A$5:$A$19,0))</f>
        <v>Expense</v>
      </c>
      <c r="G84" s="12" t="n">
        <v>9230.62</v>
      </c>
      <c r="H84" s="12" t="n">
        <v>0</v>
      </c>
      <c r="I84" s="10" t="s">
        <v>103</v>
      </c>
      <c r="J84" s="10" t="s">
        <v>1636</v>
      </c>
      <c r="K84" s="10" t="s">
        <v>1670</v>
      </c>
    </row>
    <row r="85" customFormat="false" ht="15" hidden="false" customHeight="false" outlineLevel="0" collapsed="false">
      <c r="A85" s="10" t="s">
        <v>1727</v>
      </c>
      <c r="B85" s="10" t="n">
        <v>1036</v>
      </c>
      <c r="C85" s="8" t="n">
        <v>45674</v>
      </c>
      <c r="D85" s="8" t="n">
        <v>45670</v>
      </c>
      <c r="E85" s="10" t="n">
        <v>1200</v>
      </c>
      <c r="F85" s="0" t="str">
        <f aca="false">INDEX(COA!$C$5:$C$19,MATCH(E85,COA!$A$5:$A$19,0))</f>
        <v>Asset</v>
      </c>
      <c r="G85" s="12" t="n">
        <v>0</v>
      </c>
      <c r="H85" s="12" t="n">
        <v>9230.62</v>
      </c>
      <c r="I85" s="10" t="s">
        <v>103</v>
      </c>
      <c r="J85" s="10" t="s">
        <v>1636</v>
      </c>
      <c r="K85" s="10" t="s">
        <v>1670</v>
      </c>
    </row>
    <row r="86" customFormat="false" ht="15" hidden="false" customHeight="false" outlineLevel="0" collapsed="false">
      <c r="A86" s="10" t="s">
        <v>1728</v>
      </c>
      <c r="B86" s="10" t="n">
        <v>1037</v>
      </c>
      <c r="C86" s="8" t="n">
        <v>45674</v>
      </c>
      <c r="D86" s="8" t="n">
        <v>45674</v>
      </c>
      <c r="E86" s="10" t="n">
        <v>5000</v>
      </c>
      <c r="F86" s="0" t="str">
        <f aca="false">INDEX(COA!$C$5:$C$19,MATCH(E86,COA!$A$5:$A$19,0))</f>
        <v>Expense</v>
      </c>
      <c r="G86" s="12" t="n">
        <v>4993.54</v>
      </c>
      <c r="H86" s="12" t="n">
        <v>0</v>
      </c>
      <c r="I86" s="10" t="s">
        <v>103</v>
      </c>
      <c r="J86" s="10" t="s">
        <v>1636</v>
      </c>
      <c r="K86" s="10" t="s">
        <v>1670</v>
      </c>
    </row>
    <row r="87" customFormat="false" ht="15" hidden="false" customHeight="false" outlineLevel="0" collapsed="false">
      <c r="A87" s="10" t="s">
        <v>1729</v>
      </c>
      <c r="B87" s="10" t="n">
        <v>1037</v>
      </c>
      <c r="C87" s="8" t="n">
        <v>45674</v>
      </c>
      <c r="D87" s="8" t="n">
        <v>45674</v>
      </c>
      <c r="E87" s="10" t="n">
        <v>1200</v>
      </c>
      <c r="F87" s="0" t="str">
        <f aca="false">INDEX(COA!$C$5:$C$19,MATCH(E87,COA!$A$5:$A$19,0))</f>
        <v>Asset</v>
      </c>
      <c r="G87" s="12" t="n">
        <v>0</v>
      </c>
      <c r="H87" s="12" t="n">
        <v>4993.54</v>
      </c>
      <c r="I87" s="10" t="s">
        <v>103</v>
      </c>
      <c r="J87" s="10" t="s">
        <v>1636</v>
      </c>
      <c r="K87" s="10" t="s">
        <v>1670</v>
      </c>
    </row>
    <row r="88" customFormat="false" ht="15" hidden="false" customHeight="false" outlineLevel="0" collapsed="false">
      <c r="A88" s="10" t="s">
        <v>1730</v>
      </c>
      <c r="B88" s="10" t="n">
        <v>1038</v>
      </c>
      <c r="C88" s="8" t="n">
        <v>45675</v>
      </c>
      <c r="D88" s="8" t="n">
        <v>45672</v>
      </c>
      <c r="E88" s="10" t="n">
        <v>2000</v>
      </c>
      <c r="F88" s="0" t="str">
        <f aca="false">INDEX(COA!$C$5:$C$19,MATCH(E88,COA!$A$5:$A$19,0))</f>
        <v>Liability</v>
      </c>
      <c r="G88" s="12" t="n">
        <v>27029.59</v>
      </c>
      <c r="H88" s="12" t="n">
        <v>0</v>
      </c>
      <c r="I88" s="10" t="s">
        <v>104</v>
      </c>
      <c r="J88" s="10" t="s">
        <v>1636</v>
      </c>
      <c r="K88" s="10" t="s">
        <v>1659</v>
      </c>
    </row>
    <row r="89" customFormat="false" ht="15" hidden="false" customHeight="false" outlineLevel="0" collapsed="false">
      <c r="A89" s="10" t="s">
        <v>1731</v>
      </c>
      <c r="B89" s="10" t="n">
        <v>1038</v>
      </c>
      <c r="C89" s="8" t="n">
        <v>45675</v>
      </c>
      <c r="D89" s="8" t="n">
        <v>45672</v>
      </c>
      <c r="E89" s="10" t="n">
        <v>1000</v>
      </c>
      <c r="F89" s="0" t="str">
        <f aca="false">INDEX(COA!$C$5:$C$19,MATCH(E89,COA!$A$5:$A$19,0))</f>
        <v>Asset</v>
      </c>
      <c r="G89" s="12" t="n">
        <v>0</v>
      </c>
      <c r="H89" s="12" t="n">
        <v>27029.59</v>
      </c>
      <c r="I89" s="10" t="s">
        <v>104</v>
      </c>
      <c r="J89" s="10" t="s">
        <v>1636</v>
      </c>
      <c r="K89" s="10" t="s">
        <v>1659</v>
      </c>
    </row>
    <row r="90" customFormat="false" ht="15" hidden="false" customHeight="false" outlineLevel="0" collapsed="false">
      <c r="A90" s="10" t="s">
        <v>1732</v>
      </c>
      <c r="B90" s="10" t="n">
        <v>1039</v>
      </c>
      <c r="C90" s="8" t="n">
        <v>45677</v>
      </c>
      <c r="D90" s="8" t="n">
        <v>45676</v>
      </c>
      <c r="E90" s="10" t="n">
        <v>1000</v>
      </c>
      <c r="F90" s="0" t="str">
        <f aca="false">INDEX(COA!$C$5:$C$19,MATCH(E90,COA!$A$5:$A$19,0))</f>
        <v>Asset</v>
      </c>
      <c r="G90" s="12" t="n">
        <v>558.57</v>
      </c>
      <c r="H90" s="12" t="n">
        <v>0</v>
      </c>
      <c r="I90" s="10" t="s">
        <v>103</v>
      </c>
      <c r="J90" s="10" t="s">
        <v>1636</v>
      </c>
      <c r="K90" s="10" t="s">
        <v>1637</v>
      </c>
    </row>
    <row r="91" customFormat="false" ht="15" hidden="false" customHeight="false" outlineLevel="0" collapsed="false">
      <c r="A91" s="10" t="s">
        <v>1733</v>
      </c>
      <c r="B91" s="10" t="n">
        <v>1039</v>
      </c>
      <c r="C91" s="8" t="n">
        <v>45677</v>
      </c>
      <c r="D91" s="8" t="n">
        <v>45676</v>
      </c>
      <c r="E91" s="10" t="n">
        <v>1000</v>
      </c>
      <c r="F91" s="0" t="str">
        <f aca="false">INDEX(COA!$C$5:$C$19,MATCH(E91,COA!$A$5:$A$19,0))</f>
        <v>Asset</v>
      </c>
      <c r="G91" s="12" t="n">
        <v>239.39</v>
      </c>
      <c r="H91" s="12" t="n">
        <v>0</v>
      </c>
      <c r="I91" s="10" t="s">
        <v>103</v>
      </c>
      <c r="J91" s="10" t="s">
        <v>1636</v>
      </c>
      <c r="K91" s="10" t="s">
        <v>1637</v>
      </c>
    </row>
    <row r="92" customFormat="false" ht="15" hidden="false" customHeight="false" outlineLevel="0" collapsed="false">
      <c r="A92" s="10" t="s">
        <v>1734</v>
      </c>
      <c r="B92" s="10" t="n">
        <v>1039</v>
      </c>
      <c r="C92" s="8" t="n">
        <v>45677</v>
      </c>
      <c r="D92" s="8" t="n">
        <v>45676</v>
      </c>
      <c r="E92" s="10" t="n">
        <v>1100</v>
      </c>
      <c r="F92" s="0" t="str">
        <f aca="false">INDEX(COA!$C$5:$C$19,MATCH(E92,COA!$A$5:$A$19,0))</f>
        <v>Asset</v>
      </c>
      <c r="G92" s="12" t="n">
        <v>0</v>
      </c>
      <c r="H92" s="12" t="n">
        <v>797.96</v>
      </c>
      <c r="I92" s="10" t="s">
        <v>103</v>
      </c>
      <c r="J92" s="10" t="s">
        <v>1636</v>
      </c>
      <c r="K92" s="10" t="s">
        <v>1637</v>
      </c>
    </row>
    <row r="93" customFormat="false" ht="15" hidden="false" customHeight="false" outlineLevel="0" collapsed="false">
      <c r="A93" s="10" t="s">
        <v>1735</v>
      </c>
      <c r="B93" s="10" t="n">
        <v>1040</v>
      </c>
      <c r="C93" s="8" t="n">
        <v>45677</v>
      </c>
      <c r="D93" s="8" t="n">
        <v>45676</v>
      </c>
      <c r="E93" s="10" t="n">
        <v>1000</v>
      </c>
      <c r="F93" s="0" t="str">
        <f aca="false">INDEX(COA!$C$5:$C$19,MATCH(E93,COA!$A$5:$A$19,0))</f>
        <v>Asset</v>
      </c>
      <c r="G93" s="12" t="n">
        <v>499.57</v>
      </c>
      <c r="H93" s="12" t="n">
        <v>0</v>
      </c>
      <c r="I93" s="10" t="s">
        <v>103</v>
      </c>
      <c r="J93" s="10" t="s">
        <v>1636</v>
      </c>
      <c r="K93" s="10" t="s">
        <v>1637</v>
      </c>
    </row>
    <row r="94" customFormat="false" ht="15" hidden="false" customHeight="false" outlineLevel="0" collapsed="false">
      <c r="A94" s="10" t="s">
        <v>1736</v>
      </c>
      <c r="B94" s="10" t="n">
        <v>1040</v>
      </c>
      <c r="C94" s="8" t="n">
        <v>45677</v>
      </c>
      <c r="D94" s="8" t="n">
        <v>45676</v>
      </c>
      <c r="E94" s="10" t="n">
        <v>1100</v>
      </c>
      <c r="F94" s="0" t="str">
        <f aca="false">INDEX(COA!$C$5:$C$19,MATCH(E94,COA!$A$5:$A$19,0))</f>
        <v>Asset</v>
      </c>
      <c r="G94" s="12" t="n">
        <v>0</v>
      </c>
      <c r="H94" s="12" t="n">
        <v>499.57</v>
      </c>
      <c r="I94" s="10" t="s">
        <v>103</v>
      </c>
      <c r="J94" s="10" t="s">
        <v>1636</v>
      </c>
      <c r="K94" s="10" t="s">
        <v>1637</v>
      </c>
    </row>
    <row r="95" customFormat="false" ht="15" hidden="false" customHeight="false" outlineLevel="0" collapsed="false">
      <c r="A95" s="10" t="s">
        <v>1737</v>
      </c>
      <c r="B95" s="10" t="n">
        <v>1041</v>
      </c>
      <c r="C95" s="8" t="n">
        <v>45677</v>
      </c>
      <c r="D95" s="8" t="n">
        <v>45673</v>
      </c>
      <c r="E95" s="10" t="n">
        <v>2000</v>
      </c>
      <c r="F95" s="0" t="str">
        <f aca="false">INDEX(COA!$C$5:$C$19,MATCH(E95,COA!$A$5:$A$19,0))</f>
        <v>Liability</v>
      </c>
      <c r="G95" s="12" t="n">
        <v>5695.93</v>
      </c>
      <c r="H95" s="12" t="n">
        <v>0</v>
      </c>
      <c r="I95" s="10" t="s">
        <v>104</v>
      </c>
      <c r="J95" s="10" t="s">
        <v>1636</v>
      </c>
      <c r="K95" s="10" t="s">
        <v>1659</v>
      </c>
    </row>
    <row r="96" customFormat="false" ht="15" hidden="false" customHeight="false" outlineLevel="0" collapsed="false">
      <c r="A96" s="10" t="s">
        <v>1738</v>
      </c>
      <c r="B96" s="10" t="n">
        <v>1041</v>
      </c>
      <c r="C96" s="8" t="n">
        <v>45677</v>
      </c>
      <c r="D96" s="8" t="n">
        <v>45673</v>
      </c>
      <c r="E96" s="10" t="n">
        <v>1000</v>
      </c>
      <c r="F96" s="0" t="str">
        <f aca="false">INDEX(COA!$C$5:$C$19,MATCH(E96,COA!$A$5:$A$19,0))</f>
        <v>Asset</v>
      </c>
      <c r="G96" s="12" t="n">
        <v>0</v>
      </c>
      <c r="H96" s="12" t="n">
        <v>5695.93</v>
      </c>
      <c r="I96" s="10" t="s">
        <v>104</v>
      </c>
      <c r="J96" s="10" t="s">
        <v>1636</v>
      </c>
      <c r="K96" s="10" t="s">
        <v>1659</v>
      </c>
    </row>
    <row r="97" customFormat="false" ht="15" hidden="false" customHeight="false" outlineLevel="0" collapsed="false">
      <c r="A97" s="10" t="s">
        <v>1739</v>
      </c>
      <c r="B97" s="10" t="n">
        <v>1042</v>
      </c>
      <c r="C97" s="8" t="n">
        <v>45678</v>
      </c>
      <c r="D97" s="8" t="n">
        <v>45675</v>
      </c>
      <c r="E97" s="10" t="n">
        <v>1000</v>
      </c>
      <c r="F97" s="0" t="str">
        <f aca="false">INDEX(COA!$C$5:$C$19,MATCH(E97,COA!$A$5:$A$19,0))</f>
        <v>Asset</v>
      </c>
      <c r="G97" s="12" t="n">
        <v>752.05</v>
      </c>
      <c r="H97" s="12" t="n">
        <v>0</v>
      </c>
      <c r="I97" s="10" t="s">
        <v>103</v>
      </c>
      <c r="J97" s="10" t="s">
        <v>1636</v>
      </c>
      <c r="K97" s="10" t="s">
        <v>1637</v>
      </c>
    </row>
    <row r="98" customFormat="false" ht="15" hidden="false" customHeight="false" outlineLevel="0" collapsed="false">
      <c r="A98" s="10" t="s">
        <v>1740</v>
      </c>
      <c r="B98" s="10" t="n">
        <v>1042</v>
      </c>
      <c r="C98" s="8" t="n">
        <v>45678</v>
      </c>
      <c r="D98" s="8" t="n">
        <v>45675</v>
      </c>
      <c r="E98" s="10" t="n">
        <v>1100</v>
      </c>
      <c r="F98" s="0" t="str">
        <f aca="false">INDEX(COA!$C$5:$C$19,MATCH(E98,COA!$A$5:$A$19,0))</f>
        <v>Asset</v>
      </c>
      <c r="G98" s="12" t="n">
        <v>0</v>
      </c>
      <c r="H98" s="12" t="n">
        <v>752.05</v>
      </c>
      <c r="I98" s="10" t="s">
        <v>103</v>
      </c>
      <c r="J98" s="10" t="s">
        <v>1636</v>
      </c>
      <c r="K98" s="10" t="s">
        <v>1637</v>
      </c>
    </row>
    <row r="99" customFormat="false" ht="15" hidden="false" customHeight="false" outlineLevel="0" collapsed="false">
      <c r="A99" s="10" t="s">
        <v>1741</v>
      </c>
      <c r="B99" s="10" t="n">
        <v>1043</v>
      </c>
      <c r="C99" s="8" t="n">
        <v>45678</v>
      </c>
      <c r="D99" s="8" t="n">
        <v>45676</v>
      </c>
      <c r="E99" s="10" t="n">
        <v>1100</v>
      </c>
      <c r="F99" s="0" t="str">
        <f aca="false">INDEX(COA!$C$5:$C$19,MATCH(E99,COA!$A$5:$A$19,0))</f>
        <v>Asset</v>
      </c>
      <c r="G99" s="12" t="n">
        <v>1554.26</v>
      </c>
      <c r="H99" s="12" t="n">
        <v>0</v>
      </c>
      <c r="I99" s="10" t="s">
        <v>103</v>
      </c>
      <c r="J99" s="10" t="s">
        <v>1636</v>
      </c>
      <c r="K99" s="10" t="s">
        <v>1640</v>
      </c>
    </row>
    <row r="100" customFormat="false" ht="15" hidden="false" customHeight="false" outlineLevel="0" collapsed="false">
      <c r="A100" s="10" t="s">
        <v>1742</v>
      </c>
      <c r="B100" s="10" t="n">
        <v>1043</v>
      </c>
      <c r="C100" s="8" t="n">
        <v>45678</v>
      </c>
      <c r="D100" s="8" t="n">
        <v>45676</v>
      </c>
      <c r="E100" s="10" t="n">
        <v>4000</v>
      </c>
      <c r="F100" s="0" t="str">
        <f aca="false">INDEX(COA!$C$5:$C$19,MATCH(E100,COA!$A$5:$A$19,0))</f>
        <v>Revenue</v>
      </c>
      <c r="G100" s="12" t="n">
        <v>0</v>
      </c>
      <c r="H100" s="12" t="n">
        <v>1554.26</v>
      </c>
      <c r="I100" s="10" t="s">
        <v>103</v>
      </c>
      <c r="J100" s="10" t="s">
        <v>1636</v>
      </c>
      <c r="K100" s="10" t="s">
        <v>1640</v>
      </c>
    </row>
    <row r="101" customFormat="false" ht="15" hidden="false" customHeight="false" outlineLevel="0" collapsed="false">
      <c r="A101" s="10" t="s">
        <v>1743</v>
      </c>
      <c r="B101" s="10" t="n">
        <v>1044</v>
      </c>
      <c r="C101" s="8" t="n">
        <v>45678</v>
      </c>
      <c r="D101" s="8" t="n">
        <v>45678</v>
      </c>
      <c r="E101" s="10" t="n">
        <v>9999</v>
      </c>
      <c r="F101" s="0" t="str">
        <f aca="false">INDEX(COA!$C$5:$C$19,MATCH(E101,COA!$A$5:$A$19,0))</f>
        <v>Suspense</v>
      </c>
      <c r="G101" s="12" t="n">
        <v>30234.87</v>
      </c>
      <c r="H101" s="12" t="n">
        <v>0</v>
      </c>
      <c r="I101" s="10" t="s">
        <v>101</v>
      </c>
      <c r="J101" s="10" t="s">
        <v>1648</v>
      </c>
      <c r="K101" s="10" t="s">
        <v>1744</v>
      </c>
    </row>
    <row r="102" customFormat="false" ht="15" hidden="false" customHeight="false" outlineLevel="0" collapsed="false">
      <c r="A102" s="10" t="s">
        <v>1745</v>
      </c>
      <c r="B102" s="10" t="n">
        <v>1044</v>
      </c>
      <c r="C102" s="8" t="n">
        <v>45678</v>
      </c>
      <c r="D102" s="8" t="n">
        <v>45678</v>
      </c>
      <c r="E102" s="10" t="n">
        <v>1000</v>
      </c>
      <c r="F102" s="0" t="str">
        <f aca="false">INDEX(COA!$C$5:$C$19,MATCH(E102,COA!$A$5:$A$19,0))</f>
        <v>Asset</v>
      </c>
      <c r="G102" s="12" t="n">
        <v>0</v>
      </c>
      <c r="H102" s="12" t="n">
        <v>30234.87</v>
      </c>
      <c r="I102" s="10" t="s">
        <v>101</v>
      </c>
      <c r="J102" s="10" t="s">
        <v>1648</v>
      </c>
      <c r="K102" s="10" t="s">
        <v>1744</v>
      </c>
    </row>
    <row r="103" customFormat="false" ht="15" hidden="false" customHeight="false" outlineLevel="0" collapsed="false">
      <c r="A103" s="10" t="s">
        <v>1746</v>
      </c>
      <c r="B103" s="10" t="n">
        <v>1045</v>
      </c>
      <c r="C103" s="8" t="n">
        <v>45678</v>
      </c>
      <c r="D103" s="8" t="n">
        <v>45677</v>
      </c>
      <c r="E103" s="10" t="n">
        <v>1000</v>
      </c>
      <c r="F103" s="0" t="str">
        <f aca="false">INDEX(COA!$C$5:$C$19,MATCH(E103,COA!$A$5:$A$19,0))</f>
        <v>Asset</v>
      </c>
      <c r="G103" s="12" t="n">
        <v>2276.71</v>
      </c>
      <c r="H103" s="12" t="n">
        <v>0</v>
      </c>
      <c r="I103" s="10" t="s">
        <v>103</v>
      </c>
      <c r="J103" s="10" t="s">
        <v>1636</v>
      </c>
      <c r="K103" s="10" t="s">
        <v>1637</v>
      </c>
    </row>
    <row r="104" customFormat="false" ht="15" hidden="false" customHeight="false" outlineLevel="0" collapsed="false">
      <c r="A104" s="10" t="s">
        <v>1747</v>
      </c>
      <c r="B104" s="10" t="n">
        <v>1045</v>
      </c>
      <c r="C104" s="8" t="n">
        <v>45678</v>
      </c>
      <c r="D104" s="8" t="n">
        <v>45677</v>
      </c>
      <c r="E104" s="10" t="n">
        <v>1000</v>
      </c>
      <c r="F104" s="0" t="str">
        <f aca="false">INDEX(COA!$C$5:$C$19,MATCH(E104,COA!$A$5:$A$19,0))</f>
        <v>Asset</v>
      </c>
      <c r="G104" s="12" t="n">
        <v>975.74</v>
      </c>
      <c r="H104" s="12" t="n">
        <v>0</v>
      </c>
      <c r="I104" s="10" t="s">
        <v>103</v>
      </c>
      <c r="J104" s="10" t="s">
        <v>1636</v>
      </c>
      <c r="K104" s="10" t="s">
        <v>1637</v>
      </c>
    </row>
    <row r="105" customFormat="false" ht="15" hidden="false" customHeight="false" outlineLevel="0" collapsed="false">
      <c r="A105" s="10" t="s">
        <v>1748</v>
      </c>
      <c r="B105" s="10" t="n">
        <v>1045</v>
      </c>
      <c r="C105" s="8" t="n">
        <v>45678</v>
      </c>
      <c r="D105" s="8" t="n">
        <v>45677</v>
      </c>
      <c r="E105" s="10" t="n">
        <v>1100</v>
      </c>
      <c r="F105" s="0" t="str">
        <f aca="false">INDEX(COA!$C$5:$C$19,MATCH(E105,COA!$A$5:$A$19,0))</f>
        <v>Asset</v>
      </c>
      <c r="G105" s="12" t="n">
        <v>0</v>
      </c>
      <c r="H105" s="12" t="n">
        <v>3252.45</v>
      </c>
      <c r="I105" s="10" t="s">
        <v>103</v>
      </c>
      <c r="J105" s="10" t="s">
        <v>1636</v>
      </c>
      <c r="K105" s="10" t="s">
        <v>1637</v>
      </c>
    </row>
    <row r="106" customFormat="false" ht="15" hidden="false" customHeight="false" outlineLevel="0" collapsed="false">
      <c r="A106" s="10" t="s">
        <v>1749</v>
      </c>
      <c r="B106" s="10" t="n">
        <v>1046</v>
      </c>
      <c r="C106" s="8" t="n">
        <v>45679</v>
      </c>
      <c r="D106" s="8" t="n">
        <v>45678</v>
      </c>
      <c r="E106" s="10" t="n">
        <v>2000</v>
      </c>
      <c r="F106" s="0" t="str">
        <f aca="false">INDEX(COA!$C$5:$C$19,MATCH(E106,COA!$A$5:$A$19,0))</f>
        <v>Liability</v>
      </c>
      <c r="G106" s="12" t="n">
        <v>17416.13</v>
      </c>
      <c r="H106" s="12" t="n">
        <v>0</v>
      </c>
      <c r="I106" s="10" t="s">
        <v>104</v>
      </c>
      <c r="J106" s="10" t="s">
        <v>1636</v>
      </c>
      <c r="K106" s="10" t="s">
        <v>1659</v>
      </c>
    </row>
    <row r="107" customFormat="false" ht="15" hidden="false" customHeight="false" outlineLevel="0" collapsed="false">
      <c r="A107" s="10" t="s">
        <v>1750</v>
      </c>
      <c r="B107" s="10" t="n">
        <v>1046</v>
      </c>
      <c r="C107" s="8" t="n">
        <v>45679</v>
      </c>
      <c r="D107" s="8" t="n">
        <v>45678</v>
      </c>
      <c r="E107" s="10" t="n">
        <v>1000</v>
      </c>
      <c r="F107" s="0" t="str">
        <f aca="false">INDEX(COA!$C$5:$C$19,MATCH(E107,COA!$A$5:$A$19,0))</f>
        <v>Asset</v>
      </c>
      <c r="G107" s="12" t="n">
        <v>0</v>
      </c>
      <c r="H107" s="12" t="n">
        <v>17416.13</v>
      </c>
      <c r="I107" s="10" t="s">
        <v>104</v>
      </c>
      <c r="J107" s="10" t="s">
        <v>1636</v>
      </c>
      <c r="K107" s="10" t="s">
        <v>1659</v>
      </c>
    </row>
    <row r="108" customFormat="false" ht="15" hidden="false" customHeight="false" outlineLevel="0" collapsed="false">
      <c r="A108" s="10" t="s">
        <v>1751</v>
      </c>
      <c r="B108" s="10" t="n">
        <v>1047</v>
      </c>
      <c r="C108" s="8" t="n">
        <v>45679</v>
      </c>
      <c r="D108" s="8" t="n">
        <v>45679</v>
      </c>
      <c r="E108" s="10" t="n">
        <v>5000</v>
      </c>
      <c r="F108" s="0" t="str">
        <f aca="false">INDEX(COA!$C$5:$C$19,MATCH(E108,COA!$A$5:$A$19,0))</f>
        <v>Expense</v>
      </c>
      <c r="G108" s="12" t="n">
        <v>33706.17</v>
      </c>
      <c r="H108" s="12" t="n">
        <v>0</v>
      </c>
      <c r="I108" s="10" t="s">
        <v>103</v>
      </c>
      <c r="J108" s="10" t="s">
        <v>1636</v>
      </c>
      <c r="K108" s="10" t="s">
        <v>1670</v>
      </c>
    </row>
    <row r="109" customFormat="false" ht="15" hidden="false" customHeight="false" outlineLevel="0" collapsed="false">
      <c r="A109" s="10" t="s">
        <v>1752</v>
      </c>
      <c r="B109" s="10" t="n">
        <v>1047</v>
      </c>
      <c r="C109" s="8" t="n">
        <v>45679</v>
      </c>
      <c r="D109" s="8" t="n">
        <v>45679</v>
      </c>
      <c r="E109" s="10" t="n">
        <v>1200</v>
      </c>
      <c r="F109" s="0" t="str">
        <f aca="false">INDEX(COA!$C$5:$C$19,MATCH(E109,COA!$A$5:$A$19,0))</f>
        <v>Asset</v>
      </c>
      <c r="G109" s="12" t="n">
        <v>0</v>
      </c>
      <c r="H109" s="12" t="n">
        <v>33706.17</v>
      </c>
      <c r="I109" s="10" t="s">
        <v>103</v>
      </c>
      <c r="J109" s="10" t="s">
        <v>1636</v>
      </c>
      <c r="K109" s="10" t="s">
        <v>1670</v>
      </c>
    </row>
    <row r="110" customFormat="false" ht="15" hidden="false" customHeight="false" outlineLevel="0" collapsed="false">
      <c r="A110" s="10" t="s">
        <v>1753</v>
      </c>
      <c r="B110" s="10" t="n">
        <v>1048</v>
      </c>
      <c r="C110" s="8" t="n">
        <v>45679</v>
      </c>
      <c r="D110" s="8" t="n">
        <v>45679</v>
      </c>
      <c r="E110" s="10" t="n">
        <v>1100</v>
      </c>
      <c r="F110" s="0" t="str">
        <f aca="false">INDEX(COA!$C$5:$C$19,MATCH(E110,COA!$A$5:$A$19,0))</f>
        <v>Asset</v>
      </c>
      <c r="G110" s="12" t="n">
        <v>483.03</v>
      </c>
      <c r="H110" s="12" t="n">
        <v>0</v>
      </c>
      <c r="I110" s="10" t="s">
        <v>103</v>
      </c>
      <c r="J110" s="10" t="s">
        <v>1636</v>
      </c>
      <c r="K110" s="10" t="s">
        <v>1640</v>
      </c>
    </row>
    <row r="111" customFormat="false" ht="15" hidden="false" customHeight="false" outlineLevel="0" collapsed="false">
      <c r="A111" s="10" t="s">
        <v>1754</v>
      </c>
      <c r="B111" s="10" t="n">
        <v>1048</v>
      </c>
      <c r="C111" s="8" t="n">
        <v>45679</v>
      </c>
      <c r="D111" s="8" t="n">
        <v>45679</v>
      </c>
      <c r="E111" s="10" t="n">
        <v>1100</v>
      </c>
      <c r="F111" s="0" t="str">
        <f aca="false">INDEX(COA!$C$5:$C$19,MATCH(E111,COA!$A$5:$A$19,0))</f>
        <v>Asset</v>
      </c>
      <c r="G111" s="12" t="n">
        <v>207.02</v>
      </c>
      <c r="H111" s="12" t="n">
        <v>0</v>
      </c>
      <c r="I111" s="10" t="s">
        <v>103</v>
      </c>
      <c r="J111" s="10" t="s">
        <v>1636</v>
      </c>
      <c r="K111" s="10" t="s">
        <v>1640</v>
      </c>
    </row>
    <row r="112" customFormat="false" ht="15" hidden="false" customHeight="false" outlineLevel="0" collapsed="false">
      <c r="A112" s="10" t="s">
        <v>1755</v>
      </c>
      <c r="B112" s="10" t="n">
        <v>1048</v>
      </c>
      <c r="C112" s="8" t="n">
        <v>45679</v>
      </c>
      <c r="D112" s="8" t="n">
        <v>45679</v>
      </c>
      <c r="E112" s="10" t="n">
        <v>4000</v>
      </c>
      <c r="F112" s="0" t="str">
        <f aca="false">INDEX(COA!$C$5:$C$19,MATCH(E112,COA!$A$5:$A$19,0))</f>
        <v>Revenue</v>
      </c>
      <c r="G112" s="12" t="n">
        <v>0</v>
      </c>
      <c r="H112" s="12" t="n">
        <v>690.05</v>
      </c>
      <c r="I112" s="10" t="s">
        <v>103</v>
      </c>
      <c r="J112" s="10" t="s">
        <v>1636</v>
      </c>
      <c r="K112" s="10" t="s">
        <v>1640</v>
      </c>
    </row>
    <row r="113" customFormat="false" ht="15" hidden="false" customHeight="false" outlineLevel="0" collapsed="false">
      <c r="A113" s="10" t="s">
        <v>1756</v>
      </c>
      <c r="B113" s="10" t="n">
        <v>1049</v>
      </c>
      <c r="C113" s="8" t="n">
        <v>45680</v>
      </c>
      <c r="D113" s="8" t="n">
        <v>45677</v>
      </c>
      <c r="E113" s="10" t="n">
        <v>1000</v>
      </c>
      <c r="F113" s="0" t="str">
        <f aca="false">INDEX(COA!$C$5:$C$19,MATCH(E113,COA!$A$5:$A$19,0))</f>
        <v>Asset</v>
      </c>
      <c r="G113" s="12" t="n">
        <v>661.93</v>
      </c>
      <c r="H113" s="12" t="n">
        <v>0</v>
      </c>
      <c r="I113" s="10" t="s">
        <v>103</v>
      </c>
      <c r="J113" s="10" t="s">
        <v>1636</v>
      </c>
      <c r="K113" s="10" t="s">
        <v>1637</v>
      </c>
    </row>
    <row r="114" customFormat="false" ht="15" hidden="false" customHeight="false" outlineLevel="0" collapsed="false">
      <c r="A114" s="10" t="s">
        <v>1757</v>
      </c>
      <c r="B114" s="10" t="n">
        <v>1049</v>
      </c>
      <c r="C114" s="8" t="n">
        <v>45680</v>
      </c>
      <c r="D114" s="8" t="n">
        <v>45677</v>
      </c>
      <c r="E114" s="10" t="n">
        <v>1100</v>
      </c>
      <c r="F114" s="0" t="str">
        <f aca="false">INDEX(COA!$C$5:$C$19,MATCH(E114,COA!$A$5:$A$19,0))</f>
        <v>Asset</v>
      </c>
      <c r="G114" s="12" t="n">
        <v>0</v>
      </c>
      <c r="H114" s="12" t="n">
        <v>661.93</v>
      </c>
      <c r="I114" s="10" t="s">
        <v>103</v>
      </c>
      <c r="J114" s="10" t="s">
        <v>1636</v>
      </c>
      <c r="K114" s="10" t="s">
        <v>1637</v>
      </c>
    </row>
    <row r="115" customFormat="false" ht="15" hidden="false" customHeight="false" outlineLevel="0" collapsed="false">
      <c r="A115" s="10" t="s">
        <v>1758</v>
      </c>
      <c r="B115" s="10" t="n">
        <v>1050</v>
      </c>
      <c r="C115" s="8" t="n">
        <v>45680</v>
      </c>
      <c r="D115" s="8" t="n">
        <v>45676</v>
      </c>
      <c r="E115" s="10" t="n">
        <v>1000</v>
      </c>
      <c r="F115" s="0" t="str">
        <f aca="false">INDEX(COA!$C$5:$C$19,MATCH(E115,COA!$A$5:$A$19,0))</f>
        <v>Asset</v>
      </c>
      <c r="G115" s="12" t="n">
        <v>111563.27</v>
      </c>
      <c r="H115" s="12" t="n">
        <v>0</v>
      </c>
      <c r="I115" s="10" t="s">
        <v>103</v>
      </c>
      <c r="J115" s="10" t="s">
        <v>1636</v>
      </c>
      <c r="K115" s="10" t="s">
        <v>1637</v>
      </c>
    </row>
    <row r="116" customFormat="false" ht="15" hidden="false" customHeight="false" outlineLevel="0" collapsed="false">
      <c r="A116" s="10" t="s">
        <v>1759</v>
      </c>
      <c r="B116" s="10" t="n">
        <v>1050</v>
      </c>
      <c r="C116" s="8" t="n">
        <v>45680</v>
      </c>
      <c r="D116" s="8" t="n">
        <v>45676</v>
      </c>
      <c r="E116" s="10" t="n">
        <v>1100</v>
      </c>
      <c r="F116" s="0" t="str">
        <f aca="false">INDEX(COA!$C$5:$C$19,MATCH(E116,COA!$A$5:$A$19,0))</f>
        <v>Asset</v>
      </c>
      <c r="G116" s="12" t="n">
        <v>0</v>
      </c>
      <c r="H116" s="12" t="n">
        <v>111563.27</v>
      </c>
      <c r="I116" s="10" t="s">
        <v>103</v>
      </c>
      <c r="J116" s="10" t="s">
        <v>1636</v>
      </c>
      <c r="K116" s="10" t="s">
        <v>1637</v>
      </c>
    </row>
    <row r="117" customFormat="false" ht="15" hidden="false" customHeight="false" outlineLevel="0" collapsed="false">
      <c r="A117" s="10" t="s">
        <v>1760</v>
      </c>
      <c r="B117" s="10" t="n">
        <v>1051</v>
      </c>
      <c r="C117" s="8" t="n">
        <v>45680</v>
      </c>
      <c r="D117" s="8" t="n">
        <v>45680</v>
      </c>
      <c r="E117" s="10" t="n">
        <v>6900</v>
      </c>
      <c r="F117" s="0" t="str">
        <f aca="false">INDEX(COA!$C$5:$C$19,MATCH(E117,COA!$A$5:$A$19,0))</f>
        <v>Expense</v>
      </c>
      <c r="G117" s="12" t="n">
        <v>45000</v>
      </c>
      <c r="H117" s="12" t="n">
        <v>0</v>
      </c>
      <c r="I117" s="10" t="s">
        <v>101</v>
      </c>
      <c r="J117" s="10" t="s">
        <v>1648</v>
      </c>
      <c r="K117" s="10" t="s">
        <v>1761</v>
      </c>
    </row>
    <row r="118" customFormat="false" ht="15" hidden="false" customHeight="false" outlineLevel="0" collapsed="false">
      <c r="A118" s="10" t="s">
        <v>1762</v>
      </c>
      <c r="B118" s="10" t="n">
        <v>1051</v>
      </c>
      <c r="C118" s="8" t="n">
        <v>45680</v>
      </c>
      <c r="D118" s="8" t="n">
        <v>45680</v>
      </c>
      <c r="E118" s="10" t="n">
        <v>2100</v>
      </c>
      <c r="F118" s="0" t="str">
        <f aca="false">INDEX(COA!$C$5:$C$19,MATCH(E118,COA!$A$5:$A$19,0))</f>
        <v>Liability</v>
      </c>
      <c r="G118" s="12" t="n">
        <v>0</v>
      </c>
      <c r="H118" s="12" t="n">
        <v>45000</v>
      </c>
      <c r="I118" s="10" t="s">
        <v>101</v>
      </c>
      <c r="J118" s="10" t="s">
        <v>1648</v>
      </c>
      <c r="K118" s="10" t="s">
        <v>1761</v>
      </c>
    </row>
    <row r="119" customFormat="false" ht="15" hidden="false" customHeight="false" outlineLevel="0" collapsed="false">
      <c r="A119" s="10" t="s">
        <v>1763</v>
      </c>
      <c r="B119" s="10" t="n">
        <v>1052</v>
      </c>
      <c r="C119" s="8" t="n">
        <v>45680</v>
      </c>
      <c r="D119" s="8" t="n">
        <v>45678</v>
      </c>
      <c r="E119" s="10" t="n">
        <v>1000</v>
      </c>
      <c r="F119" s="0" t="str">
        <f aca="false">INDEX(COA!$C$5:$C$19,MATCH(E119,COA!$A$5:$A$19,0))</f>
        <v>Asset</v>
      </c>
      <c r="G119" s="12" t="n">
        <v>70722.06</v>
      </c>
      <c r="H119" s="12" t="n">
        <v>0</v>
      </c>
      <c r="I119" s="10" t="s">
        <v>103</v>
      </c>
      <c r="J119" s="10" t="s">
        <v>1636</v>
      </c>
      <c r="K119" s="10" t="s">
        <v>1637</v>
      </c>
    </row>
    <row r="120" customFormat="false" ht="15" hidden="false" customHeight="false" outlineLevel="0" collapsed="false">
      <c r="A120" s="10" t="s">
        <v>1764</v>
      </c>
      <c r="B120" s="10" t="n">
        <v>1052</v>
      </c>
      <c r="C120" s="8" t="n">
        <v>45680</v>
      </c>
      <c r="D120" s="8" t="n">
        <v>45678</v>
      </c>
      <c r="E120" s="10" t="n">
        <v>1100</v>
      </c>
      <c r="F120" s="0" t="str">
        <f aca="false">INDEX(COA!$C$5:$C$19,MATCH(E120,COA!$A$5:$A$19,0))</f>
        <v>Asset</v>
      </c>
      <c r="G120" s="12" t="n">
        <v>0</v>
      </c>
      <c r="H120" s="12" t="n">
        <v>70722.06</v>
      </c>
      <c r="I120" s="10" t="s">
        <v>103</v>
      </c>
      <c r="J120" s="10" t="s">
        <v>1636</v>
      </c>
      <c r="K120" s="10" t="s">
        <v>1637</v>
      </c>
    </row>
    <row r="121" customFormat="false" ht="15" hidden="false" customHeight="false" outlineLevel="0" collapsed="false">
      <c r="A121" s="10" t="s">
        <v>1765</v>
      </c>
      <c r="B121" s="10" t="n">
        <v>1053</v>
      </c>
      <c r="C121" s="8" t="n">
        <v>45680</v>
      </c>
      <c r="D121" s="8" t="n">
        <v>45680</v>
      </c>
      <c r="E121" s="10" t="n">
        <v>1000</v>
      </c>
      <c r="F121" s="0" t="str">
        <f aca="false">INDEX(COA!$C$5:$C$19,MATCH(E121,COA!$A$5:$A$19,0))</f>
        <v>Asset</v>
      </c>
      <c r="G121" s="12" t="n">
        <v>44483.01</v>
      </c>
      <c r="H121" s="12" t="n">
        <v>0</v>
      </c>
      <c r="I121" s="10" t="s">
        <v>103</v>
      </c>
      <c r="J121" s="10" t="s">
        <v>1636</v>
      </c>
    </row>
    <row r="122" customFormat="false" ht="15" hidden="false" customHeight="false" outlineLevel="0" collapsed="false">
      <c r="A122" s="10" t="s">
        <v>1766</v>
      </c>
      <c r="B122" s="10" t="n">
        <v>1053</v>
      </c>
      <c r="C122" s="8" t="n">
        <v>45680</v>
      </c>
      <c r="D122" s="8" t="n">
        <v>45680</v>
      </c>
      <c r="E122" s="10" t="n">
        <v>1100</v>
      </c>
      <c r="F122" s="0" t="str">
        <f aca="false">INDEX(COA!$C$5:$C$19,MATCH(E122,COA!$A$5:$A$19,0))</f>
        <v>Asset</v>
      </c>
      <c r="G122" s="12" t="n">
        <v>0</v>
      </c>
      <c r="H122" s="12" t="n">
        <v>44483.01</v>
      </c>
      <c r="I122" s="10" t="s">
        <v>103</v>
      </c>
      <c r="J122" s="10" t="s">
        <v>1636</v>
      </c>
    </row>
    <row r="123" customFormat="false" ht="15" hidden="false" customHeight="false" outlineLevel="0" collapsed="false">
      <c r="A123" s="10" t="s">
        <v>1767</v>
      </c>
      <c r="B123" s="10" t="n">
        <v>1054</v>
      </c>
      <c r="C123" s="8" t="n">
        <v>45681</v>
      </c>
      <c r="D123" s="8" t="n">
        <v>45678</v>
      </c>
      <c r="E123" s="10" t="n">
        <v>1100</v>
      </c>
      <c r="F123" s="0" t="str">
        <f aca="false">INDEX(COA!$C$5:$C$19,MATCH(E123,COA!$A$5:$A$19,0))</f>
        <v>Asset</v>
      </c>
      <c r="G123" s="12" t="n">
        <v>1513.51</v>
      </c>
      <c r="H123" s="12" t="n">
        <v>0</v>
      </c>
      <c r="I123" s="10" t="s">
        <v>103</v>
      </c>
      <c r="J123" s="10" t="s">
        <v>1636</v>
      </c>
      <c r="K123" s="10" t="s">
        <v>1640</v>
      </c>
    </row>
    <row r="124" customFormat="false" ht="15" hidden="false" customHeight="false" outlineLevel="0" collapsed="false">
      <c r="A124" s="10" t="s">
        <v>1768</v>
      </c>
      <c r="B124" s="10" t="n">
        <v>1054</v>
      </c>
      <c r="C124" s="8" t="n">
        <v>45681</v>
      </c>
      <c r="D124" s="8" t="n">
        <v>45678</v>
      </c>
      <c r="E124" s="10" t="n">
        <v>4000</v>
      </c>
      <c r="F124" s="0" t="str">
        <f aca="false">INDEX(COA!$C$5:$C$19,MATCH(E124,COA!$A$5:$A$19,0))</f>
        <v>Revenue</v>
      </c>
      <c r="G124" s="12" t="n">
        <v>0</v>
      </c>
      <c r="H124" s="12" t="n">
        <v>1513.51</v>
      </c>
      <c r="I124" s="10" t="s">
        <v>103</v>
      </c>
      <c r="J124" s="10" t="s">
        <v>1636</v>
      </c>
      <c r="K124" s="10" t="s">
        <v>1640</v>
      </c>
    </row>
    <row r="125" customFormat="false" ht="15" hidden="false" customHeight="false" outlineLevel="0" collapsed="false">
      <c r="A125" s="10" t="s">
        <v>1769</v>
      </c>
      <c r="B125" s="10" t="n">
        <v>1055</v>
      </c>
      <c r="C125" s="8" t="n">
        <v>45681</v>
      </c>
      <c r="D125" s="8" t="n">
        <v>45681</v>
      </c>
      <c r="E125" s="10" t="n">
        <v>2100</v>
      </c>
      <c r="F125" s="0" t="str">
        <f aca="false">INDEX(COA!$C$5:$C$19,MATCH(E125,COA!$A$5:$A$19,0))</f>
        <v>Liability</v>
      </c>
      <c r="G125" s="12" t="n">
        <v>366.88</v>
      </c>
      <c r="H125" s="12" t="n">
        <v>0</v>
      </c>
      <c r="I125" s="10" t="s">
        <v>101</v>
      </c>
      <c r="J125" s="10" t="s">
        <v>1648</v>
      </c>
      <c r="K125" s="10" t="s">
        <v>1677</v>
      </c>
    </row>
    <row r="126" customFormat="false" ht="15" hidden="false" customHeight="false" outlineLevel="0" collapsed="false">
      <c r="A126" s="10" t="s">
        <v>1770</v>
      </c>
      <c r="B126" s="10" t="n">
        <v>1055</v>
      </c>
      <c r="C126" s="8" t="n">
        <v>45681</v>
      </c>
      <c r="D126" s="8" t="n">
        <v>45681</v>
      </c>
      <c r="E126" s="10" t="n">
        <v>6900</v>
      </c>
      <c r="F126" s="0" t="str">
        <f aca="false">INDEX(COA!$C$5:$C$19,MATCH(E126,COA!$A$5:$A$19,0))</f>
        <v>Expense</v>
      </c>
      <c r="G126" s="12" t="n">
        <v>0</v>
      </c>
      <c r="H126" s="12" t="n">
        <v>366.88</v>
      </c>
      <c r="I126" s="10" t="s">
        <v>101</v>
      </c>
      <c r="J126" s="10" t="s">
        <v>1648</v>
      </c>
      <c r="K126" s="10" t="s">
        <v>1677</v>
      </c>
    </row>
    <row r="127" customFormat="false" ht="15" hidden="false" customHeight="false" outlineLevel="0" collapsed="false">
      <c r="A127" s="10" t="s">
        <v>1771</v>
      </c>
      <c r="B127" s="10" t="n">
        <v>1056</v>
      </c>
      <c r="C127" s="8" t="n">
        <v>45681</v>
      </c>
      <c r="D127" s="8" t="n">
        <v>45678</v>
      </c>
      <c r="E127" s="10" t="n">
        <v>1100</v>
      </c>
      <c r="F127" s="0" t="str">
        <f aca="false">INDEX(COA!$C$5:$C$19,MATCH(E127,COA!$A$5:$A$19,0))</f>
        <v>Asset</v>
      </c>
      <c r="G127" s="12" t="n">
        <v>824.81</v>
      </c>
      <c r="H127" s="12" t="n">
        <v>0</v>
      </c>
      <c r="I127" s="10" t="s">
        <v>103</v>
      </c>
      <c r="J127" s="10" t="s">
        <v>1636</v>
      </c>
      <c r="K127" s="10" t="s">
        <v>1640</v>
      </c>
    </row>
    <row r="128" customFormat="false" ht="15" hidden="false" customHeight="false" outlineLevel="0" collapsed="false">
      <c r="A128" s="10" t="s">
        <v>1772</v>
      </c>
      <c r="B128" s="10" t="n">
        <v>1056</v>
      </c>
      <c r="C128" s="8" t="n">
        <v>45681</v>
      </c>
      <c r="D128" s="8" t="n">
        <v>45678</v>
      </c>
      <c r="E128" s="10" t="n">
        <v>4000</v>
      </c>
      <c r="F128" s="0" t="str">
        <f aca="false">INDEX(COA!$C$5:$C$19,MATCH(E128,COA!$A$5:$A$19,0))</f>
        <v>Revenue</v>
      </c>
      <c r="G128" s="12" t="n">
        <v>0</v>
      </c>
      <c r="H128" s="12" t="n">
        <v>824.81</v>
      </c>
      <c r="I128" s="10" t="s">
        <v>103</v>
      </c>
      <c r="J128" s="10" t="s">
        <v>1636</v>
      </c>
      <c r="K128" s="10" t="s">
        <v>1640</v>
      </c>
    </row>
    <row r="129" customFormat="false" ht="15" hidden="false" customHeight="false" outlineLevel="0" collapsed="false">
      <c r="A129" s="10" t="s">
        <v>1773</v>
      </c>
      <c r="B129" s="10" t="n">
        <v>1057</v>
      </c>
      <c r="C129" s="8" t="n">
        <v>45681</v>
      </c>
      <c r="D129" s="8" t="n">
        <v>45680</v>
      </c>
      <c r="E129" s="10" t="n">
        <v>2100</v>
      </c>
      <c r="F129" s="0" t="str">
        <f aca="false">INDEX(COA!$C$5:$C$19,MATCH(E129,COA!$A$5:$A$19,0))</f>
        <v>Liability</v>
      </c>
      <c r="G129" s="12" t="n">
        <v>50153.36</v>
      </c>
      <c r="H129" s="12" t="n">
        <v>0</v>
      </c>
      <c r="I129" s="10" t="s">
        <v>97</v>
      </c>
      <c r="J129" s="10" t="s">
        <v>1648</v>
      </c>
      <c r="K129" s="10" t="s">
        <v>1677</v>
      </c>
    </row>
    <row r="130" customFormat="false" ht="15" hidden="false" customHeight="false" outlineLevel="0" collapsed="false">
      <c r="A130" s="10" t="s">
        <v>1774</v>
      </c>
      <c r="B130" s="10" t="n">
        <v>1057</v>
      </c>
      <c r="C130" s="8" t="n">
        <v>45681</v>
      </c>
      <c r="D130" s="8" t="n">
        <v>45680</v>
      </c>
      <c r="E130" s="10" t="n">
        <v>6900</v>
      </c>
      <c r="F130" s="0" t="str">
        <f aca="false">INDEX(COA!$C$5:$C$19,MATCH(E130,COA!$A$5:$A$19,0))</f>
        <v>Expense</v>
      </c>
      <c r="G130" s="12" t="n">
        <v>0</v>
      </c>
      <c r="H130" s="12" t="n">
        <v>50153.36</v>
      </c>
      <c r="I130" s="10" t="s">
        <v>97</v>
      </c>
      <c r="J130" s="10" t="s">
        <v>1648</v>
      </c>
      <c r="K130" s="10" t="s">
        <v>1677</v>
      </c>
    </row>
    <row r="131" customFormat="false" ht="15" hidden="false" customHeight="false" outlineLevel="0" collapsed="false">
      <c r="A131" s="10" t="s">
        <v>1775</v>
      </c>
      <c r="B131" s="10" t="n">
        <v>1058</v>
      </c>
      <c r="C131" s="8" t="n">
        <v>45684</v>
      </c>
      <c r="D131" s="8" t="n">
        <v>45684</v>
      </c>
      <c r="E131" s="10" t="n">
        <v>6000</v>
      </c>
      <c r="F131" s="0" t="str">
        <f aca="false">INDEX(COA!$C$5:$C$19,MATCH(E131,COA!$A$5:$A$19,0))</f>
        <v>Expense</v>
      </c>
      <c r="G131" s="12" t="n">
        <v>254000</v>
      </c>
      <c r="H131" s="12" t="n">
        <v>0</v>
      </c>
      <c r="I131" s="10" t="s">
        <v>104</v>
      </c>
      <c r="J131" s="10" t="s">
        <v>1636</v>
      </c>
      <c r="K131" s="10" t="s">
        <v>1776</v>
      </c>
    </row>
    <row r="132" customFormat="false" ht="15" hidden="false" customHeight="false" outlineLevel="0" collapsed="false">
      <c r="A132" s="10" t="s">
        <v>1777</v>
      </c>
      <c r="B132" s="10" t="n">
        <v>1058</v>
      </c>
      <c r="C132" s="8" t="n">
        <v>45684</v>
      </c>
      <c r="D132" s="8" t="n">
        <v>45684</v>
      </c>
      <c r="E132" s="10" t="n">
        <v>1000</v>
      </c>
      <c r="F132" s="0" t="str">
        <f aca="false">INDEX(COA!$C$5:$C$19,MATCH(E132,COA!$A$5:$A$19,0))</f>
        <v>Asset</v>
      </c>
      <c r="G132" s="12" t="n">
        <v>0</v>
      </c>
      <c r="H132" s="12" t="n">
        <v>254000</v>
      </c>
      <c r="I132" s="10" t="s">
        <v>104</v>
      </c>
      <c r="J132" s="10" t="s">
        <v>1636</v>
      </c>
      <c r="K132" s="10" t="s">
        <v>1776</v>
      </c>
    </row>
    <row r="133" customFormat="false" ht="15" hidden="false" customHeight="false" outlineLevel="0" collapsed="false">
      <c r="A133" s="10" t="s">
        <v>1778</v>
      </c>
      <c r="B133" s="10" t="n">
        <v>1059</v>
      </c>
      <c r="C133" s="8" t="n">
        <v>45684</v>
      </c>
      <c r="D133" s="8" t="n">
        <v>45682</v>
      </c>
      <c r="E133" s="10" t="n">
        <v>1500</v>
      </c>
      <c r="F133" s="0" t="str">
        <f aca="false">INDEX(COA!$C$5:$C$19,MATCH(E133,COA!$A$5:$A$19,0))</f>
        <v>Asset</v>
      </c>
      <c r="G133" s="12" t="n">
        <v>1877.82</v>
      </c>
      <c r="H133" s="12" t="n">
        <v>0</v>
      </c>
      <c r="I133" s="10" t="s">
        <v>102</v>
      </c>
      <c r="J133" s="10" t="s">
        <v>1636</v>
      </c>
      <c r="K133" s="10" t="s">
        <v>1716</v>
      </c>
    </row>
    <row r="134" customFormat="false" ht="15" hidden="false" customHeight="false" outlineLevel="0" collapsed="false">
      <c r="A134" s="10" t="s">
        <v>1779</v>
      </c>
      <c r="B134" s="10" t="n">
        <v>1059</v>
      </c>
      <c r="C134" s="8" t="n">
        <v>45684</v>
      </c>
      <c r="D134" s="8" t="n">
        <v>45682</v>
      </c>
      <c r="E134" s="10" t="n">
        <v>2000</v>
      </c>
      <c r="F134" s="0" t="str">
        <f aca="false">INDEX(COA!$C$5:$C$19,MATCH(E134,COA!$A$5:$A$19,0))</f>
        <v>Liability</v>
      </c>
      <c r="G134" s="12" t="n">
        <v>0</v>
      </c>
      <c r="H134" s="12" t="n">
        <v>1877.82</v>
      </c>
      <c r="I134" s="10" t="s">
        <v>102</v>
      </c>
      <c r="J134" s="10" t="s">
        <v>1636</v>
      </c>
      <c r="K134" s="10" t="s">
        <v>1716</v>
      </c>
    </row>
    <row r="135" customFormat="false" ht="15" hidden="false" customHeight="false" outlineLevel="0" collapsed="false">
      <c r="A135" s="10" t="s">
        <v>1780</v>
      </c>
      <c r="B135" s="10" t="n">
        <v>1060</v>
      </c>
      <c r="C135" s="8" t="n">
        <v>45684</v>
      </c>
      <c r="D135" s="8" t="n">
        <v>45684</v>
      </c>
      <c r="E135" s="10" t="n">
        <v>6900</v>
      </c>
      <c r="F135" s="0" t="str">
        <f aca="false">INDEX(COA!$C$5:$C$19,MATCH(E135,COA!$A$5:$A$19,0))</f>
        <v>Expense</v>
      </c>
      <c r="G135" s="12" t="n">
        <v>21000</v>
      </c>
      <c r="H135" s="12" t="n">
        <v>0</v>
      </c>
      <c r="I135" s="10" t="s">
        <v>99</v>
      </c>
      <c r="J135" s="10" t="s">
        <v>1648</v>
      </c>
      <c r="K135" s="10" t="s">
        <v>1781</v>
      </c>
    </row>
    <row r="136" customFormat="false" ht="15" hidden="false" customHeight="false" outlineLevel="0" collapsed="false">
      <c r="A136" s="10" t="s">
        <v>1782</v>
      </c>
      <c r="B136" s="10" t="n">
        <v>1060</v>
      </c>
      <c r="C136" s="8" t="n">
        <v>45684</v>
      </c>
      <c r="D136" s="8" t="n">
        <v>45684</v>
      </c>
      <c r="E136" s="10" t="n">
        <v>2100</v>
      </c>
      <c r="F136" s="0" t="str">
        <f aca="false">INDEX(COA!$C$5:$C$19,MATCH(E136,COA!$A$5:$A$19,0))</f>
        <v>Liability</v>
      </c>
      <c r="G136" s="12" t="n">
        <v>0</v>
      </c>
      <c r="H136" s="12" t="n">
        <v>21000</v>
      </c>
      <c r="I136" s="10" t="s">
        <v>99</v>
      </c>
      <c r="J136" s="10" t="s">
        <v>1648</v>
      </c>
      <c r="K136" s="10" t="s">
        <v>1781</v>
      </c>
    </row>
    <row r="137" customFormat="false" ht="15" hidden="false" customHeight="false" outlineLevel="0" collapsed="false">
      <c r="A137" s="10" t="s">
        <v>1783</v>
      </c>
      <c r="B137" s="10" t="n">
        <v>1061</v>
      </c>
      <c r="C137" s="8" t="n">
        <v>45684</v>
      </c>
      <c r="D137" s="8" t="n">
        <v>45681</v>
      </c>
      <c r="E137" s="10" t="n">
        <v>1100</v>
      </c>
      <c r="F137" s="0" t="str">
        <f aca="false">INDEX(COA!$C$5:$C$19,MATCH(E137,COA!$A$5:$A$19,0))</f>
        <v>Asset</v>
      </c>
      <c r="G137" s="12" t="n">
        <v>248.1</v>
      </c>
      <c r="H137" s="12" t="n">
        <v>0</v>
      </c>
      <c r="I137" s="10" t="s">
        <v>103</v>
      </c>
      <c r="J137" s="10" t="s">
        <v>1636</v>
      </c>
      <c r="K137" s="10" t="s">
        <v>1640</v>
      </c>
    </row>
    <row r="138" customFormat="false" ht="15" hidden="false" customHeight="false" outlineLevel="0" collapsed="false">
      <c r="A138" s="10" t="s">
        <v>1784</v>
      </c>
      <c r="B138" s="10" t="n">
        <v>1061</v>
      </c>
      <c r="C138" s="8" t="n">
        <v>45684</v>
      </c>
      <c r="D138" s="8" t="n">
        <v>45681</v>
      </c>
      <c r="E138" s="10" t="n">
        <v>4000</v>
      </c>
      <c r="F138" s="0" t="str">
        <f aca="false">INDEX(COA!$C$5:$C$19,MATCH(E138,COA!$A$5:$A$19,0))</f>
        <v>Revenue</v>
      </c>
      <c r="G138" s="12" t="n">
        <v>0</v>
      </c>
      <c r="H138" s="12" t="n">
        <v>248.1</v>
      </c>
      <c r="I138" s="10" t="s">
        <v>103</v>
      </c>
      <c r="J138" s="10" t="s">
        <v>1636</v>
      </c>
      <c r="K138" s="10" t="s">
        <v>1640</v>
      </c>
    </row>
    <row r="139" customFormat="false" ht="15" hidden="false" customHeight="false" outlineLevel="0" collapsed="false">
      <c r="A139" s="10" t="s">
        <v>1785</v>
      </c>
      <c r="B139" s="10" t="n">
        <v>1062</v>
      </c>
      <c r="C139" s="8" t="n">
        <v>45685</v>
      </c>
      <c r="D139" s="8" t="n">
        <v>45685</v>
      </c>
      <c r="E139" s="10" t="n">
        <v>5000</v>
      </c>
      <c r="F139" s="0" t="str">
        <f aca="false">INDEX(COA!$C$5:$C$19,MATCH(E139,COA!$A$5:$A$19,0))</f>
        <v>Expense</v>
      </c>
      <c r="G139" s="12" t="n">
        <v>1401.16</v>
      </c>
      <c r="H139" s="12" t="n">
        <v>0</v>
      </c>
      <c r="I139" s="10" t="s">
        <v>103</v>
      </c>
      <c r="J139" s="10" t="s">
        <v>1636</v>
      </c>
      <c r="K139" s="10" t="s">
        <v>1670</v>
      </c>
    </row>
    <row r="140" customFormat="false" ht="15" hidden="false" customHeight="false" outlineLevel="0" collapsed="false">
      <c r="A140" s="10" t="s">
        <v>1786</v>
      </c>
      <c r="B140" s="10" t="n">
        <v>1062</v>
      </c>
      <c r="C140" s="8" t="n">
        <v>45685</v>
      </c>
      <c r="D140" s="8" t="n">
        <v>45685</v>
      </c>
      <c r="E140" s="10" t="n">
        <v>1200</v>
      </c>
      <c r="F140" s="0" t="str">
        <f aca="false">INDEX(COA!$C$5:$C$19,MATCH(E140,COA!$A$5:$A$19,0))</f>
        <v>Asset</v>
      </c>
      <c r="G140" s="12" t="n">
        <v>0</v>
      </c>
      <c r="H140" s="12" t="n">
        <v>1401.16</v>
      </c>
      <c r="I140" s="10" t="s">
        <v>103</v>
      </c>
      <c r="J140" s="10" t="s">
        <v>1636</v>
      </c>
      <c r="K140" s="10" t="s">
        <v>1670</v>
      </c>
    </row>
    <row r="141" customFormat="false" ht="15" hidden="false" customHeight="false" outlineLevel="0" collapsed="false">
      <c r="A141" s="10" t="s">
        <v>1787</v>
      </c>
      <c r="B141" s="10" t="n">
        <v>1063</v>
      </c>
      <c r="C141" s="8" t="n">
        <v>45685</v>
      </c>
      <c r="D141" s="8" t="n">
        <v>45681</v>
      </c>
      <c r="E141" s="10" t="n">
        <v>1100</v>
      </c>
      <c r="F141" s="0" t="str">
        <f aca="false">INDEX(COA!$C$5:$C$19,MATCH(E141,COA!$A$5:$A$19,0))</f>
        <v>Asset</v>
      </c>
      <c r="G141" s="12" t="n">
        <v>2605.9</v>
      </c>
      <c r="H141" s="12" t="n">
        <v>0</v>
      </c>
      <c r="I141" s="10" t="s">
        <v>103</v>
      </c>
      <c r="J141" s="10" t="s">
        <v>1636</v>
      </c>
      <c r="K141" s="10" t="s">
        <v>1640</v>
      </c>
    </row>
    <row r="142" customFormat="false" ht="15" hidden="false" customHeight="false" outlineLevel="0" collapsed="false">
      <c r="A142" s="10" t="s">
        <v>1788</v>
      </c>
      <c r="B142" s="10" t="n">
        <v>1063</v>
      </c>
      <c r="C142" s="8" t="n">
        <v>45685</v>
      </c>
      <c r="D142" s="8" t="n">
        <v>45681</v>
      </c>
      <c r="E142" s="10" t="n">
        <v>1100</v>
      </c>
      <c r="F142" s="0" t="str">
        <f aca="false">INDEX(COA!$C$5:$C$19,MATCH(E142,COA!$A$5:$A$19,0))</f>
        <v>Asset</v>
      </c>
      <c r="G142" s="12" t="n">
        <v>1116.81</v>
      </c>
      <c r="H142" s="12" t="n">
        <v>0</v>
      </c>
      <c r="I142" s="10" t="s">
        <v>103</v>
      </c>
      <c r="J142" s="10" t="s">
        <v>1636</v>
      </c>
      <c r="K142" s="10" t="s">
        <v>1640</v>
      </c>
    </row>
    <row r="143" customFormat="false" ht="15" hidden="false" customHeight="false" outlineLevel="0" collapsed="false">
      <c r="A143" s="10" t="s">
        <v>1789</v>
      </c>
      <c r="B143" s="10" t="n">
        <v>1063</v>
      </c>
      <c r="C143" s="8" t="n">
        <v>45685</v>
      </c>
      <c r="D143" s="8" t="n">
        <v>45681</v>
      </c>
      <c r="E143" s="10" t="n">
        <v>4000</v>
      </c>
      <c r="F143" s="0" t="str">
        <f aca="false">INDEX(COA!$C$5:$C$19,MATCH(E143,COA!$A$5:$A$19,0))</f>
        <v>Revenue</v>
      </c>
      <c r="G143" s="12" t="n">
        <v>0</v>
      </c>
      <c r="H143" s="12" t="n">
        <v>3722.71</v>
      </c>
      <c r="I143" s="10" t="s">
        <v>103</v>
      </c>
      <c r="J143" s="10" t="s">
        <v>1636</v>
      </c>
      <c r="K143" s="10" t="s">
        <v>1640</v>
      </c>
    </row>
    <row r="144" customFormat="false" ht="15" hidden="false" customHeight="false" outlineLevel="0" collapsed="false">
      <c r="A144" s="10" t="s">
        <v>1790</v>
      </c>
      <c r="B144" s="10" t="n">
        <v>1065</v>
      </c>
      <c r="C144" s="8" t="n">
        <v>45685</v>
      </c>
      <c r="D144" s="8" t="n">
        <v>45685</v>
      </c>
      <c r="E144" s="10" t="n">
        <v>1100</v>
      </c>
      <c r="F144" s="0" t="str">
        <f aca="false">INDEX(COA!$C$5:$C$19,MATCH(E144,COA!$A$5:$A$19,0))</f>
        <v>Asset</v>
      </c>
      <c r="G144" s="12" t="n">
        <v>3204.75</v>
      </c>
      <c r="H144" s="12" t="n">
        <v>0</v>
      </c>
      <c r="I144" s="10" t="s">
        <v>103</v>
      </c>
      <c r="J144" s="10" t="s">
        <v>1636</v>
      </c>
      <c r="K144" s="10" t="s">
        <v>1640</v>
      </c>
    </row>
    <row r="145" customFormat="false" ht="15" hidden="false" customHeight="false" outlineLevel="0" collapsed="false">
      <c r="A145" s="10" t="s">
        <v>1791</v>
      </c>
      <c r="B145" s="10" t="n">
        <v>1065</v>
      </c>
      <c r="C145" s="8" t="n">
        <v>45685</v>
      </c>
      <c r="D145" s="8" t="n">
        <v>45685</v>
      </c>
      <c r="E145" s="10" t="n">
        <v>4000</v>
      </c>
      <c r="F145" s="0" t="str">
        <f aca="false">INDEX(COA!$C$5:$C$19,MATCH(E145,COA!$A$5:$A$19,0))</f>
        <v>Revenue</v>
      </c>
      <c r="G145" s="12" t="n">
        <v>0</v>
      </c>
      <c r="H145" s="12" t="n">
        <v>3204.75</v>
      </c>
      <c r="I145" s="10" t="s">
        <v>103</v>
      </c>
      <c r="J145" s="10" t="s">
        <v>1636</v>
      </c>
      <c r="K145" s="10" t="s">
        <v>1640</v>
      </c>
    </row>
    <row r="146" customFormat="false" ht="15" hidden="false" customHeight="false" outlineLevel="0" collapsed="false">
      <c r="A146" s="10" t="s">
        <v>1792</v>
      </c>
      <c r="B146" s="10" t="n">
        <v>1066</v>
      </c>
      <c r="C146" s="8" t="n">
        <v>45685</v>
      </c>
      <c r="D146" s="8" t="n">
        <v>45682</v>
      </c>
      <c r="E146" s="10" t="n">
        <v>6900</v>
      </c>
      <c r="F146" s="0" t="str">
        <f aca="false">INDEX(COA!$C$5:$C$19,MATCH(E146,COA!$A$5:$A$19,0))</f>
        <v>Expense</v>
      </c>
      <c r="G146" s="12" t="n">
        <v>4719.13</v>
      </c>
      <c r="H146" s="12" t="n">
        <v>0</v>
      </c>
      <c r="I146" s="10" t="s">
        <v>98</v>
      </c>
      <c r="J146" s="10" t="s">
        <v>1648</v>
      </c>
      <c r="K146" s="10" t="s">
        <v>1649</v>
      </c>
    </row>
    <row r="147" customFormat="false" ht="15" hidden="false" customHeight="false" outlineLevel="0" collapsed="false">
      <c r="A147" s="10" t="s">
        <v>1793</v>
      </c>
      <c r="B147" s="10" t="n">
        <v>1066</v>
      </c>
      <c r="C147" s="8" t="n">
        <v>45685</v>
      </c>
      <c r="D147" s="8" t="n">
        <v>45682</v>
      </c>
      <c r="E147" s="10" t="n">
        <v>2100</v>
      </c>
      <c r="F147" s="0" t="str">
        <f aca="false">INDEX(COA!$C$5:$C$19,MATCH(E147,COA!$A$5:$A$19,0))</f>
        <v>Liability</v>
      </c>
      <c r="G147" s="12" t="n">
        <v>0</v>
      </c>
      <c r="H147" s="12" t="n">
        <v>4719.13</v>
      </c>
      <c r="I147" s="10" t="s">
        <v>98</v>
      </c>
      <c r="J147" s="10" t="s">
        <v>1648</v>
      </c>
      <c r="K147" s="10" t="s">
        <v>1649</v>
      </c>
    </row>
    <row r="148" customFormat="false" ht="15" hidden="false" customHeight="false" outlineLevel="0" collapsed="false">
      <c r="A148" s="10" t="s">
        <v>1794</v>
      </c>
      <c r="B148" s="10" t="n">
        <v>1067</v>
      </c>
      <c r="C148" s="8" t="n">
        <v>45685</v>
      </c>
      <c r="D148" s="8" t="n">
        <v>45683</v>
      </c>
      <c r="E148" s="10" t="n">
        <v>1200</v>
      </c>
      <c r="F148" s="0" t="str">
        <f aca="false">INDEX(COA!$C$5:$C$19,MATCH(E148,COA!$A$5:$A$19,0))</f>
        <v>Asset</v>
      </c>
      <c r="G148" s="12" t="n">
        <v>34836.59</v>
      </c>
      <c r="H148" s="12" t="n">
        <v>0</v>
      </c>
      <c r="I148" s="10" t="s">
        <v>102</v>
      </c>
      <c r="J148" s="10" t="s">
        <v>1636</v>
      </c>
      <c r="K148" s="10" t="s">
        <v>1655</v>
      </c>
    </row>
    <row r="149" customFormat="false" ht="15" hidden="false" customHeight="false" outlineLevel="0" collapsed="false">
      <c r="A149" s="10" t="s">
        <v>1795</v>
      </c>
      <c r="B149" s="10" t="n">
        <v>1067</v>
      </c>
      <c r="C149" s="8" t="n">
        <v>45685</v>
      </c>
      <c r="D149" s="8" t="n">
        <v>45683</v>
      </c>
      <c r="E149" s="10" t="n">
        <v>2000</v>
      </c>
      <c r="F149" s="0" t="str">
        <f aca="false">INDEX(COA!$C$5:$C$19,MATCH(E149,COA!$A$5:$A$19,0))</f>
        <v>Liability</v>
      </c>
      <c r="G149" s="12" t="n">
        <v>0</v>
      </c>
      <c r="H149" s="12" t="n">
        <v>34836.59</v>
      </c>
      <c r="I149" s="10" t="s">
        <v>102</v>
      </c>
      <c r="J149" s="10" t="s">
        <v>1636</v>
      </c>
      <c r="K149" s="10" t="s">
        <v>1655</v>
      </c>
    </row>
    <row r="150" customFormat="false" ht="15" hidden="false" customHeight="false" outlineLevel="0" collapsed="false">
      <c r="A150" s="10" t="s">
        <v>1796</v>
      </c>
      <c r="B150" s="10" t="n">
        <v>1068</v>
      </c>
      <c r="C150" s="8" t="n">
        <v>45685</v>
      </c>
      <c r="D150" s="8" t="n">
        <v>45683</v>
      </c>
      <c r="E150" s="10" t="n">
        <v>2000</v>
      </c>
      <c r="F150" s="0" t="str">
        <f aca="false">INDEX(COA!$C$5:$C$19,MATCH(E150,COA!$A$5:$A$19,0))</f>
        <v>Liability</v>
      </c>
      <c r="G150" s="12" t="n">
        <v>202.74</v>
      </c>
      <c r="H150" s="12" t="n">
        <v>0</v>
      </c>
      <c r="I150" s="10" t="s">
        <v>104</v>
      </c>
      <c r="J150" s="10" t="s">
        <v>1636</v>
      </c>
      <c r="K150" s="10" t="s">
        <v>1659</v>
      </c>
    </row>
    <row r="151" customFormat="false" ht="15" hidden="false" customHeight="false" outlineLevel="0" collapsed="false">
      <c r="A151" s="10" t="s">
        <v>1797</v>
      </c>
      <c r="B151" s="10" t="n">
        <v>1068</v>
      </c>
      <c r="C151" s="8" t="n">
        <v>45685</v>
      </c>
      <c r="D151" s="8" t="n">
        <v>45683</v>
      </c>
      <c r="E151" s="10" t="n">
        <v>1000</v>
      </c>
      <c r="F151" s="0" t="str">
        <f aca="false">INDEX(COA!$C$5:$C$19,MATCH(E151,COA!$A$5:$A$19,0))</f>
        <v>Asset</v>
      </c>
      <c r="G151" s="12" t="n">
        <v>0</v>
      </c>
      <c r="H151" s="12" t="n">
        <v>202.74</v>
      </c>
      <c r="I151" s="10" t="s">
        <v>104</v>
      </c>
      <c r="J151" s="10" t="s">
        <v>1636</v>
      </c>
      <c r="K151" s="10" t="s">
        <v>1659</v>
      </c>
    </row>
    <row r="152" customFormat="false" ht="15" hidden="false" customHeight="false" outlineLevel="0" collapsed="false">
      <c r="A152" s="10" t="s">
        <v>1798</v>
      </c>
      <c r="B152" s="10" t="n">
        <v>1069</v>
      </c>
      <c r="C152" s="8" t="n">
        <v>45685</v>
      </c>
      <c r="D152" s="8" t="n">
        <v>45683</v>
      </c>
      <c r="E152" s="10" t="n">
        <v>1100</v>
      </c>
      <c r="F152" s="0" t="str">
        <f aca="false">INDEX(COA!$C$5:$C$19,MATCH(E152,COA!$A$5:$A$19,0))</f>
        <v>Asset</v>
      </c>
      <c r="G152" s="12" t="n">
        <v>1186.67</v>
      </c>
      <c r="H152" s="12" t="n">
        <v>0</v>
      </c>
      <c r="I152" s="10" t="s">
        <v>103</v>
      </c>
      <c r="J152" s="10" t="s">
        <v>1636</v>
      </c>
      <c r="K152" s="10" t="s">
        <v>1640</v>
      </c>
    </row>
    <row r="153" customFormat="false" ht="15" hidden="false" customHeight="false" outlineLevel="0" collapsed="false">
      <c r="A153" s="10" t="s">
        <v>1799</v>
      </c>
      <c r="B153" s="10" t="n">
        <v>1069</v>
      </c>
      <c r="C153" s="8" t="n">
        <v>45685</v>
      </c>
      <c r="D153" s="8" t="n">
        <v>45683</v>
      </c>
      <c r="E153" s="10" t="n">
        <v>4000</v>
      </c>
      <c r="F153" s="0" t="str">
        <f aca="false">INDEX(COA!$C$5:$C$19,MATCH(E153,COA!$A$5:$A$19,0))</f>
        <v>Revenue</v>
      </c>
      <c r="G153" s="12" t="n">
        <v>0</v>
      </c>
      <c r="H153" s="12" t="n">
        <v>1186.67</v>
      </c>
      <c r="I153" s="10" t="s">
        <v>103</v>
      </c>
      <c r="J153" s="10" t="s">
        <v>1636</v>
      </c>
      <c r="K153" s="10" t="s">
        <v>1640</v>
      </c>
    </row>
    <row r="154" customFormat="false" ht="15" hidden="false" customHeight="false" outlineLevel="0" collapsed="false">
      <c r="A154" s="10" t="s">
        <v>1800</v>
      </c>
      <c r="B154" s="10" t="n">
        <v>1070</v>
      </c>
      <c r="C154" s="8" t="n">
        <v>45686</v>
      </c>
      <c r="D154" s="8" t="n">
        <v>45683</v>
      </c>
      <c r="E154" s="10" t="n">
        <v>1100</v>
      </c>
      <c r="F154" s="0" t="str">
        <f aca="false">INDEX(COA!$C$5:$C$19,MATCH(E154,COA!$A$5:$A$19,0))</f>
        <v>Asset</v>
      </c>
      <c r="G154" s="12" t="n">
        <v>139623.21</v>
      </c>
      <c r="H154" s="12" t="n">
        <v>0</v>
      </c>
      <c r="I154" s="10" t="s">
        <v>103</v>
      </c>
      <c r="J154" s="10" t="s">
        <v>1636</v>
      </c>
      <c r="K154" s="10" t="s">
        <v>1640</v>
      </c>
    </row>
    <row r="155" customFormat="false" ht="15" hidden="false" customHeight="false" outlineLevel="0" collapsed="false">
      <c r="A155" s="10" t="s">
        <v>1801</v>
      </c>
      <c r="B155" s="10" t="n">
        <v>1070</v>
      </c>
      <c r="C155" s="8" t="n">
        <v>45686</v>
      </c>
      <c r="D155" s="8" t="n">
        <v>45683</v>
      </c>
      <c r="E155" s="10" t="n">
        <v>4000</v>
      </c>
      <c r="F155" s="0" t="str">
        <f aca="false">INDEX(COA!$C$5:$C$19,MATCH(E155,COA!$A$5:$A$19,0))</f>
        <v>Revenue</v>
      </c>
      <c r="G155" s="12" t="n">
        <v>0</v>
      </c>
      <c r="H155" s="12" t="n">
        <v>139623.21</v>
      </c>
      <c r="I155" s="10" t="s">
        <v>103</v>
      </c>
      <c r="J155" s="10" t="s">
        <v>1636</v>
      </c>
      <c r="K155" s="10" t="s">
        <v>1640</v>
      </c>
    </row>
    <row r="156" customFormat="false" ht="15" hidden="false" customHeight="false" outlineLevel="0" collapsed="false">
      <c r="A156" s="10" t="s">
        <v>1802</v>
      </c>
      <c r="B156" s="10" t="n">
        <v>1071</v>
      </c>
      <c r="C156" s="8" t="n">
        <v>45686</v>
      </c>
      <c r="D156" s="8" t="n">
        <v>45686</v>
      </c>
      <c r="E156" s="10" t="n">
        <v>1100</v>
      </c>
      <c r="F156" s="0" t="str">
        <f aca="false">INDEX(COA!$C$5:$C$19,MATCH(E156,COA!$A$5:$A$19,0))</f>
        <v>Asset</v>
      </c>
      <c r="G156" s="12" t="n">
        <v>22822.3</v>
      </c>
      <c r="H156" s="12" t="n">
        <v>0</v>
      </c>
      <c r="I156" s="10" t="s">
        <v>103</v>
      </c>
      <c r="J156" s="10" t="s">
        <v>1636</v>
      </c>
      <c r="K156" s="10" t="s">
        <v>1640</v>
      </c>
    </row>
    <row r="157" customFormat="false" ht="15" hidden="false" customHeight="false" outlineLevel="0" collapsed="false">
      <c r="A157" s="10" t="s">
        <v>1803</v>
      </c>
      <c r="B157" s="10" t="n">
        <v>1071</v>
      </c>
      <c r="C157" s="8" t="n">
        <v>45686</v>
      </c>
      <c r="D157" s="8" t="n">
        <v>45686</v>
      </c>
      <c r="E157" s="10" t="n">
        <v>4000</v>
      </c>
      <c r="F157" s="0" t="str">
        <f aca="false">INDEX(COA!$C$5:$C$19,MATCH(E157,COA!$A$5:$A$19,0))</f>
        <v>Revenue</v>
      </c>
      <c r="G157" s="12" t="n">
        <v>0</v>
      </c>
      <c r="H157" s="12" t="n">
        <v>22822.3</v>
      </c>
      <c r="I157" s="10" t="s">
        <v>103</v>
      </c>
      <c r="J157" s="10" t="s">
        <v>1636</v>
      </c>
      <c r="K157" s="10" t="s">
        <v>1640</v>
      </c>
    </row>
    <row r="158" customFormat="false" ht="15" hidden="false" customHeight="false" outlineLevel="0" collapsed="false">
      <c r="A158" s="10" t="s">
        <v>1804</v>
      </c>
      <c r="B158" s="10" t="n">
        <v>1072</v>
      </c>
      <c r="C158" s="8" t="n">
        <v>45686</v>
      </c>
      <c r="D158" s="8" t="n">
        <v>45686</v>
      </c>
      <c r="E158" s="10" t="n">
        <v>6900</v>
      </c>
      <c r="F158" s="0" t="str">
        <f aca="false">INDEX(COA!$C$5:$C$19,MATCH(E158,COA!$A$5:$A$19,0))</f>
        <v>Expense</v>
      </c>
      <c r="G158" s="12" t="n">
        <v>628.29</v>
      </c>
      <c r="H158" s="12" t="n">
        <v>0</v>
      </c>
      <c r="I158" s="10" t="s">
        <v>98</v>
      </c>
      <c r="J158" s="10" t="s">
        <v>1648</v>
      </c>
    </row>
    <row r="159" customFormat="false" ht="15" hidden="false" customHeight="false" outlineLevel="0" collapsed="false">
      <c r="A159" s="10" t="s">
        <v>1805</v>
      </c>
      <c r="B159" s="10" t="n">
        <v>1072</v>
      </c>
      <c r="C159" s="8" t="n">
        <v>45686</v>
      </c>
      <c r="D159" s="8" t="n">
        <v>45686</v>
      </c>
      <c r="E159" s="10" t="n">
        <v>2100</v>
      </c>
      <c r="F159" s="0" t="str">
        <f aca="false">INDEX(COA!$C$5:$C$19,MATCH(E159,COA!$A$5:$A$19,0))</f>
        <v>Liability</v>
      </c>
      <c r="G159" s="12" t="n">
        <v>0</v>
      </c>
      <c r="H159" s="12" t="n">
        <v>628.29</v>
      </c>
      <c r="I159" s="10" t="s">
        <v>98</v>
      </c>
      <c r="J159" s="10" t="s">
        <v>1648</v>
      </c>
    </row>
    <row r="160" customFormat="false" ht="15" hidden="false" customHeight="false" outlineLevel="0" collapsed="false">
      <c r="A160" s="10" t="s">
        <v>1806</v>
      </c>
      <c r="B160" s="10" t="n">
        <v>1073</v>
      </c>
      <c r="C160" s="8" t="n">
        <v>45687</v>
      </c>
      <c r="D160" s="8" t="n">
        <v>45683</v>
      </c>
      <c r="E160" s="10" t="n">
        <v>5000</v>
      </c>
      <c r="F160" s="0" t="str">
        <f aca="false">INDEX(COA!$C$5:$C$19,MATCH(E160,COA!$A$5:$A$19,0))</f>
        <v>Expense</v>
      </c>
      <c r="G160" s="12" t="n">
        <v>842.62</v>
      </c>
      <c r="H160" s="12" t="n">
        <v>0</v>
      </c>
      <c r="I160" s="10" t="s">
        <v>103</v>
      </c>
      <c r="J160" s="10" t="s">
        <v>1636</v>
      </c>
      <c r="K160" s="10" t="s">
        <v>1670</v>
      </c>
    </row>
    <row r="161" customFormat="false" ht="15" hidden="false" customHeight="false" outlineLevel="0" collapsed="false">
      <c r="A161" s="10" t="s">
        <v>1807</v>
      </c>
      <c r="B161" s="10" t="n">
        <v>1073</v>
      </c>
      <c r="C161" s="8" t="n">
        <v>45687</v>
      </c>
      <c r="D161" s="8" t="n">
        <v>45683</v>
      </c>
      <c r="E161" s="10" t="n">
        <v>1200</v>
      </c>
      <c r="F161" s="0" t="str">
        <f aca="false">INDEX(COA!$C$5:$C$19,MATCH(E161,COA!$A$5:$A$19,0))</f>
        <v>Asset</v>
      </c>
      <c r="G161" s="12" t="n">
        <v>0</v>
      </c>
      <c r="H161" s="12" t="n">
        <v>842.62</v>
      </c>
      <c r="I161" s="10" t="s">
        <v>103</v>
      </c>
      <c r="J161" s="10" t="s">
        <v>1636</v>
      </c>
      <c r="K161" s="10" t="s">
        <v>1670</v>
      </c>
    </row>
    <row r="162" customFormat="false" ht="15" hidden="false" customHeight="false" outlineLevel="0" collapsed="false">
      <c r="A162" s="10" t="s">
        <v>1808</v>
      </c>
      <c r="B162" s="10" t="n">
        <v>1074</v>
      </c>
      <c r="C162" s="8" t="n">
        <v>45687</v>
      </c>
      <c r="D162" s="8" t="n">
        <v>45685</v>
      </c>
      <c r="E162" s="10" t="n">
        <v>2000</v>
      </c>
      <c r="F162" s="0" t="str">
        <f aca="false">INDEX(COA!$C$5:$C$19,MATCH(E162,COA!$A$5:$A$19,0))</f>
        <v>Liability</v>
      </c>
      <c r="G162" s="12" t="n">
        <v>15545.09</v>
      </c>
      <c r="H162" s="12" t="n">
        <v>0</v>
      </c>
      <c r="I162" s="10" t="s">
        <v>104</v>
      </c>
      <c r="J162" s="10" t="s">
        <v>1636</v>
      </c>
      <c r="K162" s="10" t="s">
        <v>1659</v>
      </c>
    </row>
    <row r="163" customFormat="false" ht="15" hidden="false" customHeight="false" outlineLevel="0" collapsed="false">
      <c r="A163" s="10" t="s">
        <v>1809</v>
      </c>
      <c r="B163" s="10" t="n">
        <v>1074</v>
      </c>
      <c r="C163" s="8" t="n">
        <v>45687</v>
      </c>
      <c r="D163" s="8" t="n">
        <v>45685</v>
      </c>
      <c r="E163" s="10" t="n">
        <v>1000</v>
      </c>
      <c r="F163" s="0" t="str">
        <f aca="false">INDEX(COA!$C$5:$C$19,MATCH(E163,COA!$A$5:$A$19,0))</f>
        <v>Asset</v>
      </c>
      <c r="G163" s="12" t="n">
        <v>0</v>
      </c>
      <c r="H163" s="12" t="n">
        <v>15545.09</v>
      </c>
      <c r="I163" s="10" t="s">
        <v>104</v>
      </c>
      <c r="J163" s="10" t="s">
        <v>1636</v>
      </c>
      <c r="K163" s="10" t="s">
        <v>1659</v>
      </c>
    </row>
    <row r="164" customFormat="false" ht="15" hidden="false" customHeight="false" outlineLevel="0" collapsed="false">
      <c r="A164" s="10" t="s">
        <v>1810</v>
      </c>
      <c r="B164" s="10" t="n">
        <v>1078</v>
      </c>
      <c r="C164" s="8" t="n">
        <v>45687</v>
      </c>
      <c r="D164" s="8" t="n">
        <v>45686</v>
      </c>
      <c r="E164" s="10" t="n">
        <v>1000</v>
      </c>
      <c r="F164" s="0" t="str">
        <f aca="false">INDEX(COA!$C$5:$C$19,MATCH(E164,COA!$A$5:$A$19,0))</f>
        <v>Asset</v>
      </c>
      <c r="G164" s="12" t="n">
        <v>16301.44</v>
      </c>
      <c r="H164" s="12" t="n">
        <v>0</v>
      </c>
      <c r="I164" s="10" t="s">
        <v>103</v>
      </c>
      <c r="J164" s="10" t="s">
        <v>1636</v>
      </c>
      <c r="K164" s="10" t="s">
        <v>1637</v>
      </c>
    </row>
    <row r="165" customFormat="false" ht="15" hidden="false" customHeight="false" outlineLevel="0" collapsed="false">
      <c r="A165" s="10" t="s">
        <v>1811</v>
      </c>
      <c r="B165" s="10" t="n">
        <v>1078</v>
      </c>
      <c r="C165" s="8" t="n">
        <v>45687</v>
      </c>
      <c r="D165" s="8" t="n">
        <v>45686</v>
      </c>
      <c r="E165" s="10" t="n">
        <v>1100</v>
      </c>
      <c r="F165" s="0" t="str">
        <f aca="false">INDEX(COA!$C$5:$C$19,MATCH(E165,COA!$A$5:$A$19,0))</f>
        <v>Asset</v>
      </c>
      <c r="G165" s="12" t="n">
        <v>0</v>
      </c>
      <c r="H165" s="12" t="n">
        <v>16301.44</v>
      </c>
      <c r="I165" s="10" t="s">
        <v>103</v>
      </c>
      <c r="J165" s="10" t="s">
        <v>1636</v>
      </c>
      <c r="K165" s="10" t="s">
        <v>1637</v>
      </c>
    </row>
    <row r="166" customFormat="false" ht="15" hidden="false" customHeight="false" outlineLevel="0" collapsed="false">
      <c r="A166" s="10" t="s">
        <v>1812</v>
      </c>
      <c r="B166" s="10" t="n">
        <v>1079</v>
      </c>
      <c r="C166" s="8" t="n">
        <v>45688</v>
      </c>
      <c r="D166" s="8" t="n">
        <v>45684</v>
      </c>
      <c r="E166" s="10" t="n">
        <v>1100</v>
      </c>
      <c r="F166" s="0" t="str">
        <f aca="false">INDEX(COA!$C$5:$C$19,MATCH(E166,COA!$A$5:$A$19,0))</f>
        <v>Asset</v>
      </c>
      <c r="G166" s="12" t="n">
        <v>325.45</v>
      </c>
      <c r="H166" s="12" t="n">
        <v>0</v>
      </c>
      <c r="I166" s="10" t="s">
        <v>103</v>
      </c>
      <c r="J166" s="10" t="s">
        <v>1636</v>
      </c>
      <c r="K166" s="10" t="s">
        <v>1640</v>
      </c>
    </row>
    <row r="167" customFormat="false" ht="15" hidden="false" customHeight="false" outlineLevel="0" collapsed="false">
      <c r="A167" s="10" t="s">
        <v>1813</v>
      </c>
      <c r="B167" s="10" t="n">
        <v>1079</v>
      </c>
      <c r="C167" s="8" t="n">
        <v>45688</v>
      </c>
      <c r="D167" s="8" t="n">
        <v>45684</v>
      </c>
      <c r="E167" s="10" t="n">
        <v>1100</v>
      </c>
      <c r="F167" s="0" t="str">
        <f aca="false">INDEX(COA!$C$5:$C$19,MATCH(E167,COA!$A$5:$A$19,0))</f>
        <v>Asset</v>
      </c>
      <c r="G167" s="12" t="n">
        <v>139.48</v>
      </c>
      <c r="H167" s="12" t="n">
        <v>0</v>
      </c>
      <c r="I167" s="10" t="s">
        <v>103</v>
      </c>
      <c r="J167" s="10" t="s">
        <v>1636</v>
      </c>
      <c r="K167" s="10" t="s">
        <v>1640</v>
      </c>
    </row>
    <row r="168" customFormat="false" ht="15" hidden="false" customHeight="false" outlineLevel="0" collapsed="false">
      <c r="A168" s="10" t="s">
        <v>1814</v>
      </c>
      <c r="B168" s="10" t="n">
        <v>1079</v>
      </c>
      <c r="C168" s="8" t="n">
        <v>45688</v>
      </c>
      <c r="D168" s="8" t="n">
        <v>45684</v>
      </c>
      <c r="E168" s="10" t="n">
        <v>4000</v>
      </c>
      <c r="F168" s="0" t="str">
        <f aca="false">INDEX(COA!$C$5:$C$19,MATCH(E168,COA!$A$5:$A$19,0))</f>
        <v>Revenue</v>
      </c>
      <c r="G168" s="12" t="n">
        <v>0</v>
      </c>
      <c r="H168" s="12" t="n">
        <v>464.93</v>
      </c>
      <c r="I168" s="10" t="s">
        <v>103</v>
      </c>
      <c r="J168" s="10" t="s">
        <v>1636</v>
      </c>
      <c r="K168" s="10" t="s">
        <v>1640</v>
      </c>
    </row>
    <row r="169" customFormat="false" ht="15" hidden="false" customHeight="false" outlineLevel="0" collapsed="false">
      <c r="A169" s="10" t="s">
        <v>1815</v>
      </c>
      <c r="B169" s="10" t="n">
        <v>1080</v>
      </c>
      <c r="C169" s="8" t="n">
        <v>45688</v>
      </c>
      <c r="D169" s="8" t="n">
        <v>45687</v>
      </c>
      <c r="E169" s="10" t="n">
        <v>1500</v>
      </c>
      <c r="F169" s="0" t="str">
        <f aca="false">INDEX(COA!$C$5:$C$19,MATCH(E169,COA!$A$5:$A$19,0))</f>
        <v>Asset</v>
      </c>
      <c r="G169" s="12" t="n">
        <v>471.15</v>
      </c>
      <c r="H169" s="12" t="n">
        <v>0</v>
      </c>
      <c r="I169" s="10" t="s">
        <v>102</v>
      </c>
      <c r="J169" s="10" t="s">
        <v>1636</v>
      </c>
      <c r="K169" s="10" t="s">
        <v>1716</v>
      </c>
    </row>
    <row r="170" customFormat="false" ht="15" hidden="false" customHeight="false" outlineLevel="0" collapsed="false">
      <c r="A170" s="10" t="s">
        <v>1816</v>
      </c>
      <c r="B170" s="10" t="n">
        <v>1080</v>
      </c>
      <c r="C170" s="8" t="n">
        <v>45688</v>
      </c>
      <c r="D170" s="8" t="n">
        <v>45687</v>
      </c>
      <c r="E170" s="10" t="n">
        <v>2000</v>
      </c>
      <c r="F170" s="0" t="str">
        <f aca="false">INDEX(COA!$C$5:$C$19,MATCH(E170,COA!$A$5:$A$19,0))</f>
        <v>Liability</v>
      </c>
      <c r="G170" s="12" t="n">
        <v>0</v>
      </c>
      <c r="H170" s="12" t="n">
        <v>471.15</v>
      </c>
      <c r="I170" s="10" t="s">
        <v>102</v>
      </c>
      <c r="J170" s="10" t="s">
        <v>1636</v>
      </c>
      <c r="K170" s="10" t="s">
        <v>1716</v>
      </c>
    </row>
    <row r="171" customFormat="false" ht="15" hidden="false" customHeight="false" outlineLevel="0" collapsed="false">
      <c r="A171" s="10" t="s">
        <v>1817</v>
      </c>
      <c r="B171" s="10" t="n">
        <v>1081</v>
      </c>
      <c r="C171" s="8" t="n">
        <v>45691</v>
      </c>
      <c r="D171" s="8" t="n">
        <v>45691</v>
      </c>
      <c r="E171" s="10" t="n">
        <v>1000</v>
      </c>
      <c r="F171" s="0" t="str">
        <f aca="false">INDEX(COA!$C$5:$C$19,MATCH(E171,COA!$A$5:$A$19,0))</f>
        <v>Asset</v>
      </c>
      <c r="G171" s="12" t="n">
        <v>3846.75</v>
      </c>
      <c r="H171" s="12" t="n">
        <v>0</v>
      </c>
      <c r="I171" s="10" t="s">
        <v>103</v>
      </c>
      <c r="J171" s="10" t="s">
        <v>1636</v>
      </c>
      <c r="K171" s="10" t="s">
        <v>1637</v>
      </c>
    </row>
    <row r="172" customFormat="false" ht="15" hidden="false" customHeight="false" outlineLevel="0" collapsed="false">
      <c r="A172" s="10" t="s">
        <v>1818</v>
      </c>
      <c r="B172" s="10" t="n">
        <v>1081</v>
      </c>
      <c r="C172" s="8" t="n">
        <v>45691</v>
      </c>
      <c r="D172" s="8" t="n">
        <v>45691</v>
      </c>
      <c r="E172" s="10" t="n">
        <v>1100</v>
      </c>
      <c r="F172" s="0" t="str">
        <f aca="false">INDEX(COA!$C$5:$C$19,MATCH(E172,COA!$A$5:$A$19,0))</f>
        <v>Asset</v>
      </c>
      <c r="G172" s="12" t="n">
        <v>0</v>
      </c>
      <c r="H172" s="12" t="n">
        <v>3846.75</v>
      </c>
      <c r="I172" s="10" t="s">
        <v>103</v>
      </c>
      <c r="J172" s="10" t="s">
        <v>1636</v>
      </c>
      <c r="K172" s="10" t="s">
        <v>1637</v>
      </c>
    </row>
    <row r="173" customFormat="false" ht="15" hidden="false" customHeight="false" outlineLevel="0" collapsed="false">
      <c r="A173" s="10" t="s">
        <v>1819</v>
      </c>
      <c r="B173" s="10" t="n">
        <v>1082</v>
      </c>
      <c r="C173" s="8" t="n">
        <v>45691</v>
      </c>
      <c r="D173" s="8" t="n">
        <v>45690</v>
      </c>
      <c r="E173" s="10" t="n">
        <v>2000</v>
      </c>
      <c r="F173" s="0" t="str">
        <f aca="false">INDEX(COA!$C$5:$C$19,MATCH(E173,COA!$A$5:$A$19,0))</f>
        <v>Liability</v>
      </c>
      <c r="G173" s="12" t="n">
        <v>804.27</v>
      </c>
      <c r="H173" s="12" t="n">
        <v>0</v>
      </c>
      <c r="I173" s="10" t="s">
        <v>104</v>
      </c>
      <c r="J173" s="10" t="s">
        <v>1636</v>
      </c>
      <c r="K173" s="10" t="s">
        <v>1659</v>
      </c>
    </row>
    <row r="174" customFormat="false" ht="15" hidden="false" customHeight="false" outlineLevel="0" collapsed="false">
      <c r="A174" s="10" t="s">
        <v>1820</v>
      </c>
      <c r="B174" s="10" t="n">
        <v>1082</v>
      </c>
      <c r="C174" s="8" t="n">
        <v>45691</v>
      </c>
      <c r="D174" s="8" t="n">
        <v>45690</v>
      </c>
      <c r="E174" s="10" t="n">
        <v>1000</v>
      </c>
      <c r="F174" s="0" t="str">
        <f aca="false">INDEX(COA!$C$5:$C$19,MATCH(E174,COA!$A$5:$A$19,0))</f>
        <v>Asset</v>
      </c>
      <c r="G174" s="12" t="n">
        <v>0</v>
      </c>
      <c r="H174" s="12" t="n">
        <v>804.27</v>
      </c>
      <c r="I174" s="10" t="s">
        <v>104</v>
      </c>
      <c r="J174" s="10" t="s">
        <v>1636</v>
      </c>
      <c r="K174" s="10" t="s">
        <v>1659</v>
      </c>
    </row>
    <row r="175" customFormat="false" ht="15" hidden="false" customHeight="false" outlineLevel="0" collapsed="false">
      <c r="A175" s="10" t="s">
        <v>1821</v>
      </c>
      <c r="B175" s="10" t="n">
        <v>1083</v>
      </c>
      <c r="C175" s="8" t="n">
        <v>45691</v>
      </c>
      <c r="D175" s="8" t="n">
        <v>45691</v>
      </c>
      <c r="E175" s="10" t="n">
        <v>1100</v>
      </c>
      <c r="F175" s="0" t="str">
        <f aca="false">INDEX(COA!$C$5:$C$19,MATCH(E175,COA!$A$5:$A$19,0))</f>
        <v>Asset</v>
      </c>
      <c r="G175" s="12" t="n">
        <v>31059.26</v>
      </c>
      <c r="H175" s="12" t="n">
        <v>0</v>
      </c>
      <c r="I175" s="10" t="s">
        <v>103</v>
      </c>
      <c r="J175" s="10" t="s">
        <v>1636</v>
      </c>
      <c r="K175" s="10" t="s">
        <v>1640</v>
      </c>
    </row>
    <row r="176" customFormat="false" ht="15" hidden="false" customHeight="false" outlineLevel="0" collapsed="false">
      <c r="A176" s="10" t="s">
        <v>1822</v>
      </c>
      <c r="B176" s="10" t="n">
        <v>1083</v>
      </c>
      <c r="C176" s="8" t="n">
        <v>45691</v>
      </c>
      <c r="D176" s="8" t="n">
        <v>45691</v>
      </c>
      <c r="E176" s="10" t="n">
        <v>4000</v>
      </c>
      <c r="F176" s="0" t="str">
        <f aca="false">INDEX(COA!$C$5:$C$19,MATCH(E176,COA!$A$5:$A$19,0))</f>
        <v>Revenue</v>
      </c>
      <c r="G176" s="12" t="n">
        <v>0</v>
      </c>
      <c r="H176" s="12" t="n">
        <v>31059.26</v>
      </c>
      <c r="I176" s="10" t="s">
        <v>103</v>
      </c>
      <c r="J176" s="10" t="s">
        <v>1636</v>
      </c>
      <c r="K176" s="10" t="s">
        <v>1640</v>
      </c>
    </row>
    <row r="177" customFormat="false" ht="15" hidden="false" customHeight="false" outlineLevel="0" collapsed="false">
      <c r="A177" s="10" t="s">
        <v>1823</v>
      </c>
      <c r="B177" s="10" t="n">
        <v>1084</v>
      </c>
      <c r="C177" s="8" t="n">
        <v>45692</v>
      </c>
      <c r="D177" s="8" t="n">
        <v>45690</v>
      </c>
      <c r="E177" s="10" t="n">
        <v>1000</v>
      </c>
      <c r="F177" s="0" t="str">
        <f aca="false">INDEX(COA!$C$5:$C$19,MATCH(E177,COA!$A$5:$A$19,0))</f>
        <v>Asset</v>
      </c>
      <c r="G177" s="12" t="n">
        <v>2028.54</v>
      </c>
      <c r="H177" s="12" t="n">
        <v>0</v>
      </c>
      <c r="I177" s="10" t="s">
        <v>103</v>
      </c>
      <c r="J177" s="10" t="s">
        <v>1636</v>
      </c>
      <c r="K177" s="10" t="s">
        <v>1637</v>
      </c>
    </row>
    <row r="178" customFormat="false" ht="15" hidden="false" customHeight="false" outlineLevel="0" collapsed="false">
      <c r="A178" s="10" t="s">
        <v>1824</v>
      </c>
      <c r="B178" s="10" t="n">
        <v>1084</v>
      </c>
      <c r="C178" s="8" t="n">
        <v>45692</v>
      </c>
      <c r="D178" s="8" t="n">
        <v>45690</v>
      </c>
      <c r="E178" s="10" t="n">
        <v>1100</v>
      </c>
      <c r="F178" s="0" t="str">
        <f aca="false">INDEX(COA!$C$5:$C$19,MATCH(E178,COA!$A$5:$A$19,0))</f>
        <v>Asset</v>
      </c>
      <c r="G178" s="12" t="n">
        <v>0</v>
      </c>
      <c r="H178" s="12" t="n">
        <v>2028.54</v>
      </c>
      <c r="I178" s="10" t="s">
        <v>103</v>
      </c>
      <c r="J178" s="10" t="s">
        <v>1636</v>
      </c>
      <c r="K178" s="10" t="s">
        <v>1637</v>
      </c>
    </row>
    <row r="179" customFormat="false" ht="15" hidden="false" customHeight="false" outlineLevel="0" collapsed="false">
      <c r="A179" s="10" t="s">
        <v>1825</v>
      </c>
      <c r="B179" s="10" t="n">
        <v>1085</v>
      </c>
      <c r="C179" s="8" t="n">
        <v>45692</v>
      </c>
      <c r="D179" s="8" t="n">
        <v>45690</v>
      </c>
      <c r="E179" s="10" t="n">
        <v>1000</v>
      </c>
      <c r="F179" s="0" t="str">
        <f aca="false">INDEX(COA!$C$5:$C$19,MATCH(E179,COA!$A$5:$A$19,0))</f>
        <v>Asset</v>
      </c>
      <c r="G179" s="12" t="n">
        <v>12307.25</v>
      </c>
      <c r="H179" s="12" t="n">
        <v>0</v>
      </c>
      <c r="I179" s="10" t="s">
        <v>103</v>
      </c>
      <c r="J179" s="10" t="s">
        <v>1636</v>
      </c>
      <c r="K179" s="10" t="s">
        <v>1637</v>
      </c>
    </row>
    <row r="180" customFormat="false" ht="15" hidden="false" customHeight="false" outlineLevel="0" collapsed="false">
      <c r="A180" s="10" t="s">
        <v>1826</v>
      </c>
      <c r="B180" s="10" t="n">
        <v>1085</v>
      </c>
      <c r="C180" s="8" t="n">
        <v>45692</v>
      </c>
      <c r="D180" s="8" t="n">
        <v>45690</v>
      </c>
      <c r="E180" s="10" t="n">
        <v>1100</v>
      </c>
      <c r="F180" s="0" t="str">
        <f aca="false">INDEX(COA!$C$5:$C$19,MATCH(E180,COA!$A$5:$A$19,0))</f>
        <v>Asset</v>
      </c>
      <c r="G180" s="12" t="n">
        <v>0</v>
      </c>
      <c r="H180" s="12" t="n">
        <v>12307.25</v>
      </c>
      <c r="I180" s="10" t="s">
        <v>103</v>
      </c>
      <c r="J180" s="10" t="s">
        <v>1636</v>
      </c>
      <c r="K180" s="10" t="s">
        <v>1637</v>
      </c>
    </row>
    <row r="181" customFormat="false" ht="15" hidden="false" customHeight="false" outlineLevel="0" collapsed="false">
      <c r="A181" s="10" t="s">
        <v>1827</v>
      </c>
      <c r="B181" s="10" t="n">
        <v>1086</v>
      </c>
      <c r="C181" s="8" t="n">
        <v>45692</v>
      </c>
      <c r="D181" s="8" t="n">
        <v>45692</v>
      </c>
      <c r="E181" s="10" t="n">
        <v>2100</v>
      </c>
      <c r="F181" s="0" t="str">
        <f aca="false">INDEX(COA!$C$5:$C$19,MATCH(E181,COA!$A$5:$A$19,0))</f>
        <v>Liability</v>
      </c>
      <c r="G181" s="12" t="n">
        <v>3474.37</v>
      </c>
      <c r="H181" s="12" t="n">
        <v>0</v>
      </c>
      <c r="I181" s="10" t="s">
        <v>98</v>
      </c>
      <c r="J181" s="10" t="s">
        <v>1648</v>
      </c>
      <c r="K181" s="10" t="s">
        <v>1677</v>
      </c>
    </row>
    <row r="182" customFormat="false" ht="15" hidden="false" customHeight="false" outlineLevel="0" collapsed="false">
      <c r="A182" s="10" t="s">
        <v>1828</v>
      </c>
      <c r="B182" s="10" t="n">
        <v>1086</v>
      </c>
      <c r="C182" s="8" t="n">
        <v>45692</v>
      </c>
      <c r="D182" s="8" t="n">
        <v>45692</v>
      </c>
      <c r="E182" s="10" t="n">
        <v>6900</v>
      </c>
      <c r="F182" s="0" t="str">
        <f aca="false">INDEX(COA!$C$5:$C$19,MATCH(E182,COA!$A$5:$A$19,0))</f>
        <v>Expense</v>
      </c>
      <c r="G182" s="12" t="n">
        <v>0</v>
      </c>
      <c r="H182" s="12" t="n">
        <v>3474.37</v>
      </c>
      <c r="I182" s="10" t="s">
        <v>98</v>
      </c>
      <c r="J182" s="10" t="s">
        <v>1648</v>
      </c>
      <c r="K182" s="10" t="s">
        <v>1677</v>
      </c>
    </row>
    <row r="183" customFormat="false" ht="15" hidden="false" customHeight="false" outlineLevel="0" collapsed="false">
      <c r="A183" s="10" t="s">
        <v>1829</v>
      </c>
      <c r="B183" s="10" t="n">
        <v>1087</v>
      </c>
      <c r="C183" s="8" t="n">
        <v>45692</v>
      </c>
      <c r="D183" s="8" t="n">
        <v>45689</v>
      </c>
      <c r="E183" s="10" t="n">
        <v>6200</v>
      </c>
      <c r="F183" s="0" t="str">
        <f aca="false">INDEX(COA!$C$5:$C$19,MATCH(E183,COA!$A$5:$A$19,0))</f>
        <v>Expense</v>
      </c>
      <c r="G183" s="12" t="n">
        <v>27893.31</v>
      </c>
      <c r="H183" s="12" t="n">
        <v>0</v>
      </c>
      <c r="I183" s="10" t="s">
        <v>102</v>
      </c>
      <c r="J183" s="10" t="s">
        <v>1636</v>
      </c>
      <c r="K183" s="10" t="s">
        <v>1689</v>
      </c>
    </row>
    <row r="184" customFormat="false" ht="15" hidden="false" customHeight="false" outlineLevel="0" collapsed="false">
      <c r="A184" s="10" t="s">
        <v>1830</v>
      </c>
      <c r="B184" s="10" t="n">
        <v>1087</v>
      </c>
      <c r="C184" s="8" t="n">
        <v>45692</v>
      </c>
      <c r="D184" s="8" t="n">
        <v>45689</v>
      </c>
      <c r="E184" s="10" t="n">
        <v>2000</v>
      </c>
      <c r="F184" s="0" t="str">
        <f aca="false">INDEX(COA!$C$5:$C$19,MATCH(E184,COA!$A$5:$A$19,0))</f>
        <v>Liability</v>
      </c>
      <c r="G184" s="12" t="n">
        <v>0</v>
      </c>
      <c r="H184" s="12" t="n">
        <v>27893.31</v>
      </c>
      <c r="I184" s="10" t="s">
        <v>102</v>
      </c>
      <c r="J184" s="10" t="s">
        <v>1636</v>
      </c>
      <c r="K184" s="10" t="s">
        <v>1689</v>
      </c>
    </row>
    <row r="185" customFormat="false" ht="15" hidden="false" customHeight="false" outlineLevel="0" collapsed="false">
      <c r="A185" s="10" t="s">
        <v>1831</v>
      </c>
      <c r="B185" s="10" t="n">
        <v>1088</v>
      </c>
      <c r="C185" s="8" t="n">
        <v>45692</v>
      </c>
      <c r="D185" s="8" t="n">
        <v>45690</v>
      </c>
      <c r="E185" s="10" t="n">
        <v>1000</v>
      </c>
      <c r="F185" s="0" t="str">
        <f aca="false">INDEX(COA!$C$5:$C$19,MATCH(E185,COA!$A$5:$A$19,0))</f>
        <v>Asset</v>
      </c>
      <c r="G185" s="12" t="n">
        <v>844.14</v>
      </c>
      <c r="H185" s="12" t="n">
        <v>0</v>
      </c>
      <c r="I185" s="10" t="s">
        <v>103</v>
      </c>
      <c r="J185" s="10" t="s">
        <v>1636</v>
      </c>
      <c r="K185" s="10" t="s">
        <v>1637</v>
      </c>
    </row>
    <row r="186" customFormat="false" ht="15" hidden="false" customHeight="false" outlineLevel="0" collapsed="false">
      <c r="A186" s="10" t="s">
        <v>1832</v>
      </c>
      <c r="B186" s="10" t="n">
        <v>1088</v>
      </c>
      <c r="C186" s="8" t="n">
        <v>45692</v>
      </c>
      <c r="D186" s="8" t="n">
        <v>45690</v>
      </c>
      <c r="E186" s="10" t="n">
        <v>1100</v>
      </c>
      <c r="F186" s="0" t="str">
        <f aca="false">INDEX(COA!$C$5:$C$19,MATCH(E186,COA!$A$5:$A$19,0))</f>
        <v>Asset</v>
      </c>
      <c r="G186" s="12" t="n">
        <v>0</v>
      </c>
      <c r="H186" s="12" t="n">
        <v>844.14</v>
      </c>
      <c r="I186" s="10" t="s">
        <v>103</v>
      </c>
      <c r="J186" s="10" t="s">
        <v>1636</v>
      </c>
      <c r="K186" s="10" t="s">
        <v>1637</v>
      </c>
    </row>
    <row r="187" customFormat="false" ht="15" hidden="false" customHeight="false" outlineLevel="0" collapsed="false">
      <c r="A187" s="10" t="s">
        <v>1833</v>
      </c>
      <c r="B187" s="10" t="n">
        <v>1089</v>
      </c>
      <c r="C187" s="8" t="n">
        <v>45692</v>
      </c>
      <c r="D187" s="8" t="n">
        <v>45688</v>
      </c>
      <c r="E187" s="10" t="n">
        <v>1200</v>
      </c>
      <c r="F187" s="0" t="str">
        <f aca="false">INDEX(COA!$C$5:$C$19,MATCH(E187,COA!$A$5:$A$19,0))</f>
        <v>Asset</v>
      </c>
      <c r="G187" s="12" t="n">
        <v>106968.06</v>
      </c>
      <c r="H187" s="12" t="n">
        <v>0</v>
      </c>
      <c r="I187" s="10" t="s">
        <v>102</v>
      </c>
      <c r="J187" s="10" t="s">
        <v>1636</v>
      </c>
      <c r="K187" s="10" t="s">
        <v>1655</v>
      </c>
    </row>
    <row r="188" customFormat="false" ht="15" hidden="false" customHeight="false" outlineLevel="0" collapsed="false">
      <c r="A188" s="10" t="s">
        <v>1834</v>
      </c>
      <c r="B188" s="10" t="n">
        <v>1089</v>
      </c>
      <c r="C188" s="8" t="n">
        <v>45692</v>
      </c>
      <c r="D188" s="8" t="n">
        <v>45688</v>
      </c>
      <c r="E188" s="10" t="n">
        <v>2000</v>
      </c>
      <c r="F188" s="0" t="str">
        <f aca="false">INDEX(COA!$C$5:$C$19,MATCH(E188,COA!$A$5:$A$19,0))</f>
        <v>Liability</v>
      </c>
      <c r="G188" s="12" t="n">
        <v>0</v>
      </c>
      <c r="H188" s="12" t="n">
        <v>106968.06</v>
      </c>
      <c r="I188" s="10" t="s">
        <v>102</v>
      </c>
      <c r="J188" s="10" t="s">
        <v>1636</v>
      </c>
      <c r="K188" s="10" t="s">
        <v>1655</v>
      </c>
    </row>
    <row r="189" customFormat="false" ht="15" hidden="false" customHeight="false" outlineLevel="0" collapsed="false">
      <c r="A189" s="10" t="s">
        <v>1835</v>
      </c>
      <c r="B189" s="10" t="n">
        <v>1090</v>
      </c>
      <c r="C189" s="8" t="n">
        <v>45693</v>
      </c>
      <c r="D189" s="8" t="n">
        <v>45690</v>
      </c>
      <c r="E189" s="10" t="n">
        <v>2000</v>
      </c>
      <c r="F189" s="0" t="str">
        <f aca="false">INDEX(COA!$C$5:$C$19,MATCH(E189,COA!$A$5:$A$19,0))</f>
        <v>Liability</v>
      </c>
      <c r="G189" s="12" t="n">
        <v>201.65</v>
      </c>
      <c r="H189" s="12" t="n">
        <v>0</v>
      </c>
      <c r="I189" s="10" t="s">
        <v>104</v>
      </c>
      <c r="J189" s="10" t="s">
        <v>1636</v>
      </c>
      <c r="K189" s="10" t="s">
        <v>1659</v>
      </c>
    </row>
    <row r="190" customFormat="false" ht="15" hidden="false" customHeight="false" outlineLevel="0" collapsed="false">
      <c r="A190" s="10" t="s">
        <v>1836</v>
      </c>
      <c r="B190" s="10" t="n">
        <v>1090</v>
      </c>
      <c r="C190" s="8" t="n">
        <v>45693</v>
      </c>
      <c r="D190" s="8" t="n">
        <v>45690</v>
      </c>
      <c r="E190" s="10" t="n">
        <v>1000</v>
      </c>
      <c r="F190" s="0" t="str">
        <f aca="false">INDEX(COA!$C$5:$C$19,MATCH(E190,COA!$A$5:$A$19,0))</f>
        <v>Asset</v>
      </c>
      <c r="G190" s="12" t="n">
        <v>0</v>
      </c>
      <c r="H190" s="12" t="n">
        <v>201.65</v>
      </c>
      <c r="I190" s="10" t="s">
        <v>104</v>
      </c>
      <c r="J190" s="10" t="s">
        <v>1636</v>
      </c>
      <c r="K190" s="10" t="s">
        <v>1659</v>
      </c>
    </row>
    <row r="191" customFormat="false" ht="15" hidden="false" customHeight="false" outlineLevel="0" collapsed="false">
      <c r="A191" s="10" t="s">
        <v>1837</v>
      </c>
      <c r="B191" s="10" t="n">
        <v>1091</v>
      </c>
      <c r="C191" s="8" t="n">
        <v>45694</v>
      </c>
      <c r="D191" s="8" t="n">
        <v>45691</v>
      </c>
      <c r="E191" s="10" t="n">
        <v>1000</v>
      </c>
      <c r="F191" s="0" t="str">
        <f aca="false">INDEX(COA!$C$5:$C$19,MATCH(E191,COA!$A$5:$A$19,0))</f>
        <v>Asset</v>
      </c>
      <c r="G191" s="12" t="n">
        <v>340.05</v>
      </c>
      <c r="H191" s="12" t="n">
        <v>0</v>
      </c>
      <c r="I191" s="10" t="s">
        <v>103</v>
      </c>
      <c r="J191" s="10" t="s">
        <v>1636</v>
      </c>
      <c r="K191" s="10" t="s">
        <v>1637</v>
      </c>
    </row>
    <row r="192" customFormat="false" ht="15" hidden="false" customHeight="false" outlineLevel="0" collapsed="false">
      <c r="A192" s="10" t="s">
        <v>1838</v>
      </c>
      <c r="B192" s="10" t="n">
        <v>1091</v>
      </c>
      <c r="C192" s="8" t="n">
        <v>45694</v>
      </c>
      <c r="D192" s="8" t="n">
        <v>45691</v>
      </c>
      <c r="E192" s="10" t="n">
        <v>1000</v>
      </c>
      <c r="F192" s="0" t="str">
        <f aca="false">INDEX(COA!$C$5:$C$19,MATCH(E192,COA!$A$5:$A$19,0))</f>
        <v>Asset</v>
      </c>
      <c r="G192" s="12" t="n">
        <v>145.74</v>
      </c>
      <c r="H192" s="12" t="n">
        <v>0</v>
      </c>
      <c r="I192" s="10" t="s">
        <v>103</v>
      </c>
      <c r="J192" s="10" t="s">
        <v>1636</v>
      </c>
      <c r="K192" s="10" t="s">
        <v>1637</v>
      </c>
    </row>
    <row r="193" customFormat="false" ht="15" hidden="false" customHeight="false" outlineLevel="0" collapsed="false">
      <c r="A193" s="10" t="s">
        <v>1839</v>
      </c>
      <c r="B193" s="10" t="n">
        <v>1091</v>
      </c>
      <c r="C193" s="8" t="n">
        <v>45694</v>
      </c>
      <c r="D193" s="8" t="n">
        <v>45691</v>
      </c>
      <c r="E193" s="10" t="n">
        <v>1100</v>
      </c>
      <c r="F193" s="0" t="str">
        <f aca="false">INDEX(COA!$C$5:$C$19,MATCH(E193,COA!$A$5:$A$19,0))</f>
        <v>Asset</v>
      </c>
      <c r="G193" s="12" t="n">
        <v>0</v>
      </c>
      <c r="H193" s="12" t="n">
        <v>485.79</v>
      </c>
      <c r="I193" s="10" t="s">
        <v>103</v>
      </c>
      <c r="J193" s="10" t="s">
        <v>1636</v>
      </c>
      <c r="K193" s="10" t="s">
        <v>1637</v>
      </c>
    </row>
    <row r="194" customFormat="false" ht="15" hidden="false" customHeight="false" outlineLevel="0" collapsed="false">
      <c r="A194" s="10" t="s">
        <v>1840</v>
      </c>
      <c r="B194" s="10" t="n">
        <v>1092</v>
      </c>
      <c r="C194" s="8" t="n">
        <v>45694</v>
      </c>
      <c r="D194" s="8" t="n">
        <v>45694</v>
      </c>
      <c r="E194" s="10" t="n">
        <v>1100</v>
      </c>
      <c r="F194" s="0" t="str">
        <f aca="false">INDEX(COA!$C$5:$C$19,MATCH(E194,COA!$A$5:$A$19,0))</f>
        <v>Asset</v>
      </c>
      <c r="G194" s="12" t="n">
        <v>1639.13</v>
      </c>
      <c r="H194" s="12" t="n">
        <v>0</v>
      </c>
      <c r="I194" s="10" t="s">
        <v>103</v>
      </c>
      <c r="J194" s="10" t="s">
        <v>1636</v>
      </c>
      <c r="K194" s="10" t="s">
        <v>1640</v>
      </c>
    </row>
    <row r="195" customFormat="false" ht="15" hidden="false" customHeight="false" outlineLevel="0" collapsed="false">
      <c r="A195" s="10" t="s">
        <v>1841</v>
      </c>
      <c r="B195" s="10" t="n">
        <v>1092</v>
      </c>
      <c r="C195" s="8" t="n">
        <v>45694</v>
      </c>
      <c r="D195" s="8" t="n">
        <v>45694</v>
      </c>
      <c r="E195" s="10" t="n">
        <v>4000</v>
      </c>
      <c r="F195" s="0" t="str">
        <f aca="false">INDEX(COA!$C$5:$C$19,MATCH(E195,COA!$A$5:$A$19,0))</f>
        <v>Revenue</v>
      </c>
      <c r="G195" s="12" t="n">
        <v>0</v>
      </c>
      <c r="H195" s="12" t="n">
        <v>1639.13</v>
      </c>
      <c r="I195" s="10" t="s">
        <v>103</v>
      </c>
      <c r="J195" s="10" t="s">
        <v>1636</v>
      </c>
      <c r="K195" s="10" t="s">
        <v>1640</v>
      </c>
    </row>
    <row r="196" customFormat="false" ht="15" hidden="false" customHeight="false" outlineLevel="0" collapsed="false">
      <c r="A196" s="10" t="s">
        <v>1842</v>
      </c>
      <c r="B196" s="10" t="n">
        <v>1093</v>
      </c>
      <c r="C196" s="8" t="n">
        <v>45695</v>
      </c>
      <c r="D196" s="8" t="n">
        <v>45695</v>
      </c>
      <c r="E196" s="10" t="n">
        <v>6900</v>
      </c>
      <c r="F196" s="0" t="str">
        <f aca="false">INDEX(COA!$C$5:$C$19,MATCH(E196,COA!$A$5:$A$19,0))</f>
        <v>Expense</v>
      </c>
      <c r="G196" s="12" t="n">
        <v>38000</v>
      </c>
      <c r="H196" s="12" t="n">
        <v>0</v>
      </c>
      <c r="I196" s="10" t="s">
        <v>99</v>
      </c>
      <c r="J196" s="10" t="s">
        <v>1648</v>
      </c>
      <c r="K196" s="10" t="s">
        <v>1843</v>
      </c>
    </row>
    <row r="197" customFormat="false" ht="15" hidden="false" customHeight="false" outlineLevel="0" collapsed="false">
      <c r="A197" s="10" t="s">
        <v>1844</v>
      </c>
      <c r="B197" s="10" t="n">
        <v>1093</v>
      </c>
      <c r="C197" s="8" t="n">
        <v>45695</v>
      </c>
      <c r="D197" s="8" t="n">
        <v>45695</v>
      </c>
      <c r="E197" s="10" t="n">
        <v>2100</v>
      </c>
      <c r="F197" s="0" t="str">
        <f aca="false">INDEX(COA!$C$5:$C$19,MATCH(E197,COA!$A$5:$A$19,0))</f>
        <v>Liability</v>
      </c>
      <c r="G197" s="12" t="n">
        <v>0</v>
      </c>
      <c r="H197" s="12" t="n">
        <v>38000</v>
      </c>
      <c r="I197" s="10" t="s">
        <v>99</v>
      </c>
      <c r="J197" s="10" t="s">
        <v>1648</v>
      </c>
      <c r="K197" s="10" t="s">
        <v>1843</v>
      </c>
    </row>
    <row r="198" customFormat="false" ht="15" hidden="false" customHeight="false" outlineLevel="0" collapsed="false">
      <c r="A198" s="10" t="s">
        <v>1845</v>
      </c>
      <c r="B198" s="10" t="n">
        <v>1094</v>
      </c>
      <c r="C198" s="8" t="n">
        <v>45695</v>
      </c>
      <c r="D198" s="8" t="n">
        <v>45695</v>
      </c>
      <c r="E198" s="10" t="n">
        <v>1200</v>
      </c>
      <c r="F198" s="0" t="str">
        <f aca="false">INDEX(COA!$C$5:$C$19,MATCH(E198,COA!$A$5:$A$19,0))</f>
        <v>Asset</v>
      </c>
      <c r="G198" s="12" t="n">
        <v>652.41</v>
      </c>
      <c r="H198" s="12" t="n">
        <v>0</v>
      </c>
      <c r="I198" s="10" t="s">
        <v>102</v>
      </c>
      <c r="J198" s="10" t="s">
        <v>1636</v>
      </c>
      <c r="K198" s="10" t="s">
        <v>1655</v>
      </c>
    </row>
    <row r="199" customFormat="false" ht="15" hidden="false" customHeight="false" outlineLevel="0" collapsed="false">
      <c r="A199" s="10" t="s">
        <v>1846</v>
      </c>
      <c r="B199" s="10" t="n">
        <v>1094</v>
      </c>
      <c r="C199" s="8" t="n">
        <v>45695</v>
      </c>
      <c r="D199" s="8" t="n">
        <v>45695</v>
      </c>
      <c r="E199" s="10" t="n">
        <v>2000</v>
      </c>
      <c r="F199" s="0" t="str">
        <f aca="false">INDEX(COA!$C$5:$C$19,MATCH(E199,COA!$A$5:$A$19,0))</f>
        <v>Liability</v>
      </c>
      <c r="G199" s="12" t="n">
        <v>0</v>
      </c>
      <c r="H199" s="12" t="n">
        <v>652.41</v>
      </c>
      <c r="I199" s="10" t="s">
        <v>102</v>
      </c>
      <c r="J199" s="10" t="s">
        <v>1636</v>
      </c>
      <c r="K199" s="10" t="s">
        <v>1655</v>
      </c>
    </row>
    <row r="200" customFormat="false" ht="15" hidden="false" customHeight="false" outlineLevel="0" collapsed="false">
      <c r="A200" s="10" t="s">
        <v>1847</v>
      </c>
      <c r="B200" s="10" t="n">
        <v>1095</v>
      </c>
      <c r="C200" s="8" t="n">
        <v>45695</v>
      </c>
      <c r="D200" s="8" t="n">
        <v>45695</v>
      </c>
      <c r="E200" s="10" t="n">
        <v>5000</v>
      </c>
      <c r="F200" s="0" t="str">
        <f aca="false">INDEX(COA!$C$5:$C$19,MATCH(E200,COA!$A$5:$A$19,0))</f>
        <v>Expense</v>
      </c>
      <c r="G200" s="12" t="n">
        <v>10078.01</v>
      </c>
      <c r="H200" s="12" t="n">
        <v>0</v>
      </c>
      <c r="I200" s="10" t="s">
        <v>103</v>
      </c>
      <c r="J200" s="10" t="s">
        <v>1636</v>
      </c>
      <c r="K200" s="10" t="s">
        <v>1670</v>
      </c>
    </row>
    <row r="201" customFormat="false" ht="15" hidden="false" customHeight="false" outlineLevel="0" collapsed="false">
      <c r="A201" s="10" t="s">
        <v>1848</v>
      </c>
      <c r="B201" s="10" t="n">
        <v>1095</v>
      </c>
      <c r="C201" s="8" t="n">
        <v>45695</v>
      </c>
      <c r="D201" s="8" t="n">
        <v>45695</v>
      </c>
      <c r="E201" s="10" t="n">
        <v>1200</v>
      </c>
      <c r="F201" s="0" t="str">
        <f aca="false">INDEX(COA!$C$5:$C$19,MATCH(E201,COA!$A$5:$A$19,0))</f>
        <v>Asset</v>
      </c>
      <c r="G201" s="12" t="n">
        <v>0</v>
      </c>
      <c r="H201" s="12" t="n">
        <v>10078.01</v>
      </c>
      <c r="I201" s="10" t="s">
        <v>103</v>
      </c>
      <c r="J201" s="10" t="s">
        <v>1636</v>
      </c>
      <c r="K201" s="10" t="s">
        <v>1670</v>
      </c>
    </row>
    <row r="202" customFormat="false" ht="15" hidden="false" customHeight="false" outlineLevel="0" collapsed="false">
      <c r="A202" s="10" t="s">
        <v>1849</v>
      </c>
      <c r="B202" s="10" t="n">
        <v>1096</v>
      </c>
      <c r="C202" s="8" t="n">
        <v>45695</v>
      </c>
      <c r="D202" s="8" t="n">
        <v>45695</v>
      </c>
      <c r="E202" s="10" t="n">
        <v>1200</v>
      </c>
      <c r="F202" s="0" t="str">
        <f aca="false">INDEX(COA!$C$5:$C$19,MATCH(E202,COA!$A$5:$A$19,0))</f>
        <v>Asset</v>
      </c>
      <c r="G202" s="12" t="n">
        <v>335.04</v>
      </c>
      <c r="H202" s="12" t="n">
        <v>0</v>
      </c>
      <c r="I202" s="10" t="s">
        <v>102</v>
      </c>
      <c r="J202" s="10" t="s">
        <v>1636</v>
      </c>
      <c r="K202" s="10" t="s">
        <v>1655</v>
      </c>
    </row>
    <row r="203" customFormat="false" ht="15" hidden="false" customHeight="false" outlineLevel="0" collapsed="false">
      <c r="A203" s="10" t="s">
        <v>1850</v>
      </c>
      <c r="B203" s="10" t="n">
        <v>1096</v>
      </c>
      <c r="C203" s="8" t="n">
        <v>45695</v>
      </c>
      <c r="D203" s="8" t="n">
        <v>45695</v>
      </c>
      <c r="E203" s="10" t="n">
        <v>2000</v>
      </c>
      <c r="F203" s="0" t="str">
        <f aca="false">INDEX(COA!$C$5:$C$19,MATCH(E203,COA!$A$5:$A$19,0))</f>
        <v>Liability</v>
      </c>
      <c r="G203" s="12" t="n">
        <v>0</v>
      </c>
      <c r="H203" s="12" t="n">
        <v>335.04</v>
      </c>
      <c r="I203" s="10" t="s">
        <v>102</v>
      </c>
      <c r="J203" s="10" t="s">
        <v>1636</v>
      </c>
      <c r="K203" s="10" t="s">
        <v>1655</v>
      </c>
    </row>
    <row r="204" customFormat="false" ht="15" hidden="false" customHeight="false" outlineLevel="0" collapsed="false">
      <c r="A204" s="10" t="s">
        <v>1851</v>
      </c>
      <c r="B204" s="10" t="n">
        <v>1097</v>
      </c>
      <c r="C204" s="8" t="n">
        <v>45695</v>
      </c>
      <c r="D204" s="8" t="n">
        <v>45693</v>
      </c>
      <c r="E204" s="10" t="n">
        <v>6200</v>
      </c>
      <c r="F204" s="0" t="str">
        <f aca="false">INDEX(COA!$C$5:$C$19,MATCH(E204,COA!$A$5:$A$19,0))</f>
        <v>Expense</v>
      </c>
      <c r="G204" s="12" t="n">
        <v>21919.09</v>
      </c>
      <c r="H204" s="12" t="n">
        <v>0</v>
      </c>
      <c r="I204" s="10" t="s">
        <v>102</v>
      </c>
      <c r="J204" s="10" t="s">
        <v>1636</v>
      </c>
      <c r="K204" s="10" t="s">
        <v>1689</v>
      </c>
    </row>
    <row r="205" customFormat="false" ht="15" hidden="false" customHeight="false" outlineLevel="0" collapsed="false">
      <c r="A205" s="10" t="s">
        <v>1852</v>
      </c>
      <c r="B205" s="10" t="n">
        <v>1097</v>
      </c>
      <c r="C205" s="8" t="n">
        <v>45695</v>
      </c>
      <c r="D205" s="8" t="n">
        <v>45693</v>
      </c>
      <c r="E205" s="10" t="n">
        <v>6200</v>
      </c>
      <c r="F205" s="0" t="str">
        <f aca="false">INDEX(COA!$C$5:$C$19,MATCH(E205,COA!$A$5:$A$19,0))</f>
        <v>Expense</v>
      </c>
      <c r="G205" s="12" t="n">
        <v>9393.9</v>
      </c>
      <c r="H205" s="12" t="n">
        <v>0</v>
      </c>
      <c r="I205" s="10" t="s">
        <v>102</v>
      </c>
      <c r="J205" s="10" t="s">
        <v>1636</v>
      </c>
      <c r="K205" s="10" t="s">
        <v>1689</v>
      </c>
    </row>
    <row r="206" customFormat="false" ht="15" hidden="false" customHeight="false" outlineLevel="0" collapsed="false">
      <c r="A206" s="10" t="s">
        <v>1853</v>
      </c>
      <c r="B206" s="10" t="n">
        <v>1097</v>
      </c>
      <c r="C206" s="8" t="n">
        <v>45695</v>
      </c>
      <c r="D206" s="8" t="n">
        <v>45693</v>
      </c>
      <c r="E206" s="10" t="n">
        <v>2000</v>
      </c>
      <c r="F206" s="0" t="str">
        <f aca="false">INDEX(COA!$C$5:$C$19,MATCH(E206,COA!$A$5:$A$19,0))</f>
        <v>Liability</v>
      </c>
      <c r="G206" s="12" t="n">
        <v>0</v>
      </c>
      <c r="H206" s="12" t="n">
        <v>31312.99</v>
      </c>
      <c r="I206" s="10" t="s">
        <v>102</v>
      </c>
      <c r="J206" s="10" t="s">
        <v>1636</v>
      </c>
      <c r="K206" s="10" t="s">
        <v>1689</v>
      </c>
    </row>
    <row r="207" customFormat="false" ht="15" hidden="false" customHeight="false" outlineLevel="0" collapsed="false">
      <c r="A207" s="10" t="s">
        <v>1854</v>
      </c>
      <c r="B207" s="10" t="n">
        <v>1098</v>
      </c>
      <c r="C207" s="8" t="n">
        <v>45695</v>
      </c>
      <c r="D207" s="8" t="n">
        <v>45695</v>
      </c>
      <c r="E207" s="10" t="n">
        <v>1000</v>
      </c>
      <c r="F207" s="0" t="str">
        <f aca="false">INDEX(COA!$C$5:$C$19,MATCH(E207,COA!$A$5:$A$19,0))</f>
        <v>Asset</v>
      </c>
      <c r="G207" s="12" t="n">
        <v>96373.61</v>
      </c>
      <c r="H207" s="12" t="n">
        <v>0</v>
      </c>
      <c r="I207" s="10" t="s">
        <v>103</v>
      </c>
      <c r="J207" s="10" t="s">
        <v>1636</v>
      </c>
      <c r="K207" s="10" t="s">
        <v>1637</v>
      </c>
    </row>
    <row r="208" customFormat="false" ht="15" hidden="false" customHeight="false" outlineLevel="0" collapsed="false">
      <c r="A208" s="10" t="s">
        <v>1855</v>
      </c>
      <c r="B208" s="10" t="n">
        <v>1098</v>
      </c>
      <c r="C208" s="8" t="n">
        <v>45695</v>
      </c>
      <c r="D208" s="8" t="n">
        <v>45695</v>
      </c>
      <c r="E208" s="10" t="n">
        <v>1100</v>
      </c>
      <c r="F208" s="0" t="str">
        <f aca="false">INDEX(COA!$C$5:$C$19,MATCH(E208,COA!$A$5:$A$19,0))</f>
        <v>Asset</v>
      </c>
      <c r="G208" s="12" t="n">
        <v>0</v>
      </c>
      <c r="H208" s="12" t="n">
        <v>96373.61</v>
      </c>
      <c r="I208" s="10" t="s">
        <v>103</v>
      </c>
      <c r="J208" s="10" t="s">
        <v>1636</v>
      </c>
      <c r="K208" s="10" t="s">
        <v>1637</v>
      </c>
    </row>
    <row r="209" customFormat="false" ht="15" hidden="false" customHeight="false" outlineLevel="0" collapsed="false">
      <c r="A209" s="10" t="s">
        <v>1856</v>
      </c>
      <c r="B209" s="10" t="n">
        <v>1099</v>
      </c>
      <c r="C209" s="8" t="n">
        <v>45698</v>
      </c>
      <c r="D209" s="8" t="n">
        <v>45698</v>
      </c>
      <c r="E209" s="10" t="n">
        <v>1000</v>
      </c>
      <c r="F209" s="0" t="str">
        <f aca="false">INDEX(COA!$C$5:$C$19,MATCH(E209,COA!$A$5:$A$19,0))</f>
        <v>Asset</v>
      </c>
      <c r="G209" s="12" t="n">
        <v>147499.19</v>
      </c>
      <c r="H209" s="12" t="n">
        <v>0</v>
      </c>
      <c r="I209" s="10" t="s">
        <v>103</v>
      </c>
      <c r="J209" s="10" t="s">
        <v>1636</v>
      </c>
      <c r="K209" s="10" t="s">
        <v>1637</v>
      </c>
    </row>
    <row r="210" customFormat="false" ht="15" hidden="false" customHeight="false" outlineLevel="0" collapsed="false">
      <c r="A210" s="10" t="s">
        <v>1857</v>
      </c>
      <c r="B210" s="10" t="n">
        <v>1099</v>
      </c>
      <c r="C210" s="8" t="n">
        <v>45698</v>
      </c>
      <c r="D210" s="8" t="n">
        <v>45698</v>
      </c>
      <c r="E210" s="10" t="n">
        <v>1100</v>
      </c>
      <c r="F210" s="0" t="str">
        <f aca="false">INDEX(COA!$C$5:$C$19,MATCH(E210,COA!$A$5:$A$19,0))</f>
        <v>Asset</v>
      </c>
      <c r="G210" s="12" t="n">
        <v>0</v>
      </c>
      <c r="H210" s="12" t="n">
        <v>147499.19</v>
      </c>
      <c r="I210" s="10" t="s">
        <v>103</v>
      </c>
      <c r="J210" s="10" t="s">
        <v>1636</v>
      </c>
      <c r="K210" s="10" t="s">
        <v>1637</v>
      </c>
    </row>
    <row r="211" customFormat="false" ht="15" hidden="false" customHeight="false" outlineLevel="0" collapsed="false">
      <c r="A211" s="10" t="s">
        <v>1858</v>
      </c>
      <c r="B211" s="10" t="n">
        <v>1100</v>
      </c>
      <c r="C211" s="8" t="n">
        <v>45698</v>
      </c>
      <c r="D211" s="8" t="n">
        <v>45694</v>
      </c>
      <c r="E211" s="10" t="n">
        <v>6900</v>
      </c>
      <c r="F211" s="0" t="str">
        <f aca="false">INDEX(COA!$C$5:$C$19,MATCH(E211,COA!$A$5:$A$19,0))</f>
        <v>Expense</v>
      </c>
      <c r="G211" s="12" t="n">
        <v>67456.79</v>
      </c>
      <c r="H211" s="12" t="n">
        <v>0</v>
      </c>
      <c r="I211" s="10" t="s">
        <v>97</v>
      </c>
      <c r="J211" s="10" t="s">
        <v>1648</v>
      </c>
      <c r="K211" s="10" t="s">
        <v>1649</v>
      </c>
    </row>
    <row r="212" customFormat="false" ht="15" hidden="false" customHeight="false" outlineLevel="0" collapsed="false">
      <c r="A212" s="10" t="s">
        <v>1859</v>
      </c>
      <c r="B212" s="10" t="n">
        <v>1100</v>
      </c>
      <c r="C212" s="8" t="n">
        <v>45698</v>
      </c>
      <c r="D212" s="8" t="n">
        <v>45694</v>
      </c>
      <c r="E212" s="10" t="n">
        <v>6900</v>
      </c>
      <c r="F212" s="0" t="str">
        <f aca="false">INDEX(COA!$C$5:$C$19,MATCH(E212,COA!$A$5:$A$19,0))</f>
        <v>Expense</v>
      </c>
      <c r="G212" s="12" t="n">
        <v>28910.06</v>
      </c>
      <c r="H212" s="12" t="n">
        <v>0</v>
      </c>
      <c r="I212" s="10" t="s">
        <v>97</v>
      </c>
      <c r="J212" s="10" t="s">
        <v>1648</v>
      </c>
      <c r="K212" s="10" t="s">
        <v>1649</v>
      </c>
    </row>
    <row r="213" customFormat="false" ht="15" hidden="false" customHeight="false" outlineLevel="0" collapsed="false">
      <c r="A213" s="10" t="s">
        <v>1860</v>
      </c>
      <c r="B213" s="10" t="n">
        <v>1100</v>
      </c>
      <c r="C213" s="8" t="n">
        <v>45698</v>
      </c>
      <c r="D213" s="8" t="n">
        <v>45694</v>
      </c>
      <c r="E213" s="10" t="n">
        <v>2100</v>
      </c>
      <c r="F213" s="0" t="str">
        <f aca="false">INDEX(COA!$C$5:$C$19,MATCH(E213,COA!$A$5:$A$19,0))</f>
        <v>Liability</v>
      </c>
      <c r="G213" s="12" t="n">
        <v>0</v>
      </c>
      <c r="H213" s="12" t="n">
        <v>96366.85</v>
      </c>
      <c r="I213" s="10" t="s">
        <v>97</v>
      </c>
      <c r="J213" s="10" t="s">
        <v>1648</v>
      </c>
      <c r="K213" s="10" t="s">
        <v>1649</v>
      </c>
    </row>
    <row r="214" customFormat="false" ht="15" hidden="false" customHeight="false" outlineLevel="0" collapsed="false">
      <c r="A214" s="10" t="s">
        <v>1861</v>
      </c>
      <c r="B214" s="10" t="n">
        <v>1101</v>
      </c>
      <c r="C214" s="8" t="n">
        <v>45698</v>
      </c>
      <c r="D214" s="8" t="n">
        <v>45694</v>
      </c>
      <c r="E214" s="10" t="n">
        <v>2000</v>
      </c>
      <c r="F214" s="0" t="str">
        <f aca="false">INDEX(COA!$C$5:$C$19,MATCH(E214,COA!$A$5:$A$19,0))</f>
        <v>Liability</v>
      </c>
      <c r="G214" s="12" t="n">
        <v>7209.96</v>
      </c>
      <c r="H214" s="12" t="n">
        <v>0</v>
      </c>
      <c r="I214" s="10" t="s">
        <v>104</v>
      </c>
      <c r="J214" s="10" t="s">
        <v>1636</v>
      </c>
      <c r="K214" s="10" t="s">
        <v>1659</v>
      </c>
    </row>
    <row r="215" customFormat="false" ht="15" hidden="false" customHeight="false" outlineLevel="0" collapsed="false">
      <c r="A215" s="10" t="s">
        <v>1862</v>
      </c>
      <c r="B215" s="10" t="n">
        <v>1101</v>
      </c>
      <c r="C215" s="8" t="n">
        <v>45698</v>
      </c>
      <c r="D215" s="8" t="n">
        <v>45694</v>
      </c>
      <c r="E215" s="10" t="n">
        <v>1000</v>
      </c>
      <c r="F215" s="0" t="str">
        <f aca="false">INDEX(COA!$C$5:$C$19,MATCH(E215,COA!$A$5:$A$19,0))</f>
        <v>Asset</v>
      </c>
      <c r="G215" s="12" t="n">
        <v>0</v>
      </c>
      <c r="H215" s="12" t="n">
        <v>7209.96</v>
      </c>
      <c r="I215" s="10" t="s">
        <v>104</v>
      </c>
      <c r="J215" s="10" t="s">
        <v>1636</v>
      </c>
      <c r="K215" s="10" t="s">
        <v>1659</v>
      </c>
    </row>
    <row r="216" customFormat="false" ht="15" hidden="false" customHeight="false" outlineLevel="0" collapsed="false">
      <c r="A216" s="10" t="s">
        <v>1863</v>
      </c>
      <c r="B216" s="10" t="n">
        <v>1102</v>
      </c>
      <c r="C216" s="8" t="n">
        <v>45698</v>
      </c>
      <c r="D216" s="8" t="n">
        <v>45696</v>
      </c>
      <c r="E216" s="10" t="n">
        <v>1000</v>
      </c>
      <c r="F216" s="0" t="str">
        <f aca="false">INDEX(COA!$C$5:$C$19,MATCH(E216,COA!$A$5:$A$19,0))</f>
        <v>Asset</v>
      </c>
      <c r="G216" s="12" t="n">
        <v>16361.42</v>
      </c>
      <c r="H216" s="12" t="n">
        <v>0</v>
      </c>
      <c r="I216" s="10" t="s">
        <v>103</v>
      </c>
      <c r="J216" s="10" t="s">
        <v>1636</v>
      </c>
      <c r="K216" s="10" t="s">
        <v>1637</v>
      </c>
    </row>
    <row r="217" customFormat="false" ht="15" hidden="false" customHeight="false" outlineLevel="0" collapsed="false">
      <c r="A217" s="10" t="s">
        <v>1864</v>
      </c>
      <c r="B217" s="10" t="n">
        <v>1102</v>
      </c>
      <c r="C217" s="8" t="n">
        <v>45698</v>
      </c>
      <c r="D217" s="8" t="n">
        <v>45696</v>
      </c>
      <c r="E217" s="10" t="n">
        <v>1100</v>
      </c>
      <c r="F217" s="0" t="str">
        <f aca="false">INDEX(COA!$C$5:$C$19,MATCH(E217,COA!$A$5:$A$19,0))</f>
        <v>Asset</v>
      </c>
      <c r="G217" s="12" t="n">
        <v>0</v>
      </c>
      <c r="H217" s="12" t="n">
        <v>16361.42</v>
      </c>
      <c r="I217" s="10" t="s">
        <v>103</v>
      </c>
      <c r="J217" s="10" t="s">
        <v>1636</v>
      </c>
      <c r="K217" s="10" t="s">
        <v>1637</v>
      </c>
    </row>
    <row r="218" customFormat="false" ht="15" hidden="false" customHeight="false" outlineLevel="0" collapsed="false">
      <c r="A218" s="10" t="s">
        <v>1865</v>
      </c>
      <c r="B218" s="10" t="n">
        <v>1103</v>
      </c>
      <c r="C218" s="8" t="n">
        <v>45698</v>
      </c>
      <c r="D218" s="8" t="n">
        <v>45697</v>
      </c>
      <c r="E218" s="10" t="n">
        <v>1000</v>
      </c>
      <c r="F218" s="0" t="str">
        <f aca="false">INDEX(COA!$C$5:$C$19,MATCH(E218,COA!$A$5:$A$19,0))</f>
        <v>Asset</v>
      </c>
      <c r="G218" s="12" t="n">
        <v>6056.5</v>
      </c>
      <c r="H218" s="12" t="n">
        <v>0</v>
      </c>
      <c r="I218" s="10" t="s">
        <v>103</v>
      </c>
      <c r="J218" s="10" t="s">
        <v>1636</v>
      </c>
      <c r="K218" s="10" t="s">
        <v>1637</v>
      </c>
    </row>
    <row r="219" customFormat="false" ht="15" hidden="false" customHeight="false" outlineLevel="0" collapsed="false">
      <c r="A219" s="10" t="s">
        <v>1866</v>
      </c>
      <c r="B219" s="10" t="n">
        <v>1103</v>
      </c>
      <c r="C219" s="8" t="n">
        <v>45698</v>
      </c>
      <c r="D219" s="8" t="n">
        <v>45697</v>
      </c>
      <c r="E219" s="10" t="n">
        <v>1100</v>
      </c>
      <c r="F219" s="0" t="str">
        <f aca="false">INDEX(COA!$C$5:$C$19,MATCH(E219,COA!$A$5:$A$19,0))</f>
        <v>Asset</v>
      </c>
      <c r="G219" s="12" t="n">
        <v>0</v>
      </c>
      <c r="H219" s="12" t="n">
        <v>6056.5</v>
      </c>
      <c r="I219" s="10" t="s">
        <v>103</v>
      </c>
      <c r="J219" s="10" t="s">
        <v>1636</v>
      </c>
      <c r="K219" s="10" t="s">
        <v>1637</v>
      </c>
    </row>
    <row r="220" customFormat="false" ht="15" hidden="false" customHeight="false" outlineLevel="0" collapsed="false">
      <c r="A220" s="10" t="s">
        <v>1867</v>
      </c>
      <c r="B220" s="10" t="n">
        <v>1104</v>
      </c>
      <c r="C220" s="8" t="n">
        <v>45698</v>
      </c>
      <c r="D220" s="8" t="n">
        <v>45695</v>
      </c>
      <c r="E220" s="10" t="n">
        <v>6200</v>
      </c>
      <c r="F220" s="0" t="str">
        <f aca="false">INDEX(COA!$C$5:$C$19,MATCH(E220,COA!$A$5:$A$19,0))</f>
        <v>Expense</v>
      </c>
      <c r="G220" s="12" t="n">
        <v>215.62</v>
      </c>
      <c r="H220" s="12" t="n">
        <v>0</v>
      </c>
      <c r="I220" s="10" t="s">
        <v>102</v>
      </c>
      <c r="J220" s="10" t="s">
        <v>1636</v>
      </c>
      <c r="K220" s="10" t="s">
        <v>1689</v>
      </c>
    </row>
    <row r="221" customFormat="false" ht="15" hidden="false" customHeight="false" outlineLevel="0" collapsed="false">
      <c r="A221" s="10" t="s">
        <v>1868</v>
      </c>
      <c r="B221" s="10" t="n">
        <v>1104</v>
      </c>
      <c r="C221" s="8" t="n">
        <v>45698</v>
      </c>
      <c r="D221" s="8" t="n">
        <v>45695</v>
      </c>
      <c r="E221" s="10" t="n">
        <v>2000</v>
      </c>
      <c r="F221" s="0" t="str">
        <f aca="false">INDEX(COA!$C$5:$C$19,MATCH(E221,COA!$A$5:$A$19,0))</f>
        <v>Liability</v>
      </c>
      <c r="G221" s="12" t="n">
        <v>0</v>
      </c>
      <c r="H221" s="12" t="n">
        <v>215.62</v>
      </c>
      <c r="I221" s="10" t="s">
        <v>102</v>
      </c>
      <c r="J221" s="10" t="s">
        <v>1636</v>
      </c>
      <c r="K221" s="10" t="s">
        <v>1689</v>
      </c>
    </row>
    <row r="222" customFormat="false" ht="15" hidden="false" customHeight="false" outlineLevel="0" collapsed="false">
      <c r="A222" s="10" t="s">
        <v>1869</v>
      </c>
      <c r="B222" s="10" t="n">
        <v>1105</v>
      </c>
      <c r="C222" s="8" t="n">
        <v>45699</v>
      </c>
      <c r="D222" s="8" t="n">
        <v>45699</v>
      </c>
      <c r="E222" s="10" t="n">
        <v>1000</v>
      </c>
      <c r="F222" s="0" t="str">
        <f aca="false">INDEX(COA!$C$5:$C$19,MATCH(E222,COA!$A$5:$A$19,0))</f>
        <v>Asset</v>
      </c>
      <c r="G222" s="12" t="n">
        <v>204.13</v>
      </c>
      <c r="H222" s="12" t="n">
        <v>0</v>
      </c>
      <c r="I222" s="10" t="s">
        <v>103</v>
      </c>
      <c r="J222" s="10" t="s">
        <v>1636</v>
      </c>
      <c r="K222" s="10" t="s">
        <v>1637</v>
      </c>
    </row>
    <row r="223" customFormat="false" ht="15" hidden="false" customHeight="false" outlineLevel="0" collapsed="false">
      <c r="A223" s="10" t="s">
        <v>1870</v>
      </c>
      <c r="B223" s="10" t="n">
        <v>1105</v>
      </c>
      <c r="C223" s="8" t="n">
        <v>45699</v>
      </c>
      <c r="D223" s="8" t="n">
        <v>45699</v>
      </c>
      <c r="E223" s="10" t="n">
        <v>1100</v>
      </c>
      <c r="F223" s="0" t="str">
        <f aca="false">INDEX(COA!$C$5:$C$19,MATCH(E223,COA!$A$5:$A$19,0))</f>
        <v>Asset</v>
      </c>
      <c r="G223" s="12" t="n">
        <v>0</v>
      </c>
      <c r="H223" s="12" t="n">
        <v>204.13</v>
      </c>
      <c r="I223" s="10" t="s">
        <v>103</v>
      </c>
      <c r="J223" s="10" t="s">
        <v>1636</v>
      </c>
      <c r="K223" s="10" t="s">
        <v>1637</v>
      </c>
    </row>
    <row r="224" customFormat="false" ht="15" hidden="false" customHeight="false" outlineLevel="0" collapsed="false">
      <c r="A224" s="10" t="s">
        <v>1871</v>
      </c>
      <c r="B224" s="10" t="n">
        <v>1106</v>
      </c>
      <c r="C224" s="8" t="n">
        <v>45699</v>
      </c>
      <c r="D224" s="8" t="n">
        <v>45698</v>
      </c>
      <c r="E224" s="10" t="n">
        <v>2000</v>
      </c>
      <c r="F224" s="0" t="str">
        <f aca="false">INDEX(COA!$C$5:$C$19,MATCH(E224,COA!$A$5:$A$19,0))</f>
        <v>Liability</v>
      </c>
      <c r="G224" s="12" t="n">
        <v>235.17</v>
      </c>
      <c r="H224" s="12" t="n">
        <v>0</v>
      </c>
      <c r="I224" s="10" t="s">
        <v>104</v>
      </c>
      <c r="J224" s="10" t="s">
        <v>1636</v>
      </c>
      <c r="K224" s="10" t="s">
        <v>1659</v>
      </c>
    </row>
    <row r="225" customFormat="false" ht="15" hidden="false" customHeight="false" outlineLevel="0" collapsed="false">
      <c r="A225" s="10" t="s">
        <v>1872</v>
      </c>
      <c r="B225" s="10" t="n">
        <v>1106</v>
      </c>
      <c r="C225" s="8" t="n">
        <v>45699</v>
      </c>
      <c r="D225" s="8" t="n">
        <v>45698</v>
      </c>
      <c r="E225" s="10" t="n">
        <v>2000</v>
      </c>
      <c r="F225" s="0" t="str">
        <f aca="false">INDEX(COA!$C$5:$C$19,MATCH(E225,COA!$A$5:$A$19,0))</f>
        <v>Liability</v>
      </c>
      <c r="G225" s="12" t="n">
        <v>100.79</v>
      </c>
      <c r="H225" s="12" t="n">
        <v>0</v>
      </c>
      <c r="I225" s="10" t="s">
        <v>104</v>
      </c>
      <c r="J225" s="10" t="s">
        <v>1636</v>
      </c>
      <c r="K225" s="10" t="s">
        <v>1659</v>
      </c>
    </row>
    <row r="226" customFormat="false" ht="15" hidden="false" customHeight="false" outlineLevel="0" collapsed="false">
      <c r="A226" s="10" t="s">
        <v>1873</v>
      </c>
      <c r="B226" s="10" t="n">
        <v>1106</v>
      </c>
      <c r="C226" s="8" t="n">
        <v>45699</v>
      </c>
      <c r="D226" s="8" t="n">
        <v>45698</v>
      </c>
      <c r="E226" s="10" t="n">
        <v>1000</v>
      </c>
      <c r="F226" s="0" t="str">
        <f aca="false">INDEX(COA!$C$5:$C$19,MATCH(E226,COA!$A$5:$A$19,0))</f>
        <v>Asset</v>
      </c>
      <c r="G226" s="12" t="n">
        <v>0</v>
      </c>
      <c r="H226" s="12" t="n">
        <v>335.96</v>
      </c>
      <c r="I226" s="10" t="s">
        <v>104</v>
      </c>
      <c r="J226" s="10" t="s">
        <v>1636</v>
      </c>
      <c r="K226" s="10" t="s">
        <v>1659</v>
      </c>
    </row>
    <row r="227" customFormat="false" ht="15" hidden="false" customHeight="false" outlineLevel="0" collapsed="false">
      <c r="A227" s="10" t="s">
        <v>1874</v>
      </c>
      <c r="B227" s="10" t="n">
        <v>1107</v>
      </c>
      <c r="C227" s="8" t="n">
        <v>45699</v>
      </c>
      <c r="D227" s="8" t="n">
        <v>45696</v>
      </c>
      <c r="E227" s="10" t="n">
        <v>1000</v>
      </c>
      <c r="F227" s="0" t="str">
        <f aca="false">INDEX(COA!$C$5:$C$19,MATCH(E227,COA!$A$5:$A$19,0))</f>
        <v>Asset</v>
      </c>
      <c r="G227" s="12" t="n">
        <v>61989.52</v>
      </c>
      <c r="H227" s="12" t="n">
        <v>0</v>
      </c>
      <c r="I227" s="10" t="s">
        <v>103</v>
      </c>
      <c r="J227" s="10" t="s">
        <v>1636</v>
      </c>
      <c r="K227" s="10" t="s">
        <v>1637</v>
      </c>
    </row>
    <row r="228" customFormat="false" ht="15" hidden="false" customHeight="false" outlineLevel="0" collapsed="false">
      <c r="A228" s="10" t="s">
        <v>1875</v>
      </c>
      <c r="B228" s="10" t="n">
        <v>1107</v>
      </c>
      <c r="C228" s="8" t="n">
        <v>45699</v>
      </c>
      <c r="D228" s="8" t="n">
        <v>45696</v>
      </c>
      <c r="E228" s="10" t="n">
        <v>1100</v>
      </c>
      <c r="F228" s="0" t="str">
        <f aca="false">INDEX(COA!$C$5:$C$19,MATCH(E228,COA!$A$5:$A$19,0))</f>
        <v>Asset</v>
      </c>
      <c r="G228" s="12" t="n">
        <v>0</v>
      </c>
      <c r="H228" s="12" t="n">
        <v>61989.52</v>
      </c>
      <c r="I228" s="10" t="s">
        <v>103</v>
      </c>
      <c r="J228" s="10" t="s">
        <v>1636</v>
      </c>
      <c r="K228" s="10" t="s">
        <v>1637</v>
      </c>
    </row>
    <row r="229" customFormat="false" ht="15" hidden="false" customHeight="false" outlineLevel="0" collapsed="false">
      <c r="A229" s="10" t="s">
        <v>1876</v>
      </c>
      <c r="B229" s="10" t="n">
        <v>1108</v>
      </c>
      <c r="C229" s="8" t="n">
        <v>45699</v>
      </c>
      <c r="D229" s="8" t="n">
        <v>45697</v>
      </c>
      <c r="E229" s="10" t="n">
        <v>1100</v>
      </c>
      <c r="F229" s="0" t="str">
        <f aca="false">INDEX(COA!$C$5:$C$19,MATCH(E229,COA!$A$5:$A$19,0))</f>
        <v>Asset</v>
      </c>
      <c r="G229" s="12" t="n">
        <v>8620.12</v>
      </c>
      <c r="H229" s="12" t="n">
        <v>0</v>
      </c>
      <c r="I229" s="10" t="s">
        <v>103</v>
      </c>
      <c r="J229" s="10" t="s">
        <v>1636</v>
      </c>
      <c r="K229" s="10" t="s">
        <v>1640</v>
      </c>
    </row>
    <row r="230" customFormat="false" ht="15" hidden="false" customHeight="false" outlineLevel="0" collapsed="false">
      <c r="A230" s="10" t="s">
        <v>1877</v>
      </c>
      <c r="B230" s="10" t="n">
        <v>1108</v>
      </c>
      <c r="C230" s="8" t="n">
        <v>45699</v>
      </c>
      <c r="D230" s="8" t="n">
        <v>45697</v>
      </c>
      <c r="E230" s="10" t="n">
        <v>4000</v>
      </c>
      <c r="F230" s="0" t="str">
        <f aca="false">INDEX(COA!$C$5:$C$19,MATCH(E230,COA!$A$5:$A$19,0))</f>
        <v>Revenue</v>
      </c>
      <c r="G230" s="12" t="n">
        <v>0</v>
      </c>
      <c r="H230" s="12" t="n">
        <v>8620.12</v>
      </c>
      <c r="I230" s="10" t="s">
        <v>103</v>
      </c>
      <c r="J230" s="10" t="s">
        <v>1636</v>
      </c>
      <c r="K230" s="10" t="s">
        <v>1640</v>
      </c>
    </row>
    <row r="231" customFormat="false" ht="15" hidden="false" customHeight="false" outlineLevel="0" collapsed="false">
      <c r="A231" s="10" t="s">
        <v>1878</v>
      </c>
      <c r="B231" s="10" t="n">
        <v>1109</v>
      </c>
      <c r="C231" s="8" t="n">
        <v>45700</v>
      </c>
      <c r="D231" s="8" t="n">
        <v>45699</v>
      </c>
      <c r="E231" s="10" t="n">
        <v>2000</v>
      </c>
      <c r="F231" s="0" t="str">
        <f aca="false">INDEX(COA!$C$5:$C$19,MATCH(E231,COA!$A$5:$A$19,0))</f>
        <v>Liability</v>
      </c>
      <c r="G231" s="12" t="n">
        <v>63199.04</v>
      </c>
      <c r="H231" s="12" t="n">
        <v>0</v>
      </c>
      <c r="I231" s="10" t="s">
        <v>104</v>
      </c>
      <c r="J231" s="10" t="s">
        <v>1636</v>
      </c>
      <c r="K231" s="10" t="s">
        <v>1659</v>
      </c>
    </row>
    <row r="232" customFormat="false" ht="15" hidden="false" customHeight="false" outlineLevel="0" collapsed="false">
      <c r="A232" s="10" t="s">
        <v>1879</v>
      </c>
      <c r="B232" s="10" t="n">
        <v>1109</v>
      </c>
      <c r="C232" s="8" t="n">
        <v>45700</v>
      </c>
      <c r="D232" s="8" t="n">
        <v>45699</v>
      </c>
      <c r="E232" s="10" t="n">
        <v>1000</v>
      </c>
      <c r="F232" s="0" t="str">
        <f aca="false">INDEX(COA!$C$5:$C$19,MATCH(E232,COA!$A$5:$A$19,0))</f>
        <v>Asset</v>
      </c>
      <c r="G232" s="12" t="n">
        <v>0</v>
      </c>
      <c r="H232" s="12" t="n">
        <v>63199.04</v>
      </c>
      <c r="I232" s="10" t="s">
        <v>104</v>
      </c>
      <c r="J232" s="10" t="s">
        <v>1636</v>
      </c>
      <c r="K232" s="10" t="s">
        <v>1659</v>
      </c>
    </row>
    <row r="233" customFormat="false" ht="15" hidden="false" customHeight="false" outlineLevel="0" collapsed="false">
      <c r="A233" s="10" t="s">
        <v>1880</v>
      </c>
      <c r="B233" s="10" t="n">
        <v>1110</v>
      </c>
      <c r="C233" s="8" t="n">
        <v>45700</v>
      </c>
      <c r="D233" s="8" t="n">
        <v>45698</v>
      </c>
      <c r="E233" s="10" t="n">
        <v>2100</v>
      </c>
      <c r="F233" s="0" t="str">
        <f aca="false">INDEX(COA!$C$5:$C$19,MATCH(E233,COA!$A$5:$A$19,0))</f>
        <v>Liability</v>
      </c>
      <c r="G233" s="12" t="n">
        <v>21285.2</v>
      </c>
      <c r="H233" s="12" t="n">
        <v>0</v>
      </c>
      <c r="I233" s="10" t="s">
        <v>97</v>
      </c>
      <c r="J233" s="10" t="s">
        <v>1648</v>
      </c>
      <c r="K233" s="10" t="s">
        <v>1677</v>
      </c>
    </row>
    <row r="234" customFormat="false" ht="15" hidden="false" customHeight="false" outlineLevel="0" collapsed="false">
      <c r="A234" s="10" t="s">
        <v>1881</v>
      </c>
      <c r="B234" s="10" t="n">
        <v>1110</v>
      </c>
      <c r="C234" s="8" t="n">
        <v>45700</v>
      </c>
      <c r="D234" s="8" t="n">
        <v>45698</v>
      </c>
      <c r="E234" s="10" t="n">
        <v>6900</v>
      </c>
      <c r="F234" s="0" t="str">
        <f aca="false">INDEX(COA!$C$5:$C$19,MATCH(E234,COA!$A$5:$A$19,0))</f>
        <v>Expense</v>
      </c>
      <c r="G234" s="12" t="n">
        <v>0</v>
      </c>
      <c r="H234" s="12" t="n">
        <v>21285.2</v>
      </c>
      <c r="I234" s="10" t="s">
        <v>97</v>
      </c>
      <c r="J234" s="10" t="s">
        <v>1648</v>
      </c>
      <c r="K234" s="10" t="s">
        <v>1677</v>
      </c>
    </row>
    <row r="235" customFormat="false" ht="15" hidden="false" customHeight="false" outlineLevel="0" collapsed="false">
      <c r="A235" s="10" t="s">
        <v>1882</v>
      </c>
      <c r="B235" s="10" t="n">
        <v>1111</v>
      </c>
      <c r="C235" s="8" t="n">
        <v>45700</v>
      </c>
      <c r="D235" s="8" t="n">
        <v>45698</v>
      </c>
      <c r="E235" s="10" t="n">
        <v>1100</v>
      </c>
      <c r="F235" s="0" t="str">
        <f aca="false">INDEX(COA!$C$5:$C$19,MATCH(E235,COA!$A$5:$A$19,0))</f>
        <v>Asset</v>
      </c>
      <c r="G235" s="12" t="n">
        <v>354.16</v>
      </c>
      <c r="H235" s="12" t="n">
        <v>0</v>
      </c>
      <c r="I235" s="10" t="s">
        <v>103</v>
      </c>
      <c r="J235" s="10" t="s">
        <v>1636</v>
      </c>
      <c r="K235" s="10" t="s">
        <v>1640</v>
      </c>
    </row>
    <row r="236" customFormat="false" ht="15" hidden="false" customHeight="false" outlineLevel="0" collapsed="false">
      <c r="A236" s="10" t="s">
        <v>1883</v>
      </c>
      <c r="B236" s="10" t="n">
        <v>1111</v>
      </c>
      <c r="C236" s="8" t="n">
        <v>45700</v>
      </c>
      <c r="D236" s="8" t="n">
        <v>45698</v>
      </c>
      <c r="E236" s="10" t="n">
        <v>4000</v>
      </c>
      <c r="F236" s="0" t="str">
        <f aca="false">INDEX(COA!$C$5:$C$19,MATCH(E236,COA!$A$5:$A$19,0))</f>
        <v>Revenue</v>
      </c>
      <c r="G236" s="12" t="n">
        <v>0</v>
      </c>
      <c r="H236" s="12" t="n">
        <v>354.16</v>
      </c>
      <c r="I236" s="10" t="s">
        <v>103</v>
      </c>
      <c r="J236" s="10" t="s">
        <v>1636</v>
      </c>
      <c r="K236" s="10" t="s">
        <v>1640</v>
      </c>
    </row>
    <row r="237" customFormat="false" ht="15" hidden="false" customHeight="false" outlineLevel="0" collapsed="false">
      <c r="A237" s="10" t="s">
        <v>1884</v>
      </c>
      <c r="B237" s="10" t="n">
        <v>1112</v>
      </c>
      <c r="C237" s="8" t="n">
        <v>45700</v>
      </c>
      <c r="D237" s="8" t="n">
        <v>45698</v>
      </c>
      <c r="E237" s="10" t="n">
        <v>6900</v>
      </c>
      <c r="F237" s="0" t="str">
        <f aca="false">INDEX(COA!$C$5:$C$19,MATCH(E237,COA!$A$5:$A$19,0))</f>
        <v>Expense</v>
      </c>
      <c r="G237" s="12" t="n">
        <v>170.16</v>
      </c>
      <c r="H237" s="12" t="n">
        <v>0</v>
      </c>
      <c r="I237" s="10" t="s">
        <v>98</v>
      </c>
      <c r="J237" s="10" t="s">
        <v>1648</v>
      </c>
      <c r="K237" s="10" t="s">
        <v>1649</v>
      </c>
    </row>
    <row r="238" customFormat="false" ht="15" hidden="false" customHeight="false" outlineLevel="0" collapsed="false">
      <c r="A238" s="10" t="s">
        <v>1885</v>
      </c>
      <c r="B238" s="10" t="n">
        <v>1112</v>
      </c>
      <c r="C238" s="8" t="n">
        <v>45700</v>
      </c>
      <c r="D238" s="8" t="n">
        <v>45698</v>
      </c>
      <c r="E238" s="10" t="n">
        <v>6900</v>
      </c>
      <c r="F238" s="0" t="str">
        <f aca="false">INDEX(COA!$C$5:$C$19,MATCH(E238,COA!$A$5:$A$19,0))</f>
        <v>Expense</v>
      </c>
      <c r="G238" s="12" t="n">
        <v>72.93</v>
      </c>
      <c r="H238" s="12" t="n">
        <v>0</v>
      </c>
      <c r="I238" s="10" t="s">
        <v>98</v>
      </c>
      <c r="J238" s="10" t="s">
        <v>1648</v>
      </c>
      <c r="K238" s="10" t="s">
        <v>1649</v>
      </c>
    </row>
    <row r="239" customFormat="false" ht="15" hidden="false" customHeight="false" outlineLevel="0" collapsed="false">
      <c r="A239" s="10" t="s">
        <v>1886</v>
      </c>
      <c r="B239" s="10" t="n">
        <v>1112</v>
      </c>
      <c r="C239" s="8" t="n">
        <v>45700</v>
      </c>
      <c r="D239" s="8" t="n">
        <v>45698</v>
      </c>
      <c r="E239" s="10" t="n">
        <v>2100</v>
      </c>
      <c r="F239" s="0" t="str">
        <f aca="false">INDEX(COA!$C$5:$C$19,MATCH(E239,COA!$A$5:$A$19,0))</f>
        <v>Liability</v>
      </c>
      <c r="G239" s="12" t="n">
        <v>0</v>
      </c>
      <c r="H239" s="12" t="n">
        <v>243.09</v>
      </c>
      <c r="I239" s="10" t="s">
        <v>98</v>
      </c>
      <c r="J239" s="10" t="s">
        <v>1648</v>
      </c>
      <c r="K239" s="10" t="s">
        <v>1649</v>
      </c>
    </row>
    <row r="240" customFormat="false" ht="15" hidden="false" customHeight="false" outlineLevel="0" collapsed="false">
      <c r="A240" s="10" t="s">
        <v>1887</v>
      </c>
      <c r="B240" s="10" t="n">
        <v>1113</v>
      </c>
      <c r="C240" s="8" t="n">
        <v>45700</v>
      </c>
      <c r="D240" s="8" t="n">
        <v>45697</v>
      </c>
      <c r="E240" s="10" t="n">
        <v>6200</v>
      </c>
      <c r="F240" s="0" t="str">
        <f aca="false">INDEX(COA!$C$5:$C$19,MATCH(E240,COA!$A$5:$A$19,0))</f>
        <v>Expense</v>
      </c>
      <c r="G240" s="12" t="n">
        <v>287.38</v>
      </c>
      <c r="H240" s="12" t="n">
        <v>0</v>
      </c>
      <c r="I240" s="10" t="s">
        <v>102</v>
      </c>
      <c r="J240" s="10" t="s">
        <v>1636</v>
      </c>
      <c r="K240" s="10" t="s">
        <v>1689</v>
      </c>
    </row>
    <row r="241" customFormat="false" ht="15" hidden="false" customHeight="false" outlineLevel="0" collapsed="false">
      <c r="A241" s="10" t="s">
        <v>1888</v>
      </c>
      <c r="B241" s="10" t="n">
        <v>1113</v>
      </c>
      <c r="C241" s="8" t="n">
        <v>45700</v>
      </c>
      <c r="D241" s="8" t="n">
        <v>45697</v>
      </c>
      <c r="E241" s="10" t="n">
        <v>2000</v>
      </c>
      <c r="F241" s="0" t="str">
        <f aca="false">INDEX(COA!$C$5:$C$19,MATCH(E241,COA!$A$5:$A$19,0))</f>
        <v>Liability</v>
      </c>
      <c r="G241" s="12" t="n">
        <v>0</v>
      </c>
      <c r="H241" s="12" t="n">
        <v>287.38</v>
      </c>
      <c r="I241" s="10" t="s">
        <v>102</v>
      </c>
      <c r="J241" s="10" t="s">
        <v>1636</v>
      </c>
      <c r="K241" s="10" t="s">
        <v>1689</v>
      </c>
    </row>
    <row r="242" customFormat="false" ht="15" hidden="false" customHeight="false" outlineLevel="0" collapsed="false">
      <c r="A242" s="10" t="s">
        <v>1889</v>
      </c>
      <c r="B242" s="10" t="n">
        <v>1114</v>
      </c>
      <c r="C242" s="8" t="n">
        <v>45701</v>
      </c>
      <c r="D242" s="8" t="n">
        <v>45700</v>
      </c>
      <c r="E242" s="10" t="n">
        <v>1000</v>
      </c>
      <c r="F242" s="0" t="str">
        <f aca="false">INDEX(COA!$C$5:$C$19,MATCH(E242,COA!$A$5:$A$19,0))</f>
        <v>Asset</v>
      </c>
      <c r="G242" s="12" t="n">
        <v>738.71</v>
      </c>
      <c r="H242" s="12" t="n">
        <v>0</v>
      </c>
      <c r="I242" s="10" t="s">
        <v>103</v>
      </c>
      <c r="J242" s="10" t="s">
        <v>1636</v>
      </c>
      <c r="K242" s="10" t="s">
        <v>1637</v>
      </c>
    </row>
    <row r="243" customFormat="false" ht="15" hidden="false" customHeight="false" outlineLevel="0" collapsed="false">
      <c r="A243" s="10" t="s">
        <v>1890</v>
      </c>
      <c r="B243" s="10" t="n">
        <v>1114</v>
      </c>
      <c r="C243" s="8" t="n">
        <v>45701</v>
      </c>
      <c r="D243" s="8" t="n">
        <v>45700</v>
      </c>
      <c r="E243" s="10" t="n">
        <v>1100</v>
      </c>
      <c r="F243" s="0" t="str">
        <f aca="false">INDEX(COA!$C$5:$C$19,MATCH(E243,COA!$A$5:$A$19,0))</f>
        <v>Asset</v>
      </c>
      <c r="G243" s="12" t="n">
        <v>0</v>
      </c>
      <c r="H243" s="12" t="n">
        <v>738.71</v>
      </c>
      <c r="I243" s="10" t="s">
        <v>103</v>
      </c>
      <c r="J243" s="10" t="s">
        <v>1636</v>
      </c>
      <c r="K243" s="10" t="s">
        <v>1637</v>
      </c>
    </row>
    <row r="244" customFormat="false" ht="15" hidden="false" customHeight="false" outlineLevel="0" collapsed="false">
      <c r="A244" s="10" t="s">
        <v>1891</v>
      </c>
      <c r="B244" s="10" t="n">
        <v>1115</v>
      </c>
      <c r="C244" s="8" t="n">
        <v>45703</v>
      </c>
      <c r="D244" s="8" t="n">
        <v>45703</v>
      </c>
      <c r="E244" s="10" t="n">
        <v>6900</v>
      </c>
      <c r="F244" s="0" t="str">
        <f aca="false">INDEX(COA!$C$5:$C$19,MATCH(E244,COA!$A$5:$A$19,0))</f>
        <v>Expense</v>
      </c>
      <c r="G244" s="12" t="n">
        <v>266.37</v>
      </c>
      <c r="H244" s="12" t="n">
        <v>0</v>
      </c>
      <c r="I244" s="10" t="s">
        <v>99</v>
      </c>
      <c r="J244" s="10" t="s">
        <v>1648</v>
      </c>
      <c r="K244" s="10" t="s">
        <v>1892</v>
      </c>
    </row>
    <row r="245" customFormat="false" ht="15" hidden="false" customHeight="false" outlineLevel="0" collapsed="false">
      <c r="A245" s="10" t="s">
        <v>1893</v>
      </c>
      <c r="B245" s="10" t="n">
        <v>1115</v>
      </c>
      <c r="C245" s="8" t="n">
        <v>45703</v>
      </c>
      <c r="D245" s="8" t="n">
        <v>45703</v>
      </c>
      <c r="E245" s="10" t="n">
        <v>2100</v>
      </c>
      <c r="F245" s="0" t="str">
        <f aca="false">INDEX(COA!$C$5:$C$19,MATCH(E245,COA!$A$5:$A$19,0))</f>
        <v>Liability</v>
      </c>
      <c r="G245" s="12" t="n">
        <v>0</v>
      </c>
      <c r="H245" s="12" t="n">
        <v>266.37</v>
      </c>
      <c r="I245" s="10" t="s">
        <v>99</v>
      </c>
      <c r="J245" s="10" t="s">
        <v>1648</v>
      </c>
      <c r="K245" s="10" t="s">
        <v>1892</v>
      </c>
    </row>
    <row r="246" customFormat="false" ht="15" hidden="false" customHeight="false" outlineLevel="0" collapsed="false">
      <c r="A246" s="10" t="s">
        <v>1894</v>
      </c>
      <c r="B246" s="10" t="n">
        <v>1116</v>
      </c>
      <c r="C246" s="8" t="n">
        <v>45704</v>
      </c>
      <c r="D246" s="8" t="n">
        <v>45702</v>
      </c>
      <c r="E246" s="10" t="n">
        <v>5000</v>
      </c>
      <c r="F246" s="0" t="str">
        <f aca="false">INDEX(COA!$C$5:$C$19,MATCH(E246,COA!$A$5:$A$19,0))</f>
        <v>Expense</v>
      </c>
      <c r="G246" s="12" t="n">
        <v>152714.73</v>
      </c>
      <c r="H246" s="12" t="n">
        <v>0</v>
      </c>
      <c r="I246" s="10" t="s">
        <v>103</v>
      </c>
      <c r="J246" s="10" t="s">
        <v>1636</v>
      </c>
      <c r="K246" s="10" t="s">
        <v>1670</v>
      </c>
    </row>
    <row r="247" customFormat="false" ht="15" hidden="false" customHeight="false" outlineLevel="0" collapsed="false">
      <c r="A247" s="10" t="s">
        <v>1895</v>
      </c>
      <c r="B247" s="10" t="n">
        <v>1116</v>
      </c>
      <c r="C247" s="8" t="n">
        <v>45704</v>
      </c>
      <c r="D247" s="8" t="n">
        <v>45702</v>
      </c>
      <c r="E247" s="10" t="n">
        <v>1200</v>
      </c>
      <c r="F247" s="0" t="str">
        <f aca="false">INDEX(COA!$C$5:$C$19,MATCH(E247,COA!$A$5:$A$19,0))</f>
        <v>Asset</v>
      </c>
      <c r="G247" s="12" t="n">
        <v>0</v>
      </c>
      <c r="H247" s="12" t="n">
        <v>152714.73</v>
      </c>
      <c r="I247" s="10" t="s">
        <v>103</v>
      </c>
      <c r="J247" s="10" t="s">
        <v>1636</v>
      </c>
      <c r="K247" s="10" t="s">
        <v>1670</v>
      </c>
    </row>
    <row r="248" customFormat="false" ht="15" hidden="false" customHeight="false" outlineLevel="0" collapsed="false">
      <c r="A248" s="10" t="s">
        <v>1896</v>
      </c>
      <c r="B248" s="10" t="n">
        <v>1117</v>
      </c>
      <c r="C248" s="8" t="n">
        <v>45705</v>
      </c>
      <c r="D248" s="8" t="n">
        <v>45705</v>
      </c>
      <c r="E248" s="10" t="n">
        <v>2000</v>
      </c>
      <c r="F248" s="0" t="str">
        <f aca="false">INDEX(COA!$C$5:$C$19,MATCH(E248,COA!$A$5:$A$19,0))</f>
        <v>Liability</v>
      </c>
      <c r="G248" s="12" t="n">
        <v>11293.36</v>
      </c>
      <c r="H248" s="12" t="n">
        <v>0</v>
      </c>
      <c r="I248" s="10" t="s">
        <v>104</v>
      </c>
      <c r="J248" s="10" t="s">
        <v>1636</v>
      </c>
      <c r="K248" s="10" t="s">
        <v>1659</v>
      </c>
    </row>
    <row r="249" customFormat="false" ht="15" hidden="false" customHeight="false" outlineLevel="0" collapsed="false">
      <c r="A249" s="10" t="s">
        <v>1897</v>
      </c>
      <c r="B249" s="10" t="n">
        <v>1117</v>
      </c>
      <c r="C249" s="8" t="n">
        <v>45705</v>
      </c>
      <c r="D249" s="8" t="n">
        <v>45705</v>
      </c>
      <c r="E249" s="10" t="n">
        <v>1000</v>
      </c>
      <c r="F249" s="0" t="str">
        <f aca="false">INDEX(COA!$C$5:$C$19,MATCH(E249,COA!$A$5:$A$19,0))</f>
        <v>Asset</v>
      </c>
      <c r="G249" s="12" t="n">
        <v>0</v>
      </c>
      <c r="H249" s="12" t="n">
        <v>11293.36</v>
      </c>
      <c r="I249" s="10" t="s">
        <v>104</v>
      </c>
      <c r="J249" s="10" t="s">
        <v>1636</v>
      </c>
      <c r="K249" s="10" t="s">
        <v>1659</v>
      </c>
    </row>
    <row r="250" customFormat="false" ht="15" hidden="false" customHeight="false" outlineLevel="0" collapsed="false">
      <c r="A250" s="10" t="s">
        <v>1898</v>
      </c>
      <c r="B250" s="10" t="n">
        <v>1118</v>
      </c>
      <c r="C250" s="8" t="n">
        <v>45705</v>
      </c>
      <c r="D250" s="8" t="n">
        <v>45701</v>
      </c>
      <c r="E250" s="10" t="n">
        <v>1100</v>
      </c>
      <c r="F250" s="0" t="str">
        <f aca="false">INDEX(COA!$C$5:$C$19,MATCH(E250,COA!$A$5:$A$19,0))</f>
        <v>Asset</v>
      </c>
      <c r="G250" s="12" t="n">
        <v>1038.86</v>
      </c>
      <c r="H250" s="12" t="n">
        <v>0</v>
      </c>
      <c r="I250" s="10" t="s">
        <v>103</v>
      </c>
      <c r="J250" s="10" t="s">
        <v>1636</v>
      </c>
      <c r="K250" s="10" t="s">
        <v>1640</v>
      </c>
    </row>
    <row r="251" customFormat="false" ht="15" hidden="false" customHeight="false" outlineLevel="0" collapsed="false">
      <c r="A251" s="10" t="s">
        <v>1899</v>
      </c>
      <c r="B251" s="10" t="n">
        <v>1118</v>
      </c>
      <c r="C251" s="8" t="n">
        <v>45705</v>
      </c>
      <c r="D251" s="8" t="n">
        <v>45701</v>
      </c>
      <c r="E251" s="10" t="n">
        <v>4000</v>
      </c>
      <c r="F251" s="0" t="str">
        <f aca="false">INDEX(COA!$C$5:$C$19,MATCH(E251,COA!$A$5:$A$19,0))</f>
        <v>Revenue</v>
      </c>
      <c r="G251" s="12" t="n">
        <v>0</v>
      </c>
      <c r="H251" s="12" t="n">
        <v>1038.86</v>
      </c>
      <c r="I251" s="10" t="s">
        <v>103</v>
      </c>
      <c r="J251" s="10" t="s">
        <v>1636</v>
      </c>
      <c r="K251" s="10" t="s">
        <v>1640</v>
      </c>
    </row>
    <row r="252" customFormat="false" ht="15" hidden="false" customHeight="false" outlineLevel="0" collapsed="false">
      <c r="A252" s="10" t="s">
        <v>1900</v>
      </c>
      <c r="B252" s="10" t="n">
        <v>1119</v>
      </c>
      <c r="C252" s="8" t="n">
        <v>45706</v>
      </c>
      <c r="D252" s="8" t="n">
        <v>45703</v>
      </c>
      <c r="E252" s="10" t="n">
        <v>2100</v>
      </c>
      <c r="F252" s="0" t="str">
        <f aca="false">INDEX(COA!$C$5:$C$19,MATCH(E252,COA!$A$5:$A$19,0))</f>
        <v>Liability</v>
      </c>
      <c r="G252" s="12" t="n">
        <v>4813.92</v>
      </c>
      <c r="H252" s="12" t="n">
        <v>0</v>
      </c>
      <c r="I252" s="10" t="s">
        <v>100</v>
      </c>
      <c r="J252" s="10" t="s">
        <v>1648</v>
      </c>
      <c r="K252" s="10" t="s">
        <v>1677</v>
      </c>
    </row>
    <row r="253" customFormat="false" ht="15" hidden="false" customHeight="false" outlineLevel="0" collapsed="false">
      <c r="A253" s="10" t="s">
        <v>1901</v>
      </c>
      <c r="B253" s="10" t="n">
        <v>1119</v>
      </c>
      <c r="C253" s="8" t="n">
        <v>45706</v>
      </c>
      <c r="D253" s="8" t="n">
        <v>45703</v>
      </c>
      <c r="E253" s="10" t="n">
        <v>6900</v>
      </c>
      <c r="F253" s="0" t="str">
        <f aca="false">INDEX(COA!$C$5:$C$19,MATCH(E253,COA!$A$5:$A$19,0))</f>
        <v>Expense</v>
      </c>
      <c r="G253" s="12" t="n">
        <v>0</v>
      </c>
      <c r="H253" s="12" t="n">
        <v>4813.92</v>
      </c>
      <c r="I253" s="10" t="s">
        <v>100</v>
      </c>
      <c r="J253" s="10" t="s">
        <v>1648</v>
      </c>
      <c r="K253" s="10" t="s">
        <v>1677</v>
      </c>
    </row>
    <row r="254" customFormat="false" ht="15" hidden="false" customHeight="false" outlineLevel="0" collapsed="false">
      <c r="A254" s="10" t="s">
        <v>1902</v>
      </c>
      <c r="B254" s="10" t="n">
        <v>1120</v>
      </c>
      <c r="C254" s="8" t="n">
        <v>45706</v>
      </c>
      <c r="D254" s="8" t="n">
        <v>45702</v>
      </c>
      <c r="E254" s="10" t="n">
        <v>1100</v>
      </c>
      <c r="F254" s="0" t="str">
        <f aca="false">INDEX(COA!$C$5:$C$19,MATCH(E254,COA!$A$5:$A$19,0))</f>
        <v>Asset</v>
      </c>
      <c r="G254" s="12" t="n">
        <v>7674.41</v>
      </c>
      <c r="H254" s="12" t="n">
        <v>0</v>
      </c>
      <c r="I254" s="10" t="s">
        <v>103</v>
      </c>
      <c r="J254" s="10" t="s">
        <v>1636</v>
      </c>
      <c r="K254" s="10" t="s">
        <v>1640</v>
      </c>
    </row>
    <row r="255" customFormat="false" ht="15" hidden="false" customHeight="false" outlineLevel="0" collapsed="false">
      <c r="A255" s="10" t="s">
        <v>1903</v>
      </c>
      <c r="B255" s="10" t="n">
        <v>1120</v>
      </c>
      <c r="C255" s="8" t="n">
        <v>45706</v>
      </c>
      <c r="D255" s="8" t="n">
        <v>45702</v>
      </c>
      <c r="E255" s="10" t="n">
        <v>4000</v>
      </c>
      <c r="F255" s="0" t="str">
        <f aca="false">INDEX(COA!$C$5:$C$19,MATCH(E255,COA!$A$5:$A$19,0))</f>
        <v>Revenue</v>
      </c>
      <c r="G255" s="12" t="n">
        <v>0</v>
      </c>
      <c r="H255" s="12" t="n">
        <v>7674.41</v>
      </c>
      <c r="I255" s="10" t="s">
        <v>103</v>
      </c>
      <c r="J255" s="10" t="s">
        <v>1636</v>
      </c>
      <c r="K255" s="10" t="s">
        <v>1640</v>
      </c>
    </row>
    <row r="256" customFormat="false" ht="15" hidden="false" customHeight="false" outlineLevel="0" collapsed="false">
      <c r="A256" s="10" t="s">
        <v>1904</v>
      </c>
      <c r="B256" s="10" t="n">
        <v>1121</v>
      </c>
      <c r="C256" s="8" t="n">
        <v>45706</v>
      </c>
      <c r="D256" s="8" t="n">
        <v>45703</v>
      </c>
      <c r="E256" s="10" t="n">
        <v>5000</v>
      </c>
      <c r="F256" s="0" t="str">
        <f aca="false">INDEX(COA!$C$5:$C$19,MATCH(E256,COA!$A$5:$A$19,0))</f>
        <v>Expense</v>
      </c>
      <c r="G256" s="12" t="n">
        <v>9102.03</v>
      </c>
      <c r="H256" s="12" t="n">
        <v>0</v>
      </c>
      <c r="I256" s="10" t="s">
        <v>103</v>
      </c>
      <c r="J256" s="10" t="s">
        <v>1636</v>
      </c>
    </row>
    <row r="257" customFormat="false" ht="15" hidden="false" customHeight="false" outlineLevel="0" collapsed="false">
      <c r="A257" s="10" t="s">
        <v>1905</v>
      </c>
      <c r="B257" s="10" t="n">
        <v>1121</v>
      </c>
      <c r="C257" s="8" t="n">
        <v>45706</v>
      </c>
      <c r="D257" s="8" t="n">
        <v>45703</v>
      </c>
      <c r="E257" s="10" t="n">
        <v>5000</v>
      </c>
      <c r="F257" s="0" t="str">
        <f aca="false">INDEX(COA!$C$5:$C$19,MATCH(E257,COA!$A$5:$A$19,0))</f>
        <v>Expense</v>
      </c>
      <c r="G257" s="12" t="n">
        <v>3900.87</v>
      </c>
      <c r="H257" s="12" t="n">
        <v>0</v>
      </c>
      <c r="I257" s="10" t="s">
        <v>103</v>
      </c>
      <c r="J257" s="10" t="s">
        <v>1636</v>
      </c>
    </row>
    <row r="258" customFormat="false" ht="15" hidden="false" customHeight="false" outlineLevel="0" collapsed="false">
      <c r="A258" s="10" t="s">
        <v>1906</v>
      </c>
      <c r="B258" s="10" t="n">
        <v>1121</v>
      </c>
      <c r="C258" s="8" t="n">
        <v>45706</v>
      </c>
      <c r="D258" s="8" t="n">
        <v>45703</v>
      </c>
      <c r="E258" s="10" t="n">
        <v>1200</v>
      </c>
      <c r="F258" s="0" t="str">
        <f aca="false">INDEX(COA!$C$5:$C$19,MATCH(E258,COA!$A$5:$A$19,0))</f>
        <v>Asset</v>
      </c>
      <c r="G258" s="12" t="n">
        <v>0</v>
      </c>
      <c r="H258" s="12" t="n">
        <v>13002.9</v>
      </c>
      <c r="I258" s="10" t="s">
        <v>103</v>
      </c>
      <c r="J258" s="10" t="s">
        <v>1636</v>
      </c>
    </row>
    <row r="259" customFormat="false" ht="15" hidden="false" customHeight="false" outlineLevel="0" collapsed="false">
      <c r="A259" s="10" t="s">
        <v>1907</v>
      </c>
      <c r="B259" s="10" t="n">
        <v>1122</v>
      </c>
      <c r="C259" s="8" t="n">
        <v>45706</v>
      </c>
      <c r="D259" s="8" t="n">
        <v>45704</v>
      </c>
      <c r="E259" s="10" t="n">
        <v>1100</v>
      </c>
      <c r="F259" s="0" t="str">
        <f aca="false">INDEX(COA!$C$5:$C$19,MATCH(E259,COA!$A$5:$A$19,0))</f>
        <v>Asset</v>
      </c>
      <c r="G259" s="12" t="n">
        <v>32026.95</v>
      </c>
      <c r="H259" s="12" t="n">
        <v>0</v>
      </c>
      <c r="I259" s="10" t="s">
        <v>103</v>
      </c>
      <c r="J259" s="10" t="s">
        <v>1636</v>
      </c>
      <c r="K259" s="10" t="s">
        <v>1640</v>
      </c>
    </row>
    <row r="260" customFormat="false" ht="15" hidden="false" customHeight="false" outlineLevel="0" collapsed="false">
      <c r="A260" s="10" t="s">
        <v>1908</v>
      </c>
      <c r="B260" s="10" t="n">
        <v>1122</v>
      </c>
      <c r="C260" s="8" t="n">
        <v>45706</v>
      </c>
      <c r="D260" s="8" t="n">
        <v>45704</v>
      </c>
      <c r="E260" s="10" t="n">
        <v>4000</v>
      </c>
      <c r="F260" s="0" t="str">
        <f aca="false">INDEX(COA!$C$5:$C$19,MATCH(E260,COA!$A$5:$A$19,0))</f>
        <v>Revenue</v>
      </c>
      <c r="G260" s="12" t="n">
        <v>0</v>
      </c>
      <c r="H260" s="12" t="n">
        <v>32026.95</v>
      </c>
      <c r="I260" s="10" t="s">
        <v>103</v>
      </c>
      <c r="J260" s="10" t="s">
        <v>1636</v>
      </c>
      <c r="K260" s="10" t="s">
        <v>1640</v>
      </c>
    </row>
    <row r="261" customFormat="false" ht="15" hidden="false" customHeight="false" outlineLevel="0" collapsed="false">
      <c r="A261" s="10" t="s">
        <v>1909</v>
      </c>
      <c r="B261" s="10" t="n">
        <v>1123</v>
      </c>
      <c r="C261" s="8" t="n">
        <v>45707</v>
      </c>
      <c r="D261" s="8" t="n">
        <v>45704</v>
      </c>
      <c r="E261" s="10" t="n">
        <v>2000</v>
      </c>
      <c r="F261" s="0" t="str">
        <f aca="false">INDEX(COA!$C$5:$C$19,MATCH(E261,COA!$A$5:$A$19,0))</f>
        <v>Liability</v>
      </c>
      <c r="G261" s="12" t="n">
        <v>449.01</v>
      </c>
      <c r="H261" s="12" t="n">
        <v>0</v>
      </c>
      <c r="I261" s="10" t="s">
        <v>104</v>
      </c>
      <c r="J261" s="10" t="s">
        <v>1636</v>
      </c>
      <c r="K261" s="10" t="s">
        <v>1659</v>
      </c>
    </row>
    <row r="262" customFormat="false" ht="15" hidden="false" customHeight="false" outlineLevel="0" collapsed="false">
      <c r="A262" s="10" t="s">
        <v>1910</v>
      </c>
      <c r="B262" s="10" t="n">
        <v>1123</v>
      </c>
      <c r="C262" s="8" t="n">
        <v>45707</v>
      </c>
      <c r="D262" s="8" t="n">
        <v>45704</v>
      </c>
      <c r="E262" s="10" t="n">
        <v>1000</v>
      </c>
      <c r="F262" s="0" t="str">
        <f aca="false">INDEX(COA!$C$5:$C$19,MATCH(E262,COA!$A$5:$A$19,0))</f>
        <v>Asset</v>
      </c>
      <c r="G262" s="12" t="n">
        <v>0</v>
      </c>
      <c r="H262" s="12" t="n">
        <v>449.01</v>
      </c>
      <c r="I262" s="10" t="s">
        <v>104</v>
      </c>
      <c r="J262" s="10" t="s">
        <v>1636</v>
      </c>
      <c r="K262" s="10" t="s">
        <v>1659</v>
      </c>
    </row>
    <row r="263" customFormat="false" ht="15" hidden="false" customHeight="false" outlineLevel="0" collapsed="false">
      <c r="A263" s="10" t="s">
        <v>1911</v>
      </c>
      <c r="B263" s="10" t="n">
        <v>1124</v>
      </c>
      <c r="C263" s="8" t="n">
        <v>45707</v>
      </c>
      <c r="D263" s="8" t="n">
        <v>45707</v>
      </c>
      <c r="E263" s="10" t="n">
        <v>6900</v>
      </c>
      <c r="F263" s="0" t="str">
        <f aca="false">INDEX(COA!$C$5:$C$19,MATCH(E263,COA!$A$5:$A$19,0))</f>
        <v>Expense</v>
      </c>
      <c r="G263" s="12" t="n">
        <v>765.54</v>
      </c>
      <c r="H263" s="12" t="n">
        <v>0</v>
      </c>
      <c r="I263" s="10" t="s">
        <v>101</v>
      </c>
      <c r="J263" s="10" t="s">
        <v>1648</v>
      </c>
      <c r="K263" s="10" t="s">
        <v>1912</v>
      </c>
    </row>
    <row r="264" customFormat="false" ht="15" hidden="false" customHeight="false" outlineLevel="0" collapsed="false">
      <c r="A264" s="10" t="s">
        <v>1913</v>
      </c>
      <c r="B264" s="10" t="n">
        <v>1124</v>
      </c>
      <c r="C264" s="8" t="n">
        <v>45707</v>
      </c>
      <c r="D264" s="8" t="n">
        <v>45707</v>
      </c>
      <c r="E264" s="10" t="n">
        <v>2100</v>
      </c>
      <c r="F264" s="0" t="str">
        <f aca="false">INDEX(COA!$C$5:$C$19,MATCH(E264,COA!$A$5:$A$19,0))</f>
        <v>Liability</v>
      </c>
      <c r="G264" s="12" t="n">
        <v>0</v>
      </c>
      <c r="H264" s="12" t="n">
        <v>865.54</v>
      </c>
      <c r="I264" s="10" t="s">
        <v>101</v>
      </c>
      <c r="J264" s="10" t="s">
        <v>1648</v>
      </c>
      <c r="K264" s="10" t="s">
        <v>1912</v>
      </c>
    </row>
    <row r="265" customFormat="false" ht="15" hidden="false" customHeight="false" outlineLevel="0" collapsed="false">
      <c r="A265" s="10" t="s">
        <v>1914</v>
      </c>
      <c r="B265" s="10" t="n">
        <v>1125</v>
      </c>
      <c r="C265" s="8" t="n">
        <v>45707</v>
      </c>
      <c r="D265" s="8" t="n">
        <v>45703</v>
      </c>
      <c r="E265" s="10" t="n">
        <v>1100</v>
      </c>
      <c r="F265" s="0" t="str">
        <f aca="false">INDEX(COA!$C$5:$C$19,MATCH(E265,COA!$A$5:$A$19,0))</f>
        <v>Asset</v>
      </c>
      <c r="G265" s="12" t="n">
        <v>1637.22</v>
      </c>
      <c r="H265" s="12" t="n">
        <v>0</v>
      </c>
      <c r="I265" s="10" t="s">
        <v>103</v>
      </c>
      <c r="J265" s="10" t="s">
        <v>1636</v>
      </c>
      <c r="K265" s="10" t="s">
        <v>1640</v>
      </c>
    </row>
    <row r="266" customFormat="false" ht="15" hidden="false" customHeight="false" outlineLevel="0" collapsed="false">
      <c r="A266" s="10" t="s">
        <v>1915</v>
      </c>
      <c r="B266" s="10" t="n">
        <v>1125</v>
      </c>
      <c r="C266" s="8" t="n">
        <v>45707</v>
      </c>
      <c r="D266" s="8" t="n">
        <v>45703</v>
      </c>
      <c r="E266" s="10" t="n">
        <v>4000</v>
      </c>
      <c r="F266" s="0" t="str">
        <f aca="false">INDEX(COA!$C$5:$C$19,MATCH(E266,COA!$A$5:$A$19,0))</f>
        <v>Revenue</v>
      </c>
      <c r="G266" s="12" t="n">
        <v>0</v>
      </c>
      <c r="H266" s="12" t="n">
        <v>1637.22</v>
      </c>
      <c r="I266" s="10" t="s">
        <v>103</v>
      </c>
      <c r="J266" s="10" t="s">
        <v>1636</v>
      </c>
      <c r="K266" s="10" t="s">
        <v>1640</v>
      </c>
    </row>
    <row r="267" customFormat="false" ht="15" hidden="false" customHeight="false" outlineLevel="0" collapsed="false">
      <c r="A267" s="10" t="s">
        <v>1916</v>
      </c>
      <c r="B267" s="10" t="n">
        <v>1126</v>
      </c>
      <c r="C267" s="8" t="n">
        <v>45708</v>
      </c>
      <c r="D267" s="8" t="n">
        <v>45705</v>
      </c>
      <c r="E267" s="10" t="n">
        <v>1000</v>
      </c>
      <c r="F267" s="0" t="str">
        <f aca="false">INDEX(COA!$C$5:$C$19,MATCH(E267,COA!$A$5:$A$19,0))</f>
        <v>Asset</v>
      </c>
      <c r="G267" s="12" t="n">
        <v>846.22</v>
      </c>
      <c r="H267" s="12" t="n">
        <v>0</v>
      </c>
      <c r="I267" s="10" t="s">
        <v>103</v>
      </c>
      <c r="J267" s="10" t="s">
        <v>1636</v>
      </c>
      <c r="K267" s="10" t="s">
        <v>1637</v>
      </c>
    </row>
    <row r="268" customFormat="false" ht="15" hidden="false" customHeight="false" outlineLevel="0" collapsed="false">
      <c r="A268" s="10" t="s">
        <v>1917</v>
      </c>
      <c r="B268" s="10" t="n">
        <v>1126</v>
      </c>
      <c r="C268" s="8" t="n">
        <v>45708</v>
      </c>
      <c r="D268" s="8" t="n">
        <v>45705</v>
      </c>
      <c r="E268" s="10" t="n">
        <v>1100</v>
      </c>
      <c r="F268" s="0" t="str">
        <f aca="false">INDEX(COA!$C$5:$C$19,MATCH(E268,COA!$A$5:$A$19,0))</f>
        <v>Asset</v>
      </c>
      <c r="G268" s="12" t="n">
        <v>0</v>
      </c>
      <c r="H268" s="12" t="n">
        <v>846.22</v>
      </c>
      <c r="I268" s="10" t="s">
        <v>103</v>
      </c>
      <c r="J268" s="10" t="s">
        <v>1636</v>
      </c>
      <c r="K268" s="10" t="s">
        <v>1637</v>
      </c>
    </row>
    <row r="269" customFormat="false" ht="15" hidden="false" customHeight="false" outlineLevel="0" collapsed="false">
      <c r="A269" s="10" t="s">
        <v>1918</v>
      </c>
      <c r="B269" s="10" t="n">
        <v>1127</v>
      </c>
      <c r="C269" s="8" t="n">
        <v>45708</v>
      </c>
      <c r="D269" s="8" t="n">
        <v>45708</v>
      </c>
      <c r="E269" s="10" t="n">
        <v>6900</v>
      </c>
      <c r="F269" s="0" t="str">
        <f aca="false">INDEX(COA!$C$5:$C$19,MATCH(E269,COA!$A$5:$A$19,0))</f>
        <v>Expense</v>
      </c>
      <c r="G269" s="12" t="n">
        <v>50670.9</v>
      </c>
      <c r="H269" s="12" t="n">
        <v>0</v>
      </c>
      <c r="I269" s="10" t="s">
        <v>1919</v>
      </c>
      <c r="J269" s="10" t="s">
        <v>1648</v>
      </c>
      <c r="K269" s="10" t="s">
        <v>1920</v>
      </c>
    </row>
    <row r="270" customFormat="false" ht="15" hidden="false" customHeight="false" outlineLevel="0" collapsed="false">
      <c r="A270" s="10" t="s">
        <v>1921</v>
      </c>
      <c r="B270" s="10" t="n">
        <v>1127</v>
      </c>
      <c r="C270" s="8" t="n">
        <v>45708</v>
      </c>
      <c r="D270" s="8" t="n">
        <v>45708</v>
      </c>
      <c r="E270" s="10" t="n">
        <v>2100</v>
      </c>
      <c r="F270" s="0" t="str">
        <f aca="false">INDEX(COA!$C$5:$C$19,MATCH(E270,COA!$A$5:$A$19,0))</f>
        <v>Liability</v>
      </c>
      <c r="G270" s="12" t="n">
        <v>0</v>
      </c>
      <c r="H270" s="12" t="n">
        <v>50670.9</v>
      </c>
      <c r="I270" s="10" t="s">
        <v>1919</v>
      </c>
      <c r="J270" s="10" t="s">
        <v>1648</v>
      </c>
      <c r="K270" s="10" t="s">
        <v>1920</v>
      </c>
    </row>
    <row r="271" customFormat="false" ht="15" hidden="false" customHeight="false" outlineLevel="0" collapsed="false">
      <c r="A271" s="10" t="s">
        <v>1922</v>
      </c>
      <c r="B271" s="10" t="n">
        <v>1128</v>
      </c>
      <c r="C271" s="8" t="n">
        <v>45708</v>
      </c>
      <c r="D271" s="8" t="n">
        <v>45707</v>
      </c>
      <c r="E271" s="10" t="n">
        <v>1100</v>
      </c>
      <c r="F271" s="0" t="str">
        <f aca="false">INDEX(COA!$C$5:$C$19,MATCH(E271,COA!$A$5:$A$19,0))</f>
        <v>Asset</v>
      </c>
      <c r="G271" s="12" t="n">
        <v>258.78</v>
      </c>
      <c r="H271" s="12" t="n">
        <v>0</v>
      </c>
      <c r="I271" s="10" t="s">
        <v>103</v>
      </c>
      <c r="J271" s="10" t="s">
        <v>1636</v>
      </c>
      <c r="K271" s="10" t="s">
        <v>1640</v>
      </c>
    </row>
    <row r="272" customFormat="false" ht="15" hidden="false" customHeight="false" outlineLevel="0" collapsed="false">
      <c r="A272" s="10" t="s">
        <v>1923</v>
      </c>
      <c r="B272" s="10" t="n">
        <v>1128</v>
      </c>
      <c r="C272" s="8" t="n">
        <v>45708</v>
      </c>
      <c r="D272" s="8" t="n">
        <v>45707</v>
      </c>
      <c r="E272" s="10" t="n">
        <v>4000</v>
      </c>
      <c r="F272" s="0" t="str">
        <f aca="false">INDEX(COA!$C$5:$C$19,MATCH(E272,COA!$A$5:$A$19,0))</f>
        <v>Revenue</v>
      </c>
      <c r="G272" s="12" t="n">
        <v>0</v>
      </c>
      <c r="H272" s="12" t="n">
        <v>258.78</v>
      </c>
      <c r="I272" s="10" t="s">
        <v>103</v>
      </c>
      <c r="J272" s="10" t="s">
        <v>1636</v>
      </c>
      <c r="K272" s="10" t="s">
        <v>1640</v>
      </c>
    </row>
    <row r="273" customFormat="false" ht="15" hidden="false" customHeight="false" outlineLevel="0" collapsed="false">
      <c r="A273" s="10" t="s">
        <v>1924</v>
      </c>
      <c r="B273" s="10" t="n">
        <v>1129</v>
      </c>
      <c r="C273" s="8" t="n">
        <v>45708</v>
      </c>
      <c r="D273" s="8" t="n">
        <v>45704</v>
      </c>
      <c r="E273" s="10" t="n">
        <v>2000</v>
      </c>
      <c r="F273" s="0" t="str">
        <f aca="false">INDEX(COA!$C$5:$C$19,MATCH(E273,COA!$A$5:$A$19,0))</f>
        <v>Liability</v>
      </c>
      <c r="G273" s="12" t="n">
        <v>661.47</v>
      </c>
      <c r="H273" s="12" t="n">
        <v>0</v>
      </c>
      <c r="I273" s="10" t="s">
        <v>104</v>
      </c>
      <c r="J273" s="10" t="s">
        <v>1636</v>
      </c>
      <c r="K273" s="10" t="s">
        <v>1659</v>
      </c>
    </row>
    <row r="274" customFormat="false" ht="15" hidden="false" customHeight="false" outlineLevel="0" collapsed="false">
      <c r="A274" s="10" t="s">
        <v>1925</v>
      </c>
      <c r="B274" s="10" t="n">
        <v>1129</v>
      </c>
      <c r="C274" s="8" t="n">
        <v>45708</v>
      </c>
      <c r="D274" s="8" t="n">
        <v>45704</v>
      </c>
      <c r="E274" s="10" t="n">
        <v>1000</v>
      </c>
      <c r="F274" s="0" t="str">
        <f aca="false">INDEX(COA!$C$5:$C$19,MATCH(E274,COA!$A$5:$A$19,0))</f>
        <v>Asset</v>
      </c>
      <c r="G274" s="12" t="n">
        <v>0</v>
      </c>
      <c r="H274" s="12" t="n">
        <v>661.47</v>
      </c>
      <c r="I274" s="10" t="s">
        <v>104</v>
      </c>
      <c r="J274" s="10" t="s">
        <v>1636</v>
      </c>
      <c r="K274" s="10" t="s">
        <v>1659</v>
      </c>
    </row>
    <row r="275" customFormat="false" ht="15" hidden="false" customHeight="false" outlineLevel="0" collapsed="false">
      <c r="A275" s="10" t="s">
        <v>1926</v>
      </c>
      <c r="B275" s="10" t="n">
        <v>1130</v>
      </c>
      <c r="C275" s="8" t="n">
        <v>45708</v>
      </c>
      <c r="D275" s="8" t="n">
        <v>45705</v>
      </c>
      <c r="E275" s="10" t="n">
        <v>1100</v>
      </c>
      <c r="F275" s="0" t="str">
        <f aca="false">INDEX(COA!$C$5:$C$19,MATCH(E275,COA!$A$5:$A$19,0))</f>
        <v>Asset</v>
      </c>
      <c r="G275" s="12" t="n">
        <v>4075.03</v>
      </c>
      <c r="H275" s="12" t="n">
        <v>0</v>
      </c>
      <c r="I275" s="10" t="s">
        <v>103</v>
      </c>
      <c r="J275" s="10" t="s">
        <v>1636</v>
      </c>
      <c r="K275" s="10" t="s">
        <v>1640</v>
      </c>
    </row>
    <row r="276" customFormat="false" ht="15" hidden="false" customHeight="false" outlineLevel="0" collapsed="false">
      <c r="A276" s="10" t="s">
        <v>1927</v>
      </c>
      <c r="B276" s="10" t="n">
        <v>1130</v>
      </c>
      <c r="C276" s="8" t="n">
        <v>45708</v>
      </c>
      <c r="D276" s="8" t="n">
        <v>45705</v>
      </c>
      <c r="E276" s="10" t="n">
        <v>4000</v>
      </c>
      <c r="F276" s="0" t="str">
        <f aca="false">INDEX(COA!$C$5:$C$19,MATCH(E276,COA!$A$5:$A$19,0))</f>
        <v>Revenue</v>
      </c>
      <c r="G276" s="12" t="n">
        <v>0</v>
      </c>
      <c r="H276" s="12" t="n">
        <v>4075.03</v>
      </c>
      <c r="I276" s="10" t="s">
        <v>103</v>
      </c>
      <c r="J276" s="10" t="s">
        <v>1636</v>
      </c>
      <c r="K276" s="10" t="s">
        <v>1640</v>
      </c>
    </row>
    <row r="277" customFormat="false" ht="15" hidden="false" customHeight="false" outlineLevel="0" collapsed="false">
      <c r="A277" s="10" t="s">
        <v>1928</v>
      </c>
      <c r="B277" s="10" t="n">
        <v>1131</v>
      </c>
      <c r="C277" s="8" t="n">
        <v>45709</v>
      </c>
      <c r="D277" s="8" t="n">
        <v>45709</v>
      </c>
      <c r="E277" s="10" t="n">
        <v>1100</v>
      </c>
      <c r="F277" s="0" t="str">
        <f aca="false">INDEX(COA!$C$5:$C$19,MATCH(E277,COA!$A$5:$A$19,0))</f>
        <v>Asset</v>
      </c>
      <c r="G277" s="12" t="n">
        <v>80340.67</v>
      </c>
      <c r="H277" s="12" t="n">
        <v>0</v>
      </c>
      <c r="I277" s="10" t="s">
        <v>103</v>
      </c>
      <c r="J277" s="10" t="s">
        <v>1636</v>
      </c>
      <c r="K277" s="10" t="s">
        <v>1640</v>
      </c>
    </row>
    <row r="278" customFormat="false" ht="15" hidden="false" customHeight="false" outlineLevel="0" collapsed="false">
      <c r="A278" s="10" t="s">
        <v>1929</v>
      </c>
      <c r="B278" s="10" t="n">
        <v>1131</v>
      </c>
      <c r="C278" s="8" t="n">
        <v>45709</v>
      </c>
      <c r="D278" s="8" t="n">
        <v>45709</v>
      </c>
      <c r="E278" s="10" t="n">
        <v>4000</v>
      </c>
      <c r="F278" s="0" t="str">
        <f aca="false">INDEX(COA!$C$5:$C$19,MATCH(E278,COA!$A$5:$A$19,0))</f>
        <v>Revenue</v>
      </c>
      <c r="G278" s="12" t="n">
        <v>0</v>
      </c>
      <c r="H278" s="12" t="n">
        <v>80340.67</v>
      </c>
      <c r="I278" s="10" t="s">
        <v>103</v>
      </c>
      <c r="J278" s="10" t="s">
        <v>1636</v>
      </c>
      <c r="K278" s="10" t="s">
        <v>1640</v>
      </c>
    </row>
    <row r="279" customFormat="false" ht="15" hidden="false" customHeight="false" outlineLevel="0" collapsed="false">
      <c r="A279" s="10" t="s">
        <v>1930</v>
      </c>
      <c r="B279" s="10" t="n">
        <v>1132</v>
      </c>
      <c r="C279" s="8" t="n">
        <v>45709</v>
      </c>
      <c r="D279" s="8" t="n">
        <v>45708</v>
      </c>
      <c r="E279" s="10" t="n">
        <v>1200</v>
      </c>
      <c r="F279" s="0" t="str">
        <f aca="false">INDEX(COA!$C$5:$C$19,MATCH(E279,COA!$A$5:$A$19,0))</f>
        <v>Asset</v>
      </c>
      <c r="G279" s="12" t="n">
        <v>4733.03</v>
      </c>
      <c r="H279" s="12" t="n">
        <v>0</v>
      </c>
      <c r="I279" s="10" t="s">
        <v>102</v>
      </c>
      <c r="J279" s="10" t="s">
        <v>1636</v>
      </c>
      <c r="K279" s="10" t="s">
        <v>1655</v>
      </c>
    </row>
    <row r="280" customFormat="false" ht="15" hidden="false" customHeight="false" outlineLevel="0" collapsed="false">
      <c r="A280" s="10" t="s">
        <v>1931</v>
      </c>
      <c r="B280" s="10" t="n">
        <v>1132</v>
      </c>
      <c r="C280" s="8" t="n">
        <v>45709</v>
      </c>
      <c r="D280" s="8" t="n">
        <v>45708</v>
      </c>
      <c r="E280" s="10" t="n">
        <v>1200</v>
      </c>
      <c r="F280" s="0" t="str">
        <f aca="false">INDEX(COA!$C$5:$C$19,MATCH(E280,COA!$A$5:$A$19,0))</f>
        <v>Asset</v>
      </c>
      <c r="G280" s="12" t="n">
        <v>2028.44</v>
      </c>
      <c r="H280" s="12" t="n">
        <v>0</v>
      </c>
      <c r="I280" s="10" t="s">
        <v>102</v>
      </c>
      <c r="J280" s="10" t="s">
        <v>1636</v>
      </c>
      <c r="K280" s="10" t="s">
        <v>1655</v>
      </c>
    </row>
    <row r="281" customFormat="false" ht="15" hidden="false" customHeight="false" outlineLevel="0" collapsed="false">
      <c r="A281" s="10" t="s">
        <v>1932</v>
      </c>
      <c r="B281" s="10" t="n">
        <v>1132</v>
      </c>
      <c r="C281" s="8" t="n">
        <v>45709</v>
      </c>
      <c r="D281" s="8" t="n">
        <v>45708</v>
      </c>
      <c r="E281" s="10" t="n">
        <v>2000</v>
      </c>
      <c r="F281" s="0" t="str">
        <f aca="false">INDEX(COA!$C$5:$C$19,MATCH(E281,COA!$A$5:$A$19,0))</f>
        <v>Liability</v>
      </c>
      <c r="G281" s="12" t="n">
        <v>0</v>
      </c>
      <c r="H281" s="12" t="n">
        <v>6761.47</v>
      </c>
      <c r="I281" s="10" t="s">
        <v>102</v>
      </c>
      <c r="J281" s="10" t="s">
        <v>1636</v>
      </c>
      <c r="K281" s="10" t="s">
        <v>1655</v>
      </c>
    </row>
    <row r="282" customFormat="false" ht="15" hidden="false" customHeight="false" outlineLevel="0" collapsed="false">
      <c r="A282" s="10" t="s">
        <v>1933</v>
      </c>
      <c r="B282" s="10" t="n">
        <v>1133</v>
      </c>
      <c r="C282" s="8" t="n">
        <v>45709</v>
      </c>
      <c r="D282" s="8" t="n">
        <v>45707</v>
      </c>
      <c r="E282" s="10" t="n">
        <v>1200</v>
      </c>
      <c r="F282" s="0" t="str">
        <f aca="false">INDEX(COA!$C$5:$C$19,MATCH(E282,COA!$A$5:$A$19,0))</f>
        <v>Asset</v>
      </c>
      <c r="G282" s="12" t="n">
        <v>409.51</v>
      </c>
      <c r="H282" s="12" t="n">
        <v>0</v>
      </c>
      <c r="I282" s="10" t="s">
        <v>102</v>
      </c>
      <c r="J282" s="10" t="s">
        <v>1636</v>
      </c>
      <c r="K282" s="10" t="s">
        <v>1655</v>
      </c>
    </row>
    <row r="283" customFormat="false" ht="15" hidden="false" customHeight="false" outlineLevel="0" collapsed="false">
      <c r="A283" s="10" t="s">
        <v>1934</v>
      </c>
      <c r="B283" s="10" t="n">
        <v>1133</v>
      </c>
      <c r="C283" s="8" t="n">
        <v>45709</v>
      </c>
      <c r="D283" s="8" t="n">
        <v>45707</v>
      </c>
      <c r="E283" s="10" t="n">
        <v>2000</v>
      </c>
      <c r="F283" s="0" t="str">
        <f aca="false">INDEX(COA!$C$5:$C$19,MATCH(E283,COA!$A$5:$A$19,0))</f>
        <v>Liability</v>
      </c>
      <c r="G283" s="12" t="n">
        <v>0</v>
      </c>
      <c r="H283" s="12" t="n">
        <v>409.51</v>
      </c>
      <c r="I283" s="10" t="s">
        <v>102</v>
      </c>
      <c r="J283" s="10" t="s">
        <v>1636</v>
      </c>
      <c r="K283" s="10" t="s">
        <v>1655</v>
      </c>
    </row>
    <row r="284" customFormat="false" ht="15" hidden="false" customHeight="false" outlineLevel="0" collapsed="false">
      <c r="A284" s="10" t="s">
        <v>1935</v>
      </c>
      <c r="B284" s="10" t="n">
        <v>1134</v>
      </c>
      <c r="C284" s="8" t="n">
        <v>45712</v>
      </c>
      <c r="D284" s="8" t="n">
        <v>45710</v>
      </c>
      <c r="E284" s="10" t="n">
        <v>1000</v>
      </c>
      <c r="F284" s="0" t="str">
        <f aca="false">INDEX(COA!$C$5:$C$19,MATCH(E284,COA!$A$5:$A$19,0))</f>
        <v>Asset</v>
      </c>
      <c r="G284" s="12" t="n">
        <v>13441.82</v>
      </c>
      <c r="H284" s="12" t="n">
        <v>0</v>
      </c>
      <c r="I284" s="10" t="s">
        <v>103</v>
      </c>
      <c r="J284" s="10" t="s">
        <v>1636</v>
      </c>
      <c r="K284" s="10" t="s">
        <v>1637</v>
      </c>
    </row>
    <row r="285" customFormat="false" ht="15" hidden="false" customHeight="false" outlineLevel="0" collapsed="false">
      <c r="A285" s="10" t="s">
        <v>1936</v>
      </c>
      <c r="B285" s="10" t="n">
        <v>1134</v>
      </c>
      <c r="C285" s="8" t="n">
        <v>45712</v>
      </c>
      <c r="D285" s="8" t="n">
        <v>45710</v>
      </c>
      <c r="E285" s="10" t="n">
        <v>1100</v>
      </c>
      <c r="F285" s="0" t="str">
        <f aca="false">INDEX(COA!$C$5:$C$19,MATCH(E285,COA!$A$5:$A$19,0))</f>
        <v>Asset</v>
      </c>
      <c r="G285" s="12" t="n">
        <v>0</v>
      </c>
      <c r="H285" s="12" t="n">
        <v>13441.82</v>
      </c>
      <c r="I285" s="10" t="s">
        <v>103</v>
      </c>
      <c r="J285" s="10" t="s">
        <v>1636</v>
      </c>
      <c r="K285" s="10" t="s">
        <v>1637</v>
      </c>
    </row>
    <row r="286" customFormat="false" ht="15" hidden="false" customHeight="false" outlineLevel="0" collapsed="false">
      <c r="A286" s="10" t="s">
        <v>1937</v>
      </c>
      <c r="B286" s="10" t="n">
        <v>1135</v>
      </c>
      <c r="C286" s="8" t="n">
        <v>45713</v>
      </c>
      <c r="D286" s="8" t="n">
        <v>45710</v>
      </c>
      <c r="E286" s="10" t="n">
        <v>1200</v>
      </c>
      <c r="F286" s="0" t="str">
        <f aca="false">INDEX(COA!$C$5:$C$19,MATCH(E286,COA!$A$5:$A$19,0))</f>
        <v>Asset</v>
      </c>
      <c r="G286" s="12" t="n">
        <v>7180.07</v>
      </c>
      <c r="H286" s="12" t="n">
        <v>0</v>
      </c>
      <c r="I286" s="10" t="s">
        <v>102</v>
      </c>
      <c r="J286" s="10" t="s">
        <v>1636</v>
      </c>
      <c r="K286" s="10" t="s">
        <v>1655</v>
      </c>
    </row>
    <row r="287" customFormat="false" ht="15" hidden="false" customHeight="false" outlineLevel="0" collapsed="false">
      <c r="A287" s="10" t="s">
        <v>1938</v>
      </c>
      <c r="B287" s="10" t="n">
        <v>1135</v>
      </c>
      <c r="C287" s="8" t="n">
        <v>45713</v>
      </c>
      <c r="D287" s="8" t="n">
        <v>45710</v>
      </c>
      <c r="E287" s="10" t="n">
        <v>1200</v>
      </c>
      <c r="F287" s="0" t="str">
        <f aca="false">INDEX(COA!$C$5:$C$19,MATCH(E287,COA!$A$5:$A$19,0))</f>
        <v>Asset</v>
      </c>
      <c r="G287" s="12" t="n">
        <v>3077.18</v>
      </c>
      <c r="H287" s="12" t="n">
        <v>0</v>
      </c>
      <c r="I287" s="10" t="s">
        <v>102</v>
      </c>
      <c r="J287" s="10" t="s">
        <v>1636</v>
      </c>
      <c r="K287" s="10" t="s">
        <v>1655</v>
      </c>
    </row>
    <row r="288" customFormat="false" ht="15" hidden="false" customHeight="false" outlineLevel="0" collapsed="false">
      <c r="A288" s="10" t="s">
        <v>1939</v>
      </c>
      <c r="B288" s="10" t="n">
        <v>1135</v>
      </c>
      <c r="C288" s="8" t="n">
        <v>45713</v>
      </c>
      <c r="D288" s="8" t="n">
        <v>45710</v>
      </c>
      <c r="E288" s="10" t="n">
        <v>2000</v>
      </c>
      <c r="F288" s="0" t="str">
        <f aca="false">INDEX(COA!$C$5:$C$19,MATCH(E288,COA!$A$5:$A$19,0))</f>
        <v>Liability</v>
      </c>
      <c r="G288" s="12" t="n">
        <v>0</v>
      </c>
      <c r="H288" s="12" t="n">
        <v>10257.25</v>
      </c>
      <c r="I288" s="10" t="s">
        <v>102</v>
      </c>
      <c r="J288" s="10" t="s">
        <v>1636</v>
      </c>
      <c r="K288" s="10" t="s">
        <v>1655</v>
      </c>
    </row>
    <row r="289" customFormat="false" ht="15" hidden="false" customHeight="false" outlineLevel="0" collapsed="false">
      <c r="A289" s="10" t="s">
        <v>1940</v>
      </c>
      <c r="B289" s="10" t="n">
        <v>1136</v>
      </c>
      <c r="C289" s="8" t="n">
        <v>45713</v>
      </c>
      <c r="D289" s="8" t="n">
        <v>45713</v>
      </c>
      <c r="E289" s="10" t="n">
        <v>5000</v>
      </c>
      <c r="F289" s="0" t="str">
        <f aca="false">INDEX(COA!$C$5:$C$19,MATCH(E289,COA!$A$5:$A$19,0))</f>
        <v>Expense</v>
      </c>
      <c r="G289" s="12" t="n">
        <v>20615.3</v>
      </c>
      <c r="H289" s="12" t="n">
        <v>0</v>
      </c>
      <c r="I289" s="10" t="s">
        <v>103</v>
      </c>
      <c r="J289" s="10" t="s">
        <v>1636</v>
      </c>
      <c r="K289" s="10" t="s">
        <v>1670</v>
      </c>
    </row>
    <row r="290" customFormat="false" ht="15" hidden="false" customHeight="false" outlineLevel="0" collapsed="false">
      <c r="A290" s="10" t="s">
        <v>1941</v>
      </c>
      <c r="B290" s="10" t="n">
        <v>1136</v>
      </c>
      <c r="C290" s="8" t="n">
        <v>45713</v>
      </c>
      <c r="D290" s="8" t="n">
        <v>45713</v>
      </c>
      <c r="E290" s="10" t="n">
        <v>1200</v>
      </c>
      <c r="F290" s="0" t="str">
        <f aca="false">INDEX(COA!$C$5:$C$19,MATCH(E290,COA!$A$5:$A$19,0))</f>
        <v>Asset</v>
      </c>
      <c r="G290" s="12" t="n">
        <v>0</v>
      </c>
      <c r="H290" s="12" t="n">
        <v>20615.3</v>
      </c>
      <c r="I290" s="10" t="s">
        <v>103</v>
      </c>
      <c r="J290" s="10" t="s">
        <v>1636</v>
      </c>
      <c r="K290" s="10" t="s">
        <v>1670</v>
      </c>
    </row>
    <row r="291" customFormat="false" ht="15" hidden="false" customHeight="false" outlineLevel="0" collapsed="false">
      <c r="A291" s="10" t="s">
        <v>1942</v>
      </c>
      <c r="B291" s="10" t="n">
        <v>1137</v>
      </c>
      <c r="C291" s="8" t="n">
        <v>45713</v>
      </c>
      <c r="D291" s="8" t="n">
        <v>45713</v>
      </c>
      <c r="E291" s="10" t="n">
        <v>6000</v>
      </c>
      <c r="F291" s="0" t="str">
        <f aca="false">INDEX(COA!$C$5:$C$19,MATCH(E291,COA!$A$5:$A$19,0))</f>
        <v>Expense</v>
      </c>
      <c r="G291" s="12" t="n">
        <v>261000</v>
      </c>
      <c r="H291" s="12" t="n">
        <v>0</v>
      </c>
      <c r="I291" s="10" t="s">
        <v>104</v>
      </c>
      <c r="J291" s="10" t="s">
        <v>1636</v>
      </c>
      <c r="K291" s="10" t="s">
        <v>1776</v>
      </c>
    </row>
    <row r="292" customFormat="false" ht="15" hidden="false" customHeight="false" outlineLevel="0" collapsed="false">
      <c r="A292" s="10" t="s">
        <v>1943</v>
      </c>
      <c r="B292" s="10" t="n">
        <v>1137</v>
      </c>
      <c r="C292" s="8" t="n">
        <v>45713</v>
      </c>
      <c r="D292" s="8" t="n">
        <v>45713</v>
      </c>
      <c r="E292" s="10" t="n">
        <v>1000</v>
      </c>
      <c r="F292" s="0" t="str">
        <f aca="false">INDEX(COA!$C$5:$C$19,MATCH(E292,COA!$A$5:$A$19,0))</f>
        <v>Asset</v>
      </c>
      <c r="G292" s="12" t="n">
        <v>0</v>
      </c>
      <c r="H292" s="12" t="n">
        <v>261000</v>
      </c>
      <c r="I292" s="10" t="s">
        <v>104</v>
      </c>
      <c r="J292" s="10" t="s">
        <v>1636</v>
      </c>
      <c r="K292" s="10" t="s">
        <v>1776</v>
      </c>
    </row>
    <row r="293" customFormat="false" ht="15" hidden="false" customHeight="false" outlineLevel="0" collapsed="false">
      <c r="A293" s="10" t="s">
        <v>1944</v>
      </c>
      <c r="B293" s="10" t="n">
        <v>1138</v>
      </c>
      <c r="C293" s="8" t="n">
        <v>45713</v>
      </c>
      <c r="D293" s="8" t="n">
        <v>45710</v>
      </c>
      <c r="E293" s="10" t="n">
        <v>5000</v>
      </c>
      <c r="F293" s="0" t="str">
        <f aca="false">INDEX(COA!$C$5:$C$19,MATCH(E293,COA!$A$5:$A$19,0))</f>
        <v>Expense</v>
      </c>
      <c r="G293" s="12" t="n">
        <v>497.15</v>
      </c>
      <c r="H293" s="12" t="n">
        <v>0</v>
      </c>
      <c r="I293" s="10" t="s">
        <v>103</v>
      </c>
      <c r="J293" s="10" t="s">
        <v>1636</v>
      </c>
      <c r="K293" s="10" t="s">
        <v>1670</v>
      </c>
    </row>
    <row r="294" customFormat="false" ht="15" hidden="false" customHeight="false" outlineLevel="0" collapsed="false">
      <c r="A294" s="10" t="s">
        <v>1945</v>
      </c>
      <c r="B294" s="10" t="n">
        <v>1138</v>
      </c>
      <c r="C294" s="8" t="n">
        <v>45713</v>
      </c>
      <c r="D294" s="8" t="n">
        <v>45710</v>
      </c>
      <c r="E294" s="10" t="n">
        <v>1200</v>
      </c>
      <c r="F294" s="0" t="str">
        <f aca="false">INDEX(COA!$C$5:$C$19,MATCH(E294,COA!$A$5:$A$19,0))</f>
        <v>Asset</v>
      </c>
      <c r="G294" s="12" t="n">
        <v>0</v>
      </c>
      <c r="H294" s="12" t="n">
        <v>497.15</v>
      </c>
      <c r="I294" s="10" t="s">
        <v>103</v>
      </c>
      <c r="J294" s="10" t="s">
        <v>1636</v>
      </c>
      <c r="K294" s="10" t="s">
        <v>1670</v>
      </c>
    </row>
    <row r="295" customFormat="false" ht="15" hidden="false" customHeight="false" outlineLevel="0" collapsed="false">
      <c r="A295" s="10" t="s">
        <v>1946</v>
      </c>
      <c r="B295" s="10" t="n">
        <v>1139</v>
      </c>
      <c r="C295" s="8" t="n">
        <v>45714</v>
      </c>
      <c r="D295" s="8" t="n">
        <v>45714</v>
      </c>
      <c r="E295" s="10" t="n">
        <v>5000</v>
      </c>
      <c r="F295" s="0" t="str">
        <f aca="false">INDEX(COA!$C$5:$C$19,MATCH(E295,COA!$A$5:$A$19,0))</f>
        <v>Expense</v>
      </c>
      <c r="G295" s="12" t="n">
        <v>93527.57</v>
      </c>
      <c r="H295" s="12" t="n">
        <v>0</v>
      </c>
      <c r="I295" s="10" t="s">
        <v>103</v>
      </c>
      <c r="J295" s="10" t="s">
        <v>1636</v>
      </c>
      <c r="K295" s="10" t="s">
        <v>1670</v>
      </c>
    </row>
    <row r="296" customFormat="false" ht="15" hidden="false" customHeight="false" outlineLevel="0" collapsed="false">
      <c r="A296" s="10" t="s">
        <v>1947</v>
      </c>
      <c r="B296" s="10" t="n">
        <v>1139</v>
      </c>
      <c r="C296" s="8" t="n">
        <v>45714</v>
      </c>
      <c r="D296" s="8" t="n">
        <v>45714</v>
      </c>
      <c r="E296" s="10" t="n">
        <v>1200</v>
      </c>
      <c r="F296" s="0" t="str">
        <f aca="false">INDEX(COA!$C$5:$C$19,MATCH(E296,COA!$A$5:$A$19,0))</f>
        <v>Asset</v>
      </c>
      <c r="G296" s="12" t="n">
        <v>0</v>
      </c>
      <c r="H296" s="12" t="n">
        <v>93527.57</v>
      </c>
      <c r="I296" s="10" t="s">
        <v>103</v>
      </c>
      <c r="J296" s="10" t="s">
        <v>1636</v>
      </c>
      <c r="K296" s="10" t="s">
        <v>1670</v>
      </c>
    </row>
    <row r="297" customFormat="false" ht="15" hidden="false" customHeight="false" outlineLevel="0" collapsed="false">
      <c r="A297" s="10" t="s">
        <v>1948</v>
      </c>
      <c r="B297" s="10" t="n">
        <v>1140</v>
      </c>
      <c r="C297" s="8" t="n">
        <v>45714</v>
      </c>
      <c r="D297" s="8" t="n">
        <v>45714</v>
      </c>
      <c r="E297" s="10" t="n">
        <v>5000</v>
      </c>
      <c r="F297" s="0" t="str">
        <f aca="false">INDEX(COA!$C$5:$C$19,MATCH(E297,COA!$A$5:$A$19,0))</f>
        <v>Expense</v>
      </c>
      <c r="G297" s="12" t="n">
        <v>7038.49</v>
      </c>
      <c r="H297" s="12" t="n">
        <v>0</v>
      </c>
      <c r="I297" s="10" t="s">
        <v>103</v>
      </c>
      <c r="J297" s="10" t="s">
        <v>1636</v>
      </c>
      <c r="K297" s="10" t="s">
        <v>1670</v>
      </c>
    </row>
    <row r="298" customFormat="false" ht="15" hidden="false" customHeight="false" outlineLevel="0" collapsed="false">
      <c r="A298" s="10" t="s">
        <v>1949</v>
      </c>
      <c r="B298" s="10" t="n">
        <v>1140</v>
      </c>
      <c r="C298" s="8" t="n">
        <v>45714</v>
      </c>
      <c r="D298" s="8" t="n">
        <v>45714</v>
      </c>
      <c r="E298" s="10" t="n">
        <v>1200</v>
      </c>
      <c r="F298" s="0" t="str">
        <f aca="false">INDEX(COA!$C$5:$C$19,MATCH(E298,COA!$A$5:$A$19,0))</f>
        <v>Asset</v>
      </c>
      <c r="G298" s="12" t="n">
        <v>0</v>
      </c>
      <c r="H298" s="12" t="n">
        <v>7038.49</v>
      </c>
      <c r="I298" s="10" t="s">
        <v>103</v>
      </c>
      <c r="J298" s="10" t="s">
        <v>1636</v>
      </c>
      <c r="K298" s="10" t="s">
        <v>1670</v>
      </c>
    </row>
    <row r="299" customFormat="false" ht="15" hidden="false" customHeight="false" outlineLevel="0" collapsed="false">
      <c r="A299" s="10" t="s">
        <v>1950</v>
      </c>
      <c r="B299" s="10" t="n">
        <v>1141</v>
      </c>
      <c r="C299" s="8" t="n">
        <v>45715</v>
      </c>
      <c r="D299" s="8" t="n">
        <v>45714</v>
      </c>
      <c r="E299" s="10" t="n">
        <v>2100</v>
      </c>
      <c r="F299" s="0" t="str">
        <f aca="false">INDEX(COA!$C$5:$C$19,MATCH(E299,COA!$A$5:$A$19,0))</f>
        <v>Liability</v>
      </c>
      <c r="G299" s="12" t="n">
        <v>289.35</v>
      </c>
      <c r="H299" s="12" t="n">
        <v>0</v>
      </c>
      <c r="I299" s="10" t="s">
        <v>97</v>
      </c>
      <c r="J299" s="10" t="s">
        <v>1648</v>
      </c>
      <c r="K299" s="10" t="s">
        <v>1677</v>
      </c>
    </row>
    <row r="300" customFormat="false" ht="15" hidden="false" customHeight="false" outlineLevel="0" collapsed="false">
      <c r="A300" s="10" t="s">
        <v>1951</v>
      </c>
      <c r="B300" s="10" t="n">
        <v>1141</v>
      </c>
      <c r="C300" s="8" t="n">
        <v>45715</v>
      </c>
      <c r="D300" s="8" t="n">
        <v>45714</v>
      </c>
      <c r="E300" s="10" t="n">
        <v>6900</v>
      </c>
      <c r="F300" s="0" t="str">
        <f aca="false">INDEX(COA!$C$5:$C$19,MATCH(E300,COA!$A$5:$A$19,0))</f>
        <v>Expense</v>
      </c>
      <c r="G300" s="12" t="n">
        <v>0</v>
      </c>
      <c r="H300" s="12" t="n">
        <v>289.35</v>
      </c>
      <c r="I300" s="10" t="s">
        <v>97</v>
      </c>
      <c r="J300" s="10" t="s">
        <v>1648</v>
      </c>
      <c r="K300" s="10" t="s">
        <v>1677</v>
      </c>
    </row>
    <row r="301" customFormat="false" ht="15" hidden="false" customHeight="false" outlineLevel="0" collapsed="false">
      <c r="A301" s="10" t="s">
        <v>1952</v>
      </c>
      <c r="B301" s="10" t="n">
        <v>1142</v>
      </c>
      <c r="C301" s="8" t="n">
        <v>45716</v>
      </c>
      <c r="D301" s="8" t="n">
        <v>45713</v>
      </c>
      <c r="E301" s="10" t="n">
        <v>2000</v>
      </c>
      <c r="F301" s="0" t="str">
        <f aca="false">INDEX(COA!$C$5:$C$19,MATCH(E301,COA!$A$5:$A$19,0))</f>
        <v>Liability</v>
      </c>
      <c r="G301" s="12" t="n">
        <v>231.8</v>
      </c>
      <c r="H301" s="12" t="n">
        <v>0</v>
      </c>
      <c r="I301" s="10" t="s">
        <v>104</v>
      </c>
      <c r="J301" s="10" t="s">
        <v>1636</v>
      </c>
      <c r="K301" s="10" t="s">
        <v>1659</v>
      </c>
    </row>
    <row r="302" customFormat="false" ht="15" hidden="false" customHeight="false" outlineLevel="0" collapsed="false">
      <c r="A302" s="10" t="s">
        <v>1953</v>
      </c>
      <c r="B302" s="10" t="n">
        <v>1142</v>
      </c>
      <c r="C302" s="8" t="n">
        <v>45716</v>
      </c>
      <c r="D302" s="8" t="n">
        <v>45713</v>
      </c>
      <c r="E302" s="10" t="n">
        <v>1000</v>
      </c>
      <c r="F302" s="0" t="str">
        <f aca="false">INDEX(COA!$C$5:$C$19,MATCH(E302,COA!$A$5:$A$19,0))</f>
        <v>Asset</v>
      </c>
      <c r="G302" s="12" t="n">
        <v>0</v>
      </c>
      <c r="H302" s="12" t="n">
        <v>231.8</v>
      </c>
      <c r="I302" s="10" t="s">
        <v>104</v>
      </c>
      <c r="J302" s="10" t="s">
        <v>1636</v>
      </c>
      <c r="K302" s="10" t="s">
        <v>1659</v>
      </c>
    </row>
    <row r="303" customFormat="false" ht="15" hidden="false" customHeight="false" outlineLevel="0" collapsed="false">
      <c r="A303" s="10" t="s">
        <v>1954</v>
      </c>
      <c r="B303" s="10" t="n">
        <v>1143</v>
      </c>
      <c r="C303" s="8" t="n">
        <v>45717</v>
      </c>
      <c r="D303" s="8" t="n">
        <v>45714</v>
      </c>
      <c r="E303" s="10" t="n">
        <v>5000</v>
      </c>
      <c r="F303" s="0" t="str">
        <f aca="false">INDEX(COA!$C$5:$C$19,MATCH(E303,COA!$A$5:$A$19,0))</f>
        <v>Expense</v>
      </c>
      <c r="G303" s="12" t="n">
        <v>182.24</v>
      </c>
      <c r="H303" s="12" t="n">
        <v>0</v>
      </c>
      <c r="I303" s="10" t="s">
        <v>103</v>
      </c>
      <c r="J303" s="10" t="s">
        <v>1636</v>
      </c>
      <c r="K303" s="10" t="s">
        <v>1670</v>
      </c>
    </row>
    <row r="304" customFormat="false" ht="15" hidden="false" customHeight="false" outlineLevel="0" collapsed="false">
      <c r="A304" s="10" t="s">
        <v>1955</v>
      </c>
      <c r="B304" s="10" t="n">
        <v>1143</v>
      </c>
      <c r="C304" s="8" t="n">
        <v>45717</v>
      </c>
      <c r="D304" s="8" t="n">
        <v>45714</v>
      </c>
      <c r="E304" s="10" t="n">
        <v>5000</v>
      </c>
      <c r="F304" s="0" t="str">
        <f aca="false">INDEX(COA!$C$5:$C$19,MATCH(E304,COA!$A$5:$A$19,0))</f>
        <v>Expense</v>
      </c>
      <c r="G304" s="12" t="n">
        <v>78.1</v>
      </c>
      <c r="H304" s="12" t="n">
        <v>0</v>
      </c>
      <c r="I304" s="10" t="s">
        <v>103</v>
      </c>
      <c r="J304" s="10" t="s">
        <v>1636</v>
      </c>
      <c r="K304" s="10" t="s">
        <v>1670</v>
      </c>
    </row>
    <row r="305" customFormat="false" ht="15" hidden="false" customHeight="false" outlineLevel="0" collapsed="false">
      <c r="A305" s="10" t="s">
        <v>1956</v>
      </c>
      <c r="B305" s="10" t="n">
        <v>1143</v>
      </c>
      <c r="C305" s="8" t="n">
        <v>45717</v>
      </c>
      <c r="D305" s="8" t="n">
        <v>45714</v>
      </c>
      <c r="E305" s="10" t="n">
        <v>1200</v>
      </c>
      <c r="F305" s="0" t="str">
        <f aca="false">INDEX(COA!$C$5:$C$19,MATCH(E305,COA!$A$5:$A$19,0))</f>
        <v>Asset</v>
      </c>
      <c r="G305" s="12" t="n">
        <v>0</v>
      </c>
      <c r="H305" s="12" t="n">
        <v>260.34</v>
      </c>
      <c r="I305" s="10" t="s">
        <v>103</v>
      </c>
      <c r="J305" s="10" t="s">
        <v>1636</v>
      </c>
      <c r="K305" s="10" t="s">
        <v>1670</v>
      </c>
    </row>
    <row r="306" customFormat="false" ht="15" hidden="false" customHeight="false" outlineLevel="0" collapsed="false">
      <c r="A306" s="10" t="s">
        <v>1957</v>
      </c>
      <c r="B306" s="10" t="n">
        <v>1144</v>
      </c>
      <c r="C306" s="8" t="n">
        <v>45718</v>
      </c>
      <c r="D306" s="8" t="n">
        <v>45718</v>
      </c>
      <c r="E306" s="10" t="n">
        <v>2000</v>
      </c>
      <c r="F306" s="0" t="str">
        <f aca="false">INDEX(COA!$C$5:$C$19,MATCH(E306,COA!$A$5:$A$19,0))</f>
        <v>Liability</v>
      </c>
      <c r="G306" s="12" t="n">
        <v>1765.2</v>
      </c>
      <c r="H306" s="12" t="n">
        <v>0</v>
      </c>
      <c r="I306" s="10" t="s">
        <v>104</v>
      </c>
      <c r="J306" s="10" t="s">
        <v>1636</v>
      </c>
      <c r="K306" s="10" t="s">
        <v>1659</v>
      </c>
    </row>
    <row r="307" customFormat="false" ht="15" hidden="false" customHeight="false" outlineLevel="0" collapsed="false">
      <c r="A307" s="10" t="s">
        <v>1958</v>
      </c>
      <c r="B307" s="10" t="n">
        <v>1144</v>
      </c>
      <c r="C307" s="8" t="n">
        <v>45718</v>
      </c>
      <c r="D307" s="8" t="n">
        <v>45718</v>
      </c>
      <c r="E307" s="10" t="n">
        <v>1000</v>
      </c>
      <c r="F307" s="0" t="str">
        <f aca="false">INDEX(COA!$C$5:$C$19,MATCH(E307,COA!$A$5:$A$19,0))</f>
        <v>Asset</v>
      </c>
      <c r="G307" s="12" t="n">
        <v>0</v>
      </c>
      <c r="H307" s="12" t="n">
        <v>1765.2</v>
      </c>
      <c r="I307" s="10" t="s">
        <v>104</v>
      </c>
      <c r="J307" s="10" t="s">
        <v>1636</v>
      </c>
      <c r="K307" s="10" t="s">
        <v>1659</v>
      </c>
    </row>
    <row r="308" customFormat="false" ht="15" hidden="false" customHeight="false" outlineLevel="0" collapsed="false">
      <c r="A308" s="10" t="s">
        <v>1959</v>
      </c>
      <c r="B308" s="10" t="n">
        <v>1145</v>
      </c>
      <c r="C308" s="8" t="n">
        <v>45719</v>
      </c>
      <c r="D308" s="8" t="n">
        <v>45716</v>
      </c>
      <c r="E308" s="10" t="n">
        <v>5000</v>
      </c>
      <c r="F308" s="0" t="str">
        <f aca="false">INDEX(COA!$C$5:$C$19,MATCH(E308,COA!$A$5:$A$19,0))</f>
        <v>Expense</v>
      </c>
      <c r="G308" s="12" t="n">
        <v>372.19</v>
      </c>
      <c r="H308" s="12" t="n">
        <v>0</v>
      </c>
      <c r="I308" s="10" t="s">
        <v>103</v>
      </c>
      <c r="J308" s="10" t="s">
        <v>1636</v>
      </c>
      <c r="K308" s="10" t="s">
        <v>1670</v>
      </c>
    </row>
    <row r="309" customFormat="false" ht="15" hidden="false" customHeight="false" outlineLevel="0" collapsed="false">
      <c r="A309" s="10" t="s">
        <v>1960</v>
      </c>
      <c r="B309" s="10" t="n">
        <v>1145</v>
      </c>
      <c r="C309" s="8" t="n">
        <v>45719</v>
      </c>
      <c r="D309" s="8" t="n">
        <v>45716</v>
      </c>
      <c r="E309" s="10" t="n">
        <v>1200</v>
      </c>
      <c r="F309" s="0" t="str">
        <f aca="false">INDEX(COA!$C$5:$C$19,MATCH(E309,COA!$A$5:$A$19,0))</f>
        <v>Asset</v>
      </c>
      <c r="G309" s="12" t="n">
        <v>0</v>
      </c>
      <c r="H309" s="12" t="n">
        <v>372.19</v>
      </c>
      <c r="I309" s="10" t="s">
        <v>103</v>
      </c>
      <c r="J309" s="10" t="s">
        <v>1636</v>
      </c>
      <c r="K309" s="10" t="s">
        <v>1670</v>
      </c>
    </row>
    <row r="310" customFormat="false" ht="15" hidden="false" customHeight="false" outlineLevel="0" collapsed="false">
      <c r="A310" s="10" t="s">
        <v>1961</v>
      </c>
      <c r="B310" s="10" t="n">
        <v>1146</v>
      </c>
      <c r="C310" s="8" t="n">
        <v>45719</v>
      </c>
      <c r="D310" s="8" t="n">
        <v>45716</v>
      </c>
      <c r="E310" s="10" t="n">
        <v>1000</v>
      </c>
      <c r="F310" s="0" t="str">
        <f aca="false">INDEX(COA!$C$5:$C$19,MATCH(E310,COA!$A$5:$A$19,0))</f>
        <v>Asset</v>
      </c>
      <c r="G310" s="12" t="n">
        <v>3590.22</v>
      </c>
      <c r="H310" s="12" t="n">
        <v>0</v>
      </c>
      <c r="I310" s="10" t="s">
        <v>103</v>
      </c>
      <c r="J310" s="10" t="s">
        <v>1636</v>
      </c>
      <c r="K310" s="10" t="s">
        <v>1637</v>
      </c>
    </row>
    <row r="311" customFormat="false" ht="15" hidden="false" customHeight="false" outlineLevel="0" collapsed="false">
      <c r="A311" s="10" t="s">
        <v>1962</v>
      </c>
      <c r="B311" s="10" t="n">
        <v>1146</v>
      </c>
      <c r="C311" s="8" t="n">
        <v>45719</v>
      </c>
      <c r="D311" s="8" t="n">
        <v>45716</v>
      </c>
      <c r="E311" s="10" t="n">
        <v>1100</v>
      </c>
      <c r="F311" s="0" t="str">
        <f aca="false">INDEX(COA!$C$5:$C$19,MATCH(E311,COA!$A$5:$A$19,0))</f>
        <v>Asset</v>
      </c>
      <c r="G311" s="12" t="n">
        <v>0</v>
      </c>
      <c r="H311" s="12" t="n">
        <v>3590.22</v>
      </c>
      <c r="I311" s="10" t="s">
        <v>103</v>
      </c>
      <c r="J311" s="10" t="s">
        <v>1636</v>
      </c>
      <c r="K311" s="10" t="s">
        <v>1637</v>
      </c>
    </row>
    <row r="312" customFormat="false" ht="15" hidden="false" customHeight="false" outlineLevel="0" collapsed="false">
      <c r="A312" s="10" t="s">
        <v>1963</v>
      </c>
      <c r="B312" s="10" t="n">
        <v>1147</v>
      </c>
      <c r="C312" s="8" t="n">
        <v>45719</v>
      </c>
      <c r="D312" s="8" t="n">
        <v>45719</v>
      </c>
      <c r="E312" s="10" t="n">
        <v>6200</v>
      </c>
      <c r="F312" s="0" t="str">
        <f aca="false">INDEX(COA!$C$5:$C$19,MATCH(E312,COA!$A$5:$A$19,0))</f>
        <v>Expense</v>
      </c>
      <c r="G312" s="12" t="n">
        <v>83973.1</v>
      </c>
      <c r="H312" s="12" t="n">
        <v>0</v>
      </c>
      <c r="I312" s="10" t="s">
        <v>102</v>
      </c>
      <c r="J312" s="10" t="s">
        <v>1636</v>
      </c>
      <c r="K312" s="10" t="s">
        <v>1689</v>
      </c>
    </row>
    <row r="313" customFormat="false" ht="15" hidden="false" customHeight="false" outlineLevel="0" collapsed="false">
      <c r="A313" s="10" t="s">
        <v>1964</v>
      </c>
      <c r="B313" s="10" t="n">
        <v>1147</v>
      </c>
      <c r="C313" s="8" t="n">
        <v>45719</v>
      </c>
      <c r="D313" s="8" t="n">
        <v>45719</v>
      </c>
      <c r="E313" s="10" t="n">
        <v>2000</v>
      </c>
      <c r="F313" s="0" t="str">
        <f aca="false">INDEX(COA!$C$5:$C$19,MATCH(E313,COA!$A$5:$A$19,0))</f>
        <v>Liability</v>
      </c>
      <c r="G313" s="12" t="n">
        <v>0</v>
      </c>
      <c r="H313" s="12" t="n">
        <v>83973.1</v>
      </c>
      <c r="I313" s="10" t="s">
        <v>102</v>
      </c>
      <c r="J313" s="10" t="s">
        <v>1636</v>
      </c>
      <c r="K313" s="10" t="s">
        <v>1689</v>
      </c>
    </row>
    <row r="314" customFormat="false" ht="15" hidden="false" customHeight="false" outlineLevel="0" collapsed="false">
      <c r="A314" s="10" t="s">
        <v>1965</v>
      </c>
      <c r="B314" s="10" t="n">
        <v>1148</v>
      </c>
      <c r="C314" s="8" t="n">
        <v>45719</v>
      </c>
      <c r="D314" s="8" t="n">
        <v>45715</v>
      </c>
      <c r="E314" s="10" t="n">
        <v>1100</v>
      </c>
      <c r="F314" s="0" t="str">
        <f aca="false">INDEX(COA!$C$5:$C$19,MATCH(E314,COA!$A$5:$A$19,0))</f>
        <v>Asset</v>
      </c>
      <c r="G314" s="12" t="n">
        <v>2586.88</v>
      </c>
      <c r="H314" s="12" t="n">
        <v>0</v>
      </c>
      <c r="I314" s="10" t="s">
        <v>103</v>
      </c>
      <c r="J314" s="10" t="s">
        <v>1636</v>
      </c>
      <c r="K314" s="10" t="s">
        <v>1640</v>
      </c>
    </row>
    <row r="315" customFormat="false" ht="15" hidden="false" customHeight="false" outlineLevel="0" collapsed="false">
      <c r="A315" s="10" t="s">
        <v>1966</v>
      </c>
      <c r="B315" s="10" t="n">
        <v>1148</v>
      </c>
      <c r="C315" s="8" t="n">
        <v>45719</v>
      </c>
      <c r="D315" s="8" t="n">
        <v>45715</v>
      </c>
      <c r="E315" s="10" t="n">
        <v>4000</v>
      </c>
      <c r="F315" s="0" t="str">
        <f aca="false">INDEX(COA!$C$5:$C$19,MATCH(E315,COA!$A$5:$A$19,0))</f>
        <v>Revenue</v>
      </c>
      <c r="G315" s="12" t="n">
        <v>0</v>
      </c>
      <c r="H315" s="12" t="n">
        <v>2586.88</v>
      </c>
      <c r="I315" s="10" t="s">
        <v>103</v>
      </c>
      <c r="J315" s="10" t="s">
        <v>1636</v>
      </c>
      <c r="K315" s="10" t="s">
        <v>1640</v>
      </c>
    </row>
    <row r="316" customFormat="false" ht="15" hidden="false" customHeight="false" outlineLevel="0" collapsed="false">
      <c r="A316" s="10" t="s">
        <v>1967</v>
      </c>
      <c r="B316" s="10" t="n">
        <v>1149</v>
      </c>
      <c r="C316" s="8" t="n">
        <v>45719</v>
      </c>
      <c r="D316" s="8" t="n">
        <v>45715</v>
      </c>
      <c r="E316" s="10" t="n">
        <v>1100</v>
      </c>
      <c r="F316" s="0" t="str">
        <f aca="false">INDEX(COA!$C$5:$C$19,MATCH(E316,COA!$A$5:$A$19,0))</f>
        <v>Asset</v>
      </c>
      <c r="G316" s="12" t="n">
        <v>78168.99</v>
      </c>
      <c r="H316" s="12" t="n">
        <v>0</v>
      </c>
      <c r="I316" s="10" t="s">
        <v>103</v>
      </c>
      <c r="J316" s="10" t="s">
        <v>1636</v>
      </c>
      <c r="K316" s="10" t="s">
        <v>1640</v>
      </c>
    </row>
    <row r="317" customFormat="false" ht="15" hidden="false" customHeight="false" outlineLevel="0" collapsed="false">
      <c r="A317" s="10" t="s">
        <v>1968</v>
      </c>
      <c r="B317" s="10" t="n">
        <v>1149</v>
      </c>
      <c r="C317" s="8" t="n">
        <v>45719</v>
      </c>
      <c r="D317" s="8" t="n">
        <v>45715</v>
      </c>
      <c r="E317" s="10" t="n">
        <v>4000</v>
      </c>
      <c r="F317" s="0" t="str">
        <f aca="false">INDEX(COA!$C$5:$C$19,MATCH(E317,COA!$A$5:$A$19,0))</f>
        <v>Revenue</v>
      </c>
      <c r="G317" s="12" t="n">
        <v>0</v>
      </c>
      <c r="H317" s="12" t="n">
        <v>78168.99</v>
      </c>
      <c r="I317" s="10" t="s">
        <v>103</v>
      </c>
      <c r="J317" s="10" t="s">
        <v>1636</v>
      </c>
      <c r="K317" s="10" t="s">
        <v>1640</v>
      </c>
    </row>
    <row r="318" customFormat="false" ht="15" hidden="false" customHeight="false" outlineLevel="0" collapsed="false">
      <c r="A318" s="10" t="s">
        <v>1969</v>
      </c>
      <c r="B318" s="10" t="n">
        <v>1150</v>
      </c>
      <c r="C318" s="8" t="n">
        <v>45719</v>
      </c>
      <c r="D318" s="8" t="n">
        <v>45718</v>
      </c>
      <c r="E318" s="10" t="n">
        <v>1000</v>
      </c>
      <c r="F318" s="0" t="str">
        <f aca="false">INDEX(COA!$C$5:$C$19,MATCH(E318,COA!$A$5:$A$19,0))</f>
        <v>Asset</v>
      </c>
      <c r="G318" s="12" t="n">
        <v>5862.74</v>
      </c>
      <c r="H318" s="12" t="n">
        <v>0</v>
      </c>
      <c r="I318" s="10" t="s">
        <v>103</v>
      </c>
      <c r="J318" s="10" t="s">
        <v>1636</v>
      </c>
      <c r="K318" s="10" t="s">
        <v>1637</v>
      </c>
    </row>
    <row r="319" customFormat="false" ht="15" hidden="false" customHeight="false" outlineLevel="0" collapsed="false">
      <c r="A319" s="10" t="s">
        <v>1970</v>
      </c>
      <c r="B319" s="10" t="n">
        <v>1150</v>
      </c>
      <c r="C319" s="8" t="n">
        <v>45719</v>
      </c>
      <c r="D319" s="8" t="n">
        <v>45718</v>
      </c>
      <c r="E319" s="10" t="n">
        <v>1100</v>
      </c>
      <c r="F319" s="0" t="str">
        <f aca="false">INDEX(COA!$C$5:$C$19,MATCH(E319,COA!$A$5:$A$19,0))</f>
        <v>Asset</v>
      </c>
      <c r="G319" s="12" t="n">
        <v>0</v>
      </c>
      <c r="H319" s="12" t="n">
        <v>5862.74</v>
      </c>
      <c r="I319" s="10" t="s">
        <v>103</v>
      </c>
      <c r="J319" s="10" t="s">
        <v>1636</v>
      </c>
      <c r="K319" s="10" t="s">
        <v>1637</v>
      </c>
    </row>
    <row r="320" customFormat="false" ht="15" hidden="false" customHeight="false" outlineLevel="0" collapsed="false">
      <c r="A320" s="10" t="s">
        <v>1971</v>
      </c>
      <c r="B320" s="10" t="n">
        <v>1151</v>
      </c>
      <c r="C320" s="8" t="n">
        <v>45719</v>
      </c>
      <c r="D320" s="8" t="n">
        <v>45715</v>
      </c>
      <c r="E320" s="10" t="n">
        <v>1000</v>
      </c>
      <c r="F320" s="0" t="str">
        <f aca="false">INDEX(COA!$C$5:$C$19,MATCH(E320,COA!$A$5:$A$19,0))</f>
        <v>Asset</v>
      </c>
      <c r="G320" s="12" t="n">
        <v>177.56</v>
      </c>
      <c r="H320" s="12" t="n">
        <v>0</v>
      </c>
      <c r="I320" s="10" t="s">
        <v>103</v>
      </c>
      <c r="J320" s="10" t="s">
        <v>1636</v>
      </c>
      <c r="K320" s="10" t="s">
        <v>1637</v>
      </c>
    </row>
    <row r="321" customFormat="false" ht="15" hidden="false" customHeight="false" outlineLevel="0" collapsed="false">
      <c r="A321" s="10" t="s">
        <v>1972</v>
      </c>
      <c r="B321" s="10" t="n">
        <v>1151</v>
      </c>
      <c r="C321" s="8" t="n">
        <v>45719</v>
      </c>
      <c r="D321" s="8" t="n">
        <v>45715</v>
      </c>
      <c r="E321" s="10" t="n">
        <v>1000</v>
      </c>
      <c r="F321" s="0" t="str">
        <f aca="false">INDEX(COA!$C$5:$C$19,MATCH(E321,COA!$A$5:$A$19,0))</f>
        <v>Asset</v>
      </c>
      <c r="G321" s="12" t="n">
        <v>76.09</v>
      </c>
      <c r="H321" s="12" t="n">
        <v>0</v>
      </c>
      <c r="I321" s="10" t="s">
        <v>103</v>
      </c>
      <c r="J321" s="10" t="s">
        <v>1636</v>
      </c>
      <c r="K321" s="10" t="s">
        <v>1637</v>
      </c>
    </row>
    <row r="322" customFormat="false" ht="15" hidden="false" customHeight="false" outlineLevel="0" collapsed="false">
      <c r="A322" s="10" t="s">
        <v>1973</v>
      </c>
      <c r="B322" s="10" t="n">
        <v>1151</v>
      </c>
      <c r="C322" s="8" t="n">
        <v>45719</v>
      </c>
      <c r="D322" s="8" t="n">
        <v>45715</v>
      </c>
      <c r="E322" s="10" t="n">
        <v>1100</v>
      </c>
      <c r="F322" s="0" t="str">
        <f aca="false">INDEX(COA!$C$5:$C$19,MATCH(E322,COA!$A$5:$A$19,0))</f>
        <v>Asset</v>
      </c>
      <c r="G322" s="12" t="n">
        <v>0</v>
      </c>
      <c r="H322" s="12" t="n">
        <v>253.65</v>
      </c>
      <c r="I322" s="10" t="s">
        <v>103</v>
      </c>
      <c r="J322" s="10" t="s">
        <v>1636</v>
      </c>
      <c r="K322" s="10" t="s">
        <v>1637</v>
      </c>
    </row>
    <row r="323" customFormat="false" ht="15" hidden="false" customHeight="false" outlineLevel="0" collapsed="false">
      <c r="A323" s="10" t="s">
        <v>1974</v>
      </c>
      <c r="B323" s="10" t="n">
        <v>1152</v>
      </c>
      <c r="C323" s="8" t="n">
        <v>45719</v>
      </c>
      <c r="D323" s="8" t="n">
        <v>45716</v>
      </c>
      <c r="E323" s="10" t="n">
        <v>2000</v>
      </c>
      <c r="F323" s="0" t="str">
        <f aca="false">INDEX(COA!$C$5:$C$19,MATCH(E323,COA!$A$5:$A$19,0))</f>
        <v>Liability</v>
      </c>
      <c r="G323" s="12" t="n">
        <v>72042.16</v>
      </c>
      <c r="H323" s="12" t="n">
        <v>0</v>
      </c>
      <c r="I323" s="10" t="s">
        <v>104</v>
      </c>
      <c r="J323" s="10" t="s">
        <v>1636</v>
      </c>
      <c r="K323" s="10" t="s">
        <v>1659</v>
      </c>
    </row>
    <row r="324" customFormat="false" ht="15" hidden="false" customHeight="false" outlineLevel="0" collapsed="false">
      <c r="A324" s="10" t="s">
        <v>1975</v>
      </c>
      <c r="B324" s="10" t="n">
        <v>1152</v>
      </c>
      <c r="C324" s="8" t="n">
        <v>45719</v>
      </c>
      <c r="D324" s="8" t="n">
        <v>45716</v>
      </c>
      <c r="E324" s="10" t="n">
        <v>1000</v>
      </c>
      <c r="F324" s="0" t="str">
        <f aca="false">INDEX(COA!$C$5:$C$19,MATCH(E324,COA!$A$5:$A$19,0))</f>
        <v>Asset</v>
      </c>
      <c r="G324" s="12" t="n">
        <v>0</v>
      </c>
      <c r="H324" s="12" t="n">
        <v>72042.16</v>
      </c>
      <c r="I324" s="10" t="s">
        <v>104</v>
      </c>
      <c r="J324" s="10" t="s">
        <v>1636</v>
      </c>
      <c r="K324" s="10" t="s">
        <v>1659</v>
      </c>
    </row>
    <row r="325" customFormat="false" ht="15" hidden="false" customHeight="false" outlineLevel="0" collapsed="false">
      <c r="A325" s="10" t="s">
        <v>1976</v>
      </c>
      <c r="B325" s="10" t="n">
        <v>1153</v>
      </c>
      <c r="C325" s="8" t="n">
        <v>45719</v>
      </c>
      <c r="D325" s="8" t="n">
        <v>45715</v>
      </c>
      <c r="E325" s="10" t="n">
        <v>1000</v>
      </c>
      <c r="F325" s="0" t="str">
        <f aca="false">INDEX(COA!$C$5:$C$19,MATCH(E325,COA!$A$5:$A$19,0))</f>
        <v>Asset</v>
      </c>
      <c r="G325" s="12" t="n">
        <v>671.41</v>
      </c>
      <c r="H325" s="12" t="n">
        <v>0</v>
      </c>
      <c r="I325" s="10" t="s">
        <v>103</v>
      </c>
      <c r="J325" s="10" t="s">
        <v>1636</v>
      </c>
      <c r="K325" s="10" t="s">
        <v>1637</v>
      </c>
    </row>
    <row r="326" customFormat="false" ht="15" hidden="false" customHeight="false" outlineLevel="0" collapsed="false">
      <c r="A326" s="10" t="s">
        <v>1977</v>
      </c>
      <c r="B326" s="10" t="n">
        <v>1153</v>
      </c>
      <c r="C326" s="8" t="n">
        <v>45719</v>
      </c>
      <c r="D326" s="8" t="n">
        <v>45715</v>
      </c>
      <c r="E326" s="10" t="n">
        <v>1100</v>
      </c>
      <c r="F326" s="0" t="str">
        <f aca="false">INDEX(COA!$C$5:$C$19,MATCH(E326,COA!$A$5:$A$19,0))</f>
        <v>Asset</v>
      </c>
      <c r="G326" s="12" t="n">
        <v>0</v>
      </c>
      <c r="H326" s="12" t="n">
        <v>671.41</v>
      </c>
      <c r="I326" s="10" t="s">
        <v>103</v>
      </c>
      <c r="J326" s="10" t="s">
        <v>1636</v>
      </c>
      <c r="K326" s="10" t="s">
        <v>1637</v>
      </c>
    </row>
    <row r="327" customFormat="false" ht="15" hidden="false" customHeight="false" outlineLevel="0" collapsed="false">
      <c r="A327" s="10" t="s">
        <v>1978</v>
      </c>
      <c r="B327" s="10" t="n">
        <v>1154</v>
      </c>
      <c r="C327" s="8" t="n">
        <v>45720</v>
      </c>
      <c r="D327" s="8" t="n">
        <v>45718</v>
      </c>
      <c r="E327" s="10" t="n">
        <v>5000</v>
      </c>
      <c r="F327" s="0" t="str">
        <f aca="false">INDEX(COA!$C$5:$C$19,MATCH(E327,COA!$A$5:$A$19,0))</f>
        <v>Expense</v>
      </c>
      <c r="G327" s="12" t="n">
        <v>4530.21</v>
      </c>
      <c r="H327" s="12" t="n">
        <v>0</v>
      </c>
      <c r="I327" s="10" t="s">
        <v>103</v>
      </c>
      <c r="J327" s="10" t="s">
        <v>1636</v>
      </c>
      <c r="K327" s="10" t="s">
        <v>1670</v>
      </c>
    </row>
    <row r="328" customFormat="false" ht="15" hidden="false" customHeight="false" outlineLevel="0" collapsed="false">
      <c r="A328" s="10" t="s">
        <v>1979</v>
      </c>
      <c r="B328" s="10" t="n">
        <v>1154</v>
      </c>
      <c r="C328" s="8" t="n">
        <v>45720</v>
      </c>
      <c r="D328" s="8" t="n">
        <v>45718</v>
      </c>
      <c r="E328" s="10" t="n">
        <v>1200</v>
      </c>
      <c r="F328" s="0" t="str">
        <f aca="false">INDEX(COA!$C$5:$C$19,MATCH(E328,COA!$A$5:$A$19,0))</f>
        <v>Asset</v>
      </c>
      <c r="G328" s="12" t="n">
        <v>0</v>
      </c>
      <c r="H328" s="12" t="n">
        <v>4530.21</v>
      </c>
      <c r="I328" s="10" t="s">
        <v>103</v>
      </c>
      <c r="J328" s="10" t="s">
        <v>1636</v>
      </c>
      <c r="K328" s="10" t="s">
        <v>1670</v>
      </c>
    </row>
    <row r="329" customFormat="false" ht="15" hidden="false" customHeight="false" outlineLevel="0" collapsed="false">
      <c r="A329" s="10" t="s">
        <v>1980</v>
      </c>
      <c r="B329" s="10" t="n">
        <v>1155</v>
      </c>
      <c r="C329" s="8" t="n">
        <v>45720</v>
      </c>
      <c r="D329" s="8" t="n">
        <v>45717</v>
      </c>
      <c r="E329" s="10" t="n">
        <v>1100</v>
      </c>
      <c r="F329" s="0" t="str">
        <f aca="false">INDEX(COA!$C$5:$C$19,MATCH(E329,COA!$A$5:$A$19,0))</f>
        <v>Asset</v>
      </c>
      <c r="G329" s="12" t="n">
        <v>33061.82</v>
      </c>
      <c r="H329" s="12" t="n">
        <v>0</v>
      </c>
      <c r="I329" s="10" t="s">
        <v>103</v>
      </c>
      <c r="J329" s="10" t="s">
        <v>1636</v>
      </c>
      <c r="K329" s="10" t="s">
        <v>1640</v>
      </c>
    </row>
    <row r="330" customFormat="false" ht="15" hidden="false" customHeight="false" outlineLevel="0" collapsed="false">
      <c r="A330" s="10" t="s">
        <v>1981</v>
      </c>
      <c r="B330" s="10" t="n">
        <v>1155</v>
      </c>
      <c r="C330" s="8" t="n">
        <v>45720</v>
      </c>
      <c r="D330" s="8" t="n">
        <v>45717</v>
      </c>
      <c r="E330" s="10" t="n">
        <v>1100</v>
      </c>
      <c r="F330" s="0" t="str">
        <f aca="false">INDEX(COA!$C$5:$C$19,MATCH(E330,COA!$A$5:$A$19,0))</f>
        <v>Asset</v>
      </c>
      <c r="G330" s="12" t="n">
        <v>14169.35</v>
      </c>
      <c r="H330" s="12" t="n">
        <v>0</v>
      </c>
      <c r="I330" s="10" t="s">
        <v>103</v>
      </c>
      <c r="J330" s="10" t="s">
        <v>1636</v>
      </c>
      <c r="K330" s="10" t="s">
        <v>1640</v>
      </c>
    </row>
    <row r="331" customFormat="false" ht="15" hidden="false" customHeight="false" outlineLevel="0" collapsed="false">
      <c r="A331" s="10" t="s">
        <v>1982</v>
      </c>
      <c r="B331" s="10" t="n">
        <v>1155</v>
      </c>
      <c r="C331" s="8" t="n">
        <v>45720</v>
      </c>
      <c r="D331" s="8" t="n">
        <v>45717</v>
      </c>
      <c r="E331" s="10" t="n">
        <v>4000</v>
      </c>
      <c r="F331" s="0" t="str">
        <f aca="false">INDEX(COA!$C$5:$C$19,MATCH(E331,COA!$A$5:$A$19,0))</f>
        <v>Revenue</v>
      </c>
      <c r="G331" s="12" t="n">
        <v>0</v>
      </c>
      <c r="H331" s="12" t="n">
        <v>47231.17</v>
      </c>
      <c r="I331" s="10" t="s">
        <v>103</v>
      </c>
      <c r="J331" s="10" t="s">
        <v>1636</v>
      </c>
      <c r="K331" s="10" t="s">
        <v>1640</v>
      </c>
    </row>
    <row r="332" customFormat="false" ht="15" hidden="false" customHeight="false" outlineLevel="0" collapsed="false">
      <c r="A332" s="10" t="s">
        <v>1983</v>
      </c>
      <c r="B332" s="10" t="n">
        <v>1156</v>
      </c>
      <c r="C332" s="8" t="n">
        <v>45720</v>
      </c>
      <c r="D332" s="8" t="n">
        <v>45717</v>
      </c>
      <c r="E332" s="10" t="n">
        <v>6900</v>
      </c>
      <c r="F332" s="0" t="str">
        <f aca="false">INDEX(COA!$C$5:$C$19,MATCH(E332,COA!$A$5:$A$19,0))</f>
        <v>Expense</v>
      </c>
      <c r="G332" s="12" t="n">
        <v>2273.07</v>
      </c>
      <c r="H332" s="12" t="n">
        <v>0</v>
      </c>
      <c r="I332" s="10" t="s">
        <v>97</v>
      </c>
      <c r="J332" s="10" t="s">
        <v>1648</v>
      </c>
      <c r="K332" s="10" t="s">
        <v>1649</v>
      </c>
    </row>
    <row r="333" customFormat="false" ht="15" hidden="false" customHeight="false" outlineLevel="0" collapsed="false">
      <c r="A333" s="10" t="s">
        <v>1984</v>
      </c>
      <c r="B333" s="10" t="n">
        <v>1156</v>
      </c>
      <c r="C333" s="8" t="n">
        <v>45720</v>
      </c>
      <c r="D333" s="8" t="n">
        <v>45717</v>
      </c>
      <c r="E333" s="10" t="n">
        <v>6900</v>
      </c>
      <c r="F333" s="0" t="str">
        <f aca="false">INDEX(COA!$C$5:$C$19,MATCH(E333,COA!$A$5:$A$19,0))</f>
        <v>Expense</v>
      </c>
      <c r="G333" s="12" t="n">
        <v>974.18</v>
      </c>
      <c r="H333" s="12" t="n">
        <v>0</v>
      </c>
      <c r="I333" s="10" t="s">
        <v>97</v>
      </c>
      <c r="J333" s="10" t="s">
        <v>1648</v>
      </c>
      <c r="K333" s="10" t="s">
        <v>1649</v>
      </c>
    </row>
    <row r="334" customFormat="false" ht="15" hidden="false" customHeight="false" outlineLevel="0" collapsed="false">
      <c r="A334" s="10" t="s">
        <v>1985</v>
      </c>
      <c r="B334" s="10" t="n">
        <v>1156</v>
      </c>
      <c r="C334" s="8" t="n">
        <v>45720</v>
      </c>
      <c r="D334" s="8" t="n">
        <v>45717</v>
      </c>
      <c r="E334" s="10" t="n">
        <v>2100</v>
      </c>
      <c r="F334" s="0" t="str">
        <f aca="false">INDEX(COA!$C$5:$C$19,MATCH(E334,COA!$A$5:$A$19,0))</f>
        <v>Liability</v>
      </c>
      <c r="G334" s="12" t="n">
        <v>0</v>
      </c>
      <c r="H334" s="12" t="n">
        <v>3247.25</v>
      </c>
      <c r="I334" s="10" t="s">
        <v>97</v>
      </c>
      <c r="J334" s="10" t="s">
        <v>1648</v>
      </c>
      <c r="K334" s="10" t="s">
        <v>1649</v>
      </c>
    </row>
    <row r="335" customFormat="false" ht="15" hidden="false" customHeight="false" outlineLevel="0" collapsed="false">
      <c r="A335" s="10" t="s">
        <v>1986</v>
      </c>
      <c r="B335" s="10" t="n">
        <v>1157</v>
      </c>
      <c r="C335" s="8" t="n">
        <v>45721</v>
      </c>
      <c r="D335" s="8" t="n">
        <v>45719</v>
      </c>
      <c r="E335" s="10" t="n">
        <v>1200</v>
      </c>
      <c r="F335" s="0" t="str">
        <f aca="false">INDEX(COA!$C$5:$C$19,MATCH(E335,COA!$A$5:$A$19,0))</f>
        <v>Asset</v>
      </c>
      <c r="G335" s="12" t="n">
        <v>86587.6</v>
      </c>
      <c r="H335" s="12" t="n">
        <v>0</v>
      </c>
      <c r="I335" s="10" t="s">
        <v>102</v>
      </c>
      <c r="J335" s="10" t="s">
        <v>1636</v>
      </c>
      <c r="K335" s="10" t="s">
        <v>1655</v>
      </c>
    </row>
    <row r="336" customFormat="false" ht="15" hidden="false" customHeight="false" outlineLevel="0" collapsed="false">
      <c r="A336" s="10" t="s">
        <v>1987</v>
      </c>
      <c r="B336" s="10" t="n">
        <v>1157</v>
      </c>
      <c r="C336" s="8" t="n">
        <v>45721</v>
      </c>
      <c r="D336" s="8" t="n">
        <v>45719</v>
      </c>
      <c r="E336" s="10" t="n">
        <v>2000</v>
      </c>
      <c r="F336" s="0" t="str">
        <f aca="false">INDEX(COA!$C$5:$C$19,MATCH(E336,COA!$A$5:$A$19,0))</f>
        <v>Liability</v>
      </c>
      <c r="G336" s="12" t="n">
        <v>0</v>
      </c>
      <c r="H336" s="12" t="n">
        <v>86587.6</v>
      </c>
      <c r="I336" s="10" t="s">
        <v>102</v>
      </c>
      <c r="J336" s="10" t="s">
        <v>1636</v>
      </c>
      <c r="K336" s="10" t="s">
        <v>1655</v>
      </c>
    </row>
    <row r="337" customFormat="false" ht="15" hidden="false" customHeight="false" outlineLevel="0" collapsed="false">
      <c r="A337" s="10" t="s">
        <v>1988</v>
      </c>
      <c r="B337" s="10" t="n">
        <v>1158</v>
      </c>
      <c r="C337" s="8" t="n">
        <v>45721</v>
      </c>
      <c r="D337" s="8" t="n">
        <v>45721</v>
      </c>
      <c r="E337" s="10" t="n">
        <v>6200</v>
      </c>
      <c r="F337" s="0" t="str">
        <f aca="false">INDEX(COA!$C$5:$C$19,MATCH(E337,COA!$A$5:$A$19,0))</f>
        <v>Expense</v>
      </c>
      <c r="G337" s="12" t="n">
        <v>2056.22</v>
      </c>
      <c r="H337" s="12" t="n">
        <v>0</v>
      </c>
      <c r="I337" s="10" t="s">
        <v>102</v>
      </c>
      <c r="J337" s="10" t="s">
        <v>1636</v>
      </c>
      <c r="K337" s="10" t="s">
        <v>1689</v>
      </c>
    </row>
    <row r="338" customFormat="false" ht="15" hidden="false" customHeight="false" outlineLevel="0" collapsed="false">
      <c r="A338" s="10" t="s">
        <v>1989</v>
      </c>
      <c r="B338" s="10" t="n">
        <v>1158</v>
      </c>
      <c r="C338" s="8" t="n">
        <v>45721</v>
      </c>
      <c r="D338" s="8" t="n">
        <v>45721</v>
      </c>
      <c r="E338" s="10" t="n">
        <v>2000</v>
      </c>
      <c r="F338" s="0" t="str">
        <f aca="false">INDEX(COA!$C$5:$C$19,MATCH(E338,COA!$A$5:$A$19,0))</f>
        <v>Liability</v>
      </c>
      <c r="G338" s="12" t="n">
        <v>0</v>
      </c>
      <c r="H338" s="12" t="n">
        <v>2056.22</v>
      </c>
      <c r="I338" s="10" t="s">
        <v>102</v>
      </c>
      <c r="J338" s="10" t="s">
        <v>1636</v>
      </c>
      <c r="K338" s="10" t="s">
        <v>1689</v>
      </c>
    </row>
    <row r="339" customFormat="false" ht="15" hidden="false" customHeight="false" outlineLevel="0" collapsed="false">
      <c r="A339" s="10" t="s">
        <v>1990</v>
      </c>
      <c r="B339" s="10" t="n">
        <v>1159</v>
      </c>
      <c r="C339" s="8" t="n">
        <v>45721</v>
      </c>
      <c r="D339" s="8" t="n">
        <v>45720</v>
      </c>
      <c r="E339" s="10" t="n">
        <v>1100</v>
      </c>
      <c r="F339" s="0" t="str">
        <f aca="false">INDEX(COA!$C$5:$C$19,MATCH(E339,COA!$A$5:$A$19,0))</f>
        <v>Asset</v>
      </c>
      <c r="G339" s="12" t="n">
        <v>5919.22</v>
      </c>
      <c r="H339" s="12" t="n">
        <v>0</v>
      </c>
      <c r="I339" s="10" t="s">
        <v>103</v>
      </c>
      <c r="J339" s="10" t="s">
        <v>1636</v>
      </c>
      <c r="K339" s="10" t="s">
        <v>1640</v>
      </c>
    </row>
    <row r="340" customFormat="false" ht="15" hidden="false" customHeight="false" outlineLevel="0" collapsed="false">
      <c r="A340" s="10" t="s">
        <v>1991</v>
      </c>
      <c r="B340" s="10" t="n">
        <v>1159</v>
      </c>
      <c r="C340" s="8" t="n">
        <v>45721</v>
      </c>
      <c r="D340" s="8" t="n">
        <v>45720</v>
      </c>
      <c r="E340" s="10" t="n">
        <v>4000</v>
      </c>
      <c r="F340" s="0" t="str">
        <f aca="false">INDEX(COA!$C$5:$C$19,MATCH(E340,COA!$A$5:$A$19,0))</f>
        <v>Revenue</v>
      </c>
      <c r="G340" s="12" t="n">
        <v>0</v>
      </c>
      <c r="H340" s="12" t="n">
        <v>5919.22</v>
      </c>
      <c r="I340" s="10" t="s">
        <v>103</v>
      </c>
      <c r="J340" s="10" t="s">
        <v>1636</v>
      </c>
      <c r="K340" s="10" t="s">
        <v>1640</v>
      </c>
    </row>
    <row r="341" customFormat="false" ht="15" hidden="false" customHeight="false" outlineLevel="0" collapsed="false">
      <c r="A341" s="10" t="s">
        <v>1992</v>
      </c>
      <c r="B341" s="10" t="n">
        <v>1160</v>
      </c>
      <c r="C341" s="8" t="n">
        <v>45722</v>
      </c>
      <c r="D341" s="8" t="n">
        <v>45722</v>
      </c>
      <c r="E341" s="10" t="n">
        <v>6900</v>
      </c>
      <c r="F341" s="0" t="str">
        <f aca="false">INDEX(COA!$C$5:$C$19,MATCH(E341,COA!$A$5:$A$19,0))</f>
        <v>Expense</v>
      </c>
      <c r="G341" s="12" t="n">
        <v>3892.38</v>
      </c>
      <c r="H341" s="12" t="n">
        <v>0</v>
      </c>
      <c r="I341" s="10" t="s">
        <v>101</v>
      </c>
      <c r="J341" s="10" t="s">
        <v>1648</v>
      </c>
      <c r="K341" s="10" t="s">
        <v>1649</v>
      </c>
    </row>
    <row r="342" customFormat="false" ht="15" hidden="false" customHeight="false" outlineLevel="0" collapsed="false">
      <c r="A342" s="10" t="s">
        <v>1993</v>
      </c>
      <c r="B342" s="10" t="n">
        <v>1160</v>
      </c>
      <c r="C342" s="8" t="n">
        <v>45722</v>
      </c>
      <c r="D342" s="8" t="n">
        <v>45722</v>
      </c>
      <c r="E342" s="10" t="n">
        <v>2100</v>
      </c>
      <c r="F342" s="0" t="str">
        <f aca="false">INDEX(COA!$C$5:$C$19,MATCH(E342,COA!$A$5:$A$19,0))</f>
        <v>Liability</v>
      </c>
      <c r="G342" s="12" t="n">
        <v>0</v>
      </c>
      <c r="H342" s="12" t="n">
        <v>3892.38</v>
      </c>
      <c r="I342" s="10" t="s">
        <v>101</v>
      </c>
      <c r="J342" s="10" t="s">
        <v>1648</v>
      </c>
      <c r="K342" s="10" t="s">
        <v>1649</v>
      </c>
    </row>
    <row r="343" customFormat="false" ht="15" hidden="false" customHeight="false" outlineLevel="0" collapsed="false">
      <c r="A343" s="10" t="s">
        <v>1994</v>
      </c>
      <c r="B343" s="10" t="n">
        <v>1161</v>
      </c>
      <c r="C343" s="8" t="n">
        <v>45723</v>
      </c>
      <c r="D343" s="8" t="n">
        <v>45722</v>
      </c>
      <c r="E343" s="10" t="n">
        <v>1000</v>
      </c>
      <c r="F343" s="0" t="str">
        <f aca="false">INDEX(COA!$C$5:$C$19,MATCH(E343,COA!$A$5:$A$19,0))</f>
        <v>Asset</v>
      </c>
      <c r="G343" s="12" t="n">
        <v>9897.69</v>
      </c>
      <c r="H343" s="12" t="n">
        <v>0</v>
      </c>
      <c r="I343" s="10" t="s">
        <v>103</v>
      </c>
      <c r="J343" s="10" t="s">
        <v>1636</v>
      </c>
      <c r="K343" s="10" t="s">
        <v>1637</v>
      </c>
    </row>
    <row r="344" customFormat="false" ht="15" hidden="false" customHeight="false" outlineLevel="0" collapsed="false">
      <c r="A344" s="10" t="s">
        <v>1995</v>
      </c>
      <c r="B344" s="10" t="n">
        <v>1161</v>
      </c>
      <c r="C344" s="8" t="n">
        <v>45723</v>
      </c>
      <c r="D344" s="8" t="n">
        <v>45722</v>
      </c>
      <c r="E344" s="10" t="n">
        <v>1100</v>
      </c>
      <c r="F344" s="0" t="str">
        <f aca="false">INDEX(COA!$C$5:$C$19,MATCH(E344,COA!$A$5:$A$19,0))</f>
        <v>Asset</v>
      </c>
      <c r="G344" s="12" t="n">
        <v>0</v>
      </c>
      <c r="H344" s="12" t="n">
        <v>9897.69</v>
      </c>
      <c r="I344" s="10" t="s">
        <v>103</v>
      </c>
      <c r="J344" s="10" t="s">
        <v>1636</v>
      </c>
      <c r="K344" s="10" t="s">
        <v>1637</v>
      </c>
    </row>
    <row r="345" customFormat="false" ht="15" hidden="false" customHeight="false" outlineLevel="0" collapsed="false">
      <c r="A345" s="10" t="s">
        <v>1996</v>
      </c>
      <c r="B345" s="10" t="n">
        <v>1162</v>
      </c>
      <c r="C345" s="8" t="n">
        <v>45723</v>
      </c>
      <c r="D345" s="8" t="n">
        <v>45721</v>
      </c>
      <c r="E345" s="10" t="n">
        <v>2000</v>
      </c>
      <c r="F345" s="0" t="str">
        <f aca="false">INDEX(COA!$C$5:$C$19,MATCH(E345,COA!$A$5:$A$19,0))</f>
        <v>Liability</v>
      </c>
      <c r="G345" s="12" t="n">
        <v>1310.14</v>
      </c>
      <c r="H345" s="12" t="n">
        <v>0</v>
      </c>
      <c r="I345" s="10" t="s">
        <v>104</v>
      </c>
      <c r="J345" s="10" t="s">
        <v>1636</v>
      </c>
      <c r="K345" s="10" t="s">
        <v>1659</v>
      </c>
    </row>
    <row r="346" customFormat="false" ht="15" hidden="false" customHeight="false" outlineLevel="0" collapsed="false">
      <c r="A346" s="10" t="s">
        <v>1997</v>
      </c>
      <c r="B346" s="10" t="n">
        <v>1162</v>
      </c>
      <c r="C346" s="8" t="n">
        <v>45723</v>
      </c>
      <c r="D346" s="8" t="n">
        <v>45721</v>
      </c>
      <c r="E346" s="10" t="n">
        <v>1000</v>
      </c>
      <c r="F346" s="0" t="str">
        <f aca="false">INDEX(COA!$C$5:$C$19,MATCH(E346,COA!$A$5:$A$19,0))</f>
        <v>Asset</v>
      </c>
      <c r="G346" s="12" t="n">
        <v>0</v>
      </c>
      <c r="H346" s="12" t="n">
        <v>1310.14</v>
      </c>
      <c r="I346" s="10" t="s">
        <v>104</v>
      </c>
      <c r="J346" s="10" t="s">
        <v>1636</v>
      </c>
      <c r="K346" s="10" t="s">
        <v>1659</v>
      </c>
    </row>
    <row r="347" customFormat="false" ht="15" hidden="false" customHeight="false" outlineLevel="0" collapsed="false">
      <c r="A347" s="10" t="s">
        <v>1998</v>
      </c>
      <c r="B347" s="10" t="n">
        <v>1163</v>
      </c>
      <c r="C347" s="8" t="n">
        <v>45723</v>
      </c>
      <c r="D347" s="8" t="n">
        <v>45722</v>
      </c>
      <c r="E347" s="10" t="n">
        <v>1100</v>
      </c>
      <c r="F347" s="0" t="str">
        <f aca="false">INDEX(COA!$C$5:$C$19,MATCH(E347,COA!$A$5:$A$19,0))</f>
        <v>Asset</v>
      </c>
      <c r="G347" s="12" t="n">
        <v>39544.88</v>
      </c>
      <c r="H347" s="12" t="n">
        <v>0</v>
      </c>
      <c r="I347" s="10" t="s">
        <v>103</v>
      </c>
      <c r="J347" s="10" t="s">
        <v>1636</v>
      </c>
      <c r="K347" s="10" t="s">
        <v>1640</v>
      </c>
    </row>
    <row r="348" customFormat="false" ht="15" hidden="false" customHeight="false" outlineLevel="0" collapsed="false">
      <c r="A348" s="10" t="s">
        <v>1999</v>
      </c>
      <c r="B348" s="10" t="n">
        <v>1163</v>
      </c>
      <c r="C348" s="8" t="n">
        <v>45723</v>
      </c>
      <c r="D348" s="8" t="n">
        <v>45722</v>
      </c>
      <c r="E348" s="10" t="n">
        <v>4000</v>
      </c>
      <c r="F348" s="0" t="str">
        <f aca="false">INDEX(COA!$C$5:$C$19,MATCH(E348,COA!$A$5:$A$19,0))</f>
        <v>Revenue</v>
      </c>
      <c r="G348" s="12" t="n">
        <v>0</v>
      </c>
      <c r="H348" s="12" t="n">
        <v>39544.88</v>
      </c>
      <c r="I348" s="10" t="s">
        <v>103</v>
      </c>
      <c r="J348" s="10" t="s">
        <v>1636</v>
      </c>
      <c r="K348" s="10" t="s">
        <v>1640</v>
      </c>
    </row>
    <row r="349" customFormat="false" ht="15" hidden="false" customHeight="false" outlineLevel="0" collapsed="false">
      <c r="A349" s="10" t="s">
        <v>2000</v>
      </c>
      <c r="B349" s="10" t="n">
        <v>1164</v>
      </c>
      <c r="C349" s="8" t="n">
        <v>45723</v>
      </c>
      <c r="D349" s="8" t="n">
        <v>45719</v>
      </c>
      <c r="E349" s="10" t="n">
        <v>1100</v>
      </c>
      <c r="F349" s="0" t="str">
        <f aca="false">INDEX(COA!$C$5:$C$19,MATCH(E349,COA!$A$5:$A$19,0))</f>
        <v>Asset</v>
      </c>
      <c r="G349" s="12" t="n">
        <v>60379.32</v>
      </c>
      <c r="H349" s="12" t="n">
        <v>0</v>
      </c>
      <c r="I349" s="10" t="s">
        <v>103</v>
      </c>
      <c r="J349" s="10" t="s">
        <v>1636</v>
      </c>
      <c r="K349" s="10" t="s">
        <v>1640</v>
      </c>
    </row>
    <row r="350" customFormat="false" ht="15" hidden="false" customHeight="false" outlineLevel="0" collapsed="false">
      <c r="A350" s="10" t="s">
        <v>2001</v>
      </c>
      <c r="B350" s="10" t="n">
        <v>1164</v>
      </c>
      <c r="C350" s="8" t="n">
        <v>45723</v>
      </c>
      <c r="D350" s="8" t="n">
        <v>45719</v>
      </c>
      <c r="E350" s="10" t="n">
        <v>4000</v>
      </c>
      <c r="F350" s="0" t="str">
        <f aca="false">INDEX(COA!$C$5:$C$19,MATCH(E350,COA!$A$5:$A$19,0))</f>
        <v>Revenue</v>
      </c>
      <c r="G350" s="12" t="n">
        <v>0</v>
      </c>
      <c r="H350" s="12" t="n">
        <v>60379.32</v>
      </c>
      <c r="I350" s="10" t="s">
        <v>103</v>
      </c>
      <c r="J350" s="10" t="s">
        <v>1636</v>
      </c>
      <c r="K350" s="10" t="s">
        <v>1640</v>
      </c>
    </row>
    <row r="351" customFormat="false" ht="15" hidden="false" customHeight="false" outlineLevel="0" collapsed="false">
      <c r="A351" s="10" t="s">
        <v>2002</v>
      </c>
      <c r="B351" s="10" t="n">
        <v>1165</v>
      </c>
      <c r="C351" s="8" t="n">
        <v>45726</v>
      </c>
      <c r="D351" s="8" t="n">
        <v>45726</v>
      </c>
      <c r="E351" s="10" t="n">
        <v>2000</v>
      </c>
      <c r="F351" s="0" t="str">
        <f aca="false">INDEX(COA!$C$5:$C$19,MATCH(E351,COA!$A$5:$A$19,0))</f>
        <v>Liability</v>
      </c>
      <c r="G351" s="12" t="n">
        <v>15322.05</v>
      </c>
      <c r="H351" s="12" t="n">
        <v>0</v>
      </c>
      <c r="I351" s="10" t="s">
        <v>104</v>
      </c>
      <c r="J351" s="10" t="s">
        <v>1636</v>
      </c>
      <c r="K351" s="10" t="s">
        <v>1659</v>
      </c>
    </row>
    <row r="352" customFormat="false" ht="15" hidden="false" customHeight="false" outlineLevel="0" collapsed="false">
      <c r="A352" s="10" t="s">
        <v>2003</v>
      </c>
      <c r="B352" s="10" t="n">
        <v>1165</v>
      </c>
      <c r="C352" s="8" t="n">
        <v>45726</v>
      </c>
      <c r="D352" s="8" t="n">
        <v>45726</v>
      </c>
      <c r="E352" s="10" t="n">
        <v>1000</v>
      </c>
      <c r="F352" s="0" t="str">
        <f aca="false">INDEX(COA!$C$5:$C$19,MATCH(E352,COA!$A$5:$A$19,0))</f>
        <v>Asset</v>
      </c>
      <c r="G352" s="12" t="n">
        <v>0</v>
      </c>
      <c r="H352" s="12" t="n">
        <v>15322.05</v>
      </c>
      <c r="I352" s="10" t="s">
        <v>104</v>
      </c>
      <c r="J352" s="10" t="s">
        <v>1636</v>
      </c>
      <c r="K352" s="10" t="s">
        <v>1659</v>
      </c>
    </row>
    <row r="353" customFormat="false" ht="15" hidden="false" customHeight="false" outlineLevel="0" collapsed="false">
      <c r="A353" s="10" t="s">
        <v>2004</v>
      </c>
      <c r="B353" s="10" t="n">
        <v>1166</v>
      </c>
      <c r="C353" s="8" t="n">
        <v>45726</v>
      </c>
      <c r="D353" s="8" t="n">
        <v>45722</v>
      </c>
      <c r="E353" s="10" t="n">
        <v>2100</v>
      </c>
      <c r="F353" s="0" t="str">
        <f aca="false">INDEX(COA!$C$5:$C$19,MATCH(E353,COA!$A$5:$A$19,0))</f>
        <v>Liability</v>
      </c>
      <c r="G353" s="12" t="n">
        <v>111013.78</v>
      </c>
      <c r="H353" s="12" t="n">
        <v>0</v>
      </c>
      <c r="I353" s="10" t="s">
        <v>98</v>
      </c>
      <c r="J353" s="10" t="s">
        <v>1648</v>
      </c>
      <c r="K353" s="10" t="s">
        <v>1677</v>
      </c>
    </row>
    <row r="354" customFormat="false" ht="15" hidden="false" customHeight="false" outlineLevel="0" collapsed="false">
      <c r="A354" s="10" t="s">
        <v>2005</v>
      </c>
      <c r="B354" s="10" t="n">
        <v>1166</v>
      </c>
      <c r="C354" s="8" t="n">
        <v>45726</v>
      </c>
      <c r="D354" s="8" t="n">
        <v>45722</v>
      </c>
      <c r="E354" s="10" t="n">
        <v>6900</v>
      </c>
      <c r="F354" s="0" t="str">
        <f aca="false">INDEX(COA!$C$5:$C$19,MATCH(E354,COA!$A$5:$A$19,0))</f>
        <v>Expense</v>
      </c>
      <c r="G354" s="12" t="n">
        <v>0</v>
      </c>
      <c r="H354" s="12" t="n">
        <v>111013.78</v>
      </c>
      <c r="I354" s="10" t="s">
        <v>98</v>
      </c>
      <c r="J354" s="10" t="s">
        <v>1648</v>
      </c>
      <c r="K354" s="10" t="s">
        <v>1677</v>
      </c>
    </row>
    <row r="355" customFormat="false" ht="15" hidden="false" customHeight="false" outlineLevel="0" collapsed="false">
      <c r="A355" s="10" t="s">
        <v>2006</v>
      </c>
      <c r="B355" s="10" t="n">
        <v>1167</v>
      </c>
      <c r="C355" s="8" t="n">
        <v>45726</v>
      </c>
      <c r="D355" s="8" t="n">
        <v>45699</v>
      </c>
      <c r="E355" s="10" t="n">
        <v>6900</v>
      </c>
      <c r="F355" s="0" t="str">
        <f aca="false">INDEX(COA!$C$5:$C$19,MATCH(E355,COA!$A$5:$A$19,0))</f>
        <v>Expense</v>
      </c>
      <c r="G355" s="12" t="n">
        <v>70124.66</v>
      </c>
      <c r="H355" s="12" t="n">
        <v>0</v>
      </c>
      <c r="I355" s="10" t="s">
        <v>101</v>
      </c>
      <c r="J355" s="10" t="s">
        <v>1648</v>
      </c>
      <c r="K355" s="10" t="s">
        <v>2007</v>
      </c>
    </row>
    <row r="356" customFormat="false" ht="15" hidden="false" customHeight="false" outlineLevel="0" collapsed="false">
      <c r="A356" s="10" t="s">
        <v>2008</v>
      </c>
      <c r="B356" s="10" t="n">
        <v>1167</v>
      </c>
      <c r="C356" s="8" t="n">
        <v>45726</v>
      </c>
      <c r="D356" s="8" t="n">
        <v>45699</v>
      </c>
      <c r="E356" s="10" t="n">
        <v>2100</v>
      </c>
      <c r="F356" s="0" t="str">
        <f aca="false">INDEX(COA!$C$5:$C$19,MATCH(E356,COA!$A$5:$A$19,0))</f>
        <v>Liability</v>
      </c>
      <c r="G356" s="12" t="n">
        <v>0</v>
      </c>
      <c r="H356" s="12" t="n">
        <v>70124.66</v>
      </c>
      <c r="I356" s="10" t="s">
        <v>101</v>
      </c>
      <c r="J356" s="10" t="s">
        <v>1648</v>
      </c>
      <c r="K356" s="10" t="s">
        <v>2007</v>
      </c>
    </row>
    <row r="357" customFormat="false" ht="15" hidden="false" customHeight="false" outlineLevel="0" collapsed="false">
      <c r="A357" s="10" t="s">
        <v>2009</v>
      </c>
      <c r="B357" s="10" t="n">
        <v>1168</v>
      </c>
      <c r="C357" s="8" t="n">
        <v>45726</v>
      </c>
      <c r="D357" s="8" t="n">
        <v>45724</v>
      </c>
      <c r="E357" s="10" t="n">
        <v>2000</v>
      </c>
      <c r="F357" s="0" t="str">
        <f aca="false">INDEX(COA!$C$5:$C$19,MATCH(E357,COA!$A$5:$A$19,0))</f>
        <v>Liability</v>
      </c>
      <c r="G357" s="12" t="n">
        <v>6768.07</v>
      </c>
      <c r="H357" s="12" t="n">
        <v>0</v>
      </c>
      <c r="I357" s="10" t="s">
        <v>104</v>
      </c>
      <c r="J357" s="10" t="s">
        <v>1636</v>
      </c>
      <c r="K357" s="10" t="s">
        <v>1659</v>
      </c>
    </row>
    <row r="358" customFormat="false" ht="15" hidden="false" customHeight="false" outlineLevel="0" collapsed="false">
      <c r="A358" s="10" t="s">
        <v>2010</v>
      </c>
      <c r="B358" s="10" t="n">
        <v>1168</v>
      </c>
      <c r="C358" s="8" t="n">
        <v>45726</v>
      </c>
      <c r="D358" s="8" t="n">
        <v>45724</v>
      </c>
      <c r="E358" s="10" t="n">
        <v>1000</v>
      </c>
      <c r="F358" s="0" t="str">
        <f aca="false">INDEX(COA!$C$5:$C$19,MATCH(E358,COA!$A$5:$A$19,0))</f>
        <v>Asset</v>
      </c>
      <c r="G358" s="12" t="n">
        <v>0</v>
      </c>
      <c r="H358" s="12" t="n">
        <v>6768.07</v>
      </c>
      <c r="I358" s="10" t="s">
        <v>104</v>
      </c>
      <c r="J358" s="10" t="s">
        <v>1636</v>
      </c>
      <c r="K358" s="10" t="s">
        <v>1659</v>
      </c>
    </row>
    <row r="359" customFormat="false" ht="15" hidden="false" customHeight="false" outlineLevel="0" collapsed="false">
      <c r="A359" s="10" t="s">
        <v>2011</v>
      </c>
      <c r="B359" s="10" t="n">
        <v>1169</v>
      </c>
      <c r="C359" s="8" t="n">
        <v>45727</v>
      </c>
      <c r="D359" s="8" t="n">
        <v>45723</v>
      </c>
      <c r="E359" s="10" t="n">
        <v>1000</v>
      </c>
      <c r="F359" s="0" t="str">
        <f aca="false">INDEX(COA!$C$5:$C$19,MATCH(E359,COA!$A$5:$A$19,0))</f>
        <v>Asset</v>
      </c>
      <c r="G359" s="12" t="n">
        <v>104274.75</v>
      </c>
      <c r="H359" s="12" t="n">
        <v>0</v>
      </c>
      <c r="I359" s="10" t="s">
        <v>103</v>
      </c>
      <c r="J359" s="10" t="s">
        <v>1636</v>
      </c>
      <c r="K359" s="10" t="s">
        <v>1637</v>
      </c>
    </row>
    <row r="360" customFormat="false" ht="15" hidden="false" customHeight="false" outlineLevel="0" collapsed="false">
      <c r="A360" s="10" t="s">
        <v>2012</v>
      </c>
      <c r="B360" s="10" t="n">
        <v>1169</v>
      </c>
      <c r="C360" s="8" t="n">
        <v>45727</v>
      </c>
      <c r="D360" s="8" t="n">
        <v>45723</v>
      </c>
      <c r="E360" s="10" t="n">
        <v>1000</v>
      </c>
      <c r="F360" s="0" t="str">
        <f aca="false">INDEX(COA!$C$5:$C$19,MATCH(E360,COA!$A$5:$A$19,0))</f>
        <v>Asset</v>
      </c>
      <c r="G360" s="12" t="n">
        <v>44689.18</v>
      </c>
      <c r="H360" s="12" t="n">
        <v>0</v>
      </c>
      <c r="I360" s="10" t="s">
        <v>103</v>
      </c>
      <c r="J360" s="10" t="s">
        <v>1636</v>
      </c>
      <c r="K360" s="10" t="s">
        <v>1637</v>
      </c>
    </row>
    <row r="361" customFormat="false" ht="15" hidden="false" customHeight="false" outlineLevel="0" collapsed="false">
      <c r="A361" s="10" t="s">
        <v>2013</v>
      </c>
      <c r="B361" s="10" t="n">
        <v>1169</v>
      </c>
      <c r="C361" s="8" t="n">
        <v>45727</v>
      </c>
      <c r="D361" s="8" t="n">
        <v>45723</v>
      </c>
      <c r="E361" s="10" t="n">
        <v>1100</v>
      </c>
      <c r="F361" s="0" t="str">
        <f aca="false">INDEX(COA!$C$5:$C$19,MATCH(E361,COA!$A$5:$A$19,0))</f>
        <v>Asset</v>
      </c>
      <c r="G361" s="12" t="n">
        <v>0</v>
      </c>
      <c r="H361" s="12" t="n">
        <v>148963.93</v>
      </c>
      <c r="I361" s="10" t="s">
        <v>103</v>
      </c>
      <c r="J361" s="10" t="s">
        <v>1636</v>
      </c>
      <c r="K361" s="10" t="s">
        <v>1637</v>
      </c>
    </row>
    <row r="362" customFormat="false" ht="15" hidden="false" customHeight="false" outlineLevel="0" collapsed="false">
      <c r="A362" s="10" t="s">
        <v>2014</v>
      </c>
      <c r="B362" s="10" t="n">
        <v>1170</v>
      </c>
      <c r="C362" s="8" t="n">
        <v>45727</v>
      </c>
      <c r="D362" s="8" t="n">
        <v>45727</v>
      </c>
      <c r="E362" s="10" t="n">
        <v>2000</v>
      </c>
      <c r="F362" s="0" t="str">
        <f aca="false">INDEX(COA!$C$5:$C$19,MATCH(E362,COA!$A$5:$A$19,0))</f>
        <v>Liability</v>
      </c>
      <c r="G362" s="12" t="n">
        <v>10321.9</v>
      </c>
      <c r="H362" s="12" t="n">
        <v>0</v>
      </c>
      <c r="I362" s="10" t="s">
        <v>104</v>
      </c>
      <c r="J362" s="10" t="s">
        <v>1636</v>
      </c>
      <c r="K362" s="10" t="s">
        <v>1659</v>
      </c>
    </row>
    <row r="363" customFormat="false" ht="15" hidden="false" customHeight="false" outlineLevel="0" collapsed="false">
      <c r="A363" s="10" t="s">
        <v>2015</v>
      </c>
      <c r="B363" s="10" t="n">
        <v>1170</v>
      </c>
      <c r="C363" s="8" t="n">
        <v>45727</v>
      </c>
      <c r="D363" s="8" t="n">
        <v>45727</v>
      </c>
      <c r="E363" s="10" t="n">
        <v>2000</v>
      </c>
      <c r="F363" s="0" t="str">
        <f aca="false">INDEX(COA!$C$5:$C$19,MATCH(E363,COA!$A$5:$A$19,0))</f>
        <v>Liability</v>
      </c>
      <c r="G363" s="12" t="n">
        <v>4423.67</v>
      </c>
      <c r="H363" s="12" t="n">
        <v>0</v>
      </c>
      <c r="I363" s="10" t="s">
        <v>104</v>
      </c>
      <c r="J363" s="10" t="s">
        <v>1636</v>
      </c>
      <c r="K363" s="10" t="s">
        <v>1659</v>
      </c>
    </row>
    <row r="364" customFormat="false" ht="15" hidden="false" customHeight="false" outlineLevel="0" collapsed="false">
      <c r="A364" s="10" t="s">
        <v>2016</v>
      </c>
      <c r="B364" s="10" t="n">
        <v>1170</v>
      </c>
      <c r="C364" s="8" t="n">
        <v>45727</v>
      </c>
      <c r="D364" s="8" t="n">
        <v>45727</v>
      </c>
      <c r="E364" s="10" t="n">
        <v>1000</v>
      </c>
      <c r="F364" s="0" t="str">
        <f aca="false">INDEX(COA!$C$5:$C$19,MATCH(E364,COA!$A$5:$A$19,0))</f>
        <v>Asset</v>
      </c>
      <c r="G364" s="12" t="n">
        <v>0</v>
      </c>
      <c r="H364" s="12" t="n">
        <v>14745.57</v>
      </c>
      <c r="I364" s="10" t="s">
        <v>104</v>
      </c>
      <c r="J364" s="10" t="s">
        <v>1636</v>
      </c>
      <c r="K364" s="10" t="s">
        <v>1659</v>
      </c>
    </row>
    <row r="365" customFormat="false" ht="15" hidden="false" customHeight="false" outlineLevel="0" collapsed="false">
      <c r="A365" s="10" t="s">
        <v>2017</v>
      </c>
      <c r="B365" s="10" t="n">
        <v>1171</v>
      </c>
      <c r="C365" s="8" t="n">
        <v>45727</v>
      </c>
      <c r="D365" s="8" t="n">
        <v>45723</v>
      </c>
      <c r="E365" s="10" t="n">
        <v>1100</v>
      </c>
      <c r="F365" s="0" t="str">
        <f aca="false">INDEX(COA!$C$5:$C$19,MATCH(E365,COA!$A$5:$A$19,0))</f>
        <v>Asset</v>
      </c>
      <c r="G365" s="12" t="n">
        <v>1353.28</v>
      </c>
      <c r="H365" s="12" t="n">
        <v>0</v>
      </c>
      <c r="I365" s="10" t="s">
        <v>103</v>
      </c>
      <c r="J365" s="10" t="s">
        <v>1636</v>
      </c>
      <c r="K365" s="10" t="s">
        <v>1640</v>
      </c>
    </row>
    <row r="366" customFormat="false" ht="15" hidden="false" customHeight="false" outlineLevel="0" collapsed="false">
      <c r="A366" s="10" t="s">
        <v>2018</v>
      </c>
      <c r="B366" s="10" t="n">
        <v>1171</v>
      </c>
      <c r="C366" s="8" t="n">
        <v>45727</v>
      </c>
      <c r="D366" s="8" t="n">
        <v>45723</v>
      </c>
      <c r="E366" s="10" t="n">
        <v>4000</v>
      </c>
      <c r="F366" s="0" t="str">
        <f aca="false">INDEX(COA!$C$5:$C$19,MATCH(E366,COA!$A$5:$A$19,0))</f>
        <v>Revenue</v>
      </c>
      <c r="G366" s="12" t="n">
        <v>0</v>
      </c>
      <c r="H366" s="12" t="n">
        <v>1353.28</v>
      </c>
      <c r="I366" s="10" t="s">
        <v>103</v>
      </c>
      <c r="J366" s="10" t="s">
        <v>1636</v>
      </c>
      <c r="K366" s="10" t="s">
        <v>1640</v>
      </c>
    </row>
    <row r="367" customFormat="false" ht="15" hidden="false" customHeight="false" outlineLevel="0" collapsed="false">
      <c r="A367" s="10" t="s">
        <v>2019</v>
      </c>
      <c r="B367" s="10" t="n">
        <v>1172</v>
      </c>
      <c r="C367" s="8" t="n">
        <v>45727</v>
      </c>
      <c r="D367" s="8" t="n">
        <v>45726</v>
      </c>
      <c r="E367" s="10" t="n">
        <v>2000</v>
      </c>
      <c r="F367" s="0" t="str">
        <f aca="false">INDEX(COA!$C$5:$C$19,MATCH(E367,COA!$A$5:$A$19,0))</f>
        <v>Liability</v>
      </c>
      <c r="G367" s="12" t="n">
        <v>3459.68</v>
      </c>
      <c r="H367" s="12" t="n">
        <v>0</v>
      </c>
      <c r="I367" s="10" t="s">
        <v>104</v>
      </c>
      <c r="J367" s="10" t="s">
        <v>1636</v>
      </c>
      <c r="K367" s="10" t="s">
        <v>1659</v>
      </c>
    </row>
    <row r="368" customFormat="false" ht="15" hidden="false" customHeight="false" outlineLevel="0" collapsed="false">
      <c r="A368" s="10" t="s">
        <v>2020</v>
      </c>
      <c r="B368" s="10" t="n">
        <v>1172</v>
      </c>
      <c r="C368" s="8" t="n">
        <v>45727</v>
      </c>
      <c r="D368" s="8" t="n">
        <v>45726</v>
      </c>
      <c r="E368" s="10" t="n">
        <v>1000</v>
      </c>
      <c r="F368" s="0" t="str">
        <f aca="false">INDEX(COA!$C$5:$C$19,MATCH(E368,COA!$A$5:$A$19,0))</f>
        <v>Asset</v>
      </c>
      <c r="G368" s="12" t="n">
        <v>0</v>
      </c>
      <c r="H368" s="12" t="n">
        <v>3459.68</v>
      </c>
      <c r="I368" s="10" t="s">
        <v>104</v>
      </c>
      <c r="J368" s="10" t="s">
        <v>1636</v>
      </c>
      <c r="K368" s="10" t="s">
        <v>1659</v>
      </c>
    </row>
    <row r="369" customFormat="false" ht="15" hidden="false" customHeight="false" outlineLevel="0" collapsed="false">
      <c r="A369" s="10" t="s">
        <v>2021</v>
      </c>
      <c r="B369" s="10" t="n">
        <v>1173</v>
      </c>
      <c r="C369" s="8" t="n">
        <v>45728</v>
      </c>
      <c r="D369" s="8" t="n">
        <v>45724</v>
      </c>
      <c r="E369" s="10" t="n">
        <v>1200</v>
      </c>
      <c r="F369" s="0" t="str">
        <f aca="false">INDEX(COA!$C$5:$C$19,MATCH(E369,COA!$A$5:$A$19,0))</f>
        <v>Asset</v>
      </c>
      <c r="G369" s="12" t="n">
        <v>36198.26</v>
      </c>
      <c r="H369" s="12" t="n">
        <v>0</v>
      </c>
      <c r="I369" s="10" t="s">
        <v>102</v>
      </c>
      <c r="J369" s="10" t="s">
        <v>1636</v>
      </c>
      <c r="K369" s="10" t="s">
        <v>1655</v>
      </c>
    </row>
    <row r="370" customFormat="false" ht="15" hidden="false" customHeight="false" outlineLevel="0" collapsed="false">
      <c r="A370" s="10" t="s">
        <v>2022</v>
      </c>
      <c r="B370" s="10" t="n">
        <v>1173</v>
      </c>
      <c r="C370" s="8" t="n">
        <v>45728</v>
      </c>
      <c r="D370" s="8" t="n">
        <v>45724</v>
      </c>
      <c r="E370" s="10" t="n">
        <v>2000</v>
      </c>
      <c r="F370" s="0" t="str">
        <f aca="false">INDEX(COA!$C$5:$C$19,MATCH(E370,COA!$A$5:$A$19,0))</f>
        <v>Liability</v>
      </c>
      <c r="G370" s="12" t="n">
        <v>0</v>
      </c>
      <c r="H370" s="12" t="n">
        <v>36198.26</v>
      </c>
      <c r="I370" s="10" t="s">
        <v>102</v>
      </c>
      <c r="J370" s="10" t="s">
        <v>1636</v>
      </c>
      <c r="K370" s="10" t="s">
        <v>1655</v>
      </c>
    </row>
    <row r="371" customFormat="false" ht="15" hidden="false" customHeight="false" outlineLevel="0" collapsed="false">
      <c r="A371" s="10" t="s">
        <v>2023</v>
      </c>
      <c r="B371" s="10" t="n">
        <v>1174</v>
      </c>
      <c r="C371" s="8" t="n">
        <v>45728</v>
      </c>
      <c r="D371" s="8" t="n">
        <v>45724</v>
      </c>
      <c r="E371" s="10" t="n">
        <v>1200</v>
      </c>
      <c r="F371" s="0" t="str">
        <f aca="false">INDEX(COA!$C$5:$C$19,MATCH(E371,COA!$A$5:$A$19,0))</f>
        <v>Asset</v>
      </c>
      <c r="G371" s="12" t="n">
        <v>56453.33</v>
      </c>
      <c r="H371" s="12" t="n">
        <v>0</v>
      </c>
      <c r="I371" s="10" t="s">
        <v>102</v>
      </c>
      <c r="J371" s="10" t="s">
        <v>1636</v>
      </c>
      <c r="K371" s="10" t="s">
        <v>1655</v>
      </c>
    </row>
    <row r="372" customFormat="false" ht="15" hidden="false" customHeight="false" outlineLevel="0" collapsed="false">
      <c r="A372" s="10" t="s">
        <v>2024</v>
      </c>
      <c r="B372" s="10" t="n">
        <v>1174</v>
      </c>
      <c r="C372" s="8" t="n">
        <v>45728</v>
      </c>
      <c r="D372" s="8" t="n">
        <v>45724</v>
      </c>
      <c r="E372" s="10" t="n">
        <v>2000</v>
      </c>
      <c r="F372" s="0" t="str">
        <f aca="false">INDEX(COA!$C$5:$C$19,MATCH(E372,COA!$A$5:$A$19,0))</f>
        <v>Liability</v>
      </c>
      <c r="G372" s="12" t="n">
        <v>0</v>
      </c>
      <c r="H372" s="12" t="n">
        <v>56453.33</v>
      </c>
      <c r="I372" s="10" t="s">
        <v>102</v>
      </c>
      <c r="J372" s="10" t="s">
        <v>1636</v>
      </c>
      <c r="K372" s="10" t="s">
        <v>1655</v>
      </c>
    </row>
    <row r="373" customFormat="false" ht="15" hidden="false" customHeight="false" outlineLevel="0" collapsed="false">
      <c r="A373" s="10" t="s">
        <v>2025</v>
      </c>
      <c r="B373" s="10" t="n">
        <v>1175</v>
      </c>
      <c r="C373" s="8" t="n">
        <v>45728</v>
      </c>
      <c r="D373" s="8" t="n">
        <v>45728</v>
      </c>
      <c r="E373" s="10" t="n">
        <v>1200</v>
      </c>
      <c r="F373" s="0" t="str">
        <f aca="false">INDEX(COA!$C$5:$C$19,MATCH(E373,COA!$A$5:$A$19,0))</f>
        <v>Asset</v>
      </c>
      <c r="G373" s="12" t="n">
        <v>3504.34</v>
      </c>
      <c r="H373" s="12" t="n">
        <v>0</v>
      </c>
      <c r="I373" s="10" t="s">
        <v>102</v>
      </c>
      <c r="J373" s="10" t="s">
        <v>1636</v>
      </c>
      <c r="K373" s="10" t="s">
        <v>1655</v>
      </c>
    </row>
    <row r="374" customFormat="false" ht="15" hidden="false" customHeight="false" outlineLevel="0" collapsed="false">
      <c r="A374" s="10" t="s">
        <v>2026</v>
      </c>
      <c r="B374" s="10" t="n">
        <v>1175</v>
      </c>
      <c r="C374" s="8" t="n">
        <v>45728</v>
      </c>
      <c r="D374" s="8" t="n">
        <v>45728</v>
      </c>
      <c r="E374" s="10" t="n">
        <v>2000</v>
      </c>
      <c r="F374" s="0" t="str">
        <f aca="false">INDEX(COA!$C$5:$C$19,MATCH(E374,COA!$A$5:$A$19,0))</f>
        <v>Liability</v>
      </c>
      <c r="G374" s="12" t="n">
        <v>0</v>
      </c>
      <c r="H374" s="12" t="n">
        <v>3504.34</v>
      </c>
      <c r="I374" s="10" t="s">
        <v>102</v>
      </c>
      <c r="J374" s="10" t="s">
        <v>1636</v>
      </c>
      <c r="K374" s="10" t="s">
        <v>1655</v>
      </c>
    </row>
    <row r="375" customFormat="false" ht="15" hidden="false" customHeight="false" outlineLevel="0" collapsed="false">
      <c r="A375" s="10" t="s">
        <v>2027</v>
      </c>
      <c r="B375" s="10" t="n">
        <v>1176</v>
      </c>
      <c r="C375" s="8" t="n">
        <v>45728</v>
      </c>
      <c r="D375" s="8" t="n">
        <v>45726</v>
      </c>
      <c r="E375" s="10" t="n">
        <v>1100</v>
      </c>
      <c r="F375" s="0" t="str">
        <f aca="false">INDEX(COA!$C$5:$C$19,MATCH(E375,COA!$A$5:$A$19,0))</f>
        <v>Asset</v>
      </c>
      <c r="G375" s="12" t="n">
        <v>210.87</v>
      </c>
      <c r="H375" s="12" t="n">
        <v>0</v>
      </c>
      <c r="I375" s="10" t="s">
        <v>103</v>
      </c>
      <c r="J375" s="10" t="s">
        <v>1636</v>
      </c>
      <c r="K375" s="10" t="s">
        <v>1640</v>
      </c>
    </row>
    <row r="376" customFormat="false" ht="15" hidden="false" customHeight="false" outlineLevel="0" collapsed="false">
      <c r="A376" s="10" t="s">
        <v>2028</v>
      </c>
      <c r="B376" s="10" t="n">
        <v>1176</v>
      </c>
      <c r="C376" s="8" t="n">
        <v>45728</v>
      </c>
      <c r="D376" s="8" t="n">
        <v>45726</v>
      </c>
      <c r="E376" s="10" t="n">
        <v>4000</v>
      </c>
      <c r="F376" s="0" t="str">
        <f aca="false">INDEX(COA!$C$5:$C$19,MATCH(E376,COA!$A$5:$A$19,0))</f>
        <v>Revenue</v>
      </c>
      <c r="G376" s="12" t="n">
        <v>0</v>
      </c>
      <c r="H376" s="12" t="n">
        <v>210.87</v>
      </c>
      <c r="I376" s="10" t="s">
        <v>103</v>
      </c>
      <c r="J376" s="10" t="s">
        <v>1636</v>
      </c>
      <c r="K376" s="10" t="s">
        <v>1640</v>
      </c>
    </row>
    <row r="377" customFormat="false" ht="15" hidden="false" customHeight="false" outlineLevel="0" collapsed="false">
      <c r="A377" s="10" t="s">
        <v>2029</v>
      </c>
      <c r="B377" s="10" t="n">
        <v>1177</v>
      </c>
      <c r="C377" s="8" t="n">
        <v>45728</v>
      </c>
      <c r="D377" s="8" t="n">
        <v>45725</v>
      </c>
      <c r="E377" s="10" t="n">
        <v>1000</v>
      </c>
      <c r="F377" s="0" t="str">
        <f aca="false">INDEX(COA!$C$5:$C$19,MATCH(E377,COA!$A$5:$A$19,0))</f>
        <v>Asset</v>
      </c>
      <c r="G377" s="12" t="n">
        <v>114064.41</v>
      </c>
      <c r="H377" s="12" t="n">
        <v>0</v>
      </c>
      <c r="I377" s="10" t="s">
        <v>103</v>
      </c>
      <c r="J377" s="10" t="s">
        <v>1636</v>
      </c>
      <c r="K377" s="10" t="s">
        <v>1637</v>
      </c>
    </row>
    <row r="378" customFormat="false" ht="15" hidden="false" customHeight="false" outlineLevel="0" collapsed="false">
      <c r="A378" s="10" t="s">
        <v>2030</v>
      </c>
      <c r="B378" s="10" t="n">
        <v>1177</v>
      </c>
      <c r="C378" s="8" t="n">
        <v>45728</v>
      </c>
      <c r="D378" s="8" t="n">
        <v>45725</v>
      </c>
      <c r="E378" s="10" t="n">
        <v>1100</v>
      </c>
      <c r="F378" s="0" t="str">
        <f aca="false">INDEX(COA!$C$5:$C$19,MATCH(E378,COA!$A$5:$A$19,0))</f>
        <v>Asset</v>
      </c>
      <c r="G378" s="12" t="n">
        <v>0</v>
      </c>
      <c r="H378" s="12" t="n">
        <v>114064.41</v>
      </c>
      <c r="I378" s="10" t="s">
        <v>103</v>
      </c>
      <c r="J378" s="10" t="s">
        <v>1636</v>
      </c>
      <c r="K378" s="10" t="s">
        <v>1637</v>
      </c>
    </row>
    <row r="379" customFormat="false" ht="15" hidden="false" customHeight="false" outlineLevel="0" collapsed="false">
      <c r="A379" s="10" t="s">
        <v>2031</v>
      </c>
      <c r="B379" s="10" t="n">
        <v>1178</v>
      </c>
      <c r="C379" s="8" t="n">
        <v>45729</v>
      </c>
      <c r="D379" s="8" t="n">
        <v>45729</v>
      </c>
      <c r="E379" s="10" t="n">
        <v>6900</v>
      </c>
      <c r="F379" s="0" t="str">
        <f aca="false">INDEX(COA!$C$5:$C$19,MATCH(E379,COA!$A$5:$A$19,0))</f>
        <v>Expense</v>
      </c>
      <c r="G379" s="12" t="n">
        <v>47820.57</v>
      </c>
      <c r="H379" s="12" t="n">
        <v>0</v>
      </c>
      <c r="I379" s="10" t="s">
        <v>101</v>
      </c>
      <c r="J379" s="10" t="s">
        <v>1648</v>
      </c>
      <c r="K379" s="10" t="s">
        <v>2032</v>
      </c>
    </row>
    <row r="380" customFormat="false" ht="15" hidden="false" customHeight="false" outlineLevel="0" collapsed="false">
      <c r="A380" s="10" t="s">
        <v>2033</v>
      </c>
      <c r="B380" s="10" t="n">
        <v>1178</v>
      </c>
      <c r="C380" s="8" t="n">
        <v>45729</v>
      </c>
      <c r="D380" s="8" t="n">
        <v>45729</v>
      </c>
      <c r="E380" s="10" t="n">
        <v>2100</v>
      </c>
      <c r="F380" s="0" t="str">
        <f aca="false">INDEX(COA!$C$5:$C$19,MATCH(E380,COA!$A$5:$A$19,0))</f>
        <v>Liability</v>
      </c>
      <c r="G380" s="12" t="n">
        <v>0</v>
      </c>
      <c r="H380" s="12" t="n">
        <v>47820.57</v>
      </c>
      <c r="I380" s="10" t="s">
        <v>101</v>
      </c>
      <c r="J380" s="10" t="s">
        <v>1648</v>
      </c>
      <c r="K380" s="10" t="s">
        <v>2032</v>
      </c>
    </row>
    <row r="381" customFormat="false" ht="15" hidden="false" customHeight="false" outlineLevel="0" collapsed="false">
      <c r="A381" s="10" t="s">
        <v>2034</v>
      </c>
      <c r="B381" s="10" t="n">
        <v>1179</v>
      </c>
      <c r="C381" s="8" t="n">
        <v>45729</v>
      </c>
      <c r="D381" s="8" t="n">
        <v>45727</v>
      </c>
      <c r="E381" s="10" t="n">
        <v>1200</v>
      </c>
      <c r="F381" s="0" t="str">
        <f aca="false">INDEX(COA!$C$5:$C$19,MATCH(E381,COA!$A$5:$A$19,0))</f>
        <v>Asset</v>
      </c>
      <c r="G381" s="12" t="n">
        <v>261.42</v>
      </c>
      <c r="H381" s="12" t="n">
        <v>0</v>
      </c>
      <c r="I381" s="10" t="s">
        <v>102</v>
      </c>
      <c r="J381" s="10" t="s">
        <v>1636</v>
      </c>
      <c r="K381" s="10" t="s">
        <v>1655</v>
      </c>
    </row>
    <row r="382" customFormat="false" ht="15" hidden="false" customHeight="false" outlineLevel="0" collapsed="false">
      <c r="A382" s="10" t="s">
        <v>2035</v>
      </c>
      <c r="B382" s="10" t="n">
        <v>1179</v>
      </c>
      <c r="C382" s="8" t="n">
        <v>45729</v>
      </c>
      <c r="D382" s="8" t="n">
        <v>45727</v>
      </c>
      <c r="E382" s="10" t="n">
        <v>2000</v>
      </c>
      <c r="F382" s="0" t="str">
        <f aca="false">INDEX(COA!$C$5:$C$19,MATCH(E382,COA!$A$5:$A$19,0))</f>
        <v>Liability</v>
      </c>
      <c r="G382" s="12" t="n">
        <v>0</v>
      </c>
      <c r="H382" s="12" t="n">
        <v>261.42</v>
      </c>
      <c r="I382" s="10" t="s">
        <v>102</v>
      </c>
      <c r="J382" s="10" t="s">
        <v>1636</v>
      </c>
      <c r="K382" s="10" t="s">
        <v>1655</v>
      </c>
    </row>
    <row r="383" customFormat="false" ht="15" hidden="false" customHeight="false" outlineLevel="0" collapsed="false">
      <c r="A383" s="10" t="s">
        <v>2036</v>
      </c>
      <c r="B383" s="10" t="n">
        <v>1180</v>
      </c>
      <c r="C383" s="8" t="n">
        <v>45729</v>
      </c>
      <c r="D383" s="8" t="n">
        <v>45729</v>
      </c>
      <c r="E383" s="10" t="n">
        <v>1100</v>
      </c>
      <c r="F383" s="0" t="str">
        <f aca="false">INDEX(COA!$C$5:$C$19,MATCH(E383,COA!$A$5:$A$19,0))</f>
        <v>Asset</v>
      </c>
      <c r="G383" s="12" t="n">
        <v>20531.16</v>
      </c>
      <c r="H383" s="12" t="n">
        <v>0</v>
      </c>
      <c r="I383" s="10" t="s">
        <v>103</v>
      </c>
      <c r="J383" s="10" t="s">
        <v>1636</v>
      </c>
      <c r="K383" s="10" t="s">
        <v>1640</v>
      </c>
    </row>
    <row r="384" customFormat="false" ht="15" hidden="false" customHeight="false" outlineLevel="0" collapsed="false">
      <c r="A384" s="10" t="s">
        <v>2037</v>
      </c>
      <c r="B384" s="10" t="n">
        <v>1180</v>
      </c>
      <c r="C384" s="8" t="n">
        <v>45729</v>
      </c>
      <c r="D384" s="8" t="n">
        <v>45729</v>
      </c>
      <c r="E384" s="10" t="n">
        <v>4000</v>
      </c>
      <c r="F384" s="0" t="str">
        <f aca="false">INDEX(COA!$C$5:$C$19,MATCH(E384,COA!$A$5:$A$19,0))</f>
        <v>Revenue</v>
      </c>
      <c r="G384" s="12" t="n">
        <v>0</v>
      </c>
      <c r="H384" s="12" t="n">
        <v>20531.16</v>
      </c>
      <c r="I384" s="10" t="s">
        <v>103</v>
      </c>
      <c r="J384" s="10" t="s">
        <v>1636</v>
      </c>
      <c r="K384" s="10" t="s">
        <v>1640</v>
      </c>
    </row>
    <row r="385" customFormat="false" ht="15" hidden="false" customHeight="false" outlineLevel="0" collapsed="false">
      <c r="A385" s="10" t="s">
        <v>2038</v>
      </c>
      <c r="B385" s="10" t="n">
        <v>1181</v>
      </c>
      <c r="C385" s="8" t="n">
        <v>45729</v>
      </c>
      <c r="D385" s="8" t="n">
        <v>45725</v>
      </c>
      <c r="E385" s="10" t="n">
        <v>5000</v>
      </c>
      <c r="F385" s="0" t="str">
        <f aca="false">INDEX(COA!$C$5:$C$19,MATCH(E385,COA!$A$5:$A$19,0))</f>
        <v>Expense</v>
      </c>
      <c r="G385" s="12" t="n">
        <v>1707.84</v>
      </c>
      <c r="H385" s="12" t="n">
        <v>0</v>
      </c>
      <c r="I385" s="10" t="s">
        <v>103</v>
      </c>
      <c r="J385" s="10" t="s">
        <v>1636</v>
      </c>
      <c r="K385" s="10" t="s">
        <v>1670</v>
      </c>
    </row>
    <row r="386" customFormat="false" ht="15" hidden="false" customHeight="false" outlineLevel="0" collapsed="false">
      <c r="A386" s="10" t="s">
        <v>2039</v>
      </c>
      <c r="B386" s="10" t="n">
        <v>1181</v>
      </c>
      <c r="C386" s="8" t="n">
        <v>45729</v>
      </c>
      <c r="D386" s="8" t="n">
        <v>45725</v>
      </c>
      <c r="E386" s="10" t="n">
        <v>5000</v>
      </c>
      <c r="F386" s="0" t="str">
        <f aca="false">INDEX(COA!$C$5:$C$19,MATCH(E386,COA!$A$5:$A$19,0))</f>
        <v>Expense</v>
      </c>
      <c r="G386" s="12" t="n">
        <v>731.93</v>
      </c>
      <c r="H386" s="12" t="n">
        <v>0</v>
      </c>
      <c r="I386" s="10" t="s">
        <v>103</v>
      </c>
      <c r="J386" s="10" t="s">
        <v>1636</v>
      </c>
      <c r="K386" s="10" t="s">
        <v>1670</v>
      </c>
    </row>
    <row r="387" customFormat="false" ht="15" hidden="false" customHeight="false" outlineLevel="0" collapsed="false">
      <c r="A387" s="10" t="s">
        <v>2040</v>
      </c>
      <c r="B387" s="10" t="n">
        <v>1181</v>
      </c>
      <c r="C387" s="8" t="n">
        <v>45729</v>
      </c>
      <c r="D387" s="8" t="n">
        <v>45725</v>
      </c>
      <c r="E387" s="10" t="n">
        <v>1200</v>
      </c>
      <c r="F387" s="0" t="str">
        <f aca="false">INDEX(COA!$C$5:$C$19,MATCH(E387,COA!$A$5:$A$19,0))</f>
        <v>Asset</v>
      </c>
      <c r="G387" s="12" t="n">
        <v>0</v>
      </c>
      <c r="H387" s="12" t="n">
        <v>2439.77</v>
      </c>
      <c r="I387" s="10" t="s">
        <v>103</v>
      </c>
      <c r="J387" s="10" t="s">
        <v>1636</v>
      </c>
      <c r="K387" s="10" t="s">
        <v>1670</v>
      </c>
    </row>
    <row r="388" customFormat="false" ht="15" hidden="false" customHeight="false" outlineLevel="0" collapsed="false">
      <c r="A388" s="10" t="s">
        <v>2041</v>
      </c>
      <c r="B388" s="10" t="n">
        <v>1182</v>
      </c>
      <c r="C388" s="8" t="n">
        <v>45730</v>
      </c>
      <c r="D388" s="8" t="n">
        <v>45727</v>
      </c>
      <c r="E388" s="10" t="n">
        <v>1200</v>
      </c>
      <c r="F388" s="0" t="str">
        <f aca="false">INDEX(COA!$C$5:$C$19,MATCH(E388,COA!$A$5:$A$19,0))</f>
        <v>Asset</v>
      </c>
      <c r="G388" s="12" t="n">
        <v>3503.61</v>
      </c>
      <c r="H388" s="12" t="n">
        <v>0</v>
      </c>
      <c r="I388" s="10" t="s">
        <v>102</v>
      </c>
      <c r="J388" s="10" t="s">
        <v>1636</v>
      </c>
      <c r="K388" s="10" t="s">
        <v>1655</v>
      </c>
    </row>
    <row r="389" customFormat="false" ht="15" hidden="false" customHeight="false" outlineLevel="0" collapsed="false">
      <c r="A389" s="10" t="s">
        <v>2042</v>
      </c>
      <c r="B389" s="10" t="n">
        <v>1182</v>
      </c>
      <c r="C389" s="8" t="n">
        <v>45730</v>
      </c>
      <c r="D389" s="8" t="n">
        <v>45727</v>
      </c>
      <c r="E389" s="10" t="n">
        <v>2000</v>
      </c>
      <c r="F389" s="0" t="str">
        <f aca="false">INDEX(COA!$C$5:$C$19,MATCH(E389,COA!$A$5:$A$19,0))</f>
        <v>Liability</v>
      </c>
      <c r="G389" s="12" t="n">
        <v>0</v>
      </c>
      <c r="H389" s="12" t="n">
        <v>3503.61</v>
      </c>
      <c r="I389" s="10" t="s">
        <v>102</v>
      </c>
      <c r="J389" s="10" t="s">
        <v>1636</v>
      </c>
      <c r="K389" s="10" t="s">
        <v>1655</v>
      </c>
    </row>
    <row r="390" customFormat="false" ht="15" hidden="false" customHeight="false" outlineLevel="0" collapsed="false">
      <c r="A390" s="10" t="s">
        <v>2043</v>
      </c>
      <c r="B390" s="10" t="n">
        <v>1183</v>
      </c>
      <c r="C390" s="8" t="n">
        <v>45733</v>
      </c>
      <c r="D390" s="8" t="n">
        <v>45729</v>
      </c>
      <c r="E390" s="10" t="n">
        <v>2000</v>
      </c>
      <c r="F390" s="0" t="str">
        <f aca="false">INDEX(COA!$C$5:$C$19,MATCH(E390,COA!$A$5:$A$19,0))</f>
        <v>Liability</v>
      </c>
      <c r="G390" s="12" t="n">
        <v>70212.96</v>
      </c>
      <c r="H390" s="12" t="n">
        <v>0</v>
      </c>
      <c r="I390" s="10" t="s">
        <v>104</v>
      </c>
      <c r="J390" s="10" t="s">
        <v>1636</v>
      </c>
      <c r="K390" s="10" t="s">
        <v>1659</v>
      </c>
    </row>
    <row r="391" customFormat="false" ht="15" hidden="false" customHeight="false" outlineLevel="0" collapsed="false">
      <c r="A391" s="10" t="s">
        <v>2044</v>
      </c>
      <c r="B391" s="10" t="n">
        <v>1183</v>
      </c>
      <c r="C391" s="8" t="n">
        <v>45733</v>
      </c>
      <c r="D391" s="8" t="n">
        <v>45729</v>
      </c>
      <c r="E391" s="10" t="n">
        <v>1000</v>
      </c>
      <c r="F391" s="0" t="str">
        <f aca="false">INDEX(COA!$C$5:$C$19,MATCH(E391,COA!$A$5:$A$19,0))</f>
        <v>Asset</v>
      </c>
      <c r="G391" s="12" t="n">
        <v>0</v>
      </c>
      <c r="H391" s="12" t="n">
        <v>70212.96</v>
      </c>
      <c r="I391" s="10" t="s">
        <v>104</v>
      </c>
      <c r="J391" s="10" t="s">
        <v>1636</v>
      </c>
      <c r="K391" s="10" t="s">
        <v>1659</v>
      </c>
    </row>
    <row r="392" customFormat="false" ht="15" hidden="false" customHeight="false" outlineLevel="0" collapsed="false">
      <c r="A392" s="10" t="s">
        <v>2045</v>
      </c>
      <c r="B392" s="10" t="n">
        <v>1184</v>
      </c>
      <c r="C392" s="8" t="n">
        <v>45733</v>
      </c>
      <c r="D392" s="8" t="n">
        <v>45733</v>
      </c>
      <c r="E392" s="10" t="n">
        <v>1000</v>
      </c>
      <c r="F392" s="0" t="str">
        <f aca="false">INDEX(COA!$C$5:$C$19,MATCH(E392,COA!$A$5:$A$19,0))</f>
        <v>Asset</v>
      </c>
      <c r="G392" s="12" t="n">
        <v>5467.27</v>
      </c>
      <c r="H392" s="12" t="n">
        <v>0</v>
      </c>
      <c r="I392" s="10" t="s">
        <v>103</v>
      </c>
      <c r="J392" s="10" t="s">
        <v>1636</v>
      </c>
      <c r="K392" s="10" t="s">
        <v>1637</v>
      </c>
    </row>
    <row r="393" customFormat="false" ht="15" hidden="false" customHeight="false" outlineLevel="0" collapsed="false">
      <c r="A393" s="10" t="s">
        <v>2046</v>
      </c>
      <c r="B393" s="10" t="n">
        <v>1184</v>
      </c>
      <c r="C393" s="8" t="n">
        <v>45733</v>
      </c>
      <c r="D393" s="8" t="n">
        <v>45733</v>
      </c>
      <c r="E393" s="10" t="n">
        <v>1100</v>
      </c>
      <c r="F393" s="0" t="str">
        <f aca="false">INDEX(COA!$C$5:$C$19,MATCH(E393,COA!$A$5:$A$19,0))</f>
        <v>Asset</v>
      </c>
      <c r="G393" s="12" t="n">
        <v>0</v>
      </c>
      <c r="H393" s="12" t="n">
        <v>5467.27</v>
      </c>
      <c r="I393" s="10" t="s">
        <v>103</v>
      </c>
      <c r="J393" s="10" t="s">
        <v>1636</v>
      </c>
      <c r="K393" s="10" t="s">
        <v>1637</v>
      </c>
    </row>
    <row r="394" customFormat="false" ht="15" hidden="false" customHeight="false" outlineLevel="0" collapsed="false">
      <c r="A394" s="10" t="s">
        <v>2047</v>
      </c>
      <c r="B394" s="10" t="n">
        <v>1185</v>
      </c>
      <c r="C394" s="8" t="n">
        <v>45733</v>
      </c>
      <c r="D394" s="8" t="n">
        <v>45730</v>
      </c>
      <c r="E394" s="10" t="n">
        <v>1000</v>
      </c>
      <c r="F394" s="0" t="str">
        <f aca="false">INDEX(COA!$C$5:$C$19,MATCH(E394,COA!$A$5:$A$19,0))</f>
        <v>Asset</v>
      </c>
      <c r="G394" s="12" t="n">
        <v>27385.66</v>
      </c>
      <c r="H394" s="12" t="n">
        <v>0</v>
      </c>
      <c r="I394" s="10" t="s">
        <v>103</v>
      </c>
      <c r="J394" s="10" t="s">
        <v>1636</v>
      </c>
      <c r="K394" s="10" t="s">
        <v>1637</v>
      </c>
    </row>
    <row r="395" customFormat="false" ht="15" hidden="false" customHeight="false" outlineLevel="0" collapsed="false">
      <c r="A395" s="10" t="s">
        <v>2048</v>
      </c>
      <c r="B395" s="10" t="n">
        <v>1185</v>
      </c>
      <c r="C395" s="8" t="n">
        <v>45733</v>
      </c>
      <c r="D395" s="8" t="n">
        <v>45730</v>
      </c>
      <c r="E395" s="10" t="n">
        <v>1100</v>
      </c>
      <c r="F395" s="0" t="str">
        <f aca="false">INDEX(COA!$C$5:$C$19,MATCH(E395,COA!$A$5:$A$19,0))</f>
        <v>Asset</v>
      </c>
      <c r="G395" s="12" t="n">
        <v>0</v>
      </c>
      <c r="H395" s="12" t="n">
        <v>27385.66</v>
      </c>
      <c r="I395" s="10" t="s">
        <v>103</v>
      </c>
      <c r="J395" s="10" t="s">
        <v>1636</v>
      </c>
      <c r="K395" s="10" t="s">
        <v>1637</v>
      </c>
    </row>
    <row r="396" customFormat="false" ht="15" hidden="false" customHeight="false" outlineLevel="0" collapsed="false">
      <c r="A396" s="10" t="s">
        <v>2049</v>
      </c>
      <c r="B396" s="10" t="n">
        <v>1186</v>
      </c>
      <c r="C396" s="8" t="n">
        <v>45734</v>
      </c>
      <c r="D396" s="8" t="n">
        <v>45734</v>
      </c>
      <c r="E396" s="10" t="n">
        <v>9999</v>
      </c>
      <c r="F396" s="0" t="str">
        <f aca="false">INDEX(COA!$C$5:$C$19,MATCH(E396,COA!$A$5:$A$19,0))</f>
        <v>Suspense</v>
      </c>
      <c r="G396" s="12" t="n">
        <v>6334.26</v>
      </c>
      <c r="H396" s="12" t="n">
        <v>0</v>
      </c>
      <c r="I396" s="10" t="s">
        <v>97</v>
      </c>
      <c r="J396" s="10" t="s">
        <v>1648</v>
      </c>
      <c r="K396" s="10" t="s">
        <v>2050</v>
      </c>
    </row>
    <row r="397" customFormat="false" ht="15" hidden="false" customHeight="false" outlineLevel="0" collapsed="false">
      <c r="A397" s="10" t="s">
        <v>2051</v>
      </c>
      <c r="B397" s="10" t="n">
        <v>1186</v>
      </c>
      <c r="C397" s="8" t="n">
        <v>45734</v>
      </c>
      <c r="D397" s="8" t="n">
        <v>45734</v>
      </c>
      <c r="E397" s="10" t="n">
        <v>1000</v>
      </c>
      <c r="F397" s="0" t="str">
        <f aca="false">INDEX(COA!$C$5:$C$19,MATCH(E397,COA!$A$5:$A$19,0))</f>
        <v>Asset</v>
      </c>
      <c r="G397" s="12" t="n">
        <v>0</v>
      </c>
      <c r="H397" s="12" t="n">
        <v>6334.26</v>
      </c>
      <c r="I397" s="10" t="s">
        <v>97</v>
      </c>
      <c r="J397" s="10" t="s">
        <v>1648</v>
      </c>
      <c r="K397" s="10" t="s">
        <v>2050</v>
      </c>
    </row>
    <row r="398" customFormat="false" ht="15" hidden="false" customHeight="false" outlineLevel="0" collapsed="false">
      <c r="A398" s="10" t="s">
        <v>2052</v>
      </c>
      <c r="B398" s="10" t="n">
        <v>1187</v>
      </c>
      <c r="C398" s="8" t="n">
        <v>45734</v>
      </c>
      <c r="D398" s="8" t="n">
        <v>45730</v>
      </c>
      <c r="E398" s="10" t="n">
        <v>6900</v>
      </c>
      <c r="F398" s="0" t="str">
        <f aca="false">INDEX(COA!$C$5:$C$19,MATCH(E398,COA!$A$5:$A$19,0))</f>
        <v>Expense</v>
      </c>
      <c r="G398" s="12" t="n">
        <v>1661.52</v>
      </c>
      <c r="H398" s="12" t="n">
        <v>0</v>
      </c>
      <c r="I398" s="10" t="s">
        <v>99</v>
      </c>
      <c r="J398" s="10" t="s">
        <v>1648</v>
      </c>
      <c r="K398" s="10" t="s">
        <v>1649</v>
      </c>
    </row>
    <row r="399" customFormat="false" ht="15" hidden="false" customHeight="false" outlineLevel="0" collapsed="false">
      <c r="A399" s="10" t="s">
        <v>2053</v>
      </c>
      <c r="B399" s="10" t="n">
        <v>1187</v>
      </c>
      <c r="C399" s="8" t="n">
        <v>45734</v>
      </c>
      <c r="D399" s="8" t="n">
        <v>45730</v>
      </c>
      <c r="E399" s="10" t="n">
        <v>2100</v>
      </c>
      <c r="F399" s="0" t="str">
        <f aca="false">INDEX(COA!$C$5:$C$19,MATCH(E399,COA!$A$5:$A$19,0))</f>
        <v>Liability</v>
      </c>
      <c r="G399" s="12" t="n">
        <v>0</v>
      </c>
      <c r="H399" s="12" t="n">
        <v>1661.52</v>
      </c>
      <c r="I399" s="10" t="s">
        <v>99</v>
      </c>
      <c r="J399" s="10" t="s">
        <v>1648</v>
      </c>
      <c r="K399" s="10" t="s">
        <v>1649</v>
      </c>
    </row>
    <row r="400" customFormat="false" ht="15" hidden="false" customHeight="false" outlineLevel="0" collapsed="false">
      <c r="A400" s="10" t="s">
        <v>2054</v>
      </c>
      <c r="B400" s="10" t="n">
        <v>1188</v>
      </c>
      <c r="C400" s="8" t="n">
        <v>45734</v>
      </c>
      <c r="D400" s="8" t="n">
        <v>45731</v>
      </c>
      <c r="E400" s="10" t="n">
        <v>1200</v>
      </c>
      <c r="F400" s="0" t="str">
        <f aca="false">INDEX(COA!$C$5:$C$19,MATCH(E400,COA!$A$5:$A$19,0))</f>
        <v>Asset</v>
      </c>
      <c r="G400" s="12" t="n">
        <v>6831.07</v>
      </c>
      <c r="H400" s="12" t="n">
        <v>0</v>
      </c>
      <c r="I400" s="10" t="s">
        <v>102</v>
      </c>
      <c r="J400" s="10" t="s">
        <v>1636</v>
      </c>
      <c r="K400" s="10" t="s">
        <v>1655</v>
      </c>
    </row>
    <row r="401" customFormat="false" ht="15" hidden="false" customHeight="false" outlineLevel="0" collapsed="false">
      <c r="A401" s="10" t="s">
        <v>2055</v>
      </c>
      <c r="B401" s="10" t="n">
        <v>1188</v>
      </c>
      <c r="C401" s="8" t="n">
        <v>45734</v>
      </c>
      <c r="D401" s="8" t="n">
        <v>45731</v>
      </c>
      <c r="E401" s="10" t="n">
        <v>2000</v>
      </c>
      <c r="F401" s="0" t="str">
        <f aca="false">INDEX(COA!$C$5:$C$19,MATCH(E401,COA!$A$5:$A$19,0))</f>
        <v>Liability</v>
      </c>
      <c r="G401" s="12" t="n">
        <v>0</v>
      </c>
      <c r="H401" s="12" t="n">
        <v>6831.07</v>
      </c>
      <c r="I401" s="10" t="s">
        <v>102</v>
      </c>
      <c r="J401" s="10" t="s">
        <v>1636</v>
      </c>
      <c r="K401" s="10" t="s">
        <v>1655</v>
      </c>
    </row>
    <row r="402" customFormat="false" ht="15" hidden="false" customHeight="false" outlineLevel="0" collapsed="false">
      <c r="A402" s="10" t="s">
        <v>2056</v>
      </c>
      <c r="B402" s="10" t="n">
        <v>1189</v>
      </c>
      <c r="C402" s="8" t="n">
        <v>45735</v>
      </c>
      <c r="D402" s="8" t="n">
        <v>45735</v>
      </c>
      <c r="E402" s="10" t="n">
        <v>1100</v>
      </c>
      <c r="F402" s="0" t="str">
        <f aca="false">INDEX(COA!$C$5:$C$19,MATCH(E402,COA!$A$5:$A$19,0))</f>
        <v>Asset</v>
      </c>
      <c r="G402" s="12" t="n">
        <v>1467.32</v>
      </c>
      <c r="H402" s="12" t="n">
        <v>0</v>
      </c>
      <c r="I402" s="10" t="s">
        <v>103</v>
      </c>
      <c r="J402" s="10" t="s">
        <v>1636</v>
      </c>
      <c r="K402" s="10" t="s">
        <v>1640</v>
      </c>
    </row>
    <row r="403" customFormat="false" ht="15" hidden="false" customHeight="false" outlineLevel="0" collapsed="false">
      <c r="A403" s="10" t="s">
        <v>2057</v>
      </c>
      <c r="B403" s="10" t="n">
        <v>1189</v>
      </c>
      <c r="C403" s="8" t="n">
        <v>45735</v>
      </c>
      <c r="D403" s="8" t="n">
        <v>45735</v>
      </c>
      <c r="E403" s="10" t="n">
        <v>4000</v>
      </c>
      <c r="F403" s="0" t="str">
        <f aca="false">INDEX(COA!$C$5:$C$19,MATCH(E403,COA!$A$5:$A$19,0))</f>
        <v>Revenue</v>
      </c>
      <c r="G403" s="12" t="n">
        <v>0</v>
      </c>
      <c r="H403" s="12" t="n">
        <v>1467.32</v>
      </c>
      <c r="I403" s="10" t="s">
        <v>103</v>
      </c>
      <c r="J403" s="10" t="s">
        <v>1636</v>
      </c>
      <c r="K403" s="10" t="s">
        <v>1640</v>
      </c>
    </row>
    <row r="404" customFormat="false" ht="15" hidden="false" customHeight="false" outlineLevel="0" collapsed="false">
      <c r="A404" s="10" t="s">
        <v>2058</v>
      </c>
      <c r="B404" s="10" t="n">
        <v>1190</v>
      </c>
      <c r="C404" s="8" t="n">
        <v>45735</v>
      </c>
      <c r="D404" s="8" t="n">
        <v>45735</v>
      </c>
      <c r="E404" s="10" t="n">
        <v>1000</v>
      </c>
      <c r="F404" s="0" t="str">
        <f aca="false">INDEX(COA!$C$5:$C$19,MATCH(E404,COA!$A$5:$A$19,0))</f>
        <v>Asset</v>
      </c>
      <c r="G404" s="12" t="n">
        <v>531.59</v>
      </c>
      <c r="H404" s="12" t="n">
        <v>0</v>
      </c>
      <c r="I404" s="10" t="s">
        <v>103</v>
      </c>
      <c r="J404" s="10" t="s">
        <v>1636</v>
      </c>
      <c r="K404" s="10" t="s">
        <v>1637</v>
      </c>
    </row>
    <row r="405" customFormat="false" ht="15" hidden="false" customHeight="false" outlineLevel="0" collapsed="false">
      <c r="A405" s="10" t="s">
        <v>2059</v>
      </c>
      <c r="B405" s="10" t="n">
        <v>1190</v>
      </c>
      <c r="C405" s="8" t="n">
        <v>45735</v>
      </c>
      <c r="D405" s="8" t="n">
        <v>45735</v>
      </c>
      <c r="E405" s="10" t="n">
        <v>1100</v>
      </c>
      <c r="F405" s="0" t="str">
        <f aca="false">INDEX(COA!$C$5:$C$19,MATCH(E405,COA!$A$5:$A$19,0))</f>
        <v>Asset</v>
      </c>
      <c r="G405" s="12" t="n">
        <v>0</v>
      </c>
      <c r="H405" s="12" t="n">
        <v>531.59</v>
      </c>
      <c r="I405" s="10" t="s">
        <v>103</v>
      </c>
      <c r="J405" s="10" t="s">
        <v>1636</v>
      </c>
      <c r="K405" s="10" t="s">
        <v>1637</v>
      </c>
    </row>
    <row r="406" customFormat="false" ht="15" hidden="false" customHeight="false" outlineLevel="0" collapsed="false">
      <c r="A406" s="10" t="s">
        <v>2060</v>
      </c>
      <c r="B406" s="10" t="n">
        <v>1191</v>
      </c>
      <c r="C406" s="8" t="n">
        <v>45735</v>
      </c>
      <c r="D406" s="8" t="n">
        <v>45732</v>
      </c>
      <c r="E406" s="10" t="n">
        <v>5000</v>
      </c>
      <c r="F406" s="0" t="str">
        <f aca="false">INDEX(COA!$C$5:$C$19,MATCH(E406,COA!$A$5:$A$19,0))</f>
        <v>Expense</v>
      </c>
      <c r="G406" s="12" t="n">
        <v>685.47</v>
      </c>
      <c r="H406" s="12" t="n">
        <v>0</v>
      </c>
      <c r="I406" s="10" t="s">
        <v>103</v>
      </c>
      <c r="J406" s="10" t="s">
        <v>1636</v>
      </c>
      <c r="K406" s="10" t="s">
        <v>1670</v>
      </c>
    </row>
    <row r="407" customFormat="false" ht="15" hidden="false" customHeight="false" outlineLevel="0" collapsed="false">
      <c r="A407" s="10" t="s">
        <v>2061</v>
      </c>
      <c r="B407" s="10" t="n">
        <v>1191</v>
      </c>
      <c r="C407" s="8" t="n">
        <v>45735</v>
      </c>
      <c r="D407" s="8" t="n">
        <v>45732</v>
      </c>
      <c r="E407" s="10" t="n">
        <v>1200</v>
      </c>
      <c r="F407" s="0" t="str">
        <f aca="false">INDEX(COA!$C$5:$C$19,MATCH(E407,COA!$A$5:$A$19,0))</f>
        <v>Asset</v>
      </c>
      <c r="G407" s="12" t="n">
        <v>0</v>
      </c>
      <c r="H407" s="12" t="n">
        <v>685.47</v>
      </c>
      <c r="I407" s="10" t="s">
        <v>103</v>
      </c>
      <c r="J407" s="10" t="s">
        <v>1636</v>
      </c>
      <c r="K407" s="10" t="s">
        <v>1670</v>
      </c>
    </row>
    <row r="408" customFormat="false" ht="15" hidden="false" customHeight="false" outlineLevel="0" collapsed="false">
      <c r="A408" s="10" t="s">
        <v>2062</v>
      </c>
      <c r="B408" s="10" t="n">
        <v>1192</v>
      </c>
      <c r="C408" s="8" t="n">
        <v>45735</v>
      </c>
      <c r="D408" s="8" t="n">
        <v>45731</v>
      </c>
      <c r="E408" s="10" t="n">
        <v>1200</v>
      </c>
      <c r="F408" s="0" t="str">
        <f aca="false">INDEX(COA!$C$5:$C$19,MATCH(E408,COA!$A$5:$A$19,0))</f>
        <v>Asset</v>
      </c>
      <c r="G408" s="12" t="n">
        <v>35281.47</v>
      </c>
      <c r="H408" s="12" t="n">
        <v>0</v>
      </c>
      <c r="I408" s="10" t="s">
        <v>102</v>
      </c>
      <c r="J408" s="10" t="s">
        <v>1636</v>
      </c>
      <c r="K408" s="10" t="s">
        <v>1655</v>
      </c>
    </row>
    <row r="409" customFormat="false" ht="15" hidden="false" customHeight="false" outlineLevel="0" collapsed="false">
      <c r="A409" s="10" t="s">
        <v>2063</v>
      </c>
      <c r="B409" s="10" t="n">
        <v>1192</v>
      </c>
      <c r="C409" s="8" t="n">
        <v>45735</v>
      </c>
      <c r="D409" s="8" t="n">
        <v>45731</v>
      </c>
      <c r="E409" s="10" t="n">
        <v>2000</v>
      </c>
      <c r="F409" s="0" t="str">
        <f aca="false">INDEX(COA!$C$5:$C$19,MATCH(E409,COA!$A$5:$A$19,0))</f>
        <v>Liability</v>
      </c>
      <c r="G409" s="12" t="n">
        <v>0</v>
      </c>
      <c r="H409" s="12" t="n">
        <v>35281.47</v>
      </c>
      <c r="I409" s="10" t="s">
        <v>102</v>
      </c>
      <c r="J409" s="10" t="s">
        <v>1636</v>
      </c>
      <c r="K409" s="10" t="s">
        <v>1655</v>
      </c>
    </row>
    <row r="410" customFormat="false" ht="15" hidden="false" customHeight="false" outlineLevel="0" collapsed="false">
      <c r="A410" s="10" t="s">
        <v>2064</v>
      </c>
      <c r="B410" s="10" t="n">
        <v>1193</v>
      </c>
      <c r="C410" s="8" t="n">
        <v>45735</v>
      </c>
      <c r="D410" s="8" t="n">
        <v>45734</v>
      </c>
      <c r="E410" s="10" t="n">
        <v>1100</v>
      </c>
      <c r="F410" s="0" t="str">
        <f aca="false">INDEX(COA!$C$5:$C$19,MATCH(E410,COA!$A$5:$A$19,0))</f>
        <v>Asset</v>
      </c>
      <c r="G410" s="12" t="n">
        <v>123626.27</v>
      </c>
      <c r="H410" s="12" t="n">
        <v>0</v>
      </c>
      <c r="I410" s="10" t="s">
        <v>103</v>
      </c>
      <c r="J410" s="10" t="s">
        <v>1636</v>
      </c>
      <c r="K410" s="10" t="s">
        <v>1640</v>
      </c>
    </row>
    <row r="411" customFormat="false" ht="15" hidden="false" customHeight="false" outlineLevel="0" collapsed="false">
      <c r="A411" s="10" t="s">
        <v>2065</v>
      </c>
      <c r="B411" s="10" t="n">
        <v>1193</v>
      </c>
      <c r="C411" s="8" t="n">
        <v>45735</v>
      </c>
      <c r="D411" s="8" t="n">
        <v>45734</v>
      </c>
      <c r="E411" s="10" t="n">
        <v>4000</v>
      </c>
      <c r="F411" s="0" t="str">
        <f aca="false">INDEX(COA!$C$5:$C$19,MATCH(E411,COA!$A$5:$A$19,0))</f>
        <v>Revenue</v>
      </c>
      <c r="G411" s="12" t="n">
        <v>0</v>
      </c>
      <c r="H411" s="12" t="n">
        <v>123626.27</v>
      </c>
      <c r="I411" s="10" t="s">
        <v>103</v>
      </c>
      <c r="J411" s="10" t="s">
        <v>1636</v>
      </c>
      <c r="K411" s="10" t="s">
        <v>1640</v>
      </c>
    </row>
    <row r="412" customFormat="false" ht="15" hidden="false" customHeight="false" outlineLevel="0" collapsed="false">
      <c r="A412" s="10" t="s">
        <v>2066</v>
      </c>
      <c r="B412" s="10" t="n">
        <v>1194</v>
      </c>
      <c r="C412" s="8" t="n">
        <v>45736</v>
      </c>
      <c r="D412" s="8" t="n">
        <v>45734</v>
      </c>
      <c r="E412" s="10" t="n">
        <v>1200</v>
      </c>
      <c r="F412" s="0" t="str">
        <f aca="false">INDEX(COA!$C$5:$C$19,MATCH(E412,COA!$A$5:$A$19,0))</f>
        <v>Asset</v>
      </c>
      <c r="G412" s="12" t="n">
        <v>64403.3</v>
      </c>
      <c r="H412" s="12" t="n">
        <v>0</v>
      </c>
      <c r="I412" s="10" t="s">
        <v>102</v>
      </c>
      <c r="J412" s="10" t="s">
        <v>1636</v>
      </c>
      <c r="K412" s="10" t="s">
        <v>1655</v>
      </c>
    </row>
    <row r="413" customFormat="false" ht="15" hidden="false" customHeight="false" outlineLevel="0" collapsed="false">
      <c r="A413" s="10" t="s">
        <v>2067</v>
      </c>
      <c r="B413" s="10" t="n">
        <v>1194</v>
      </c>
      <c r="C413" s="8" t="n">
        <v>45736</v>
      </c>
      <c r="D413" s="8" t="n">
        <v>45734</v>
      </c>
      <c r="E413" s="10" t="n">
        <v>2000</v>
      </c>
      <c r="F413" s="0" t="str">
        <f aca="false">INDEX(COA!$C$5:$C$19,MATCH(E413,COA!$A$5:$A$19,0))</f>
        <v>Liability</v>
      </c>
      <c r="G413" s="12" t="n">
        <v>0</v>
      </c>
      <c r="H413" s="12" t="n">
        <v>64403.3</v>
      </c>
      <c r="I413" s="10" t="s">
        <v>102</v>
      </c>
      <c r="J413" s="10" t="s">
        <v>1636</v>
      </c>
      <c r="K413" s="10" t="s">
        <v>1655</v>
      </c>
    </row>
    <row r="414" customFormat="false" ht="15" hidden="false" customHeight="false" outlineLevel="0" collapsed="false">
      <c r="A414" s="10" t="s">
        <v>2068</v>
      </c>
      <c r="B414" s="10" t="n">
        <v>1195</v>
      </c>
      <c r="C414" s="8" t="n">
        <v>45736</v>
      </c>
      <c r="D414" s="8" t="n">
        <v>45733</v>
      </c>
      <c r="E414" s="10" t="n">
        <v>6200</v>
      </c>
      <c r="F414" s="0" t="str">
        <f aca="false">INDEX(COA!$C$5:$C$19,MATCH(E414,COA!$A$5:$A$19,0))</f>
        <v>Expense</v>
      </c>
      <c r="G414" s="12" t="n">
        <v>13475.25</v>
      </c>
      <c r="H414" s="12" t="n">
        <v>0</v>
      </c>
      <c r="I414" s="10" t="s">
        <v>102</v>
      </c>
      <c r="J414" s="10" t="s">
        <v>1636</v>
      </c>
    </row>
    <row r="415" customFormat="false" ht="15" hidden="false" customHeight="false" outlineLevel="0" collapsed="false">
      <c r="A415" s="10" t="s">
        <v>2069</v>
      </c>
      <c r="B415" s="10" t="n">
        <v>1195</v>
      </c>
      <c r="C415" s="8" t="n">
        <v>45736</v>
      </c>
      <c r="D415" s="8" t="n">
        <v>45733</v>
      </c>
      <c r="E415" s="10" t="n">
        <v>6200</v>
      </c>
      <c r="F415" s="0" t="str">
        <f aca="false">INDEX(COA!$C$5:$C$19,MATCH(E415,COA!$A$5:$A$19,0))</f>
        <v>Expense</v>
      </c>
      <c r="G415" s="12" t="n">
        <v>5775.11</v>
      </c>
      <c r="H415" s="12" t="n">
        <v>0</v>
      </c>
      <c r="I415" s="10" t="s">
        <v>102</v>
      </c>
      <c r="J415" s="10" t="s">
        <v>1636</v>
      </c>
    </row>
    <row r="416" customFormat="false" ht="15" hidden="false" customHeight="false" outlineLevel="0" collapsed="false">
      <c r="A416" s="10" t="s">
        <v>2070</v>
      </c>
      <c r="B416" s="10" t="n">
        <v>1195</v>
      </c>
      <c r="C416" s="8" t="n">
        <v>45736</v>
      </c>
      <c r="D416" s="8" t="n">
        <v>45733</v>
      </c>
      <c r="E416" s="10" t="n">
        <v>2000</v>
      </c>
      <c r="F416" s="0" t="str">
        <f aca="false">INDEX(COA!$C$5:$C$19,MATCH(E416,COA!$A$5:$A$19,0))</f>
        <v>Liability</v>
      </c>
      <c r="G416" s="12" t="n">
        <v>0</v>
      </c>
      <c r="H416" s="12" t="n">
        <v>19250.36</v>
      </c>
      <c r="I416" s="10" t="s">
        <v>102</v>
      </c>
      <c r="J416" s="10" t="s">
        <v>1636</v>
      </c>
    </row>
    <row r="417" customFormat="false" ht="15" hidden="false" customHeight="false" outlineLevel="0" collapsed="false">
      <c r="A417" s="10" t="s">
        <v>2071</v>
      </c>
      <c r="B417" s="10" t="n">
        <v>1196</v>
      </c>
      <c r="C417" s="8" t="n">
        <v>45736</v>
      </c>
      <c r="D417" s="8" t="n">
        <v>45733</v>
      </c>
      <c r="E417" s="10" t="n">
        <v>5000</v>
      </c>
      <c r="F417" s="0" t="str">
        <f aca="false">INDEX(COA!$C$5:$C$19,MATCH(E417,COA!$A$5:$A$19,0))</f>
        <v>Expense</v>
      </c>
      <c r="G417" s="12" t="n">
        <v>3204.52</v>
      </c>
      <c r="H417" s="12" t="n">
        <v>0</v>
      </c>
      <c r="I417" s="10" t="s">
        <v>103</v>
      </c>
      <c r="J417" s="10" t="s">
        <v>1636</v>
      </c>
      <c r="K417" s="10" t="s">
        <v>1670</v>
      </c>
    </row>
    <row r="418" customFormat="false" ht="15" hidden="false" customHeight="false" outlineLevel="0" collapsed="false">
      <c r="A418" s="10" t="s">
        <v>2072</v>
      </c>
      <c r="B418" s="10" t="n">
        <v>1196</v>
      </c>
      <c r="C418" s="8" t="n">
        <v>45736</v>
      </c>
      <c r="D418" s="8" t="n">
        <v>45733</v>
      </c>
      <c r="E418" s="10" t="n">
        <v>1200</v>
      </c>
      <c r="F418" s="0" t="str">
        <f aca="false">INDEX(COA!$C$5:$C$19,MATCH(E418,COA!$A$5:$A$19,0))</f>
        <v>Asset</v>
      </c>
      <c r="G418" s="12" t="n">
        <v>0</v>
      </c>
      <c r="H418" s="12" t="n">
        <v>3204.52</v>
      </c>
      <c r="I418" s="10" t="s">
        <v>103</v>
      </c>
      <c r="J418" s="10" t="s">
        <v>1636</v>
      </c>
      <c r="K418" s="10" t="s">
        <v>1670</v>
      </c>
    </row>
    <row r="419" customFormat="false" ht="15" hidden="false" customHeight="false" outlineLevel="0" collapsed="false">
      <c r="A419" s="10" t="s">
        <v>2073</v>
      </c>
      <c r="B419" s="10" t="n">
        <v>1197</v>
      </c>
      <c r="C419" s="8" t="n">
        <v>45736</v>
      </c>
      <c r="D419" s="8" t="n">
        <v>45733</v>
      </c>
      <c r="E419" s="10" t="n">
        <v>1100</v>
      </c>
      <c r="F419" s="0" t="str">
        <f aca="false">INDEX(COA!$C$5:$C$19,MATCH(E419,COA!$A$5:$A$19,0))</f>
        <v>Asset</v>
      </c>
      <c r="G419" s="12" t="n">
        <v>74350.97</v>
      </c>
      <c r="H419" s="12" t="n">
        <v>0</v>
      </c>
      <c r="I419" s="10" t="s">
        <v>103</v>
      </c>
      <c r="J419" s="10" t="s">
        <v>1636</v>
      </c>
      <c r="K419" s="10" t="s">
        <v>1640</v>
      </c>
    </row>
    <row r="420" customFormat="false" ht="15" hidden="false" customHeight="false" outlineLevel="0" collapsed="false">
      <c r="A420" s="10" t="s">
        <v>2074</v>
      </c>
      <c r="B420" s="10" t="n">
        <v>1197</v>
      </c>
      <c r="C420" s="8" t="n">
        <v>45736</v>
      </c>
      <c r="D420" s="8" t="n">
        <v>45733</v>
      </c>
      <c r="E420" s="10" t="n">
        <v>4000</v>
      </c>
      <c r="F420" s="0" t="str">
        <f aca="false">INDEX(COA!$C$5:$C$19,MATCH(E420,COA!$A$5:$A$19,0))</f>
        <v>Revenue</v>
      </c>
      <c r="G420" s="12" t="n">
        <v>0</v>
      </c>
      <c r="H420" s="12" t="n">
        <v>74350.97</v>
      </c>
      <c r="I420" s="10" t="s">
        <v>103</v>
      </c>
      <c r="J420" s="10" t="s">
        <v>1636</v>
      </c>
      <c r="K420" s="10" t="s">
        <v>1640</v>
      </c>
    </row>
    <row r="421" customFormat="false" ht="15" hidden="false" customHeight="false" outlineLevel="0" collapsed="false">
      <c r="A421" s="10" t="s">
        <v>2075</v>
      </c>
      <c r="B421" s="10" t="n">
        <v>1198</v>
      </c>
      <c r="C421" s="8" t="n">
        <v>45736</v>
      </c>
      <c r="D421" s="8" t="n">
        <v>45735</v>
      </c>
      <c r="E421" s="10" t="n">
        <v>5000</v>
      </c>
      <c r="F421" s="0" t="str">
        <f aca="false">INDEX(COA!$C$5:$C$19,MATCH(E421,COA!$A$5:$A$19,0))</f>
        <v>Expense</v>
      </c>
      <c r="G421" s="12" t="n">
        <v>213.17</v>
      </c>
      <c r="H421" s="12" t="n">
        <v>0</v>
      </c>
      <c r="I421" s="10" t="s">
        <v>103</v>
      </c>
      <c r="J421" s="10" t="s">
        <v>1636</v>
      </c>
      <c r="K421" s="10" t="s">
        <v>1670</v>
      </c>
    </row>
    <row r="422" customFormat="false" ht="15" hidden="false" customHeight="false" outlineLevel="0" collapsed="false">
      <c r="A422" s="10" t="s">
        <v>2076</v>
      </c>
      <c r="B422" s="10" t="n">
        <v>1198</v>
      </c>
      <c r="C422" s="8" t="n">
        <v>45736</v>
      </c>
      <c r="D422" s="8" t="n">
        <v>45735</v>
      </c>
      <c r="E422" s="10" t="n">
        <v>1200</v>
      </c>
      <c r="F422" s="0" t="str">
        <f aca="false">INDEX(COA!$C$5:$C$19,MATCH(E422,COA!$A$5:$A$19,0))</f>
        <v>Asset</v>
      </c>
      <c r="G422" s="12" t="n">
        <v>0</v>
      </c>
      <c r="H422" s="12" t="n">
        <v>213.17</v>
      </c>
      <c r="I422" s="10" t="s">
        <v>103</v>
      </c>
      <c r="J422" s="10" t="s">
        <v>1636</v>
      </c>
      <c r="K422" s="10" t="s">
        <v>1670</v>
      </c>
    </row>
    <row r="423" customFormat="false" ht="15" hidden="false" customHeight="false" outlineLevel="0" collapsed="false">
      <c r="A423" s="10" t="s">
        <v>2077</v>
      </c>
      <c r="B423" s="10" t="n">
        <v>1199</v>
      </c>
      <c r="C423" s="8" t="n">
        <v>45737</v>
      </c>
      <c r="D423" s="8" t="n">
        <v>45736</v>
      </c>
      <c r="E423" s="10" t="n">
        <v>1100</v>
      </c>
      <c r="F423" s="0" t="str">
        <f aca="false">INDEX(COA!$C$5:$C$19,MATCH(E423,COA!$A$5:$A$19,0))</f>
        <v>Asset</v>
      </c>
      <c r="G423" s="12" t="n">
        <v>220.28</v>
      </c>
      <c r="H423" s="12" t="n">
        <v>0</v>
      </c>
      <c r="I423" s="10" t="s">
        <v>103</v>
      </c>
      <c r="J423" s="10" t="s">
        <v>1636</v>
      </c>
      <c r="K423" s="10" t="s">
        <v>1640</v>
      </c>
    </row>
    <row r="424" customFormat="false" ht="15" hidden="false" customHeight="false" outlineLevel="0" collapsed="false">
      <c r="A424" s="10" t="s">
        <v>2078</v>
      </c>
      <c r="B424" s="10" t="n">
        <v>1199</v>
      </c>
      <c r="C424" s="8" t="n">
        <v>45737</v>
      </c>
      <c r="D424" s="8" t="n">
        <v>45736</v>
      </c>
      <c r="E424" s="10" t="n">
        <v>4000</v>
      </c>
      <c r="F424" s="0" t="str">
        <f aca="false">INDEX(COA!$C$5:$C$19,MATCH(E424,COA!$A$5:$A$19,0))</f>
        <v>Revenue</v>
      </c>
      <c r="G424" s="12" t="n">
        <v>0</v>
      </c>
      <c r="H424" s="12" t="n">
        <v>220.28</v>
      </c>
      <c r="I424" s="10" t="s">
        <v>103</v>
      </c>
      <c r="J424" s="10" t="s">
        <v>1636</v>
      </c>
      <c r="K424" s="10" t="s">
        <v>1640</v>
      </c>
    </row>
    <row r="425" customFormat="false" ht="15" hidden="false" customHeight="false" outlineLevel="0" collapsed="false">
      <c r="A425" s="10" t="s">
        <v>2079</v>
      </c>
      <c r="B425" s="10" t="n">
        <v>1200</v>
      </c>
      <c r="C425" s="8" t="n">
        <v>45737</v>
      </c>
      <c r="D425" s="8" t="n">
        <v>45737</v>
      </c>
      <c r="E425" s="10" t="n">
        <v>5000</v>
      </c>
      <c r="F425" s="0" t="str">
        <f aca="false">INDEX(COA!$C$5:$C$19,MATCH(E425,COA!$A$5:$A$19,0))</f>
        <v>Expense</v>
      </c>
      <c r="G425" s="12" t="n">
        <v>206.09</v>
      </c>
      <c r="H425" s="12" t="n">
        <v>0</v>
      </c>
      <c r="I425" s="10" t="s">
        <v>103</v>
      </c>
      <c r="J425" s="10" t="s">
        <v>1636</v>
      </c>
      <c r="K425" s="10" t="s">
        <v>1670</v>
      </c>
    </row>
    <row r="426" customFormat="false" ht="15" hidden="false" customHeight="false" outlineLevel="0" collapsed="false">
      <c r="A426" s="10" t="s">
        <v>2080</v>
      </c>
      <c r="B426" s="10" t="n">
        <v>1200</v>
      </c>
      <c r="C426" s="8" t="n">
        <v>45737</v>
      </c>
      <c r="D426" s="8" t="n">
        <v>45737</v>
      </c>
      <c r="E426" s="10" t="n">
        <v>5000</v>
      </c>
      <c r="F426" s="0" t="str">
        <f aca="false">INDEX(COA!$C$5:$C$19,MATCH(E426,COA!$A$5:$A$19,0))</f>
        <v>Expense</v>
      </c>
      <c r="G426" s="12" t="n">
        <v>88.32</v>
      </c>
      <c r="H426" s="12" t="n">
        <v>0</v>
      </c>
      <c r="I426" s="10" t="s">
        <v>103</v>
      </c>
      <c r="J426" s="10" t="s">
        <v>1636</v>
      </c>
      <c r="K426" s="10" t="s">
        <v>1670</v>
      </c>
    </row>
    <row r="427" customFormat="false" ht="15" hidden="false" customHeight="false" outlineLevel="0" collapsed="false">
      <c r="A427" s="10" t="s">
        <v>2081</v>
      </c>
      <c r="B427" s="10" t="n">
        <v>1200</v>
      </c>
      <c r="C427" s="8" t="n">
        <v>45737</v>
      </c>
      <c r="D427" s="8" t="n">
        <v>45737</v>
      </c>
      <c r="E427" s="10" t="n">
        <v>1200</v>
      </c>
      <c r="F427" s="0" t="str">
        <f aca="false">INDEX(COA!$C$5:$C$19,MATCH(E427,COA!$A$5:$A$19,0))</f>
        <v>Asset</v>
      </c>
      <c r="G427" s="12" t="n">
        <v>0</v>
      </c>
      <c r="H427" s="12" t="n">
        <v>294.41</v>
      </c>
      <c r="I427" s="10" t="s">
        <v>103</v>
      </c>
      <c r="J427" s="10" t="s">
        <v>1636</v>
      </c>
      <c r="K427" s="10" t="s">
        <v>1670</v>
      </c>
    </row>
    <row r="428" customFormat="false" ht="15" hidden="false" customHeight="false" outlineLevel="0" collapsed="false">
      <c r="A428" s="10" t="s">
        <v>2082</v>
      </c>
      <c r="B428" s="10" t="n">
        <v>1201</v>
      </c>
      <c r="C428" s="8" t="n">
        <v>45737</v>
      </c>
      <c r="D428" s="8" t="n">
        <v>45736</v>
      </c>
      <c r="E428" s="10" t="n">
        <v>5000</v>
      </c>
      <c r="F428" s="0" t="str">
        <f aca="false">INDEX(COA!$C$5:$C$19,MATCH(E428,COA!$A$5:$A$19,0))</f>
        <v>Expense</v>
      </c>
      <c r="G428" s="12" t="n">
        <v>4879.69</v>
      </c>
      <c r="H428" s="12" t="n">
        <v>0</v>
      </c>
      <c r="I428" s="10" t="s">
        <v>103</v>
      </c>
      <c r="J428" s="10" t="s">
        <v>1636</v>
      </c>
      <c r="K428" s="10" t="s">
        <v>1670</v>
      </c>
    </row>
    <row r="429" customFormat="false" ht="15" hidden="false" customHeight="false" outlineLevel="0" collapsed="false">
      <c r="A429" s="10" t="s">
        <v>2083</v>
      </c>
      <c r="B429" s="10" t="n">
        <v>1201</v>
      </c>
      <c r="C429" s="8" t="n">
        <v>45737</v>
      </c>
      <c r="D429" s="8" t="n">
        <v>45736</v>
      </c>
      <c r="E429" s="10" t="n">
        <v>1200</v>
      </c>
      <c r="F429" s="0" t="str">
        <f aca="false">INDEX(COA!$C$5:$C$19,MATCH(E429,COA!$A$5:$A$19,0))</f>
        <v>Asset</v>
      </c>
      <c r="G429" s="12" t="n">
        <v>0</v>
      </c>
      <c r="H429" s="12" t="n">
        <v>4879.69</v>
      </c>
      <c r="I429" s="10" t="s">
        <v>103</v>
      </c>
      <c r="J429" s="10" t="s">
        <v>1636</v>
      </c>
      <c r="K429" s="10" t="s">
        <v>1670</v>
      </c>
    </row>
    <row r="430" customFormat="false" ht="15" hidden="false" customHeight="false" outlineLevel="0" collapsed="false">
      <c r="A430" s="10" t="s">
        <v>2084</v>
      </c>
      <c r="B430" s="10" t="n">
        <v>1202</v>
      </c>
      <c r="C430" s="8" t="n">
        <v>45737</v>
      </c>
      <c r="D430" s="8" t="n">
        <v>45733</v>
      </c>
      <c r="E430" s="10" t="n">
        <v>1100</v>
      </c>
      <c r="F430" s="0" t="str">
        <f aca="false">INDEX(COA!$C$5:$C$19,MATCH(E430,COA!$A$5:$A$19,0))</f>
        <v>Asset</v>
      </c>
      <c r="G430" s="12" t="n">
        <v>21241.92</v>
      </c>
      <c r="H430" s="12" t="n">
        <v>0</v>
      </c>
      <c r="I430" s="10" t="s">
        <v>103</v>
      </c>
      <c r="J430" s="10" t="s">
        <v>1636</v>
      </c>
      <c r="K430" s="10" t="s">
        <v>1640</v>
      </c>
    </row>
    <row r="431" customFormat="false" ht="15" hidden="false" customHeight="false" outlineLevel="0" collapsed="false">
      <c r="A431" s="10" t="s">
        <v>2085</v>
      </c>
      <c r="B431" s="10" t="n">
        <v>1202</v>
      </c>
      <c r="C431" s="8" t="n">
        <v>45737</v>
      </c>
      <c r="D431" s="8" t="n">
        <v>45733</v>
      </c>
      <c r="E431" s="10" t="n">
        <v>4000</v>
      </c>
      <c r="F431" s="0" t="str">
        <f aca="false">INDEX(COA!$C$5:$C$19,MATCH(E431,COA!$A$5:$A$19,0))</f>
        <v>Revenue</v>
      </c>
      <c r="G431" s="12" t="n">
        <v>0</v>
      </c>
      <c r="H431" s="12" t="n">
        <v>21241.92</v>
      </c>
      <c r="I431" s="10" t="s">
        <v>103</v>
      </c>
      <c r="J431" s="10" t="s">
        <v>1636</v>
      </c>
      <c r="K431" s="10" t="s">
        <v>1640</v>
      </c>
    </row>
    <row r="432" customFormat="false" ht="15" hidden="false" customHeight="false" outlineLevel="0" collapsed="false">
      <c r="A432" s="10" t="s">
        <v>2086</v>
      </c>
      <c r="B432" s="10" t="n">
        <v>1203</v>
      </c>
      <c r="C432" s="8" t="n">
        <v>45739</v>
      </c>
      <c r="D432" s="8" t="n">
        <v>45739</v>
      </c>
      <c r="E432" s="10" t="n">
        <v>6900</v>
      </c>
      <c r="F432" s="0" t="str">
        <f aca="false">INDEX(COA!$C$5:$C$19,MATCH(E432,COA!$A$5:$A$19,0))</f>
        <v>Expense</v>
      </c>
      <c r="G432" s="12" t="n">
        <v>12742.1</v>
      </c>
      <c r="H432" s="12" t="n">
        <v>0</v>
      </c>
      <c r="I432" s="10" t="s">
        <v>100</v>
      </c>
      <c r="J432" s="10" t="s">
        <v>1648</v>
      </c>
      <c r="K432" s="10" t="s">
        <v>2087</v>
      </c>
    </row>
    <row r="433" customFormat="false" ht="15" hidden="false" customHeight="false" outlineLevel="0" collapsed="false">
      <c r="A433" s="10" t="s">
        <v>2088</v>
      </c>
      <c r="B433" s="10" t="n">
        <v>1203</v>
      </c>
      <c r="C433" s="8" t="n">
        <v>45739</v>
      </c>
      <c r="D433" s="8" t="n">
        <v>45739</v>
      </c>
      <c r="E433" s="10" t="n">
        <v>2100</v>
      </c>
      <c r="F433" s="0" t="str">
        <f aca="false">INDEX(COA!$C$5:$C$19,MATCH(E433,COA!$A$5:$A$19,0))</f>
        <v>Liability</v>
      </c>
      <c r="G433" s="12" t="n">
        <v>0</v>
      </c>
      <c r="H433" s="12" t="n">
        <v>12742.1</v>
      </c>
      <c r="I433" s="10" t="s">
        <v>100</v>
      </c>
      <c r="J433" s="10" t="s">
        <v>1648</v>
      </c>
      <c r="K433" s="10" t="s">
        <v>2087</v>
      </c>
    </row>
    <row r="434" customFormat="false" ht="15" hidden="false" customHeight="false" outlineLevel="0" collapsed="false">
      <c r="A434" s="10" t="s">
        <v>2089</v>
      </c>
      <c r="B434" s="10" t="n">
        <v>1204</v>
      </c>
      <c r="C434" s="8" t="n">
        <v>45740</v>
      </c>
      <c r="D434" s="8" t="n">
        <v>45736</v>
      </c>
      <c r="E434" s="10" t="n">
        <v>1100</v>
      </c>
      <c r="F434" s="0" t="str">
        <f aca="false">INDEX(COA!$C$5:$C$19,MATCH(E434,COA!$A$5:$A$19,0))</f>
        <v>Asset</v>
      </c>
      <c r="G434" s="12" t="n">
        <v>578</v>
      </c>
      <c r="H434" s="12" t="n">
        <v>0</v>
      </c>
      <c r="I434" s="10" t="s">
        <v>103</v>
      </c>
      <c r="J434" s="10" t="s">
        <v>1636</v>
      </c>
      <c r="K434" s="10" t="s">
        <v>1640</v>
      </c>
    </row>
    <row r="435" customFormat="false" ht="15" hidden="false" customHeight="false" outlineLevel="0" collapsed="false">
      <c r="A435" s="10" t="s">
        <v>2090</v>
      </c>
      <c r="B435" s="10" t="n">
        <v>1204</v>
      </c>
      <c r="C435" s="8" t="n">
        <v>45740</v>
      </c>
      <c r="D435" s="8" t="n">
        <v>45736</v>
      </c>
      <c r="E435" s="10" t="n">
        <v>1100</v>
      </c>
      <c r="F435" s="0" t="str">
        <f aca="false">INDEX(COA!$C$5:$C$19,MATCH(E435,COA!$A$5:$A$19,0))</f>
        <v>Asset</v>
      </c>
      <c r="G435" s="12" t="n">
        <v>247.71</v>
      </c>
      <c r="H435" s="12" t="n">
        <v>0</v>
      </c>
      <c r="I435" s="10" t="s">
        <v>103</v>
      </c>
      <c r="J435" s="10" t="s">
        <v>1636</v>
      </c>
      <c r="K435" s="10" t="s">
        <v>1640</v>
      </c>
    </row>
    <row r="436" customFormat="false" ht="15" hidden="false" customHeight="false" outlineLevel="0" collapsed="false">
      <c r="A436" s="10" t="s">
        <v>2091</v>
      </c>
      <c r="B436" s="10" t="n">
        <v>1204</v>
      </c>
      <c r="C436" s="8" t="n">
        <v>45740</v>
      </c>
      <c r="D436" s="8" t="n">
        <v>45736</v>
      </c>
      <c r="E436" s="10" t="n">
        <v>4000</v>
      </c>
      <c r="F436" s="0" t="str">
        <f aca="false">INDEX(COA!$C$5:$C$19,MATCH(E436,COA!$A$5:$A$19,0))</f>
        <v>Revenue</v>
      </c>
      <c r="G436" s="12" t="n">
        <v>0</v>
      </c>
      <c r="H436" s="12" t="n">
        <v>825.71</v>
      </c>
      <c r="I436" s="10" t="s">
        <v>103</v>
      </c>
      <c r="J436" s="10" t="s">
        <v>1636</v>
      </c>
      <c r="K436" s="10" t="s">
        <v>1640</v>
      </c>
    </row>
    <row r="437" customFormat="false" ht="15" hidden="false" customHeight="false" outlineLevel="0" collapsed="false">
      <c r="A437" s="10" t="s">
        <v>2092</v>
      </c>
      <c r="B437" s="10" t="n">
        <v>1205</v>
      </c>
      <c r="C437" s="8" t="n">
        <v>45741</v>
      </c>
      <c r="D437" s="8" t="n">
        <v>45741</v>
      </c>
      <c r="E437" s="10" t="n">
        <v>6000</v>
      </c>
      <c r="F437" s="0" t="str">
        <f aca="false">INDEX(COA!$C$5:$C$19,MATCH(E437,COA!$A$5:$A$19,0))</f>
        <v>Expense</v>
      </c>
      <c r="G437" s="12" t="n">
        <v>247000</v>
      </c>
      <c r="H437" s="12" t="n">
        <v>0</v>
      </c>
      <c r="I437" s="10" t="s">
        <v>104</v>
      </c>
      <c r="J437" s="10" t="s">
        <v>1636</v>
      </c>
      <c r="K437" s="10" t="s">
        <v>1776</v>
      </c>
    </row>
    <row r="438" customFormat="false" ht="15" hidden="false" customHeight="false" outlineLevel="0" collapsed="false">
      <c r="A438" s="10" t="s">
        <v>2093</v>
      </c>
      <c r="B438" s="10" t="n">
        <v>1205</v>
      </c>
      <c r="C438" s="8" t="n">
        <v>45741</v>
      </c>
      <c r="D438" s="8" t="n">
        <v>45741</v>
      </c>
      <c r="E438" s="10" t="n">
        <v>1000</v>
      </c>
      <c r="F438" s="0" t="str">
        <f aca="false">INDEX(COA!$C$5:$C$19,MATCH(E438,COA!$A$5:$A$19,0))</f>
        <v>Asset</v>
      </c>
      <c r="G438" s="12" t="n">
        <v>0</v>
      </c>
      <c r="H438" s="12" t="n">
        <v>247000</v>
      </c>
      <c r="I438" s="10" t="s">
        <v>104</v>
      </c>
      <c r="J438" s="10" t="s">
        <v>1636</v>
      </c>
      <c r="K438" s="10" t="s">
        <v>1776</v>
      </c>
    </row>
    <row r="439" customFormat="false" ht="15" hidden="false" customHeight="false" outlineLevel="0" collapsed="false">
      <c r="A439" s="10" t="s">
        <v>2094</v>
      </c>
      <c r="B439" s="10" t="n">
        <v>1206</v>
      </c>
      <c r="C439" s="8" t="n">
        <v>45741</v>
      </c>
      <c r="D439" s="8" t="n">
        <v>45740</v>
      </c>
      <c r="E439" s="10" t="n">
        <v>1000</v>
      </c>
      <c r="F439" s="0" t="str">
        <f aca="false">INDEX(COA!$C$5:$C$19,MATCH(E439,COA!$A$5:$A$19,0))</f>
        <v>Asset</v>
      </c>
      <c r="G439" s="12" t="n">
        <v>376.59</v>
      </c>
      <c r="H439" s="12" t="n">
        <v>0</v>
      </c>
      <c r="I439" s="10" t="s">
        <v>103</v>
      </c>
      <c r="J439" s="10" t="s">
        <v>1636</v>
      </c>
      <c r="K439" s="10" t="s">
        <v>1637</v>
      </c>
    </row>
    <row r="440" customFormat="false" ht="15" hidden="false" customHeight="false" outlineLevel="0" collapsed="false">
      <c r="A440" s="10" t="s">
        <v>2095</v>
      </c>
      <c r="B440" s="10" t="n">
        <v>1206</v>
      </c>
      <c r="C440" s="8" t="n">
        <v>45741</v>
      </c>
      <c r="D440" s="8" t="n">
        <v>45740</v>
      </c>
      <c r="E440" s="10" t="n">
        <v>1100</v>
      </c>
      <c r="F440" s="0" t="str">
        <f aca="false">INDEX(COA!$C$5:$C$19,MATCH(E440,COA!$A$5:$A$19,0))</f>
        <v>Asset</v>
      </c>
      <c r="G440" s="12" t="n">
        <v>0</v>
      </c>
      <c r="H440" s="12" t="n">
        <v>376.59</v>
      </c>
      <c r="I440" s="10" t="s">
        <v>103</v>
      </c>
      <c r="J440" s="10" t="s">
        <v>1636</v>
      </c>
      <c r="K440" s="10" t="s">
        <v>1637</v>
      </c>
    </row>
    <row r="441" customFormat="false" ht="15" hidden="false" customHeight="false" outlineLevel="0" collapsed="false">
      <c r="A441" s="10" t="s">
        <v>2096</v>
      </c>
      <c r="B441" s="10" t="n">
        <v>1207</v>
      </c>
      <c r="C441" s="8" t="n">
        <v>45742</v>
      </c>
      <c r="D441" s="8" t="n">
        <v>45742</v>
      </c>
      <c r="E441" s="10" t="n">
        <v>1100</v>
      </c>
      <c r="F441" s="0" t="str">
        <f aca="false">INDEX(COA!$C$5:$C$19,MATCH(E441,COA!$A$5:$A$19,0))</f>
        <v>Asset</v>
      </c>
      <c r="G441" s="12" t="n">
        <v>878.18</v>
      </c>
      <c r="H441" s="12" t="n">
        <v>0</v>
      </c>
      <c r="I441" s="10" t="s">
        <v>103</v>
      </c>
      <c r="J441" s="10" t="s">
        <v>1636</v>
      </c>
      <c r="K441" s="10" t="s">
        <v>1640</v>
      </c>
    </row>
    <row r="442" customFormat="false" ht="15" hidden="false" customHeight="false" outlineLevel="0" collapsed="false">
      <c r="A442" s="10" t="s">
        <v>2097</v>
      </c>
      <c r="B442" s="10" t="n">
        <v>1207</v>
      </c>
      <c r="C442" s="8" t="n">
        <v>45742</v>
      </c>
      <c r="D442" s="8" t="n">
        <v>45742</v>
      </c>
      <c r="E442" s="10" t="n">
        <v>4000</v>
      </c>
      <c r="F442" s="0" t="str">
        <f aca="false">INDEX(COA!$C$5:$C$19,MATCH(E442,COA!$A$5:$A$19,0))</f>
        <v>Revenue</v>
      </c>
      <c r="G442" s="12" t="n">
        <v>0</v>
      </c>
      <c r="H442" s="12" t="n">
        <v>878.18</v>
      </c>
      <c r="I442" s="10" t="s">
        <v>103</v>
      </c>
      <c r="J442" s="10" t="s">
        <v>1636</v>
      </c>
      <c r="K442" s="10" t="s">
        <v>1640</v>
      </c>
    </row>
    <row r="443" customFormat="false" ht="15" hidden="false" customHeight="false" outlineLevel="0" collapsed="false">
      <c r="A443" s="10" t="s">
        <v>2098</v>
      </c>
      <c r="B443" s="10" t="n">
        <v>1208</v>
      </c>
      <c r="C443" s="8" t="n">
        <v>45742</v>
      </c>
      <c r="D443" s="8" t="n">
        <v>45738</v>
      </c>
      <c r="E443" s="10" t="n">
        <v>1000</v>
      </c>
      <c r="F443" s="0" t="str">
        <f aca="false">INDEX(COA!$C$5:$C$19,MATCH(E443,COA!$A$5:$A$19,0))</f>
        <v>Asset</v>
      </c>
      <c r="G443" s="12" t="n">
        <v>32121.51</v>
      </c>
      <c r="H443" s="12" t="n">
        <v>0</v>
      </c>
      <c r="I443" s="10" t="s">
        <v>103</v>
      </c>
      <c r="J443" s="10" t="s">
        <v>1636</v>
      </c>
      <c r="K443" s="10" t="s">
        <v>1637</v>
      </c>
    </row>
    <row r="444" customFormat="false" ht="15" hidden="false" customHeight="false" outlineLevel="0" collapsed="false">
      <c r="A444" s="10" t="s">
        <v>2099</v>
      </c>
      <c r="B444" s="10" t="n">
        <v>1208</v>
      </c>
      <c r="C444" s="8" t="n">
        <v>45742</v>
      </c>
      <c r="D444" s="8" t="n">
        <v>45738</v>
      </c>
      <c r="E444" s="10" t="n">
        <v>1100</v>
      </c>
      <c r="F444" s="0" t="str">
        <f aca="false">INDEX(COA!$C$5:$C$19,MATCH(E444,COA!$A$5:$A$19,0))</f>
        <v>Asset</v>
      </c>
      <c r="G444" s="12" t="n">
        <v>0</v>
      </c>
      <c r="H444" s="12" t="n">
        <v>32121.51</v>
      </c>
      <c r="I444" s="10" t="s">
        <v>103</v>
      </c>
      <c r="J444" s="10" t="s">
        <v>1636</v>
      </c>
      <c r="K444" s="10" t="s">
        <v>1637</v>
      </c>
    </row>
    <row r="445" customFormat="false" ht="15" hidden="false" customHeight="false" outlineLevel="0" collapsed="false">
      <c r="A445" s="10" t="s">
        <v>2100</v>
      </c>
      <c r="B445" s="10" t="n">
        <v>1209</v>
      </c>
      <c r="C445" s="8" t="n">
        <v>45743</v>
      </c>
      <c r="D445" s="8" t="n">
        <v>45741</v>
      </c>
      <c r="E445" s="10" t="n">
        <v>2000</v>
      </c>
      <c r="F445" s="0" t="str">
        <f aca="false">INDEX(COA!$C$5:$C$19,MATCH(E445,COA!$A$5:$A$19,0))</f>
        <v>Liability</v>
      </c>
      <c r="G445" s="12" t="n">
        <v>131516.79</v>
      </c>
      <c r="H445" s="12" t="n">
        <v>0</v>
      </c>
      <c r="I445" s="10" t="s">
        <v>104</v>
      </c>
      <c r="J445" s="10" t="s">
        <v>1636</v>
      </c>
      <c r="K445" s="10" t="s">
        <v>1659</v>
      </c>
    </row>
    <row r="446" customFormat="false" ht="15" hidden="false" customHeight="false" outlineLevel="0" collapsed="false">
      <c r="A446" s="10" t="s">
        <v>2101</v>
      </c>
      <c r="B446" s="10" t="n">
        <v>1209</v>
      </c>
      <c r="C446" s="8" t="n">
        <v>45743</v>
      </c>
      <c r="D446" s="8" t="n">
        <v>45741</v>
      </c>
      <c r="E446" s="10" t="n">
        <v>1000</v>
      </c>
      <c r="F446" s="0" t="str">
        <f aca="false">INDEX(COA!$C$5:$C$19,MATCH(E446,COA!$A$5:$A$19,0))</f>
        <v>Asset</v>
      </c>
      <c r="G446" s="12" t="n">
        <v>0</v>
      </c>
      <c r="H446" s="12" t="n">
        <v>131516.79</v>
      </c>
      <c r="I446" s="10" t="s">
        <v>104</v>
      </c>
      <c r="J446" s="10" t="s">
        <v>1636</v>
      </c>
      <c r="K446" s="10" t="s">
        <v>1659</v>
      </c>
    </row>
    <row r="447" customFormat="false" ht="15" hidden="false" customHeight="false" outlineLevel="0" collapsed="false">
      <c r="A447" s="10" t="s">
        <v>2102</v>
      </c>
      <c r="B447" s="10" t="n">
        <v>1210</v>
      </c>
      <c r="C447" s="8" t="n">
        <v>45744</v>
      </c>
      <c r="D447" s="8" t="n">
        <v>45740</v>
      </c>
      <c r="E447" s="10" t="n">
        <v>1000</v>
      </c>
      <c r="F447" s="0" t="str">
        <f aca="false">INDEX(COA!$C$5:$C$19,MATCH(E447,COA!$A$5:$A$19,0))</f>
        <v>Asset</v>
      </c>
      <c r="G447" s="12" t="n">
        <v>425.85</v>
      </c>
      <c r="H447" s="12" t="n">
        <v>0</v>
      </c>
      <c r="I447" s="10" t="s">
        <v>103</v>
      </c>
      <c r="J447" s="10" t="s">
        <v>1636</v>
      </c>
      <c r="K447" s="10" t="s">
        <v>1637</v>
      </c>
    </row>
    <row r="448" customFormat="false" ht="15" hidden="false" customHeight="false" outlineLevel="0" collapsed="false">
      <c r="A448" s="10" t="s">
        <v>2103</v>
      </c>
      <c r="B448" s="10" t="n">
        <v>1210</v>
      </c>
      <c r="C448" s="8" t="n">
        <v>45744</v>
      </c>
      <c r="D448" s="8" t="n">
        <v>45740</v>
      </c>
      <c r="E448" s="10" t="n">
        <v>1100</v>
      </c>
      <c r="F448" s="0" t="str">
        <f aca="false">INDEX(COA!$C$5:$C$19,MATCH(E448,COA!$A$5:$A$19,0))</f>
        <v>Asset</v>
      </c>
      <c r="G448" s="12" t="n">
        <v>0</v>
      </c>
      <c r="H448" s="12" t="n">
        <v>425.85</v>
      </c>
      <c r="I448" s="10" t="s">
        <v>103</v>
      </c>
      <c r="J448" s="10" t="s">
        <v>1636</v>
      </c>
      <c r="K448" s="10" t="s">
        <v>1637</v>
      </c>
    </row>
    <row r="449" customFormat="false" ht="15" hidden="false" customHeight="false" outlineLevel="0" collapsed="false">
      <c r="A449" s="10" t="s">
        <v>2104</v>
      </c>
      <c r="B449" s="10" t="n">
        <v>1211</v>
      </c>
      <c r="C449" s="8" t="n">
        <v>45744</v>
      </c>
      <c r="D449" s="8" t="n">
        <v>45741</v>
      </c>
      <c r="E449" s="10" t="n">
        <v>6900</v>
      </c>
      <c r="F449" s="0" t="str">
        <f aca="false">INDEX(COA!$C$5:$C$19,MATCH(E449,COA!$A$5:$A$19,0))</f>
        <v>Expense</v>
      </c>
      <c r="G449" s="12" t="n">
        <v>480.56</v>
      </c>
      <c r="H449" s="12" t="n">
        <v>0</v>
      </c>
      <c r="I449" s="10" t="s">
        <v>98</v>
      </c>
      <c r="J449" s="10" t="s">
        <v>1648</v>
      </c>
      <c r="K449" s="10" t="s">
        <v>1649</v>
      </c>
    </row>
    <row r="450" customFormat="false" ht="15" hidden="false" customHeight="false" outlineLevel="0" collapsed="false">
      <c r="A450" s="10" t="s">
        <v>2105</v>
      </c>
      <c r="B450" s="10" t="n">
        <v>1211</v>
      </c>
      <c r="C450" s="8" t="n">
        <v>45744</v>
      </c>
      <c r="D450" s="8" t="n">
        <v>45741</v>
      </c>
      <c r="E450" s="10" t="n">
        <v>2100</v>
      </c>
      <c r="F450" s="0" t="str">
        <f aca="false">INDEX(COA!$C$5:$C$19,MATCH(E450,COA!$A$5:$A$19,0))</f>
        <v>Liability</v>
      </c>
      <c r="G450" s="12" t="n">
        <v>0</v>
      </c>
      <c r="H450" s="12" t="n">
        <v>480.56</v>
      </c>
      <c r="I450" s="10" t="s">
        <v>98</v>
      </c>
      <c r="J450" s="10" t="s">
        <v>1648</v>
      </c>
      <c r="K450" s="10" t="s">
        <v>1649</v>
      </c>
    </row>
    <row r="451" customFormat="false" ht="15" hidden="false" customHeight="false" outlineLevel="0" collapsed="false">
      <c r="A451" s="10" t="s">
        <v>2106</v>
      </c>
      <c r="B451" s="10" t="n">
        <v>1212</v>
      </c>
      <c r="C451" s="8" t="n">
        <v>45747</v>
      </c>
      <c r="D451" s="8" t="n">
        <v>45743</v>
      </c>
      <c r="E451" s="10" t="n">
        <v>2100</v>
      </c>
      <c r="F451" s="0" t="str">
        <f aca="false">INDEX(COA!$C$5:$C$19,MATCH(E451,COA!$A$5:$A$19,0))</f>
        <v>Liability</v>
      </c>
      <c r="G451" s="12" t="n">
        <v>21882.17</v>
      </c>
      <c r="H451" s="12" t="n">
        <v>0</v>
      </c>
      <c r="I451" s="10" t="s">
        <v>98</v>
      </c>
      <c r="J451" s="10" t="s">
        <v>1648</v>
      </c>
      <c r="K451" s="10" t="s">
        <v>1677</v>
      </c>
    </row>
    <row r="452" customFormat="false" ht="15" hidden="false" customHeight="false" outlineLevel="0" collapsed="false">
      <c r="A452" s="10" t="s">
        <v>2107</v>
      </c>
      <c r="B452" s="10" t="n">
        <v>1212</v>
      </c>
      <c r="C452" s="8" t="n">
        <v>45747</v>
      </c>
      <c r="D452" s="8" t="n">
        <v>45743</v>
      </c>
      <c r="E452" s="10" t="n">
        <v>2100</v>
      </c>
      <c r="F452" s="0" t="str">
        <f aca="false">INDEX(COA!$C$5:$C$19,MATCH(E452,COA!$A$5:$A$19,0))</f>
        <v>Liability</v>
      </c>
      <c r="G452" s="12" t="n">
        <v>9378.08</v>
      </c>
      <c r="H452" s="12" t="n">
        <v>0</v>
      </c>
      <c r="I452" s="10" t="s">
        <v>98</v>
      </c>
      <c r="J452" s="10" t="s">
        <v>1648</v>
      </c>
      <c r="K452" s="10" t="s">
        <v>1677</v>
      </c>
    </row>
    <row r="453" customFormat="false" ht="15" hidden="false" customHeight="false" outlineLevel="0" collapsed="false">
      <c r="A453" s="10" t="s">
        <v>2108</v>
      </c>
      <c r="B453" s="10" t="n">
        <v>1212</v>
      </c>
      <c r="C453" s="8" t="n">
        <v>45747</v>
      </c>
      <c r="D453" s="8" t="n">
        <v>45743</v>
      </c>
      <c r="E453" s="10" t="n">
        <v>6900</v>
      </c>
      <c r="F453" s="0" t="str">
        <f aca="false">INDEX(COA!$C$5:$C$19,MATCH(E453,COA!$A$5:$A$19,0))</f>
        <v>Expense</v>
      </c>
      <c r="G453" s="12" t="n">
        <v>0</v>
      </c>
      <c r="H453" s="12" t="n">
        <v>31260.25</v>
      </c>
      <c r="I453" s="10" t="s">
        <v>98</v>
      </c>
      <c r="J453" s="10" t="s">
        <v>1648</v>
      </c>
      <c r="K453" s="10" t="s">
        <v>1677</v>
      </c>
    </row>
    <row r="454" customFormat="false" ht="15" hidden="false" customHeight="false" outlineLevel="0" collapsed="false">
      <c r="A454" s="10" t="s">
        <v>2109</v>
      </c>
      <c r="B454" s="10" t="n">
        <v>1213</v>
      </c>
      <c r="C454" s="8" t="n">
        <v>45747</v>
      </c>
      <c r="D454" s="8" t="n">
        <v>45747</v>
      </c>
      <c r="E454" s="10" t="n">
        <v>6900</v>
      </c>
      <c r="F454" s="0" t="str">
        <f aca="false">INDEX(COA!$C$5:$C$19,MATCH(E454,COA!$A$5:$A$19,0))</f>
        <v>Expense</v>
      </c>
      <c r="G454" s="12" t="n">
        <v>71988.26</v>
      </c>
      <c r="H454" s="12" t="n">
        <v>0</v>
      </c>
      <c r="I454" s="10" t="s">
        <v>101</v>
      </c>
      <c r="J454" s="10" t="s">
        <v>1648</v>
      </c>
      <c r="K454" s="10" t="s">
        <v>1649</v>
      </c>
    </row>
    <row r="455" customFormat="false" ht="15" hidden="false" customHeight="false" outlineLevel="0" collapsed="false">
      <c r="A455" s="10" t="s">
        <v>2110</v>
      </c>
      <c r="B455" s="10" t="n">
        <v>1213</v>
      </c>
      <c r="C455" s="8" t="n">
        <v>45747</v>
      </c>
      <c r="D455" s="8" t="n">
        <v>45747</v>
      </c>
      <c r="E455" s="10" t="n">
        <v>2100</v>
      </c>
      <c r="F455" s="0" t="str">
        <f aca="false">INDEX(COA!$C$5:$C$19,MATCH(E455,COA!$A$5:$A$19,0))</f>
        <v>Liability</v>
      </c>
      <c r="G455" s="12" t="n">
        <v>0</v>
      </c>
      <c r="H455" s="12" t="n">
        <v>71988.26</v>
      </c>
      <c r="I455" s="10" t="s">
        <v>101</v>
      </c>
      <c r="J455" s="10" t="s">
        <v>1648</v>
      </c>
      <c r="K455" s="10" t="s">
        <v>1649</v>
      </c>
    </row>
    <row r="456" customFormat="false" ht="15" hidden="false" customHeight="false" outlineLevel="0" collapsed="false">
      <c r="A456" s="10" t="s">
        <v>2111</v>
      </c>
      <c r="B456" s="10" t="n">
        <v>1214</v>
      </c>
      <c r="C456" s="8" t="n">
        <v>45747</v>
      </c>
      <c r="D456" s="8" t="n">
        <v>45746</v>
      </c>
      <c r="E456" s="10" t="n">
        <v>1100</v>
      </c>
      <c r="F456" s="0" t="str">
        <f aca="false">INDEX(COA!$C$5:$C$19,MATCH(E456,COA!$A$5:$A$19,0))</f>
        <v>Asset</v>
      </c>
      <c r="G456" s="12" t="n">
        <v>45582.92</v>
      </c>
      <c r="H456" s="12" t="n">
        <v>0</v>
      </c>
      <c r="I456" s="10" t="s">
        <v>103</v>
      </c>
      <c r="J456" s="10" t="s">
        <v>1636</v>
      </c>
      <c r="K456" s="10" t="s">
        <v>1640</v>
      </c>
    </row>
    <row r="457" customFormat="false" ht="15" hidden="false" customHeight="false" outlineLevel="0" collapsed="false">
      <c r="A457" s="10" t="s">
        <v>2112</v>
      </c>
      <c r="B457" s="10" t="n">
        <v>1214</v>
      </c>
      <c r="C457" s="8" t="n">
        <v>45747</v>
      </c>
      <c r="D457" s="8" t="n">
        <v>45746</v>
      </c>
      <c r="E457" s="10" t="n">
        <v>4000</v>
      </c>
      <c r="F457" s="0" t="str">
        <f aca="false">INDEX(COA!$C$5:$C$19,MATCH(E457,COA!$A$5:$A$19,0))</f>
        <v>Revenue</v>
      </c>
      <c r="G457" s="12" t="n">
        <v>0</v>
      </c>
      <c r="H457" s="12" t="n">
        <v>45582.92</v>
      </c>
      <c r="I457" s="10" t="s">
        <v>103</v>
      </c>
      <c r="J457" s="10" t="s">
        <v>1636</v>
      </c>
      <c r="K457" s="10" t="s">
        <v>1640</v>
      </c>
    </row>
    <row r="458" customFormat="false" ht="15" hidden="false" customHeight="false" outlineLevel="0" collapsed="false">
      <c r="A458" s="10" t="s">
        <v>2113</v>
      </c>
      <c r="B458" s="10" t="n">
        <v>1215</v>
      </c>
      <c r="C458" s="8" t="n">
        <v>45749</v>
      </c>
      <c r="D458" s="8" t="n">
        <v>45746</v>
      </c>
      <c r="E458" s="10" t="n">
        <v>5000</v>
      </c>
      <c r="F458" s="0" t="str">
        <f aca="false">INDEX(COA!$C$5:$C$19,MATCH(E458,COA!$A$5:$A$19,0))</f>
        <v>Expense</v>
      </c>
      <c r="G458" s="12" t="n">
        <v>69244.5</v>
      </c>
      <c r="H458" s="12" t="n">
        <v>0</v>
      </c>
      <c r="I458" s="10" t="s">
        <v>103</v>
      </c>
      <c r="J458" s="10" t="s">
        <v>1636</v>
      </c>
      <c r="K458" s="10" t="s">
        <v>1670</v>
      </c>
    </row>
    <row r="459" customFormat="false" ht="15" hidden="false" customHeight="false" outlineLevel="0" collapsed="false">
      <c r="A459" s="10" t="s">
        <v>2114</v>
      </c>
      <c r="B459" s="10" t="n">
        <v>1215</v>
      </c>
      <c r="C459" s="8" t="n">
        <v>45749</v>
      </c>
      <c r="D459" s="8" t="n">
        <v>45746</v>
      </c>
      <c r="E459" s="10" t="n">
        <v>1200</v>
      </c>
      <c r="F459" s="0" t="str">
        <f aca="false">INDEX(COA!$C$5:$C$19,MATCH(E459,COA!$A$5:$A$19,0))</f>
        <v>Asset</v>
      </c>
      <c r="G459" s="12" t="n">
        <v>0</v>
      </c>
      <c r="H459" s="12" t="n">
        <v>69244.5</v>
      </c>
      <c r="I459" s="10" t="s">
        <v>103</v>
      </c>
      <c r="J459" s="10" t="s">
        <v>1636</v>
      </c>
      <c r="K459" s="10" t="s">
        <v>1670</v>
      </c>
    </row>
    <row r="460" customFormat="false" ht="15" hidden="false" customHeight="false" outlineLevel="0" collapsed="false">
      <c r="A460" s="10" t="s">
        <v>2115</v>
      </c>
      <c r="B460" s="10" t="n">
        <v>1216</v>
      </c>
      <c r="C460" s="8" t="n">
        <v>45749</v>
      </c>
      <c r="D460" s="8" t="n">
        <v>45748</v>
      </c>
      <c r="E460" s="10" t="n">
        <v>2000</v>
      </c>
      <c r="F460" s="0" t="str">
        <f aca="false">INDEX(COA!$C$5:$C$19,MATCH(E460,COA!$A$5:$A$19,0))</f>
        <v>Liability</v>
      </c>
      <c r="G460" s="12" t="n">
        <v>221.32</v>
      </c>
      <c r="H460" s="12" t="n">
        <v>0</v>
      </c>
      <c r="I460" s="10" t="s">
        <v>104</v>
      </c>
      <c r="J460" s="10" t="s">
        <v>1636</v>
      </c>
      <c r="K460" s="10" t="s">
        <v>1659</v>
      </c>
    </row>
    <row r="461" customFormat="false" ht="15" hidden="false" customHeight="false" outlineLevel="0" collapsed="false">
      <c r="A461" s="10" t="s">
        <v>2116</v>
      </c>
      <c r="B461" s="10" t="n">
        <v>1216</v>
      </c>
      <c r="C461" s="8" t="n">
        <v>45749</v>
      </c>
      <c r="D461" s="8" t="n">
        <v>45748</v>
      </c>
      <c r="E461" s="10" t="n">
        <v>2000</v>
      </c>
      <c r="F461" s="0" t="str">
        <f aca="false">INDEX(COA!$C$5:$C$19,MATCH(E461,COA!$A$5:$A$19,0))</f>
        <v>Liability</v>
      </c>
      <c r="G461" s="12" t="n">
        <v>94.85</v>
      </c>
      <c r="H461" s="12" t="n">
        <v>0</v>
      </c>
      <c r="I461" s="10" t="s">
        <v>104</v>
      </c>
      <c r="J461" s="10" t="s">
        <v>1636</v>
      </c>
      <c r="K461" s="10" t="s">
        <v>1659</v>
      </c>
    </row>
    <row r="462" customFormat="false" ht="15" hidden="false" customHeight="false" outlineLevel="0" collapsed="false">
      <c r="A462" s="10" t="s">
        <v>2117</v>
      </c>
      <c r="B462" s="10" t="n">
        <v>1216</v>
      </c>
      <c r="C462" s="8" t="n">
        <v>45749</v>
      </c>
      <c r="D462" s="8" t="n">
        <v>45748</v>
      </c>
      <c r="E462" s="10" t="n">
        <v>1000</v>
      </c>
      <c r="F462" s="0" t="str">
        <f aca="false">INDEX(COA!$C$5:$C$19,MATCH(E462,COA!$A$5:$A$19,0))</f>
        <v>Asset</v>
      </c>
      <c r="G462" s="12" t="n">
        <v>0</v>
      </c>
      <c r="H462" s="12" t="n">
        <v>316.17</v>
      </c>
      <c r="I462" s="10" t="s">
        <v>104</v>
      </c>
      <c r="J462" s="10" t="s">
        <v>1636</v>
      </c>
      <c r="K462" s="10" t="s">
        <v>1659</v>
      </c>
    </row>
    <row r="463" customFormat="false" ht="15" hidden="false" customHeight="false" outlineLevel="0" collapsed="false">
      <c r="A463" s="10" t="s">
        <v>2118</v>
      </c>
      <c r="B463" s="10" t="n">
        <v>1217</v>
      </c>
      <c r="C463" s="8" t="n">
        <v>45749</v>
      </c>
      <c r="D463" s="8" t="n">
        <v>45746</v>
      </c>
      <c r="E463" s="10" t="n">
        <v>5000</v>
      </c>
      <c r="F463" s="0" t="str">
        <f aca="false">INDEX(COA!$C$5:$C$19,MATCH(E463,COA!$A$5:$A$19,0))</f>
        <v>Expense</v>
      </c>
      <c r="G463" s="12" t="n">
        <v>7483.95</v>
      </c>
      <c r="H463" s="12" t="n">
        <v>0</v>
      </c>
      <c r="I463" s="10" t="s">
        <v>103</v>
      </c>
      <c r="J463" s="10" t="s">
        <v>1636</v>
      </c>
      <c r="K463" s="10" t="s">
        <v>1670</v>
      </c>
    </row>
    <row r="464" customFormat="false" ht="15" hidden="false" customHeight="false" outlineLevel="0" collapsed="false">
      <c r="A464" s="10" t="s">
        <v>2119</v>
      </c>
      <c r="B464" s="10" t="n">
        <v>1217</v>
      </c>
      <c r="C464" s="8" t="n">
        <v>45749</v>
      </c>
      <c r="D464" s="8" t="n">
        <v>45746</v>
      </c>
      <c r="E464" s="10" t="n">
        <v>1200</v>
      </c>
      <c r="F464" s="0" t="str">
        <f aca="false">INDEX(COA!$C$5:$C$19,MATCH(E464,COA!$A$5:$A$19,0))</f>
        <v>Asset</v>
      </c>
      <c r="G464" s="12" t="n">
        <v>0</v>
      </c>
      <c r="H464" s="12" t="n">
        <v>7483.95</v>
      </c>
      <c r="I464" s="10" t="s">
        <v>103</v>
      </c>
      <c r="J464" s="10" t="s">
        <v>1636</v>
      </c>
      <c r="K464" s="10" t="s">
        <v>1670</v>
      </c>
    </row>
    <row r="465" customFormat="false" ht="15" hidden="false" customHeight="false" outlineLevel="0" collapsed="false">
      <c r="A465" s="10" t="s">
        <v>2120</v>
      </c>
      <c r="B465" s="10" t="n">
        <v>1218</v>
      </c>
      <c r="C465" s="8" t="n">
        <v>45750</v>
      </c>
      <c r="D465" s="8" t="n">
        <v>45748</v>
      </c>
      <c r="E465" s="10" t="n">
        <v>1000</v>
      </c>
      <c r="F465" s="0" t="str">
        <f aca="false">INDEX(COA!$C$5:$C$19,MATCH(E465,COA!$A$5:$A$19,0))</f>
        <v>Asset</v>
      </c>
      <c r="G465" s="12" t="n">
        <v>23370.69</v>
      </c>
      <c r="H465" s="12" t="n">
        <v>0</v>
      </c>
      <c r="I465" s="10" t="s">
        <v>103</v>
      </c>
      <c r="J465" s="10" t="s">
        <v>1636</v>
      </c>
      <c r="K465" s="10" t="s">
        <v>1637</v>
      </c>
    </row>
    <row r="466" customFormat="false" ht="15" hidden="false" customHeight="false" outlineLevel="0" collapsed="false">
      <c r="A466" s="10" t="s">
        <v>2121</v>
      </c>
      <c r="B466" s="10" t="n">
        <v>1218</v>
      </c>
      <c r="C466" s="8" t="n">
        <v>45750</v>
      </c>
      <c r="D466" s="8" t="n">
        <v>45748</v>
      </c>
      <c r="E466" s="10" t="n">
        <v>1100</v>
      </c>
      <c r="F466" s="0" t="str">
        <f aca="false">INDEX(COA!$C$5:$C$19,MATCH(E466,COA!$A$5:$A$19,0))</f>
        <v>Asset</v>
      </c>
      <c r="G466" s="12" t="n">
        <v>0</v>
      </c>
      <c r="H466" s="12" t="n">
        <v>23370.69</v>
      </c>
      <c r="I466" s="10" t="s">
        <v>103</v>
      </c>
      <c r="J466" s="10" t="s">
        <v>1636</v>
      </c>
      <c r="K466" s="10" t="s">
        <v>1637</v>
      </c>
    </row>
    <row r="467" customFormat="false" ht="15" hidden="false" customHeight="false" outlineLevel="0" collapsed="false">
      <c r="A467" s="10" t="s">
        <v>2122</v>
      </c>
      <c r="B467" s="10" t="n">
        <v>1219</v>
      </c>
      <c r="C467" s="8" t="n">
        <v>45750</v>
      </c>
      <c r="D467" s="8" t="n">
        <v>45748</v>
      </c>
      <c r="E467" s="10" t="n">
        <v>1000</v>
      </c>
      <c r="F467" s="0" t="str">
        <f aca="false">INDEX(COA!$C$5:$C$19,MATCH(E467,COA!$A$5:$A$19,0))</f>
        <v>Asset</v>
      </c>
      <c r="G467" s="12" t="n">
        <v>4527.12</v>
      </c>
      <c r="H467" s="12" t="n">
        <v>0</v>
      </c>
      <c r="I467" s="10" t="s">
        <v>103</v>
      </c>
      <c r="J467" s="10" t="s">
        <v>1636</v>
      </c>
      <c r="K467" s="10" t="s">
        <v>1637</v>
      </c>
    </row>
    <row r="468" customFormat="false" ht="15" hidden="false" customHeight="false" outlineLevel="0" collapsed="false">
      <c r="A468" s="10" t="s">
        <v>2123</v>
      </c>
      <c r="B468" s="10" t="n">
        <v>1219</v>
      </c>
      <c r="C468" s="8" t="n">
        <v>45750</v>
      </c>
      <c r="D468" s="8" t="n">
        <v>45748</v>
      </c>
      <c r="E468" s="10" t="n">
        <v>1000</v>
      </c>
      <c r="F468" s="0" t="str">
        <f aca="false">INDEX(COA!$C$5:$C$19,MATCH(E468,COA!$A$5:$A$19,0))</f>
        <v>Asset</v>
      </c>
      <c r="G468" s="12" t="n">
        <v>1940.19</v>
      </c>
      <c r="H468" s="12" t="n">
        <v>0</v>
      </c>
      <c r="I468" s="10" t="s">
        <v>103</v>
      </c>
      <c r="J468" s="10" t="s">
        <v>1636</v>
      </c>
      <c r="K468" s="10" t="s">
        <v>1637</v>
      </c>
    </row>
    <row r="469" customFormat="false" ht="15" hidden="false" customHeight="false" outlineLevel="0" collapsed="false">
      <c r="A469" s="10" t="s">
        <v>2124</v>
      </c>
      <c r="B469" s="10" t="n">
        <v>1219</v>
      </c>
      <c r="C469" s="8" t="n">
        <v>45750</v>
      </c>
      <c r="D469" s="8" t="n">
        <v>45748</v>
      </c>
      <c r="E469" s="10" t="n">
        <v>1100</v>
      </c>
      <c r="F469" s="0" t="str">
        <f aca="false">INDEX(COA!$C$5:$C$19,MATCH(E469,COA!$A$5:$A$19,0))</f>
        <v>Asset</v>
      </c>
      <c r="G469" s="12" t="n">
        <v>0</v>
      </c>
      <c r="H469" s="12" t="n">
        <v>6467.31</v>
      </c>
      <c r="I469" s="10" t="s">
        <v>103</v>
      </c>
      <c r="J469" s="10" t="s">
        <v>1636</v>
      </c>
      <c r="K469" s="10" t="s">
        <v>1637</v>
      </c>
    </row>
    <row r="470" customFormat="false" ht="15" hidden="false" customHeight="false" outlineLevel="0" collapsed="false">
      <c r="A470" s="10" t="s">
        <v>2125</v>
      </c>
      <c r="B470" s="10" t="n">
        <v>1220</v>
      </c>
      <c r="C470" s="8" t="n">
        <v>45750</v>
      </c>
      <c r="D470" s="8" t="n">
        <v>45749</v>
      </c>
      <c r="E470" s="10" t="n">
        <v>1200</v>
      </c>
      <c r="F470" s="0" t="str">
        <f aca="false">INDEX(COA!$C$5:$C$19,MATCH(E470,COA!$A$5:$A$19,0))</f>
        <v>Asset</v>
      </c>
      <c r="G470" s="12" t="n">
        <v>238.99</v>
      </c>
      <c r="H470" s="12" t="n">
        <v>0</v>
      </c>
      <c r="I470" s="10" t="s">
        <v>102</v>
      </c>
      <c r="J470" s="10" t="s">
        <v>1636</v>
      </c>
      <c r="K470" s="10" t="s">
        <v>1655</v>
      </c>
    </row>
    <row r="471" customFormat="false" ht="15" hidden="false" customHeight="false" outlineLevel="0" collapsed="false">
      <c r="A471" s="10" t="s">
        <v>2126</v>
      </c>
      <c r="B471" s="10" t="n">
        <v>1220</v>
      </c>
      <c r="C471" s="8" t="n">
        <v>45750</v>
      </c>
      <c r="D471" s="8" t="n">
        <v>45749</v>
      </c>
      <c r="E471" s="10" t="n">
        <v>2000</v>
      </c>
      <c r="F471" s="0" t="str">
        <f aca="false">INDEX(COA!$C$5:$C$19,MATCH(E471,COA!$A$5:$A$19,0))</f>
        <v>Liability</v>
      </c>
      <c r="G471" s="12" t="n">
        <v>0</v>
      </c>
      <c r="H471" s="12" t="n">
        <v>238.99</v>
      </c>
      <c r="I471" s="10" t="s">
        <v>102</v>
      </c>
      <c r="J471" s="10" t="s">
        <v>1636</v>
      </c>
      <c r="K471" s="10" t="s">
        <v>1655</v>
      </c>
    </row>
    <row r="472" customFormat="false" ht="15" hidden="false" customHeight="false" outlineLevel="0" collapsed="false">
      <c r="A472" s="10" t="s">
        <v>2127</v>
      </c>
      <c r="B472" s="10" t="n">
        <v>1221</v>
      </c>
      <c r="C472" s="8" t="n">
        <v>45750</v>
      </c>
      <c r="D472" s="8" t="n">
        <v>45749</v>
      </c>
      <c r="E472" s="10" t="n">
        <v>6200</v>
      </c>
      <c r="F472" s="0" t="str">
        <f aca="false">INDEX(COA!$C$5:$C$19,MATCH(E472,COA!$A$5:$A$19,0))</f>
        <v>Expense</v>
      </c>
      <c r="G472" s="12" t="n">
        <v>176.77</v>
      </c>
      <c r="H472" s="12" t="n">
        <v>0</v>
      </c>
      <c r="I472" s="10" t="s">
        <v>102</v>
      </c>
      <c r="J472" s="10" t="s">
        <v>1636</v>
      </c>
      <c r="K472" s="10" t="s">
        <v>1689</v>
      </c>
    </row>
    <row r="473" customFormat="false" ht="15" hidden="false" customHeight="false" outlineLevel="0" collapsed="false">
      <c r="A473" s="10" t="s">
        <v>2128</v>
      </c>
      <c r="B473" s="10" t="n">
        <v>1221</v>
      </c>
      <c r="C473" s="8" t="n">
        <v>45750</v>
      </c>
      <c r="D473" s="8" t="n">
        <v>45749</v>
      </c>
      <c r="E473" s="10" t="n">
        <v>6200</v>
      </c>
      <c r="F473" s="0" t="str">
        <f aca="false">INDEX(COA!$C$5:$C$19,MATCH(E473,COA!$A$5:$A$19,0))</f>
        <v>Expense</v>
      </c>
      <c r="G473" s="12" t="n">
        <v>75.76</v>
      </c>
      <c r="H473" s="12" t="n">
        <v>0</v>
      </c>
      <c r="I473" s="10" t="s">
        <v>102</v>
      </c>
      <c r="J473" s="10" t="s">
        <v>1636</v>
      </c>
      <c r="K473" s="10" t="s">
        <v>1689</v>
      </c>
    </row>
    <row r="474" customFormat="false" ht="15" hidden="false" customHeight="false" outlineLevel="0" collapsed="false">
      <c r="A474" s="10" t="s">
        <v>2129</v>
      </c>
      <c r="B474" s="10" t="n">
        <v>1221</v>
      </c>
      <c r="C474" s="8" t="n">
        <v>45750</v>
      </c>
      <c r="D474" s="8" t="n">
        <v>45749</v>
      </c>
      <c r="E474" s="10" t="n">
        <v>2000</v>
      </c>
      <c r="F474" s="0" t="str">
        <f aca="false">INDEX(COA!$C$5:$C$19,MATCH(E474,COA!$A$5:$A$19,0))</f>
        <v>Liability</v>
      </c>
      <c r="G474" s="12" t="n">
        <v>0</v>
      </c>
      <c r="H474" s="12" t="n">
        <v>252.53</v>
      </c>
      <c r="I474" s="10" t="s">
        <v>102</v>
      </c>
      <c r="J474" s="10" t="s">
        <v>1636</v>
      </c>
      <c r="K474" s="10" t="s">
        <v>1689</v>
      </c>
    </row>
    <row r="475" customFormat="false" ht="15" hidden="false" customHeight="false" outlineLevel="0" collapsed="false">
      <c r="A475" s="10" t="s">
        <v>2130</v>
      </c>
      <c r="B475" s="10" t="n">
        <v>1222</v>
      </c>
      <c r="C475" s="8" t="n">
        <v>45751</v>
      </c>
      <c r="D475" s="8" t="n">
        <v>45751</v>
      </c>
      <c r="E475" s="10" t="n">
        <v>1100</v>
      </c>
      <c r="F475" s="0" t="str">
        <f aca="false">INDEX(COA!$C$5:$C$19,MATCH(E475,COA!$A$5:$A$19,0))</f>
        <v>Asset</v>
      </c>
      <c r="G475" s="12" t="n">
        <v>4533.3</v>
      </c>
      <c r="H475" s="12" t="n">
        <v>0</v>
      </c>
      <c r="I475" s="10" t="s">
        <v>103</v>
      </c>
      <c r="J475" s="10" t="s">
        <v>1636</v>
      </c>
      <c r="K475" s="10" t="s">
        <v>1640</v>
      </c>
    </row>
    <row r="476" customFormat="false" ht="15" hidden="false" customHeight="false" outlineLevel="0" collapsed="false">
      <c r="A476" s="10" t="s">
        <v>2131</v>
      </c>
      <c r="B476" s="10" t="n">
        <v>1222</v>
      </c>
      <c r="C476" s="8" t="n">
        <v>45751</v>
      </c>
      <c r="D476" s="8" t="n">
        <v>45751</v>
      </c>
      <c r="E476" s="10" t="n">
        <v>4000</v>
      </c>
      <c r="F476" s="0" t="str">
        <f aca="false">INDEX(COA!$C$5:$C$19,MATCH(E476,COA!$A$5:$A$19,0))</f>
        <v>Revenue</v>
      </c>
      <c r="G476" s="12" t="n">
        <v>0</v>
      </c>
      <c r="H476" s="12" t="n">
        <v>4533.3</v>
      </c>
      <c r="I476" s="10" t="s">
        <v>103</v>
      </c>
      <c r="J476" s="10" t="s">
        <v>1636</v>
      </c>
      <c r="K476" s="10" t="s">
        <v>1640</v>
      </c>
    </row>
    <row r="477" customFormat="false" ht="15" hidden="false" customHeight="false" outlineLevel="0" collapsed="false">
      <c r="A477" s="10" t="s">
        <v>2132</v>
      </c>
      <c r="B477" s="10" t="n">
        <v>1223</v>
      </c>
      <c r="C477" s="8" t="n">
        <v>45754</v>
      </c>
      <c r="D477" s="8" t="n">
        <v>45752</v>
      </c>
      <c r="E477" s="10" t="n">
        <v>1100</v>
      </c>
      <c r="F477" s="0" t="str">
        <f aca="false">INDEX(COA!$C$5:$C$19,MATCH(E477,COA!$A$5:$A$19,0))</f>
        <v>Asset</v>
      </c>
      <c r="G477" s="12" t="n">
        <v>31456</v>
      </c>
      <c r="H477" s="12" t="n">
        <v>0</v>
      </c>
      <c r="I477" s="10" t="s">
        <v>103</v>
      </c>
      <c r="J477" s="10" t="s">
        <v>1636</v>
      </c>
      <c r="K477" s="10" t="s">
        <v>1640</v>
      </c>
    </row>
    <row r="478" customFormat="false" ht="15" hidden="false" customHeight="false" outlineLevel="0" collapsed="false">
      <c r="A478" s="10" t="s">
        <v>2133</v>
      </c>
      <c r="B478" s="10" t="n">
        <v>1223</v>
      </c>
      <c r="C478" s="8" t="n">
        <v>45754</v>
      </c>
      <c r="D478" s="8" t="n">
        <v>45752</v>
      </c>
      <c r="E478" s="10" t="n">
        <v>1100</v>
      </c>
      <c r="F478" s="0" t="str">
        <f aca="false">INDEX(COA!$C$5:$C$19,MATCH(E478,COA!$A$5:$A$19,0))</f>
        <v>Asset</v>
      </c>
      <c r="G478" s="12" t="n">
        <v>13481.14</v>
      </c>
      <c r="H478" s="12" t="n">
        <v>0</v>
      </c>
      <c r="I478" s="10" t="s">
        <v>103</v>
      </c>
      <c r="J478" s="10" t="s">
        <v>1636</v>
      </c>
      <c r="K478" s="10" t="s">
        <v>1640</v>
      </c>
    </row>
    <row r="479" customFormat="false" ht="15" hidden="false" customHeight="false" outlineLevel="0" collapsed="false">
      <c r="A479" s="10" t="s">
        <v>2134</v>
      </c>
      <c r="B479" s="10" t="n">
        <v>1223</v>
      </c>
      <c r="C479" s="8" t="n">
        <v>45754</v>
      </c>
      <c r="D479" s="8" t="n">
        <v>45752</v>
      </c>
      <c r="E479" s="10" t="n">
        <v>4000</v>
      </c>
      <c r="F479" s="0" t="str">
        <f aca="false">INDEX(COA!$C$5:$C$19,MATCH(E479,COA!$A$5:$A$19,0))</f>
        <v>Revenue</v>
      </c>
      <c r="G479" s="12" t="n">
        <v>0</v>
      </c>
      <c r="H479" s="12" t="n">
        <v>44937.14</v>
      </c>
      <c r="I479" s="10" t="s">
        <v>103</v>
      </c>
      <c r="J479" s="10" t="s">
        <v>1636</v>
      </c>
      <c r="K479" s="10" t="s">
        <v>1640</v>
      </c>
    </row>
    <row r="480" customFormat="false" ht="15" hidden="false" customHeight="false" outlineLevel="0" collapsed="false">
      <c r="A480" s="10" t="s">
        <v>2135</v>
      </c>
      <c r="B480" s="10" t="n">
        <v>1224</v>
      </c>
      <c r="C480" s="8" t="n">
        <v>45754</v>
      </c>
      <c r="D480" s="8" t="n">
        <v>45754</v>
      </c>
      <c r="E480" s="10" t="n">
        <v>1200</v>
      </c>
      <c r="F480" s="0" t="str">
        <f aca="false">INDEX(COA!$C$5:$C$19,MATCH(E480,COA!$A$5:$A$19,0))</f>
        <v>Asset</v>
      </c>
      <c r="G480" s="12" t="n">
        <v>54149.3</v>
      </c>
      <c r="H480" s="12" t="n">
        <v>0</v>
      </c>
      <c r="I480" s="10" t="s">
        <v>102</v>
      </c>
      <c r="J480" s="10" t="s">
        <v>1636</v>
      </c>
      <c r="K480" s="10" t="s">
        <v>1655</v>
      </c>
    </row>
    <row r="481" customFormat="false" ht="15" hidden="false" customHeight="false" outlineLevel="0" collapsed="false">
      <c r="A481" s="10" t="s">
        <v>2136</v>
      </c>
      <c r="B481" s="10" t="n">
        <v>1224</v>
      </c>
      <c r="C481" s="8" t="n">
        <v>45754</v>
      </c>
      <c r="D481" s="8" t="n">
        <v>45754</v>
      </c>
      <c r="E481" s="10" t="n">
        <v>1200</v>
      </c>
      <c r="F481" s="0" t="str">
        <f aca="false">INDEX(COA!$C$5:$C$19,MATCH(E481,COA!$A$5:$A$19,0))</f>
        <v>Asset</v>
      </c>
      <c r="G481" s="12" t="n">
        <v>23206.84</v>
      </c>
      <c r="H481" s="12" t="n">
        <v>0</v>
      </c>
      <c r="I481" s="10" t="s">
        <v>102</v>
      </c>
      <c r="J481" s="10" t="s">
        <v>1636</v>
      </c>
      <c r="K481" s="10" t="s">
        <v>1655</v>
      </c>
    </row>
    <row r="482" customFormat="false" ht="15" hidden="false" customHeight="false" outlineLevel="0" collapsed="false">
      <c r="A482" s="10" t="s">
        <v>2137</v>
      </c>
      <c r="B482" s="10" t="n">
        <v>1224</v>
      </c>
      <c r="C482" s="8" t="n">
        <v>45754</v>
      </c>
      <c r="D482" s="8" t="n">
        <v>45754</v>
      </c>
      <c r="E482" s="10" t="n">
        <v>2000</v>
      </c>
      <c r="F482" s="0" t="str">
        <f aca="false">INDEX(COA!$C$5:$C$19,MATCH(E482,COA!$A$5:$A$19,0))</f>
        <v>Liability</v>
      </c>
      <c r="G482" s="12" t="n">
        <v>0</v>
      </c>
      <c r="H482" s="12" t="n">
        <v>77356.14</v>
      </c>
      <c r="I482" s="10" t="s">
        <v>102</v>
      </c>
      <c r="J482" s="10" t="s">
        <v>1636</v>
      </c>
      <c r="K482" s="10" t="s">
        <v>1655</v>
      </c>
    </row>
    <row r="483" customFormat="false" ht="15" hidden="false" customHeight="false" outlineLevel="0" collapsed="false">
      <c r="A483" s="10" t="s">
        <v>2138</v>
      </c>
      <c r="B483" s="10" t="n">
        <v>1225</v>
      </c>
      <c r="C483" s="8" t="n">
        <v>45755</v>
      </c>
      <c r="D483" s="8" t="n">
        <v>45753</v>
      </c>
      <c r="E483" s="10" t="n">
        <v>1200</v>
      </c>
      <c r="F483" s="0" t="str">
        <f aca="false">INDEX(COA!$C$5:$C$19,MATCH(E483,COA!$A$5:$A$19,0))</f>
        <v>Asset</v>
      </c>
      <c r="G483" s="12" t="n">
        <v>2210.26</v>
      </c>
      <c r="H483" s="12" t="n">
        <v>0</v>
      </c>
      <c r="I483" s="10" t="s">
        <v>102</v>
      </c>
      <c r="J483" s="10" t="s">
        <v>1636</v>
      </c>
      <c r="K483" s="10" t="s">
        <v>1655</v>
      </c>
    </row>
    <row r="484" customFormat="false" ht="15" hidden="false" customHeight="false" outlineLevel="0" collapsed="false">
      <c r="A484" s="10" t="s">
        <v>2139</v>
      </c>
      <c r="B484" s="10" t="n">
        <v>1225</v>
      </c>
      <c r="C484" s="8" t="n">
        <v>45755</v>
      </c>
      <c r="D484" s="8" t="n">
        <v>45753</v>
      </c>
      <c r="E484" s="10" t="n">
        <v>2000</v>
      </c>
      <c r="F484" s="0" t="str">
        <f aca="false">INDEX(COA!$C$5:$C$19,MATCH(E484,COA!$A$5:$A$19,0))</f>
        <v>Liability</v>
      </c>
      <c r="G484" s="12" t="n">
        <v>0</v>
      </c>
      <c r="H484" s="12" t="n">
        <v>2210.26</v>
      </c>
      <c r="I484" s="10" t="s">
        <v>102</v>
      </c>
      <c r="J484" s="10" t="s">
        <v>1636</v>
      </c>
      <c r="K484" s="10" t="s">
        <v>1655</v>
      </c>
    </row>
    <row r="485" customFormat="false" ht="15" hidden="false" customHeight="false" outlineLevel="0" collapsed="false">
      <c r="A485" s="10" t="s">
        <v>2140</v>
      </c>
      <c r="B485" s="10" t="n">
        <v>1226</v>
      </c>
      <c r="C485" s="8" t="n">
        <v>45755</v>
      </c>
      <c r="D485" s="8" t="n">
        <v>45754</v>
      </c>
      <c r="E485" s="10" t="n">
        <v>2000</v>
      </c>
      <c r="F485" s="0" t="str">
        <f aca="false">INDEX(COA!$C$5:$C$19,MATCH(E485,COA!$A$5:$A$19,0))</f>
        <v>Liability</v>
      </c>
      <c r="G485" s="12" t="n">
        <v>6751.6</v>
      </c>
      <c r="H485" s="12" t="n">
        <v>0</v>
      </c>
      <c r="I485" s="10" t="s">
        <v>104</v>
      </c>
      <c r="J485" s="10" t="s">
        <v>1636</v>
      </c>
      <c r="K485" s="10" t="s">
        <v>1659</v>
      </c>
    </row>
    <row r="486" customFormat="false" ht="15" hidden="false" customHeight="false" outlineLevel="0" collapsed="false">
      <c r="A486" s="10" t="s">
        <v>2141</v>
      </c>
      <c r="B486" s="10" t="n">
        <v>1226</v>
      </c>
      <c r="C486" s="8" t="n">
        <v>45755</v>
      </c>
      <c r="D486" s="8" t="n">
        <v>45754</v>
      </c>
      <c r="E486" s="10" t="n">
        <v>1000</v>
      </c>
      <c r="F486" s="0" t="str">
        <f aca="false">INDEX(COA!$C$5:$C$19,MATCH(E486,COA!$A$5:$A$19,0))</f>
        <v>Asset</v>
      </c>
      <c r="G486" s="12" t="n">
        <v>0</v>
      </c>
      <c r="H486" s="12" t="n">
        <v>6751.6</v>
      </c>
      <c r="I486" s="10" t="s">
        <v>104</v>
      </c>
      <c r="J486" s="10" t="s">
        <v>1636</v>
      </c>
      <c r="K486" s="10" t="s">
        <v>1659</v>
      </c>
    </row>
    <row r="487" customFormat="false" ht="15" hidden="false" customHeight="false" outlineLevel="0" collapsed="false">
      <c r="A487" s="10" t="s">
        <v>2142</v>
      </c>
      <c r="B487" s="10" t="n">
        <v>1227</v>
      </c>
      <c r="C487" s="8" t="n">
        <v>45755</v>
      </c>
      <c r="D487" s="8" t="n">
        <v>45753</v>
      </c>
      <c r="E487" s="10" t="n">
        <v>1000</v>
      </c>
      <c r="F487" s="0" t="str">
        <f aca="false">INDEX(COA!$C$5:$C$19,MATCH(E487,COA!$A$5:$A$19,0))</f>
        <v>Asset</v>
      </c>
      <c r="G487" s="12" t="n">
        <v>11783.87</v>
      </c>
      <c r="H487" s="12" t="n">
        <v>0</v>
      </c>
      <c r="I487" s="10" t="s">
        <v>103</v>
      </c>
      <c r="J487" s="10" t="s">
        <v>1636</v>
      </c>
      <c r="K487" s="10" t="s">
        <v>1637</v>
      </c>
    </row>
    <row r="488" customFormat="false" ht="15" hidden="false" customHeight="false" outlineLevel="0" collapsed="false">
      <c r="A488" s="10" t="s">
        <v>2143</v>
      </c>
      <c r="B488" s="10" t="n">
        <v>1227</v>
      </c>
      <c r="C488" s="8" t="n">
        <v>45755</v>
      </c>
      <c r="D488" s="8" t="n">
        <v>45753</v>
      </c>
      <c r="E488" s="10" t="n">
        <v>1100</v>
      </c>
      <c r="F488" s="0" t="str">
        <f aca="false">INDEX(COA!$C$5:$C$19,MATCH(E488,COA!$A$5:$A$19,0))</f>
        <v>Asset</v>
      </c>
      <c r="G488" s="12" t="n">
        <v>0</v>
      </c>
      <c r="H488" s="12" t="n">
        <v>11783.87</v>
      </c>
      <c r="I488" s="10" t="s">
        <v>103</v>
      </c>
      <c r="J488" s="10" t="s">
        <v>1636</v>
      </c>
      <c r="K488" s="10" t="s">
        <v>1637</v>
      </c>
    </row>
    <row r="489" customFormat="false" ht="15" hidden="false" customHeight="false" outlineLevel="0" collapsed="false">
      <c r="A489" s="10" t="s">
        <v>2144</v>
      </c>
      <c r="B489" s="10" t="n">
        <v>1228</v>
      </c>
      <c r="C489" s="8" t="n">
        <v>45756</v>
      </c>
      <c r="D489" s="8" t="n">
        <v>45752</v>
      </c>
      <c r="E489" s="10" t="n">
        <v>5000</v>
      </c>
      <c r="F489" s="0" t="str">
        <f aca="false">INDEX(COA!$C$5:$C$19,MATCH(E489,COA!$A$5:$A$19,0))</f>
        <v>Expense</v>
      </c>
      <c r="G489" s="12" t="n">
        <v>12591.86</v>
      </c>
      <c r="H489" s="12" t="n">
        <v>0</v>
      </c>
      <c r="I489" s="10" t="s">
        <v>103</v>
      </c>
      <c r="J489" s="10" t="s">
        <v>1636</v>
      </c>
      <c r="K489" s="10" t="s">
        <v>1670</v>
      </c>
    </row>
    <row r="490" customFormat="false" ht="15" hidden="false" customHeight="false" outlineLevel="0" collapsed="false">
      <c r="A490" s="10" t="s">
        <v>2145</v>
      </c>
      <c r="B490" s="10" t="n">
        <v>1228</v>
      </c>
      <c r="C490" s="8" t="n">
        <v>45756</v>
      </c>
      <c r="D490" s="8" t="n">
        <v>45752</v>
      </c>
      <c r="E490" s="10" t="n">
        <v>5000</v>
      </c>
      <c r="F490" s="0" t="str">
        <f aca="false">INDEX(COA!$C$5:$C$19,MATCH(E490,COA!$A$5:$A$19,0))</f>
        <v>Expense</v>
      </c>
      <c r="G490" s="12" t="n">
        <v>5396.51</v>
      </c>
      <c r="H490" s="12" t="n">
        <v>0</v>
      </c>
      <c r="I490" s="10" t="s">
        <v>103</v>
      </c>
      <c r="J490" s="10" t="s">
        <v>1636</v>
      </c>
      <c r="K490" s="10" t="s">
        <v>1670</v>
      </c>
    </row>
    <row r="491" customFormat="false" ht="15" hidden="false" customHeight="false" outlineLevel="0" collapsed="false">
      <c r="A491" s="10" t="s">
        <v>2146</v>
      </c>
      <c r="B491" s="10" t="n">
        <v>1228</v>
      </c>
      <c r="C491" s="8" t="n">
        <v>45756</v>
      </c>
      <c r="D491" s="8" t="n">
        <v>45752</v>
      </c>
      <c r="E491" s="10" t="n">
        <v>1200</v>
      </c>
      <c r="F491" s="0" t="str">
        <f aca="false">INDEX(COA!$C$5:$C$19,MATCH(E491,COA!$A$5:$A$19,0))</f>
        <v>Asset</v>
      </c>
      <c r="G491" s="12" t="n">
        <v>0</v>
      </c>
      <c r="H491" s="12" t="n">
        <v>17988.37</v>
      </c>
      <c r="I491" s="10" t="s">
        <v>103</v>
      </c>
      <c r="J491" s="10" t="s">
        <v>1636</v>
      </c>
      <c r="K491" s="10" t="s">
        <v>1670</v>
      </c>
    </row>
    <row r="492" customFormat="false" ht="15" hidden="false" customHeight="false" outlineLevel="0" collapsed="false">
      <c r="A492" s="10" t="s">
        <v>2147</v>
      </c>
      <c r="B492" s="10" t="n">
        <v>1229</v>
      </c>
      <c r="C492" s="8" t="n">
        <v>45756</v>
      </c>
      <c r="D492" s="8" t="n">
        <v>45755</v>
      </c>
      <c r="E492" s="10" t="n">
        <v>5000</v>
      </c>
      <c r="F492" s="0" t="str">
        <f aca="false">INDEX(COA!$C$5:$C$19,MATCH(E492,COA!$A$5:$A$19,0))</f>
        <v>Expense</v>
      </c>
      <c r="G492" s="12" t="n">
        <v>571.65</v>
      </c>
      <c r="H492" s="12" t="n">
        <v>0</v>
      </c>
      <c r="I492" s="10" t="s">
        <v>103</v>
      </c>
      <c r="J492" s="10" t="s">
        <v>1636</v>
      </c>
      <c r="K492" s="10" t="s">
        <v>1670</v>
      </c>
    </row>
    <row r="493" customFormat="false" ht="15" hidden="false" customHeight="false" outlineLevel="0" collapsed="false">
      <c r="A493" s="10" t="s">
        <v>2148</v>
      </c>
      <c r="B493" s="10" t="n">
        <v>1229</v>
      </c>
      <c r="C493" s="8" t="n">
        <v>45756</v>
      </c>
      <c r="D493" s="8" t="n">
        <v>45755</v>
      </c>
      <c r="E493" s="10" t="n">
        <v>1200</v>
      </c>
      <c r="F493" s="0" t="str">
        <f aca="false">INDEX(COA!$C$5:$C$19,MATCH(E493,COA!$A$5:$A$19,0))</f>
        <v>Asset</v>
      </c>
      <c r="G493" s="12" t="n">
        <v>0</v>
      </c>
      <c r="H493" s="12" t="n">
        <v>571.65</v>
      </c>
      <c r="I493" s="10" t="s">
        <v>103</v>
      </c>
      <c r="J493" s="10" t="s">
        <v>1636</v>
      </c>
      <c r="K493" s="10" t="s">
        <v>1670</v>
      </c>
    </row>
    <row r="494" customFormat="false" ht="15" hidden="false" customHeight="false" outlineLevel="0" collapsed="false">
      <c r="A494" s="10" t="s">
        <v>2149</v>
      </c>
      <c r="B494" s="10" t="n">
        <v>1230</v>
      </c>
      <c r="C494" s="8" t="n">
        <v>45757</v>
      </c>
      <c r="D494" s="8" t="n">
        <v>45754</v>
      </c>
      <c r="E494" s="10" t="n">
        <v>2100</v>
      </c>
      <c r="F494" s="0" t="str">
        <f aca="false">INDEX(COA!$C$5:$C$19,MATCH(E494,COA!$A$5:$A$19,0))</f>
        <v>Liability</v>
      </c>
      <c r="G494" s="12" t="n">
        <v>9951.49</v>
      </c>
      <c r="H494" s="12" t="n">
        <v>0</v>
      </c>
      <c r="I494" s="10" t="s">
        <v>101</v>
      </c>
      <c r="J494" s="10" t="s">
        <v>1648</v>
      </c>
      <c r="K494" s="10" t="s">
        <v>1677</v>
      </c>
    </row>
    <row r="495" customFormat="false" ht="15" hidden="false" customHeight="false" outlineLevel="0" collapsed="false">
      <c r="A495" s="10" t="s">
        <v>2150</v>
      </c>
      <c r="B495" s="10" t="n">
        <v>1230</v>
      </c>
      <c r="C495" s="8" t="n">
        <v>45757</v>
      </c>
      <c r="D495" s="8" t="n">
        <v>45754</v>
      </c>
      <c r="E495" s="10" t="n">
        <v>6900</v>
      </c>
      <c r="F495" s="0" t="str">
        <f aca="false">INDEX(COA!$C$5:$C$19,MATCH(E495,COA!$A$5:$A$19,0))</f>
        <v>Expense</v>
      </c>
      <c r="G495" s="12" t="n">
        <v>0</v>
      </c>
      <c r="H495" s="12" t="n">
        <v>9951.49</v>
      </c>
      <c r="I495" s="10" t="s">
        <v>101</v>
      </c>
      <c r="J495" s="10" t="s">
        <v>1648</v>
      </c>
      <c r="K495" s="10" t="s">
        <v>1677</v>
      </c>
    </row>
    <row r="496" customFormat="false" ht="15" hidden="false" customHeight="false" outlineLevel="0" collapsed="false">
      <c r="A496" s="10" t="s">
        <v>2151</v>
      </c>
      <c r="B496" s="10" t="n">
        <v>1231</v>
      </c>
      <c r="C496" s="8" t="n">
        <v>45757</v>
      </c>
      <c r="D496" s="8" t="n">
        <v>45753</v>
      </c>
      <c r="E496" s="10" t="n">
        <v>1100</v>
      </c>
      <c r="F496" s="0" t="str">
        <f aca="false">INDEX(COA!$C$5:$C$19,MATCH(E496,COA!$A$5:$A$19,0))</f>
        <v>Asset</v>
      </c>
      <c r="G496" s="12" t="n">
        <v>2970.55</v>
      </c>
      <c r="H496" s="12" t="n">
        <v>0</v>
      </c>
      <c r="I496" s="10" t="s">
        <v>103</v>
      </c>
      <c r="J496" s="10" t="s">
        <v>1636</v>
      </c>
      <c r="K496" s="10" t="s">
        <v>1640</v>
      </c>
    </row>
    <row r="497" customFormat="false" ht="15" hidden="false" customHeight="false" outlineLevel="0" collapsed="false">
      <c r="A497" s="10" t="s">
        <v>2152</v>
      </c>
      <c r="B497" s="10" t="n">
        <v>1231</v>
      </c>
      <c r="C497" s="8" t="n">
        <v>45757</v>
      </c>
      <c r="D497" s="8" t="n">
        <v>45753</v>
      </c>
      <c r="E497" s="10" t="n">
        <v>1100</v>
      </c>
      <c r="F497" s="0" t="str">
        <f aca="false">INDEX(COA!$C$5:$C$19,MATCH(E497,COA!$A$5:$A$19,0))</f>
        <v>Asset</v>
      </c>
      <c r="G497" s="12" t="n">
        <v>1273.09</v>
      </c>
      <c r="H497" s="12" t="n">
        <v>0</v>
      </c>
      <c r="I497" s="10" t="s">
        <v>103</v>
      </c>
      <c r="J497" s="10" t="s">
        <v>1636</v>
      </c>
      <c r="K497" s="10" t="s">
        <v>1640</v>
      </c>
    </row>
    <row r="498" customFormat="false" ht="15" hidden="false" customHeight="false" outlineLevel="0" collapsed="false">
      <c r="A498" s="10" t="s">
        <v>2153</v>
      </c>
      <c r="B498" s="10" t="n">
        <v>1231</v>
      </c>
      <c r="C498" s="8" t="n">
        <v>45757</v>
      </c>
      <c r="D498" s="8" t="n">
        <v>45753</v>
      </c>
      <c r="E498" s="10" t="n">
        <v>4000</v>
      </c>
      <c r="F498" s="0" t="str">
        <f aca="false">INDEX(COA!$C$5:$C$19,MATCH(E498,COA!$A$5:$A$19,0))</f>
        <v>Revenue</v>
      </c>
      <c r="G498" s="12" t="n">
        <v>0</v>
      </c>
      <c r="H498" s="12" t="n">
        <v>4243.64</v>
      </c>
      <c r="I498" s="10" t="s">
        <v>103</v>
      </c>
      <c r="J498" s="10" t="s">
        <v>1636</v>
      </c>
      <c r="K498" s="10" t="s">
        <v>1640</v>
      </c>
    </row>
    <row r="499" customFormat="false" ht="15" hidden="false" customHeight="false" outlineLevel="0" collapsed="false">
      <c r="A499" s="10" t="s">
        <v>2154</v>
      </c>
      <c r="B499" s="10" t="n">
        <v>1232</v>
      </c>
      <c r="C499" s="8" t="n">
        <v>45761</v>
      </c>
      <c r="D499" s="8" t="n">
        <v>45757</v>
      </c>
      <c r="E499" s="10" t="n">
        <v>1000</v>
      </c>
      <c r="F499" s="0" t="str">
        <f aca="false">INDEX(COA!$C$5:$C$19,MATCH(E499,COA!$A$5:$A$19,0))</f>
        <v>Asset</v>
      </c>
      <c r="G499" s="12" t="n">
        <v>12556.78</v>
      </c>
      <c r="H499" s="12" t="n">
        <v>0</v>
      </c>
      <c r="I499" s="10" t="s">
        <v>103</v>
      </c>
      <c r="J499" s="10" t="s">
        <v>1636</v>
      </c>
      <c r="K499" s="10" t="s">
        <v>1637</v>
      </c>
    </row>
    <row r="500" customFormat="false" ht="15" hidden="false" customHeight="false" outlineLevel="0" collapsed="false">
      <c r="A500" s="10" t="s">
        <v>2155</v>
      </c>
      <c r="B500" s="10" t="n">
        <v>1232</v>
      </c>
      <c r="C500" s="8" t="n">
        <v>45761</v>
      </c>
      <c r="D500" s="8" t="n">
        <v>45757</v>
      </c>
      <c r="E500" s="10" t="n">
        <v>1100</v>
      </c>
      <c r="F500" s="0" t="str">
        <f aca="false">INDEX(COA!$C$5:$C$19,MATCH(E500,COA!$A$5:$A$19,0))</f>
        <v>Asset</v>
      </c>
      <c r="G500" s="12" t="n">
        <v>0</v>
      </c>
      <c r="H500" s="12" t="n">
        <v>12556.78</v>
      </c>
      <c r="I500" s="10" t="s">
        <v>103</v>
      </c>
      <c r="J500" s="10" t="s">
        <v>1636</v>
      </c>
      <c r="K500" s="10" t="s">
        <v>1637</v>
      </c>
    </row>
    <row r="501" customFormat="false" ht="15" hidden="false" customHeight="false" outlineLevel="0" collapsed="false">
      <c r="A501" s="10" t="s">
        <v>2156</v>
      </c>
      <c r="B501" s="10" t="n">
        <v>1233</v>
      </c>
      <c r="C501" s="8" t="n">
        <v>45763</v>
      </c>
      <c r="D501" s="8" t="n">
        <v>45760</v>
      </c>
      <c r="E501" s="10" t="n">
        <v>1100</v>
      </c>
      <c r="F501" s="0" t="str">
        <f aca="false">INDEX(COA!$C$5:$C$19,MATCH(E501,COA!$A$5:$A$19,0))</f>
        <v>Asset</v>
      </c>
      <c r="G501" s="12" t="n">
        <v>62440.84</v>
      </c>
      <c r="H501" s="12" t="n">
        <v>0</v>
      </c>
      <c r="I501" s="10" t="s">
        <v>103</v>
      </c>
      <c r="J501" s="10" t="s">
        <v>1636</v>
      </c>
      <c r="K501" s="10" t="s">
        <v>1640</v>
      </c>
    </row>
    <row r="502" customFormat="false" ht="15" hidden="false" customHeight="false" outlineLevel="0" collapsed="false">
      <c r="A502" s="10" t="s">
        <v>2157</v>
      </c>
      <c r="B502" s="10" t="n">
        <v>1233</v>
      </c>
      <c r="C502" s="8" t="n">
        <v>45763</v>
      </c>
      <c r="D502" s="8" t="n">
        <v>45760</v>
      </c>
      <c r="E502" s="10" t="n">
        <v>4000</v>
      </c>
      <c r="F502" s="0" t="str">
        <f aca="false">INDEX(COA!$C$5:$C$19,MATCH(E502,COA!$A$5:$A$19,0))</f>
        <v>Revenue</v>
      </c>
      <c r="G502" s="12" t="n">
        <v>0</v>
      </c>
      <c r="H502" s="12" t="n">
        <v>62440.84</v>
      </c>
      <c r="I502" s="10" t="s">
        <v>103</v>
      </c>
      <c r="J502" s="10" t="s">
        <v>1636</v>
      </c>
      <c r="K502" s="10" t="s">
        <v>1640</v>
      </c>
    </row>
    <row r="503" customFormat="false" ht="15" hidden="false" customHeight="false" outlineLevel="0" collapsed="false">
      <c r="A503" s="10" t="s">
        <v>2158</v>
      </c>
      <c r="B503" s="10" t="n">
        <v>1234</v>
      </c>
      <c r="C503" s="8" t="n">
        <v>45763</v>
      </c>
      <c r="D503" s="8" t="n">
        <v>45763</v>
      </c>
      <c r="E503" s="10" t="n">
        <v>5000</v>
      </c>
      <c r="F503" s="0" t="str">
        <f aca="false">INDEX(COA!$C$5:$C$19,MATCH(E503,COA!$A$5:$A$19,0))</f>
        <v>Expense</v>
      </c>
      <c r="G503" s="12" t="n">
        <v>1289.85</v>
      </c>
      <c r="H503" s="12" t="n">
        <v>0</v>
      </c>
      <c r="I503" s="10" t="s">
        <v>103</v>
      </c>
      <c r="J503" s="10" t="s">
        <v>1636</v>
      </c>
      <c r="K503" s="10" t="s">
        <v>1670</v>
      </c>
    </row>
    <row r="504" customFormat="false" ht="15" hidden="false" customHeight="false" outlineLevel="0" collapsed="false">
      <c r="A504" s="10" t="s">
        <v>2159</v>
      </c>
      <c r="B504" s="10" t="n">
        <v>1234</v>
      </c>
      <c r="C504" s="8" t="n">
        <v>45763</v>
      </c>
      <c r="D504" s="8" t="n">
        <v>45763</v>
      </c>
      <c r="E504" s="10" t="n">
        <v>1200</v>
      </c>
      <c r="F504" s="0" t="str">
        <f aca="false">INDEX(COA!$C$5:$C$19,MATCH(E504,COA!$A$5:$A$19,0))</f>
        <v>Asset</v>
      </c>
      <c r="G504" s="12" t="n">
        <v>0</v>
      </c>
      <c r="H504" s="12" t="n">
        <v>1289.85</v>
      </c>
      <c r="I504" s="10" t="s">
        <v>103</v>
      </c>
      <c r="J504" s="10" t="s">
        <v>1636</v>
      </c>
      <c r="K504" s="10" t="s">
        <v>1670</v>
      </c>
    </row>
    <row r="505" customFormat="false" ht="15" hidden="false" customHeight="false" outlineLevel="0" collapsed="false">
      <c r="A505" s="10" t="s">
        <v>2160</v>
      </c>
      <c r="B505" s="10" t="n">
        <v>1235</v>
      </c>
      <c r="C505" s="8" t="n">
        <v>45763</v>
      </c>
      <c r="D505" s="8" t="n">
        <v>45761</v>
      </c>
      <c r="E505" s="10" t="n">
        <v>1500</v>
      </c>
      <c r="F505" s="0" t="str">
        <f aca="false">INDEX(COA!$C$5:$C$19,MATCH(E505,COA!$A$5:$A$19,0))</f>
        <v>Asset</v>
      </c>
      <c r="G505" s="12" t="n">
        <v>1370.35</v>
      </c>
      <c r="H505" s="12" t="n">
        <v>0</v>
      </c>
      <c r="I505" s="10" t="s">
        <v>102</v>
      </c>
      <c r="J505" s="10" t="s">
        <v>1636</v>
      </c>
      <c r="K505" s="10" t="s">
        <v>1716</v>
      </c>
    </row>
    <row r="506" customFormat="false" ht="15" hidden="false" customHeight="false" outlineLevel="0" collapsed="false">
      <c r="A506" s="10" t="s">
        <v>2161</v>
      </c>
      <c r="B506" s="10" t="n">
        <v>1235</v>
      </c>
      <c r="C506" s="8" t="n">
        <v>45763</v>
      </c>
      <c r="D506" s="8" t="n">
        <v>45761</v>
      </c>
      <c r="E506" s="10" t="n">
        <v>2000</v>
      </c>
      <c r="F506" s="0" t="str">
        <f aca="false">INDEX(COA!$C$5:$C$19,MATCH(E506,COA!$A$5:$A$19,0))</f>
        <v>Liability</v>
      </c>
      <c r="G506" s="12" t="n">
        <v>0</v>
      </c>
      <c r="H506" s="12" t="n">
        <v>1370.35</v>
      </c>
      <c r="I506" s="10" t="s">
        <v>102</v>
      </c>
      <c r="J506" s="10" t="s">
        <v>1636</v>
      </c>
      <c r="K506" s="10" t="s">
        <v>1716</v>
      </c>
    </row>
    <row r="507" customFormat="false" ht="15" hidden="false" customHeight="false" outlineLevel="0" collapsed="false">
      <c r="A507" s="10" t="s">
        <v>2162</v>
      </c>
      <c r="B507" s="10" t="n">
        <v>1236</v>
      </c>
      <c r="C507" s="8" t="n">
        <v>45763</v>
      </c>
      <c r="D507" s="8" t="n">
        <v>45761</v>
      </c>
      <c r="E507" s="10" t="n">
        <v>5000</v>
      </c>
      <c r="F507" s="0" t="str">
        <f aca="false">INDEX(COA!$C$5:$C$19,MATCH(E507,COA!$A$5:$A$19,0))</f>
        <v>Expense</v>
      </c>
      <c r="G507" s="12" t="n">
        <v>18994.3</v>
      </c>
      <c r="H507" s="12" t="n">
        <v>0</v>
      </c>
      <c r="I507" s="10" t="s">
        <v>103</v>
      </c>
      <c r="J507" s="10" t="s">
        <v>1636</v>
      </c>
      <c r="K507" s="10" t="s">
        <v>1670</v>
      </c>
    </row>
    <row r="508" customFormat="false" ht="15" hidden="false" customHeight="false" outlineLevel="0" collapsed="false">
      <c r="A508" s="10" t="s">
        <v>2163</v>
      </c>
      <c r="B508" s="10" t="n">
        <v>1236</v>
      </c>
      <c r="C508" s="8" t="n">
        <v>45763</v>
      </c>
      <c r="D508" s="8" t="n">
        <v>45761</v>
      </c>
      <c r="E508" s="10" t="n">
        <v>1200</v>
      </c>
      <c r="F508" s="0" t="str">
        <f aca="false">INDEX(COA!$C$5:$C$19,MATCH(E508,COA!$A$5:$A$19,0))</f>
        <v>Asset</v>
      </c>
      <c r="G508" s="12" t="n">
        <v>0</v>
      </c>
      <c r="H508" s="12" t="n">
        <v>18994.3</v>
      </c>
      <c r="I508" s="10" t="s">
        <v>103</v>
      </c>
      <c r="J508" s="10" t="s">
        <v>1636</v>
      </c>
      <c r="K508" s="10" t="s">
        <v>1670</v>
      </c>
    </row>
    <row r="509" customFormat="false" ht="15" hidden="false" customHeight="false" outlineLevel="0" collapsed="false">
      <c r="A509" s="10" t="s">
        <v>2164</v>
      </c>
      <c r="B509" s="10" t="n">
        <v>1237</v>
      </c>
      <c r="C509" s="8" t="n">
        <v>45764</v>
      </c>
      <c r="D509" s="8" t="n">
        <v>45763</v>
      </c>
      <c r="E509" s="10" t="n">
        <v>2000</v>
      </c>
      <c r="F509" s="0" t="str">
        <f aca="false">INDEX(COA!$C$5:$C$19,MATCH(E509,COA!$A$5:$A$19,0))</f>
        <v>Liability</v>
      </c>
      <c r="G509" s="12" t="n">
        <v>16391.23</v>
      </c>
      <c r="H509" s="12" t="n">
        <v>0</v>
      </c>
      <c r="I509" s="10" t="s">
        <v>104</v>
      </c>
      <c r="J509" s="10" t="s">
        <v>1636</v>
      </c>
      <c r="K509" s="10" t="s">
        <v>1659</v>
      </c>
    </row>
    <row r="510" customFormat="false" ht="15" hidden="false" customHeight="false" outlineLevel="0" collapsed="false">
      <c r="A510" s="10" t="s">
        <v>2165</v>
      </c>
      <c r="B510" s="10" t="n">
        <v>1237</v>
      </c>
      <c r="C510" s="8" t="n">
        <v>45764</v>
      </c>
      <c r="D510" s="8" t="n">
        <v>45763</v>
      </c>
      <c r="E510" s="10" t="n">
        <v>1000</v>
      </c>
      <c r="F510" s="0" t="str">
        <f aca="false">INDEX(COA!$C$5:$C$19,MATCH(E510,COA!$A$5:$A$19,0))</f>
        <v>Asset</v>
      </c>
      <c r="G510" s="12" t="n">
        <v>0</v>
      </c>
      <c r="H510" s="12" t="n">
        <v>16391.23</v>
      </c>
      <c r="I510" s="10" t="s">
        <v>104</v>
      </c>
      <c r="J510" s="10" t="s">
        <v>1636</v>
      </c>
      <c r="K510" s="10" t="s">
        <v>1659</v>
      </c>
    </row>
    <row r="511" customFormat="false" ht="15" hidden="false" customHeight="false" outlineLevel="0" collapsed="false">
      <c r="A511" s="10" t="s">
        <v>2166</v>
      </c>
      <c r="B511" s="10" t="n">
        <v>1238</v>
      </c>
      <c r="C511" s="8" t="n">
        <v>45764</v>
      </c>
      <c r="D511" s="8" t="n">
        <v>45762</v>
      </c>
      <c r="E511" s="10" t="n">
        <v>1200</v>
      </c>
      <c r="F511" s="0" t="str">
        <f aca="false">INDEX(COA!$C$5:$C$19,MATCH(E511,COA!$A$5:$A$19,0))</f>
        <v>Asset</v>
      </c>
      <c r="G511" s="12" t="n">
        <v>6974.11</v>
      </c>
      <c r="H511" s="12" t="n">
        <v>0</v>
      </c>
      <c r="I511" s="10" t="s">
        <v>102</v>
      </c>
      <c r="J511" s="10" t="s">
        <v>1636</v>
      </c>
      <c r="K511" s="10" t="s">
        <v>1655</v>
      </c>
    </row>
    <row r="512" customFormat="false" ht="15" hidden="false" customHeight="false" outlineLevel="0" collapsed="false">
      <c r="A512" s="10" t="s">
        <v>2167</v>
      </c>
      <c r="B512" s="10" t="n">
        <v>1238</v>
      </c>
      <c r="C512" s="8" t="n">
        <v>45764</v>
      </c>
      <c r="D512" s="8" t="n">
        <v>45762</v>
      </c>
      <c r="E512" s="10" t="n">
        <v>2000</v>
      </c>
      <c r="F512" s="0" t="str">
        <f aca="false">INDEX(COA!$C$5:$C$19,MATCH(E512,COA!$A$5:$A$19,0))</f>
        <v>Liability</v>
      </c>
      <c r="G512" s="12" t="n">
        <v>0</v>
      </c>
      <c r="H512" s="12" t="n">
        <v>6974.11</v>
      </c>
      <c r="I512" s="10" t="s">
        <v>102</v>
      </c>
      <c r="J512" s="10" t="s">
        <v>1636</v>
      </c>
      <c r="K512" s="10" t="s">
        <v>1655</v>
      </c>
    </row>
    <row r="513" customFormat="false" ht="15" hidden="false" customHeight="false" outlineLevel="0" collapsed="false">
      <c r="A513" s="10" t="s">
        <v>2168</v>
      </c>
      <c r="B513" s="10" t="n">
        <v>1239</v>
      </c>
      <c r="C513" s="8" t="n">
        <v>45765</v>
      </c>
      <c r="D513" s="8" t="n">
        <v>45764</v>
      </c>
      <c r="E513" s="10" t="n">
        <v>1100</v>
      </c>
      <c r="F513" s="0" t="str">
        <f aca="false">INDEX(COA!$C$5:$C$19,MATCH(E513,COA!$A$5:$A$19,0))</f>
        <v>Asset</v>
      </c>
      <c r="G513" s="12" t="n">
        <v>590.72</v>
      </c>
      <c r="H513" s="12" t="n">
        <v>0</v>
      </c>
      <c r="I513" s="10" t="s">
        <v>103</v>
      </c>
      <c r="J513" s="10" t="s">
        <v>1636</v>
      </c>
      <c r="K513" s="10" t="s">
        <v>1640</v>
      </c>
    </row>
    <row r="514" customFormat="false" ht="15" hidden="false" customHeight="false" outlineLevel="0" collapsed="false">
      <c r="A514" s="10" t="s">
        <v>2169</v>
      </c>
      <c r="B514" s="10" t="n">
        <v>1239</v>
      </c>
      <c r="C514" s="8" t="n">
        <v>45765</v>
      </c>
      <c r="D514" s="8" t="n">
        <v>45764</v>
      </c>
      <c r="E514" s="10" t="n">
        <v>1100</v>
      </c>
      <c r="F514" s="0" t="str">
        <f aca="false">INDEX(COA!$C$5:$C$19,MATCH(E514,COA!$A$5:$A$19,0))</f>
        <v>Asset</v>
      </c>
      <c r="G514" s="12" t="n">
        <v>253.17</v>
      </c>
      <c r="H514" s="12" t="n">
        <v>0</v>
      </c>
      <c r="I514" s="10" t="s">
        <v>103</v>
      </c>
      <c r="J514" s="10" t="s">
        <v>1636</v>
      </c>
      <c r="K514" s="10" t="s">
        <v>1640</v>
      </c>
    </row>
    <row r="515" customFormat="false" ht="15" hidden="false" customHeight="false" outlineLevel="0" collapsed="false">
      <c r="A515" s="10" t="s">
        <v>2170</v>
      </c>
      <c r="B515" s="10" t="n">
        <v>1239</v>
      </c>
      <c r="C515" s="8" t="n">
        <v>45765</v>
      </c>
      <c r="D515" s="8" t="n">
        <v>45764</v>
      </c>
      <c r="E515" s="10" t="n">
        <v>4000</v>
      </c>
      <c r="F515" s="0" t="str">
        <f aca="false">INDEX(COA!$C$5:$C$19,MATCH(E515,COA!$A$5:$A$19,0))</f>
        <v>Revenue</v>
      </c>
      <c r="G515" s="12" t="n">
        <v>0</v>
      </c>
      <c r="H515" s="12" t="n">
        <v>843.89</v>
      </c>
      <c r="I515" s="10" t="s">
        <v>103</v>
      </c>
      <c r="J515" s="10" t="s">
        <v>1636</v>
      </c>
      <c r="K515" s="10" t="s">
        <v>1640</v>
      </c>
    </row>
    <row r="516" customFormat="false" ht="15" hidden="false" customHeight="false" outlineLevel="0" collapsed="false">
      <c r="A516" s="10" t="s">
        <v>2171</v>
      </c>
      <c r="B516" s="10" t="n">
        <v>1240</v>
      </c>
      <c r="C516" s="8" t="n">
        <v>45766</v>
      </c>
      <c r="D516" s="8" t="n">
        <v>45765</v>
      </c>
      <c r="E516" s="10" t="n">
        <v>2000</v>
      </c>
      <c r="F516" s="0" t="str">
        <f aca="false">INDEX(COA!$C$5:$C$19,MATCH(E516,COA!$A$5:$A$19,0))</f>
        <v>Liability</v>
      </c>
      <c r="G516" s="12" t="n">
        <v>1025.15</v>
      </c>
      <c r="H516" s="12" t="n">
        <v>0</v>
      </c>
      <c r="I516" s="10" t="s">
        <v>104</v>
      </c>
      <c r="J516" s="10" t="s">
        <v>1636</v>
      </c>
      <c r="K516" s="10" t="s">
        <v>1659</v>
      </c>
    </row>
    <row r="517" customFormat="false" ht="15" hidden="false" customHeight="false" outlineLevel="0" collapsed="false">
      <c r="A517" s="10" t="s">
        <v>2172</v>
      </c>
      <c r="B517" s="10" t="n">
        <v>1240</v>
      </c>
      <c r="C517" s="8" t="n">
        <v>45766</v>
      </c>
      <c r="D517" s="8" t="n">
        <v>45765</v>
      </c>
      <c r="E517" s="10" t="n">
        <v>1000</v>
      </c>
      <c r="F517" s="0" t="str">
        <f aca="false">INDEX(COA!$C$5:$C$19,MATCH(E517,COA!$A$5:$A$19,0))</f>
        <v>Asset</v>
      </c>
      <c r="G517" s="12" t="n">
        <v>0</v>
      </c>
      <c r="H517" s="12" t="n">
        <v>1025.15</v>
      </c>
      <c r="I517" s="10" t="s">
        <v>104</v>
      </c>
      <c r="J517" s="10" t="s">
        <v>1636</v>
      </c>
      <c r="K517" s="10" t="s">
        <v>1659</v>
      </c>
    </row>
    <row r="518" customFormat="false" ht="15" hidden="false" customHeight="false" outlineLevel="0" collapsed="false">
      <c r="A518" s="10" t="s">
        <v>2173</v>
      </c>
      <c r="B518" s="10" t="n">
        <v>1241</v>
      </c>
      <c r="C518" s="8" t="n">
        <v>45768</v>
      </c>
      <c r="D518" s="8" t="n">
        <v>45765</v>
      </c>
      <c r="E518" s="10" t="n">
        <v>1200</v>
      </c>
      <c r="F518" s="0" t="str">
        <f aca="false">INDEX(COA!$C$5:$C$19,MATCH(E518,COA!$A$5:$A$19,0))</f>
        <v>Asset</v>
      </c>
      <c r="G518" s="12" t="n">
        <v>11787.77</v>
      </c>
      <c r="H518" s="12" t="n">
        <v>0</v>
      </c>
      <c r="I518" s="10" t="s">
        <v>102</v>
      </c>
      <c r="J518" s="10" t="s">
        <v>1636</v>
      </c>
      <c r="K518" s="10" t="s">
        <v>1655</v>
      </c>
    </row>
    <row r="519" customFormat="false" ht="15" hidden="false" customHeight="false" outlineLevel="0" collapsed="false">
      <c r="A519" s="10" t="s">
        <v>2174</v>
      </c>
      <c r="B519" s="10" t="n">
        <v>1241</v>
      </c>
      <c r="C519" s="8" t="n">
        <v>45768</v>
      </c>
      <c r="D519" s="8" t="n">
        <v>45765</v>
      </c>
      <c r="E519" s="10" t="n">
        <v>2000</v>
      </c>
      <c r="F519" s="0" t="str">
        <f aca="false">INDEX(COA!$C$5:$C$19,MATCH(E519,COA!$A$5:$A$19,0))</f>
        <v>Liability</v>
      </c>
      <c r="G519" s="12" t="n">
        <v>0</v>
      </c>
      <c r="H519" s="12" t="n">
        <v>11787.77</v>
      </c>
      <c r="I519" s="10" t="s">
        <v>102</v>
      </c>
      <c r="J519" s="10" t="s">
        <v>1636</v>
      </c>
      <c r="K519" s="10" t="s">
        <v>1655</v>
      </c>
    </row>
    <row r="520" customFormat="false" ht="15" hidden="false" customHeight="false" outlineLevel="0" collapsed="false">
      <c r="A520" s="10" t="s">
        <v>2175</v>
      </c>
      <c r="B520" s="10" t="n">
        <v>1242</v>
      </c>
      <c r="C520" s="8" t="n">
        <v>45768</v>
      </c>
      <c r="D520" s="8" t="n">
        <v>45765</v>
      </c>
      <c r="E520" s="10" t="n">
        <v>6900</v>
      </c>
      <c r="F520" s="0" t="str">
        <f aca="false">INDEX(COA!$C$5:$C$19,MATCH(E520,COA!$A$5:$A$19,0))</f>
        <v>Expense</v>
      </c>
      <c r="G520" s="12" t="n">
        <v>32702.24</v>
      </c>
      <c r="H520" s="12" t="n">
        <v>0</v>
      </c>
      <c r="I520" s="10" t="s">
        <v>100</v>
      </c>
      <c r="J520" s="10" t="s">
        <v>1648</v>
      </c>
      <c r="K520" s="10" t="s">
        <v>1649</v>
      </c>
    </row>
    <row r="521" customFormat="false" ht="15" hidden="false" customHeight="false" outlineLevel="0" collapsed="false">
      <c r="A521" s="10" t="s">
        <v>2176</v>
      </c>
      <c r="B521" s="10" t="n">
        <v>1242</v>
      </c>
      <c r="C521" s="8" t="n">
        <v>45768</v>
      </c>
      <c r="D521" s="8" t="n">
        <v>45765</v>
      </c>
      <c r="E521" s="10" t="n">
        <v>2100</v>
      </c>
      <c r="F521" s="0" t="str">
        <f aca="false">INDEX(COA!$C$5:$C$19,MATCH(E521,COA!$A$5:$A$19,0))</f>
        <v>Liability</v>
      </c>
      <c r="G521" s="12" t="n">
        <v>0</v>
      </c>
      <c r="H521" s="12" t="n">
        <v>32702.24</v>
      </c>
      <c r="I521" s="10" t="s">
        <v>100</v>
      </c>
      <c r="J521" s="10" t="s">
        <v>1648</v>
      </c>
      <c r="K521" s="10" t="s">
        <v>1649</v>
      </c>
    </row>
    <row r="522" customFormat="false" ht="15" hidden="false" customHeight="false" outlineLevel="0" collapsed="false">
      <c r="A522" s="10" t="s">
        <v>2177</v>
      </c>
      <c r="B522" s="10" t="n">
        <v>1243</v>
      </c>
      <c r="C522" s="8" t="n">
        <v>45768</v>
      </c>
      <c r="D522" s="8" t="n">
        <v>45767</v>
      </c>
      <c r="E522" s="10" t="n">
        <v>1000</v>
      </c>
      <c r="F522" s="0" t="str">
        <f aca="false">INDEX(COA!$C$5:$C$19,MATCH(E522,COA!$A$5:$A$19,0))</f>
        <v>Asset</v>
      </c>
      <c r="G522" s="12" t="n">
        <v>653.92</v>
      </c>
      <c r="H522" s="12" t="n">
        <v>0</v>
      </c>
      <c r="I522" s="10" t="s">
        <v>103</v>
      </c>
      <c r="J522" s="10" t="s">
        <v>1636</v>
      </c>
      <c r="K522" s="10" t="s">
        <v>1637</v>
      </c>
    </row>
    <row r="523" customFormat="false" ht="15" hidden="false" customHeight="false" outlineLevel="0" collapsed="false">
      <c r="A523" s="10" t="s">
        <v>2178</v>
      </c>
      <c r="B523" s="10" t="n">
        <v>1243</v>
      </c>
      <c r="C523" s="8" t="n">
        <v>45768</v>
      </c>
      <c r="D523" s="8" t="n">
        <v>45767</v>
      </c>
      <c r="E523" s="10" t="n">
        <v>1100</v>
      </c>
      <c r="F523" s="0" t="str">
        <f aca="false">INDEX(COA!$C$5:$C$19,MATCH(E523,COA!$A$5:$A$19,0))</f>
        <v>Asset</v>
      </c>
      <c r="G523" s="12" t="n">
        <v>0</v>
      </c>
      <c r="H523" s="12" t="n">
        <v>653.92</v>
      </c>
      <c r="I523" s="10" t="s">
        <v>103</v>
      </c>
      <c r="J523" s="10" t="s">
        <v>1636</v>
      </c>
      <c r="K523" s="10" t="s">
        <v>1637</v>
      </c>
    </row>
    <row r="524" customFormat="false" ht="15" hidden="false" customHeight="false" outlineLevel="0" collapsed="false">
      <c r="A524" s="10" t="s">
        <v>2179</v>
      </c>
      <c r="B524" s="10" t="n">
        <v>1244</v>
      </c>
      <c r="C524" s="8" t="n">
        <v>45768</v>
      </c>
      <c r="D524" s="8" t="n">
        <v>45766</v>
      </c>
      <c r="E524" s="10" t="n">
        <v>1200</v>
      </c>
      <c r="F524" s="0" t="str">
        <f aca="false">INDEX(COA!$C$5:$C$19,MATCH(E524,COA!$A$5:$A$19,0))</f>
        <v>Asset</v>
      </c>
      <c r="G524" s="12" t="n">
        <v>7638.96</v>
      </c>
      <c r="H524" s="12" t="n">
        <v>0</v>
      </c>
      <c r="I524" s="10" t="s">
        <v>102</v>
      </c>
      <c r="J524" s="10" t="s">
        <v>1636</v>
      </c>
      <c r="K524" s="10" t="s">
        <v>1655</v>
      </c>
    </row>
    <row r="525" customFormat="false" ht="15" hidden="false" customHeight="false" outlineLevel="0" collapsed="false">
      <c r="A525" s="10" t="s">
        <v>2180</v>
      </c>
      <c r="B525" s="10" t="n">
        <v>1244</v>
      </c>
      <c r="C525" s="8" t="n">
        <v>45768</v>
      </c>
      <c r="D525" s="8" t="n">
        <v>45766</v>
      </c>
      <c r="E525" s="10" t="n">
        <v>2000</v>
      </c>
      <c r="F525" s="0" t="str">
        <f aca="false">INDEX(COA!$C$5:$C$19,MATCH(E525,COA!$A$5:$A$19,0))</f>
        <v>Liability</v>
      </c>
      <c r="G525" s="12" t="n">
        <v>0</v>
      </c>
      <c r="H525" s="12" t="n">
        <v>7638.96</v>
      </c>
      <c r="I525" s="10" t="s">
        <v>102</v>
      </c>
      <c r="J525" s="10" t="s">
        <v>1636</v>
      </c>
      <c r="K525" s="10" t="s">
        <v>1655</v>
      </c>
    </row>
    <row r="526" customFormat="false" ht="15" hidden="false" customHeight="false" outlineLevel="0" collapsed="false">
      <c r="A526" s="10" t="s">
        <v>2181</v>
      </c>
      <c r="B526" s="10" t="n">
        <v>1245</v>
      </c>
      <c r="C526" s="8" t="n">
        <v>45769</v>
      </c>
      <c r="D526" s="8" t="n">
        <v>45766</v>
      </c>
      <c r="E526" s="10" t="n">
        <v>2000</v>
      </c>
      <c r="F526" s="0" t="str">
        <f aca="false">INDEX(COA!$C$5:$C$19,MATCH(E526,COA!$A$5:$A$19,0))</f>
        <v>Liability</v>
      </c>
      <c r="G526" s="12" t="n">
        <v>981.03</v>
      </c>
      <c r="H526" s="12" t="n">
        <v>0</v>
      </c>
      <c r="I526" s="10" t="s">
        <v>104</v>
      </c>
      <c r="J526" s="10" t="s">
        <v>1636</v>
      </c>
      <c r="K526" s="10" t="s">
        <v>1659</v>
      </c>
    </row>
    <row r="527" customFormat="false" ht="15" hidden="false" customHeight="false" outlineLevel="0" collapsed="false">
      <c r="A527" s="10" t="s">
        <v>2182</v>
      </c>
      <c r="B527" s="10" t="n">
        <v>1245</v>
      </c>
      <c r="C527" s="8" t="n">
        <v>45769</v>
      </c>
      <c r="D527" s="8" t="n">
        <v>45766</v>
      </c>
      <c r="E527" s="10" t="n">
        <v>1000</v>
      </c>
      <c r="F527" s="0" t="str">
        <f aca="false">INDEX(COA!$C$5:$C$19,MATCH(E527,COA!$A$5:$A$19,0))</f>
        <v>Asset</v>
      </c>
      <c r="G527" s="12" t="n">
        <v>0</v>
      </c>
      <c r="H527" s="12" t="n">
        <v>981.03</v>
      </c>
      <c r="I527" s="10" t="s">
        <v>104</v>
      </c>
      <c r="J527" s="10" t="s">
        <v>1636</v>
      </c>
      <c r="K527" s="10" t="s">
        <v>1659</v>
      </c>
    </row>
    <row r="528" customFormat="false" ht="15" hidden="false" customHeight="false" outlineLevel="0" collapsed="false">
      <c r="A528" s="10" t="s">
        <v>2183</v>
      </c>
      <c r="B528" s="10" t="n">
        <v>1246</v>
      </c>
      <c r="C528" s="8" t="n">
        <v>45770</v>
      </c>
      <c r="D528" s="8" t="n">
        <v>45768</v>
      </c>
      <c r="E528" s="10" t="n">
        <v>6200</v>
      </c>
      <c r="F528" s="0" t="str">
        <f aca="false">INDEX(COA!$C$5:$C$19,MATCH(E528,COA!$A$5:$A$19,0))</f>
        <v>Expense</v>
      </c>
      <c r="G528" s="12" t="n">
        <v>25622.9</v>
      </c>
      <c r="H528" s="12" t="n">
        <v>0</v>
      </c>
      <c r="I528" s="10" t="s">
        <v>102</v>
      </c>
      <c r="J528" s="10" t="s">
        <v>1636</v>
      </c>
      <c r="K528" s="10" t="s">
        <v>1689</v>
      </c>
    </row>
    <row r="529" customFormat="false" ht="15" hidden="false" customHeight="false" outlineLevel="0" collapsed="false">
      <c r="A529" s="10" t="s">
        <v>2184</v>
      </c>
      <c r="B529" s="10" t="n">
        <v>1246</v>
      </c>
      <c r="C529" s="8" t="n">
        <v>45770</v>
      </c>
      <c r="D529" s="8" t="n">
        <v>45768</v>
      </c>
      <c r="E529" s="10" t="n">
        <v>2000</v>
      </c>
      <c r="F529" s="0" t="str">
        <f aca="false">INDEX(COA!$C$5:$C$19,MATCH(E529,COA!$A$5:$A$19,0))</f>
        <v>Liability</v>
      </c>
      <c r="G529" s="12" t="n">
        <v>0</v>
      </c>
      <c r="H529" s="12" t="n">
        <v>25622.9</v>
      </c>
      <c r="I529" s="10" t="s">
        <v>102</v>
      </c>
      <c r="J529" s="10" t="s">
        <v>1636</v>
      </c>
      <c r="K529" s="10" t="s">
        <v>1689</v>
      </c>
    </row>
    <row r="530" customFormat="false" ht="15" hidden="false" customHeight="false" outlineLevel="0" collapsed="false">
      <c r="A530" s="10" t="s">
        <v>2185</v>
      </c>
      <c r="B530" s="10" t="n">
        <v>1247</v>
      </c>
      <c r="C530" s="8" t="n">
        <v>45770</v>
      </c>
      <c r="D530" s="8" t="n">
        <v>45769</v>
      </c>
      <c r="E530" s="10" t="n">
        <v>2000</v>
      </c>
      <c r="F530" s="0" t="str">
        <f aca="false">INDEX(COA!$C$5:$C$19,MATCH(E530,COA!$A$5:$A$19,0))</f>
        <v>Liability</v>
      </c>
      <c r="G530" s="12" t="n">
        <v>2894.57</v>
      </c>
      <c r="H530" s="12" t="n">
        <v>0</v>
      </c>
      <c r="I530" s="10" t="s">
        <v>104</v>
      </c>
      <c r="J530" s="10" t="s">
        <v>1636</v>
      </c>
      <c r="K530" s="10" t="s">
        <v>1659</v>
      </c>
    </row>
    <row r="531" customFormat="false" ht="15" hidden="false" customHeight="false" outlineLevel="0" collapsed="false">
      <c r="A531" s="10" t="s">
        <v>2186</v>
      </c>
      <c r="B531" s="10" t="n">
        <v>1247</v>
      </c>
      <c r="C531" s="8" t="n">
        <v>45770</v>
      </c>
      <c r="D531" s="8" t="n">
        <v>45769</v>
      </c>
      <c r="E531" s="10" t="n">
        <v>1000</v>
      </c>
      <c r="F531" s="0" t="str">
        <f aca="false">INDEX(COA!$C$5:$C$19,MATCH(E531,COA!$A$5:$A$19,0))</f>
        <v>Asset</v>
      </c>
      <c r="G531" s="12" t="n">
        <v>0</v>
      </c>
      <c r="H531" s="12" t="n">
        <v>2894.57</v>
      </c>
      <c r="I531" s="10" t="s">
        <v>104</v>
      </c>
      <c r="J531" s="10" t="s">
        <v>1636</v>
      </c>
      <c r="K531" s="10" t="s">
        <v>1659</v>
      </c>
    </row>
    <row r="532" customFormat="false" ht="15" hidden="false" customHeight="false" outlineLevel="0" collapsed="false">
      <c r="A532" s="10" t="s">
        <v>2187</v>
      </c>
      <c r="B532" s="10" t="n">
        <v>1248</v>
      </c>
      <c r="C532" s="8" t="n">
        <v>45771</v>
      </c>
      <c r="D532" s="8" t="n">
        <v>45767</v>
      </c>
      <c r="E532" s="10" t="n">
        <v>2000</v>
      </c>
      <c r="F532" s="0" t="str">
        <f aca="false">INDEX(COA!$C$5:$C$19,MATCH(E532,COA!$A$5:$A$19,0))</f>
        <v>Liability</v>
      </c>
      <c r="G532" s="12" t="n">
        <v>6580.2</v>
      </c>
      <c r="H532" s="12" t="n">
        <v>0</v>
      </c>
      <c r="I532" s="10" t="s">
        <v>104</v>
      </c>
      <c r="J532" s="10" t="s">
        <v>1636</v>
      </c>
      <c r="K532" s="10" t="s">
        <v>1659</v>
      </c>
    </row>
    <row r="533" customFormat="false" ht="15" hidden="false" customHeight="false" outlineLevel="0" collapsed="false">
      <c r="A533" s="10" t="s">
        <v>2188</v>
      </c>
      <c r="B533" s="10" t="n">
        <v>1248</v>
      </c>
      <c r="C533" s="8" t="n">
        <v>45771</v>
      </c>
      <c r="D533" s="8" t="n">
        <v>45767</v>
      </c>
      <c r="E533" s="10" t="n">
        <v>1000</v>
      </c>
      <c r="F533" s="0" t="str">
        <f aca="false">INDEX(COA!$C$5:$C$19,MATCH(E533,COA!$A$5:$A$19,0))</f>
        <v>Asset</v>
      </c>
      <c r="G533" s="12" t="n">
        <v>0</v>
      </c>
      <c r="H533" s="12" t="n">
        <v>6580.2</v>
      </c>
      <c r="I533" s="10" t="s">
        <v>104</v>
      </c>
      <c r="J533" s="10" t="s">
        <v>1636</v>
      </c>
      <c r="K533" s="10" t="s">
        <v>1659</v>
      </c>
    </row>
    <row r="534" customFormat="false" ht="15" hidden="false" customHeight="false" outlineLevel="0" collapsed="false">
      <c r="A534" s="10" t="s">
        <v>2189</v>
      </c>
      <c r="B534" s="10" t="n">
        <v>1249</v>
      </c>
      <c r="C534" s="8" t="n">
        <v>45771</v>
      </c>
      <c r="D534" s="8" t="n">
        <v>45769</v>
      </c>
      <c r="E534" s="10" t="n">
        <v>2000</v>
      </c>
      <c r="F534" s="0" t="str">
        <f aca="false">INDEX(COA!$C$5:$C$19,MATCH(E534,COA!$A$5:$A$19,0))</f>
        <v>Liability</v>
      </c>
      <c r="G534" s="12" t="n">
        <v>15205.81</v>
      </c>
      <c r="H534" s="12" t="n">
        <v>0</v>
      </c>
      <c r="I534" s="10" t="s">
        <v>104</v>
      </c>
      <c r="J534" s="10" t="s">
        <v>1636</v>
      </c>
      <c r="K534" s="10" t="s">
        <v>1659</v>
      </c>
    </row>
    <row r="535" customFormat="false" ht="15" hidden="false" customHeight="false" outlineLevel="0" collapsed="false">
      <c r="A535" s="10" t="s">
        <v>2190</v>
      </c>
      <c r="B535" s="10" t="n">
        <v>1249</v>
      </c>
      <c r="C535" s="8" t="n">
        <v>45771</v>
      </c>
      <c r="D535" s="8" t="n">
        <v>45769</v>
      </c>
      <c r="E535" s="10" t="n">
        <v>1000</v>
      </c>
      <c r="F535" s="0" t="str">
        <f aca="false">INDEX(COA!$C$5:$C$19,MATCH(E535,COA!$A$5:$A$19,0))</f>
        <v>Asset</v>
      </c>
      <c r="G535" s="12" t="n">
        <v>0</v>
      </c>
      <c r="H535" s="12" t="n">
        <v>15205.81</v>
      </c>
      <c r="I535" s="10" t="s">
        <v>104</v>
      </c>
      <c r="J535" s="10" t="s">
        <v>1636</v>
      </c>
      <c r="K535" s="10" t="s">
        <v>1659</v>
      </c>
    </row>
    <row r="536" customFormat="false" ht="15" hidden="false" customHeight="false" outlineLevel="0" collapsed="false">
      <c r="A536" s="10" t="s">
        <v>2191</v>
      </c>
      <c r="B536" s="10" t="n">
        <v>1250</v>
      </c>
      <c r="C536" s="8" t="n">
        <v>45772</v>
      </c>
      <c r="D536" s="8" t="n">
        <v>45772</v>
      </c>
      <c r="E536" s="10" t="n">
        <v>6900</v>
      </c>
      <c r="F536" s="0" t="str">
        <f aca="false">INDEX(COA!$C$5:$C$19,MATCH(E536,COA!$A$5:$A$19,0))</f>
        <v>Expense</v>
      </c>
      <c r="G536" s="12" t="n">
        <v>3695.87</v>
      </c>
      <c r="H536" s="12" t="n">
        <v>0</v>
      </c>
      <c r="I536" s="10" t="s">
        <v>101</v>
      </c>
      <c r="J536" s="10" t="s">
        <v>1648</v>
      </c>
    </row>
    <row r="537" customFormat="false" ht="15" hidden="false" customHeight="false" outlineLevel="0" collapsed="false">
      <c r="A537" s="10" t="s">
        <v>2192</v>
      </c>
      <c r="B537" s="10" t="n">
        <v>1250</v>
      </c>
      <c r="C537" s="8" t="n">
        <v>45772</v>
      </c>
      <c r="D537" s="8" t="n">
        <v>45772</v>
      </c>
      <c r="E537" s="10" t="n">
        <v>2100</v>
      </c>
      <c r="F537" s="0" t="str">
        <f aca="false">INDEX(COA!$C$5:$C$19,MATCH(E537,COA!$A$5:$A$19,0))</f>
        <v>Liability</v>
      </c>
      <c r="G537" s="12" t="n">
        <v>0</v>
      </c>
      <c r="H537" s="12" t="n">
        <v>3695.87</v>
      </c>
      <c r="I537" s="10" t="s">
        <v>101</v>
      </c>
      <c r="J537" s="10" t="s">
        <v>1648</v>
      </c>
    </row>
    <row r="538" customFormat="false" ht="15" hidden="false" customHeight="false" outlineLevel="0" collapsed="false">
      <c r="A538" s="10" t="s">
        <v>2193</v>
      </c>
      <c r="B538" s="10" t="n">
        <v>1251</v>
      </c>
      <c r="C538" s="8" t="n">
        <v>45772</v>
      </c>
      <c r="D538" s="8" t="n">
        <v>45768</v>
      </c>
      <c r="E538" s="10" t="n">
        <v>2000</v>
      </c>
      <c r="F538" s="0" t="str">
        <f aca="false">INDEX(COA!$C$5:$C$19,MATCH(E538,COA!$A$5:$A$19,0))</f>
        <v>Liability</v>
      </c>
      <c r="G538" s="12" t="n">
        <v>586.14</v>
      </c>
      <c r="H538" s="12" t="n">
        <v>0</v>
      </c>
      <c r="I538" s="10" t="s">
        <v>104</v>
      </c>
      <c r="J538" s="10" t="s">
        <v>1636</v>
      </c>
      <c r="K538" s="10" t="s">
        <v>1659</v>
      </c>
    </row>
    <row r="539" customFormat="false" ht="15" hidden="false" customHeight="false" outlineLevel="0" collapsed="false">
      <c r="A539" s="10" t="s">
        <v>2194</v>
      </c>
      <c r="B539" s="10" t="n">
        <v>1251</v>
      </c>
      <c r="C539" s="8" t="n">
        <v>45772</v>
      </c>
      <c r="D539" s="8" t="n">
        <v>45768</v>
      </c>
      <c r="E539" s="10" t="n">
        <v>1000</v>
      </c>
      <c r="F539" s="0" t="str">
        <f aca="false">INDEX(COA!$C$5:$C$19,MATCH(E539,COA!$A$5:$A$19,0))</f>
        <v>Asset</v>
      </c>
      <c r="G539" s="12" t="n">
        <v>0</v>
      </c>
      <c r="H539" s="12" t="n">
        <v>586.14</v>
      </c>
      <c r="I539" s="10" t="s">
        <v>104</v>
      </c>
      <c r="J539" s="10" t="s">
        <v>1636</v>
      </c>
      <c r="K539" s="10" t="s">
        <v>1659</v>
      </c>
    </row>
    <row r="540" customFormat="false" ht="15" hidden="false" customHeight="false" outlineLevel="0" collapsed="false">
      <c r="A540" s="10" t="s">
        <v>2195</v>
      </c>
      <c r="B540" s="10" t="n">
        <v>1252</v>
      </c>
      <c r="C540" s="8" t="n">
        <v>45772</v>
      </c>
      <c r="D540" s="8" t="n">
        <v>45769</v>
      </c>
      <c r="E540" s="10" t="n">
        <v>1000</v>
      </c>
      <c r="F540" s="0" t="str">
        <f aca="false">INDEX(COA!$C$5:$C$19,MATCH(E540,COA!$A$5:$A$19,0))</f>
        <v>Asset</v>
      </c>
      <c r="G540" s="12" t="n">
        <v>76955.59</v>
      </c>
      <c r="H540" s="12" t="n">
        <v>0</v>
      </c>
      <c r="I540" s="10" t="s">
        <v>103</v>
      </c>
      <c r="J540" s="10" t="s">
        <v>1636</v>
      </c>
      <c r="K540" s="10" t="s">
        <v>1637</v>
      </c>
    </row>
    <row r="541" customFormat="false" ht="15" hidden="false" customHeight="false" outlineLevel="0" collapsed="false">
      <c r="A541" s="10" t="s">
        <v>2196</v>
      </c>
      <c r="B541" s="10" t="n">
        <v>1252</v>
      </c>
      <c r="C541" s="8" t="n">
        <v>45772</v>
      </c>
      <c r="D541" s="8" t="n">
        <v>45769</v>
      </c>
      <c r="E541" s="10" t="n">
        <v>1100</v>
      </c>
      <c r="F541" s="0" t="str">
        <f aca="false">INDEX(COA!$C$5:$C$19,MATCH(E541,COA!$A$5:$A$19,0))</f>
        <v>Asset</v>
      </c>
      <c r="G541" s="12" t="n">
        <v>0</v>
      </c>
      <c r="H541" s="12" t="n">
        <v>76955.59</v>
      </c>
      <c r="I541" s="10" t="s">
        <v>103</v>
      </c>
      <c r="J541" s="10" t="s">
        <v>1636</v>
      </c>
      <c r="K541" s="10" t="s">
        <v>1637</v>
      </c>
    </row>
    <row r="542" customFormat="false" ht="15" hidden="false" customHeight="false" outlineLevel="0" collapsed="false">
      <c r="A542" s="10" t="s">
        <v>2197</v>
      </c>
      <c r="B542" s="10" t="n">
        <v>1253</v>
      </c>
      <c r="C542" s="8" t="n">
        <v>45772</v>
      </c>
      <c r="D542" s="8" t="n">
        <v>45772</v>
      </c>
      <c r="E542" s="10" t="n">
        <v>6000</v>
      </c>
      <c r="F542" s="0" t="str">
        <f aca="false">INDEX(COA!$C$5:$C$19,MATCH(E542,COA!$A$5:$A$19,0))</f>
        <v>Expense</v>
      </c>
      <c r="G542" s="12" t="n">
        <v>263000</v>
      </c>
      <c r="H542" s="12" t="n">
        <v>0</v>
      </c>
      <c r="I542" s="10" t="s">
        <v>104</v>
      </c>
      <c r="J542" s="10" t="s">
        <v>1636</v>
      </c>
      <c r="K542" s="10" t="s">
        <v>1776</v>
      </c>
    </row>
    <row r="543" customFormat="false" ht="15" hidden="false" customHeight="false" outlineLevel="0" collapsed="false">
      <c r="A543" s="10" t="s">
        <v>2198</v>
      </c>
      <c r="B543" s="10" t="n">
        <v>1253</v>
      </c>
      <c r="C543" s="8" t="n">
        <v>45772</v>
      </c>
      <c r="D543" s="8" t="n">
        <v>45772</v>
      </c>
      <c r="E543" s="10" t="n">
        <v>1000</v>
      </c>
      <c r="F543" s="0" t="str">
        <f aca="false">INDEX(COA!$C$5:$C$19,MATCH(E543,COA!$A$5:$A$19,0))</f>
        <v>Asset</v>
      </c>
      <c r="G543" s="12" t="n">
        <v>0</v>
      </c>
      <c r="H543" s="12" t="n">
        <v>263000</v>
      </c>
      <c r="I543" s="10" t="s">
        <v>104</v>
      </c>
      <c r="J543" s="10" t="s">
        <v>1636</v>
      </c>
      <c r="K543" s="10" t="s">
        <v>1776</v>
      </c>
    </row>
    <row r="544" customFormat="false" ht="15" hidden="false" customHeight="false" outlineLevel="0" collapsed="false">
      <c r="A544" s="10" t="s">
        <v>2199</v>
      </c>
      <c r="B544" s="10" t="n">
        <v>1254</v>
      </c>
      <c r="C544" s="8" t="n">
        <v>45775</v>
      </c>
      <c r="D544" s="8" t="n">
        <v>45773</v>
      </c>
      <c r="E544" s="10" t="n">
        <v>1000</v>
      </c>
      <c r="F544" s="0" t="str">
        <f aca="false">INDEX(COA!$C$5:$C$19,MATCH(E544,COA!$A$5:$A$19,0))</f>
        <v>Asset</v>
      </c>
      <c r="G544" s="12" t="n">
        <v>111742.43</v>
      </c>
      <c r="H544" s="12" t="n">
        <v>0</v>
      </c>
      <c r="I544" s="10" t="s">
        <v>103</v>
      </c>
      <c r="J544" s="10" t="s">
        <v>1636</v>
      </c>
      <c r="K544" s="10" t="s">
        <v>1637</v>
      </c>
    </row>
    <row r="545" customFormat="false" ht="15" hidden="false" customHeight="false" outlineLevel="0" collapsed="false">
      <c r="A545" s="10" t="s">
        <v>2200</v>
      </c>
      <c r="B545" s="10" t="n">
        <v>1254</v>
      </c>
      <c r="C545" s="8" t="n">
        <v>45775</v>
      </c>
      <c r="D545" s="8" t="n">
        <v>45773</v>
      </c>
      <c r="E545" s="10" t="n">
        <v>1100</v>
      </c>
      <c r="F545" s="0" t="str">
        <f aca="false">INDEX(COA!$C$5:$C$19,MATCH(E545,COA!$A$5:$A$19,0))</f>
        <v>Asset</v>
      </c>
      <c r="G545" s="12" t="n">
        <v>0</v>
      </c>
      <c r="H545" s="12" t="n">
        <v>111742.43</v>
      </c>
      <c r="I545" s="10" t="s">
        <v>103</v>
      </c>
      <c r="J545" s="10" t="s">
        <v>1636</v>
      </c>
      <c r="K545" s="10" t="s">
        <v>1637</v>
      </c>
    </row>
    <row r="546" customFormat="false" ht="15" hidden="false" customHeight="false" outlineLevel="0" collapsed="false">
      <c r="A546" s="10" t="s">
        <v>2201</v>
      </c>
      <c r="B546" s="10" t="n">
        <v>1255</v>
      </c>
      <c r="C546" s="8" t="n">
        <v>45775</v>
      </c>
      <c r="D546" s="8" t="n">
        <v>45775</v>
      </c>
      <c r="E546" s="10" t="n">
        <v>1100</v>
      </c>
      <c r="F546" s="0" t="str">
        <f aca="false">INDEX(COA!$C$5:$C$19,MATCH(E546,COA!$A$5:$A$19,0))</f>
        <v>Asset</v>
      </c>
      <c r="G546" s="12" t="n">
        <v>19151.71</v>
      </c>
      <c r="H546" s="12" t="n">
        <v>0</v>
      </c>
      <c r="I546" s="10" t="s">
        <v>103</v>
      </c>
      <c r="J546" s="10" t="s">
        <v>1636</v>
      </c>
      <c r="K546" s="10" t="s">
        <v>1640</v>
      </c>
    </row>
    <row r="547" customFormat="false" ht="15" hidden="false" customHeight="false" outlineLevel="0" collapsed="false">
      <c r="A547" s="10" t="s">
        <v>2202</v>
      </c>
      <c r="B547" s="10" t="n">
        <v>1255</v>
      </c>
      <c r="C547" s="8" t="n">
        <v>45775</v>
      </c>
      <c r="D547" s="8" t="n">
        <v>45775</v>
      </c>
      <c r="E547" s="10" t="n">
        <v>4000</v>
      </c>
      <c r="F547" s="0" t="str">
        <f aca="false">INDEX(COA!$C$5:$C$19,MATCH(E547,COA!$A$5:$A$19,0))</f>
        <v>Revenue</v>
      </c>
      <c r="G547" s="12" t="n">
        <v>0</v>
      </c>
      <c r="H547" s="12" t="n">
        <v>19151.71</v>
      </c>
      <c r="I547" s="10" t="s">
        <v>103</v>
      </c>
      <c r="J547" s="10" t="s">
        <v>1636</v>
      </c>
      <c r="K547" s="10" t="s">
        <v>1640</v>
      </c>
    </row>
    <row r="548" customFormat="false" ht="15" hidden="false" customHeight="false" outlineLevel="0" collapsed="false">
      <c r="A548" s="10" t="s">
        <v>2203</v>
      </c>
      <c r="B548" s="10" t="n">
        <v>1256</v>
      </c>
      <c r="C548" s="8" t="n">
        <v>45775</v>
      </c>
      <c r="D548" s="8" t="n">
        <v>45775</v>
      </c>
      <c r="E548" s="10" t="n">
        <v>1200</v>
      </c>
      <c r="F548" s="0" t="str">
        <f aca="false">INDEX(COA!$C$5:$C$19,MATCH(E548,COA!$A$5:$A$19,0))</f>
        <v>Asset</v>
      </c>
      <c r="G548" s="12" t="n">
        <v>4141.63</v>
      </c>
      <c r="H548" s="12" t="n">
        <v>0</v>
      </c>
      <c r="I548" s="10" t="s">
        <v>102</v>
      </c>
      <c r="J548" s="10" t="s">
        <v>1636</v>
      </c>
      <c r="K548" s="10" t="s">
        <v>1655</v>
      </c>
    </row>
    <row r="549" customFormat="false" ht="15" hidden="false" customHeight="false" outlineLevel="0" collapsed="false">
      <c r="A549" s="10" t="s">
        <v>2204</v>
      </c>
      <c r="B549" s="10" t="n">
        <v>1256</v>
      </c>
      <c r="C549" s="8" t="n">
        <v>45775</v>
      </c>
      <c r="D549" s="8" t="n">
        <v>45775</v>
      </c>
      <c r="E549" s="10" t="n">
        <v>1200</v>
      </c>
      <c r="F549" s="0" t="str">
        <f aca="false">INDEX(COA!$C$5:$C$19,MATCH(E549,COA!$A$5:$A$19,0))</f>
        <v>Asset</v>
      </c>
      <c r="G549" s="12" t="n">
        <v>1774.98</v>
      </c>
      <c r="H549" s="12" t="n">
        <v>0</v>
      </c>
      <c r="I549" s="10" t="s">
        <v>102</v>
      </c>
      <c r="J549" s="10" t="s">
        <v>1636</v>
      </c>
      <c r="K549" s="10" t="s">
        <v>1655</v>
      </c>
    </row>
    <row r="550" customFormat="false" ht="15" hidden="false" customHeight="false" outlineLevel="0" collapsed="false">
      <c r="A550" s="10" t="s">
        <v>2205</v>
      </c>
      <c r="B550" s="10" t="n">
        <v>1256</v>
      </c>
      <c r="C550" s="8" t="n">
        <v>45775</v>
      </c>
      <c r="D550" s="8" t="n">
        <v>45775</v>
      </c>
      <c r="E550" s="10" t="n">
        <v>2000</v>
      </c>
      <c r="F550" s="0" t="str">
        <f aca="false">INDEX(COA!$C$5:$C$19,MATCH(E550,COA!$A$5:$A$19,0))</f>
        <v>Liability</v>
      </c>
      <c r="G550" s="12" t="n">
        <v>0</v>
      </c>
      <c r="H550" s="12" t="n">
        <v>5916.61</v>
      </c>
      <c r="I550" s="10" t="s">
        <v>102</v>
      </c>
      <c r="J550" s="10" t="s">
        <v>1636</v>
      </c>
      <c r="K550" s="10" t="s">
        <v>1655</v>
      </c>
    </row>
    <row r="551" customFormat="false" ht="15" hidden="false" customHeight="false" outlineLevel="0" collapsed="false">
      <c r="A551" s="10" t="s">
        <v>2206</v>
      </c>
      <c r="B551" s="10" t="n">
        <v>1257</v>
      </c>
      <c r="C551" s="8" t="n">
        <v>45775</v>
      </c>
      <c r="D551" s="8" t="n">
        <v>45773</v>
      </c>
      <c r="E551" s="10" t="n">
        <v>1200</v>
      </c>
      <c r="F551" s="0" t="str">
        <f aca="false">INDEX(COA!$C$5:$C$19,MATCH(E551,COA!$A$5:$A$19,0))</f>
        <v>Asset</v>
      </c>
      <c r="G551" s="12" t="n">
        <v>8945.16</v>
      </c>
      <c r="H551" s="12" t="n">
        <v>0</v>
      </c>
      <c r="I551" s="10" t="s">
        <v>102</v>
      </c>
      <c r="J551" s="10" t="s">
        <v>1636</v>
      </c>
      <c r="K551" s="10" t="s">
        <v>1655</v>
      </c>
    </row>
    <row r="552" customFormat="false" ht="15" hidden="false" customHeight="false" outlineLevel="0" collapsed="false">
      <c r="A552" s="10" t="s">
        <v>2207</v>
      </c>
      <c r="B552" s="10" t="n">
        <v>1257</v>
      </c>
      <c r="C552" s="8" t="n">
        <v>45775</v>
      </c>
      <c r="D552" s="8" t="n">
        <v>45773</v>
      </c>
      <c r="E552" s="10" t="n">
        <v>1200</v>
      </c>
      <c r="F552" s="0" t="str">
        <f aca="false">INDEX(COA!$C$5:$C$19,MATCH(E552,COA!$A$5:$A$19,0))</f>
        <v>Asset</v>
      </c>
      <c r="G552" s="12" t="n">
        <v>3833.64</v>
      </c>
      <c r="H552" s="12" t="n">
        <v>0</v>
      </c>
      <c r="I552" s="10" t="s">
        <v>102</v>
      </c>
      <c r="J552" s="10" t="s">
        <v>1636</v>
      </c>
      <c r="K552" s="10" t="s">
        <v>1655</v>
      </c>
    </row>
    <row r="553" customFormat="false" ht="15" hidden="false" customHeight="false" outlineLevel="0" collapsed="false">
      <c r="A553" s="10" t="s">
        <v>2208</v>
      </c>
      <c r="B553" s="10" t="n">
        <v>1257</v>
      </c>
      <c r="C553" s="8" t="n">
        <v>45775</v>
      </c>
      <c r="D553" s="8" t="n">
        <v>45773</v>
      </c>
      <c r="E553" s="10" t="n">
        <v>2000</v>
      </c>
      <c r="F553" s="0" t="str">
        <f aca="false">INDEX(COA!$C$5:$C$19,MATCH(E553,COA!$A$5:$A$19,0))</f>
        <v>Liability</v>
      </c>
      <c r="G553" s="12" t="n">
        <v>0</v>
      </c>
      <c r="H553" s="12" t="n">
        <v>12778.8</v>
      </c>
      <c r="I553" s="10" t="s">
        <v>102</v>
      </c>
      <c r="J553" s="10" t="s">
        <v>1636</v>
      </c>
      <c r="K553" s="10" t="s">
        <v>1655</v>
      </c>
    </row>
    <row r="554" customFormat="false" ht="15" hidden="false" customHeight="false" outlineLevel="0" collapsed="false">
      <c r="A554" s="10" t="s">
        <v>2209</v>
      </c>
      <c r="B554" s="10" t="n">
        <v>1258</v>
      </c>
      <c r="C554" s="8" t="n">
        <v>45775</v>
      </c>
      <c r="D554" s="8" t="n">
        <v>45772</v>
      </c>
      <c r="E554" s="10" t="n">
        <v>5000</v>
      </c>
      <c r="F554" s="0" t="str">
        <f aca="false">INDEX(COA!$C$5:$C$19,MATCH(E554,COA!$A$5:$A$19,0))</f>
        <v>Expense</v>
      </c>
      <c r="G554" s="12" t="n">
        <v>31386.54</v>
      </c>
      <c r="H554" s="12" t="n">
        <v>0</v>
      </c>
      <c r="I554" s="10" t="s">
        <v>103</v>
      </c>
      <c r="J554" s="10" t="s">
        <v>1636</v>
      </c>
      <c r="K554" s="10" t="s">
        <v>1670</v>
      </c>
    </row>
    <row r="555" customFormat="false" ht="15" hidden="false" customHeight="false" outlineLevel="0" collapsed="false">
      <c r="A555" s="10" t="s">
        <v>2210</v>
      </c>
      <c r="B555" s="10" t="n">
        <v>1258</v>
      </c>
      <c r="C555" s="8" t="n">
        <v>45775</v>
      </c>
      <c r="D555" s="8" t="n">
        <v>45772</v>
      </c>
      <c r="E555" s="10" t="n">
        <v>1200</v>
      </c>
      <c r="F555" s="0" t="str">
        <f aca="false">INDEX(COA!$C$5:$C$19,MATCH(E555,COA!$A$5:$A$19,0))</f>
        <v>Asset</v>
      </c>
      <c r="G555" s="12" t="n">
        <v>0</v>
      </c>
      <c r="H555" s="12" t="n">
        <v>31386.54</v>
      </c>
      <c r="I555" s="10" t="s">
        <v>103</v>
      </c>
      <c r="J555" s="10" t="s">
        <v>1636</v>
      </c>
      <c r="K555" s="10" t="s">
        <v>1670</v>
      </c>
    </row>
    <row r="556" customFormat="false" ht="15" hidden="false" customHeight="false" outlineLevel="0" collapsed="false">
      <c r="A556" s="10" t="s">
        <v>2211</v>
      </c>
      <c r="B556" s="10" t="n">
        <v>1259</v>
      </c>
      <c r="C556" s="8" t="n">
        <v>45775</v>
      </c>
      <c r="D556" s="8" t="n">
        <v>45771</v>
      </c>
      <c r="E556" s="10" t="n">
        <v>6200</v>
      </c>
      <c r="F556" s="0" t="str">
        <f aca="false">INDEX(COA!$C$5:$C$19,MATCH(E556,COA!$A$5:$A$19,0))</f>
        <v>Expense</v>
      </c>
      <c r="G556" s="12" t="n">
        <v>743.43</v>
      </c>
      <c r="H556" s="12" t="n">
        <v>0</v>
      </c>
      <c r="I556" s="10" t="s">
        <v>102</v>
      </c>
      <c r="J556" s="10" t="s">
        <v>1636</v>
      </c>
      <c r="K556" s="10" t="s">
        <v>1689</v>
      </c>
    </row>
    <row r="557" customFormat="false" ht="15" hidden="false" customHeight="false" outlineLevel="0" collapsed="false">
      <c r="A557" s="10" t="s">
        <v>2212</v>
      </c>
      <c r="B557" s="10" t="n">
        <v>1259</v>
      </c>
      <c r="C557" s="8" t="n">
        <v>45775</v>
      </c>
      <c r="D557" s="8" t="n">
        <v>45771</v>
      </c>
      <c r="E557" s="10" t="n">
        <v>2000</v>
      </c>
      <c r="F557" s="0" t="str">
        <f aca="false">INDEX(COA!$C$5:$C$19,MATCH(E557,COA!$A$5:$A$19,0))</f>
        <v>Liability</v>
      </c>
      <c r="G557" s="12" t="n">
        <v>0</v>
      </c>
      <c r="H557" s="12" t="n">
        <v>743.43</v>
      </c>
      <c r="I557" s="10" t="s">
        <v>102</v>
      </c>
      <c r="J557" s="10" t="s">
        <v>1636</v>
      </c>
      <c r="K557" s="10" t="s">
        <v>1689</v>
      </c>
    </row>
    <row r="558" customFormat="false" ht="15" hidden="false" customHeight="false" outlineLevel="0" collapsed="false">
      <c r="A558" s="10" t="s">
        <v>2213</v>
      </c>
      <c r="B558" s="10" t="n">
        <v>1260</v>
      </c>
      <c r="C558" s="8" t="n">
        <v>45776</v>
      </c>
      <c r="D558" s="8" t="n">
        <v>45776</v>
      </c>
      <c r="E558" s="10" t="n">
        <v>6200</v>
      </c>
      <c r="F558" s="0" t="str">
        <f aca="false">INDEX(COA!$C$5:$C$19,MATCH(E558,COA!$A$5:$A$19,0))</f>
        <v>Expense</v>
      </c>
      <c r="G558" s="12" t="n">
        <v>3608.86</v>
      </c>
      <c r="H558" s="12" t="n">
        <v>0</v>
      </c>
      <c r="I558" s="10" t="s">
        <v>102</v>
      </c>
      <c r="J558" s="10" t="s">
        <v>1636</v>
      </c>
      <c r="K558" s="10" t="s">
        <v>1689</v>
      </c>
    </row>
    <row r="559" customFormat="false" ht="15" hidden="false" customHeight="false" outlineLevel="0" collapsed="false">
      <c r="A559" s="10" t="s">
        <v>2214</v>
      </c>
      <c r="B559" s="10" t="n">
        <v>1260</v>
      </c>
      <c r="C559" s="8" t="n">
        <v>45776</v>
      </c>
      <c r="D559" s="8" t="n">
        <v>45776</v>
      </c>
      <c r="E559" s="10" t="n">
        <v>6200</v>
      </c>
      <c r="F559" s="0" t="str">
        <f aca="false">INDEX(COA!$C$5:$C$19,MATCH(E559,COA!$A$5:$A$19,0))</f>
        <v>Expense</v>
      </c>
      <c r="G559" s="12" t="n">
        <v>1546.66</v>
      </c>
      <c r="H559" s="12" t="n">
        <v>0</v>
      </c>
      <c r="I559" s="10" t="s">
        <v>102</v>
      </c>
      <c r="J559" s="10" t="s">
        <v>1636</v>
      </c>
      <c r="K559" s="10" t="s">
        <v>1689</v>
      </c>
    </row>
    <row r="560" customFormat="false" ht="15" hidden="false" customHeight="false" outlineLevel="0" collapsed="false">
      <c r="A560" s="10" t="s">
        <v>2215</v>
      </c>
      <c r="B560" s="10" t="n">
        <v>1260</v>
      </c>
      <c r="C560" s="8" t="n">
        <v>45776</v>
      </c>
      <c r="D560" s="8" t="n">
        <v>45776</v>
      </c>
      <c r="E560" s="10" t="n">
        <v>2000</v>
      </c>
      <c r="F560" s="0" t="str">
        <f aca="false">INDEX(COA!$C$5:$C$19,MATCH(E560,COA!$A$5:$A$19,0))</f>
        <v>Liability</v>
      </c>
      <c r="G560" s="12" t="n">
        <v>0</v>
      </c>
      <c r="H560" s="12" t="n">
        <v>5155.52</v>
      </c>
      <c r="I560" s="10" t="s">
        <v>102</v>
      </c>
      <c r="J560" s="10" t="s">
        <v>1636</v>
      </c>
      <c r="K560" s="10" t="s">
        <v>1689</v>
      </c>
    </row>
    <row r="561" customFormat="false" ht="15" hidden="false" customHeight="false" outlineLevel="0" collapsed="false">
      <c r="A561" s="10" t="s">
        <v>2216</v>
      </c>
      <c r="B561" s="10" t="n">
        <v>1261</v>
      </c>
      <c r="C561" s="8" t="n">
        <v>45776</v>
      </c>
      <c r="D561" s="8" t="n">
        <v>45776</v>
      </c>
      <c r="E561" s="10" t="n">
        <v>1100</v>
      </c>
      <c r="F561" s="0" t="str">
        <f aca="false">INDEX(COA!$C$5:$C$19,MATCH(E561,COA!$A$5:$A$19,0))</f>
        <v>Asset</v>
      </c>
      <c r="G561" s="12" t="n">
        <v>80614.74</v>
      </c>
      <c r="H561" s="12" t="n">
        <v>0</v>
      </c>
      <c r="I561" s="10" t="s">
        <v>103</v>
      </c>
      <c r="J561" s="10" t="s">
        <v>1636</v>
      </c>
      <c r="K561" s="10" t="s">
        <v>1640</v>
      </c>
    </row>
    <row r="562" customFormat="false" ht="15" hidden="false" customHeight="false" outlineLevel="0" collapsed="false">
      <c r="A562" s="10" t="s">
        <v>2217</v>
      </c>
      <c r="B562" s="10" t="n">
        <v>1261</v>
      </c>
      <c r="C562" s="8" t="n">
        <v>45776</v>
      </c>
      <c r="D562" s="8" t="n">
        <v>45776</v>
      </c>
      <c r="E562" s="10" t="n">
        <v>4000</v>
      </c>
      <c r="F562" s="0" t="str">
        <f aca="false">INDEX(COA!$C$5:$C$19,MATCH(E562,COA!$A$5:$A$19,0))</f>
        <v>Revenue</v>
      </c>
      <c r="G562" s="12" t="n">
        <v>0</v>
      </c>
      <c r="H562" s="12" t="n">
        <v>80614.74</v>
      </c>
      <c r="I562" s="10" t="s">
        <v>103</v>
      </c>
      <c r="J562" s="10" t="s">
        <v>1636</v>
      </c>
      <c r="K562" s="10" t="s">
        <v>1640</v>
      </c>
    </row>
    <row r="563" customFormat="false" ht="15" hidden="false" customHeight="false" outlineLevel="0" collapsed="false">
      <c r="A563" s="10" t="s">
        <v>2218</v>
      </c>
      <c r="B563" s="10" t="n">
        <v>1262</v>
      </c>
      <c r="C563" s="8" t="n">
        <v>45776</v>
      </c>
      <c r="D563" s="8" t="n">
        <v>45772</v>
      </c>
      <c r="E563" s="10" t="n">
        <v>5000</v>
      </c>
      <c r="F563" s="0" t="str">
        <f aca="false">INDEX(COA!$C$5:$C$19,MATCH(E563,COA!$A$5:$A$19,0))</f>
        <v>Expense</v>
      </c>
      <c r="G563" s="12" t="n">
        <v>1673.17</v>
      </c>
      <c r="H563" s="12" t="n">
        <v>0</v>
      </c>
      <c r="I563" s="10" t="s">
        <v>103</v>
      </c>
      <c r="J563" s="10" t="s">
        <v>1636</v>
      </c>
      <c r="K563" s="10" t="s">
        <v>1670</v>
      </c>
    </row>
    <row r="564" customFormat="false" ht="15" hidden="false" customHeight="false" outlineLevel="0" collapsed="false">
      <c r="A564" s="10" t="s">
        <v>2219</v>
      </c>
      <c r="B564" s="10" t="n">
        <v>1262</v>
      </c>
      <c r="C564" s="8" t="n">
        <v>45776</v>
      </c>
      <c r="D564" s="8" t="n">
        <v>45772</v>
      </c>
      <c r="E564" s="10" t="n">
        <v>1200</v>
      </c>
      <c r="F564" s="0" t="str">
        <f aca="false">INDEX(COA!$C$5:$C$19,MATCH(E564,COA!$A$5:$A$19,0))</f>
        <v>Asset</v>
      </c>
      <c r="G564" s="12" t="n">
        <v>0</v>
      </c>
      <c r="H564" s="12" t="n">
        <v>1673.17</v>
      </c>
      <c r="I564" s="10" t="s">
        <v>103</v>
      </c>
      <c r="J564" s="10" t="s">
        <v>1636</v>
      </c>
      <c r="K564" s="10" t="s">
        <v>1670</v>
      </c>
    </row>
    <row r="565" customFormat="false" ht="15" hidden="false" customHeight="false" outlineLevel="0" collapsed="false">
      <c r="A565" s="10" t="s">
        <v>2220</v>
      </c>
      <c r="B565" s="10" t="n">
        <v>1263</v>
      </c>
      <c r="C565" s="8" t="n">
        <v>45776</v>
      </c>
      <c r="D565" s="8" t="n">
        <v>45775</v>
      </c>
      <c r="E565" s="10" t="n">
        <v>1200</v>
      </c>
      <c r="F565" s="0" t="str">
        <f aca="false">INDEX(COA!$C$5:$C$19,MATCH(E565,COA!$A$5:$A$19,0))</f>
        <v>Asset</v>
      </c>
      <c r="G565" s="12" t="n">
        <v>5527.14</v>
      </c>
      <c r="H565" s="12" t="n">
        <v>0</v>
      </c>
      <c r="I565" s="10" t="s">
        <v>102</v>
      </c>
      <c r="J565" s="10" t="s">
        <v>1636</v>
      </c>
      <c r="K565" s="10" t="s">
        <v>1655</v>
      </c>
    </row>
    <row r="566" customFormat="false" ht="15" hidden="false" customHeight="false" outlineLevel="0" collapsed="false">
      <c r="A566" s="10" t="s">
        <v>2221</v>
      </c>
      <c r="B566" s="10" t="n">
        <v>1263</v>
      </c>
      <c r="C566" s="8" t="n">
        <v>45776</v>
      </c>
      <c r="D566" s="8" t="n">
        <v>45775</v>
      </c>
      <c r="E566" s="10" t="n">
        <v>1200</v>
      </c>
      <c r="F566" s="0" t="str">
        <f aca="false">INDEX(COA!$C$5:$C$19,MATCH(E566,COA!$A$5:$A$19,0))</f>
        <v>Asset</v>
      </c>
      <c r="G566" s="12" t="n">
        <v>2368.78</v>
      </c>
      <c r="H566" s="12" t="n">
        <v>0</v>
      </c>
      <c r="I566" s="10" t="s">
        <v>102</v>
      </c>
      <c r="J566" s="10" t="s">
        <v>1636</v>
      </c>
      <c r="K566" s="10" t="s">
        <v>1655</v>
      </c>
    </row>
    <row r="567" customFormat="false" ht="15" hidden="false" customHeight="false" outlineLevel="0" collapsed="false">
      <c r="A567" s="10" t="s">
        <v>2222</v>
      </c>
      <c r="B567" s="10" t="n">
        <v>1263</v>
      </c>
      <c r="C567" s="8" t="n">
        <v>45776</v>
      </c>
      <c r="D567" s="8" t="n">
        <v>45775</v>
      </c>
      <c r="E567" s="10" t="n">
        <v>2000</v>
      </c>
      <c r="F567" s="0" t="str">
        <f aca="false">INDEX(COA!$C$5:$C$19,MATCH(E567,COA!$A$5:$A$19,0))</f>
        <v>Liability</v>
      </c>
      <c r="G567" s="12" t="n">
        <v>0</v>
      </c>
      <c r="H567" s="12" t="n">
        <v>7895.92</v>
      </c>
      <c r="I567" s="10" t="s">
        <v>102</v>
      </c>
      <c r="J567" s="10" t="s">
        <v>1636</v>
      </c>
      <c r="K567" s="10" t="s">
        <v>1655</v>
      </c>
    </row>
    <row r="568" customFormat="false" ht="15" hidden="false" customHeight="false" outlineLevel="0" collapsed="false">
      <c r="A568" s="10" t="s">
        <v>2223</v>
      </c>
      <c r="B568" s="10" t="n">
        <v>1264</v>
      </c>
      <c r="C568" s="8" t="n">
        <v>45776</v>
      </c>
      <c r="D568" s="8" t="n">
        <v>45776</v>
      </c>
      <c r="E568" s="10" t="n">
        <v>2000</v>
      </c>
      <c r="F568" s="0" t="str">
        <f aca="false">INDEX(COA!$C$5:$C$19,MATCH(E568,COA!$A$5:$A$19,0))</f>
        <v>Liability</v>
      </c>
      <c r="G568" s="12" t="n">
        <v>324.69</v>
      </c>
      <c r="H568" s="12" t="n">
        <v>0</v>
      </c>
      <c r="I568" s="10" t="s">
        <v>104</v>
      </c>
      <c r="J568" s="10" t="s">
        <v>1636</v>
      </c>
      <c r="K568" s="10" t="s">
        <v>1659</v>
      </c>
    </row>
    <row r="569" customFormat="false" ht="15" hidden="false" customHeight="false" outlineLevel="0" collapsed="false">
      <c r="A569" s="10" t="s">
        <v>2224</v>
      </c>
      <c r="B569" s="10" t="n">
        <v>1264</v>
      </c>
      <c r="C569" s="8" t="n">
        <v>45776</v>
      </c>
      <c r="D569" s="8" t="n">
        <v>45776</v>
      </c>
      <c r="E569" s="10" t="n">
        <v>1000</v>
      </c>
      <c r="F569" s="0" t="str">
        <f aca="false">INDEX(COA!$C$5:$C$19,MATCH(E569,COA!$A$5:$A$19,0))</f>
        <v>Asset</v>
      </c>
      <c r="G569" s="12" t="n">
        <v>0</v>
      </c>
      <c r="H569" s="12" t="n">
        <v>324.69</v>
      </c>
      <c r="I569" s="10" t="s">
        <v>104</v>
      </c>
      <c r="J569" s="10" t="s">
        <v>1636</v>
      </c>
      <c r="K569" s="10" t="s">
        <v>1659</v>
      </c>
    </row>
    <row r="570" customFormat="false" ht="15" hidden="false" customHeight="false" outlineLevel="0" collapsed="false">
      <c r="A570" s="10" t="s">
        <v>2225</v>
      </c>
      <c r="B570" s="10" t="n">
        <v>1265</v>
      </c>
      <c r="C570" s="8" t="n">
        <v>45778</v>
      </c>
      <c r="D570" s="8" t="n">
        <v>45774</v>
      </c>
      <c r="E570" s="10" t="n">
        <v>2000</v>
      </c>
      <c r="F570" s="0" t="str">
        <f aca="false">INDEX(COA!$C$5:$C$19,MATCH(E570,COA!$A$5:$A$19,0))</f>
        <v>Liability</v>
      </c>
      <c r="G570" s="12" t="n">
        <v>1526.57</v>
      </c>
      <c r="H570" s="12" t="n">
        <v>0</v>
      </c>
      <c r="I570" s="10" t="s">
        <v>104</v>
      </c>
      <c r="J570" s="10" t="s">
        <v>1636</v>
      </c>
      <c r="K570" s="10" t="s">
        <v>1659</v>
      </c>
    </row>
    <row r="571" customFormat="false" ht="15" hidden="false" customHeight="false" outlineLevel="0" collapsed="false">
      <c r="A571" s="10" t="s">
        <v>2226</v>
      </c>
      <c r="B571" s="10" t="n">
        <v>1265</v>
      </c>
      <c r="C571" s="8" t="n">
        <v>45778</v>
      </c>
      <c r="D571" s="8" t="n">
        <v>45774</v>
      </c>
      <c r="E571" s="10" t="n">
        <v>2000</v>
      </c>
      <c r="F571" s="0" t="str">
        <f aca="false">INDEX(COA!$C$5:$C$19,MATCH(E571,COA!$A$5:$A$19,0))</f>
        <v>Liability</v>
      </c>
      <c r="G571" s="12" t="n">
        <v>654.25</v>
      </c>
      <c r="H571" s="12" t="n">
        <v>0</v>
      </c>
      <c r="I571" s="10" t="s">
        <v>104</v>
      </c>
      <c r="J571" s="10" t="s">
        <v>1636</v>
      </c>
      <c r="K571" s="10" t="s">
        <v>1659</v>
      </c>
    </row>
    <row r="572" customFormat="false" ht="15" hidden="false" customHeight="false" outlineLevel="0" collapsed="false">
      <c r="A572" s="10" t="s">
        <v>2227</v>
      </c>
      <c r="B572" s="10" t="n">
        <v>1265</v>
      </c>
      <c r="C572" s="8" t="n">
        <v>45778</v>
      </c>
      <c r="D572" s="8" t="n">
        <v>45774</v>
      </c>
      <c r="E572" s="10" t="n">
        <v>1000</v>
      </c>
      <c r="F572" s="0" t="str">
        <f aca="false">INDEX(COA!$C$5:$C$19,MATCH(E572,COA!$A$5:$A$19,0))</f>
        <v>Asset</v>
      </c>
      <c r="G572" s="12" t="n">
        <v>0</v>
      </c>
      <c r="H572" s="12" t="n">
        <v>2180.82</v>
      </c>
      <c r="I572" s="10" t="s">
        <v>104</v>
      </c>
      <c r="J572" s="10" t="s">
        <v>1636</v>
      </c>
      <c r="K572" s="10" t="s">
        <v>1659</v>
      </c>
    </row>
    <row r="573" customFormat="false" ht="15" hidden="false" customHeight="false" outlineLevel="0" collapsed="false">
      <c r="A573" s="10" t="s">
        <v>2228</v>
      </c>
      <c r="B573" s="10" t="n">
        <v>1266</v>
      </c>
      <c r="C573" s="8" t="n">
        <v>45779</v>
      </c>
      <c r="D573" s="8" t="n">
        <v>45778</v>
      </c>
      <c r="E573" s="10" t="n">
        <v>1100</v>
      </c>
      <c r="F573" s="0" t="str">
        <f aca="false">INDEX(COA!$C$5:$C$19,MATCH(E573,COA!$A$5:$A$19,0))</f>
        <v>Asset</v>
      </c>
      <c r="G573" s="12" t="n">
        <v>1939.43</v>
      </c>
      <c r="H573" s="12" t="n">
        <v>0</v>
      </c>
      <c r="I573" s="10" t="s">
        <v>103</v>
      </c>
      <c r="J573" s="10" t="s">
        <v>1636</v>
      </c>
      <c r="K573" s="10" t="s">
        <v>1640</v>
      </c>
    </row>
    <row r="574" customFormat="false" ht="15" hidden="false" customHeight="false" outlineLevel="0" collapsed="false">
      <c r="A574" s="10" t="s">
        <v>2229</v>
      </c>
      <c r="B574" s="10" t="n">
        <v>1266</v>
      </c>
      <c r="C574" s="8" t="n">
        <v>45779</v>
      </c>
      <c r="D574" s="8" t="n">
        <v>45778</v>
      </c>
      <c r="E574" s="10" t="n">
        <v>4000</v>
      </c>
      <c r="F574" s="0" t="str">
        <f aca="false">INDEX(COA!$C$5:$C$19,MATCH(E574,COA!$A$5:$A$19,0))</f>
        <v>Revenue</v>
      </c>
      <c r="G574" s="12" t="n">
        <v>0</v>
      </c>
      <c r="H574" s="12" t="n">
        <v>1939.43</v>
      </c>
      <c r="I574" s="10" t="s">
        <v>103</v>
      </c>
      <c r="J574" s="10" t="s">
        <v>1636</v>
      </c>
      <c r="K574" s="10" t="s">
        <v>1640</v>
      </c>
    </row>
    <row r="575" customFormat="false" ht="15" hidden="false" customHeight="false" outlineLevel="0" collapsed="false">
      <c r="A575" s="10" t="s">
        <v>2230</v>
      </c>
      <c r="B575" s="10" t="n">
        <v>1267</v>
      </c>
      <c r="C575" s="8" t="n">
        <v>45779</v>
      </c>
      <c r="D575" s="8" t="n">
        <v>45775</v>
      </c>
      <c r="E575" s="10" t="n">
        <v>2000</v>
      </c>
      <c r="F575" s="0" t="str">
        <f aca="false">INDEX(COA!$C$5:$C$19,MATCH(E575,COA!$A$5:$A$19,0))</f>
        <v>Liability</v>
      </c>
      <c r="G575" s="12" t="n">
        <v>26636.71</v>
      </c>
      <c r="H575" s="12" t="n">
        <v>0</v>
      </c>
      <c r="I575" s="10" t="s">
        <v>104</v>
      </c>
      <c r="J575" s="10" t="s">
        <v>1636</v>
      </c>
      <c r="K575" s="10" t="s">
        <v>1659</v>
      </c>
    </row>
    <row r="576" customFormat="false" ht="15" hidden="false" customHeight="false" outlineLevel="0" collapsed="false">
      <c r="A576" s="10" t="s">
        <v>2231</v>
      </c>
      <c r="B576" s="10" t="n">
        <v>1267</v>
      </c>
      <c r="C576" s="8" t="n">
        <v>45779</v>
      </c>
      <c r="D576" s="8" t="n">
        <v>45775</v>
      </c>
      <c r="E576" s="10" t="n">
        <v>2000</v>
      </c>
      <c r="F576" s="0" t="str">
        <f aca="false">INDEX(COA!$C$5:$C$19,MATCH(E576,COA!$A$5:$A$19,0))</f>
        <v>Liability</v>
      </c>
      <c r="G576" s="12" t="n">
        <v>11415.74</v>
      </c>
      <c r="H576" s="12" t="n">
        <v>0</v>
      </c>
      <c r="I576" s="10" t="s">
        <v>104</v>
      </c>
      <c r="J576" s="10" t="s">
        <v>1636</v>
      </c>
      <c r="K576" s="10" t="s">
        <v>1659</v>
      </c>
    </row>
    <row r="577" customFormat="false" ht="15" hidden="false" customHeight="false" outlineLevel="0" collapsed="false">
      <c r="A577" s="10" t="s">
        <v>2232</v>
      </c>
      <c r="B577" s="10" t="n">
        <v>1267</v>
      </c>
      <c r="C577" s="8" t="n">
        <v>45779</v>
      </c>
      <c r="D577" s="8" t="n">
        <v>45775</v>
      </c>
      <c r="E577" s="10" t="n">
        <v>1000</v>
      </c>
      <c r="F577" s="0" t="str">
        <f aca="false">INDEX(COA!$C$5:$C$19,MATCH(E577,COA!$A$5:$A$19,0))</f>
        <v>Asset</v>
      </c>
      <c r="G577" s="12" t="n">
        <v>0</v>
      </c>
      <c r="H577" s="12" t="n">
        <v>38052.45</v>
      </c>
      <c r="I577" s="10" t="s">
        <v>104</v>
      </c>
      <c r="J577" s="10" t="s">
        <v>1636</v>
      </c>
      <c r="K577" s="10" t="s">
        <v>1659</v>
      </c>
    </row>
    <row r="578" customFormat="false" ht="15" hidden="false" customHeight="false" outlineLevel="0" collapsed="false">
      <c r="A578" s="10" t="s">
        <v>2233</v>
      </c>
      <c r="B578" s="10" t="n">
        <v>1268</v>
      </c>
      <c r="C578" s="8" t="n">
        <v>45779</v>
      </c>
      <c r="D578" s="8" t="n">
        <v>45779</v>
      </c>
      <c r="E578" s="10" t="n">
        <v>1100</v>
      </c>
      <c r="F578" s="0" t="str">
        <f aca="false">INDEX(COA!$C$5:$C$19,MATCH(E578,COA!$A$5:$A$19,0))</f>
        <v>Asset</v>
      </c>
      <c r="G578" s="12" t="n">
        <v>2935.19</v>
      </c>
      <c r="H578" s="12" t="n">
        <v>0</v>
      </c>
      <c r="I578" s="10" t="s">
        <v>103</v>
      </c>
      <c r="J578" s="10" t="s">
        <v>1636</v>
      </c>
      <c r="K578" s="10" t="s">
        <v>1640</v>
      </c>
    </row>
    <row r="579" customFormat="false" ht="15" hidden="false" customHeight="false" outlineLevel="0" collapsed="false">
      <c r="A579" s="10" t="s">
        <v>2234</v>
      </c>
      <c r="B579" s="10" t="n">
        <v>1268</v>
      </c>
      <c r="C579" s="8" t="n">
        <v>45779</v>
      </c>
      <c r="D579" s="8" t="n">
        <v>45779</v>
      </c>
      <c r="E579" s="10" t="n">
        <v>4000</v>
      </c>
      <c r="F579" s="0" t="str">
        <f aca="false">INDEX(COA!$C$5:$C$19,MATCH(E579,COA!$A$5:$A$19,0))</f>
        <v>Revenue</v>
      </c>
      <c r="G579" s="12" t="n">
        <v>0</v>
      </c>
      <c r="H579" s="12" t="n">
        <v>2935.19</v>
      </c>
      <c r="I579" s="10" t="s">
        <v>103</v>
      </c>
      <c r="J579" s="10" t="s">
        <v>1636</v>
      </c>
      <c r="K579" s="10" t="s">
        <v>1640</v>
      </c>
    </row>
    <row r="580" customFormat="false" ht="15" hidden="false" customHeight="false" outlineLevel="0" collapsed="false">
      <c r="A580" s="10" t="s">
        <v>2235</v>
      </c>
      <c r="B580" s="10" t="n">
        <v>1269</v>
      </c>
      <c r="C580" s="8" t="n">
        <v>45779</v>
      </c>
      <c r="D580" s="8" t="n">
        <v>45778</v>
      </c>
      <c r="E580" s="10" t="n">
        <v>1100</v>
      </c>
      <c r="F580" s="0" t="str">
        <f aca="false">INDEX(COA!$C$5:$C$19,MATCH(E580,COA!$A$5:$A$19,0))</f>
        <v>Asset</v>
      </c>
      <c r="G580" s="12" t="n">
        <v>1040.47</v>
      </c>
      <c r="H580" s="12" t="n">
        <v>0</v>
      </c>
      <c r="I580" s="10" t="s">
        <v>103</v>
      </c>
      <c r="J580" s="10" t="s">
        <v>1636</v>
      </c>
      <c r="K580" s="10" t="s">
        <v>1640</v>
      </c>
    </row>
    <row r="581" customFormat="false" ht="15" hidden="false" customHeight="false" outlineLevel="0" collapsed="false">
      <c r="A581" s="10" t="s">
        <v>2236</v>
      </c>
      <c r="B581" s="10" t="n">
        <v>1269</v>
      </c>
      <c r="C581" s="8" t="n">
        <v>45779</v>
      </c>
      <c r="D581" s="8" t="n">
        <v>45778</v>
      </c>
      <c r="E581" s="10" t="n">
        <v>4000</v>
      </c>
      <c r="F581" s="0" t="str">
        <f aca="false">INDEX(COA!$C$5:$C$19,MATCH(E581,COA!$A$5:$A$19,0))</f>
        <v>Revenue</v>
      </c>
      <c r="G581" s="12" t="n">
        <v>0</v>
      </c>
      <c r="H581" s="12" t="n">
        <v>1040.47</v>
      </c>
      <c r="I581" s="10" t="s">
        <v>103</v>
      </c>
      <c r="J581" s="10" t="s">
        <v>1636</v>
      </c>
      <c r="K581" s="10" t="s">
        <v>1640</v>
      </c>
    </row>
    <row r="582" customFormat="false" ht="15" hidden="false" customHeight="false" outlineLevel="0" collapsed="false">
      <c r="A582" s="10" t="s">
        <v>2237</v>
      </c>
      <c r="B582" s="10" t="n">
        <v>1270</v>
      </c>
      <c r="C582" s="8" t="n">
        <v>45779</v>
      </c>
      <c r="D582" s="8" t="n">
        <v>45779</v>
      </c>
      <c r="E582" s="10" t="n">
        <v>2000</v>
      </c>
      <c r="F582" s="0" t="str">
        <f aca="false">INDEX(COA!$C$5:$C$19,MATCH(E582,COA!$A$5:$A$19,0))</f>
        <v>Liability</v>
      </c>
      <c r="G582" s="12" t="n">
        <v>388.36</v>
      </c>
      <c r="H582" s="12" t="n">
        <v>0</v>
      </c>
      <c r="I582" s="10" t="s">
        <v>104</v>
      </c>
      <c r="J582" s="10" t="s">
        <v>1636</v>
      </c>
      <c r="K582" s="10" t="s">
        <v>1659</v>
      </c>
    </row>
    <row r="583" customFormat="false" ht="15" hidden="false" customHeight="false" outlineLevel="0" collapsed="false">
      <c r="A583" s="10" t="s">
        <v>2238</v>
      </c>
      <c r="B583" s="10" t="n">
        <v>1270</v>
      </c>
      <c r="C583" s="8" t="n">
        <v>45779</v>
      </c>
      <c r="D583" s="8" t="n">
        <v>45779</v>
      </c>
      <c r="E583" s="10" t="n">
        <v>1000</v>
      </c>
      <c r="F583" s="0" t="str">
        <f aca="false">INDEX(COA!$C$5:$C$19,MATCH(E583,COA!$A$5:$A$19,0))</f>
        <v>Asset</v>
      </c>
      <c r="G583" s="12" t="n">
        <v>0</v>
      </c>
      <c r="H583" s="12" t="n">
        <v>388.36</v>
      </c>
      <c r="I583" s="10" t="s">
        <v>104</v>
      </c>
      <c r="J583" s="10" t="s">
        <v>1636</v>
      </c>
      <c r="K583" s="10" t="s">
        <v>1659</v>
      </c>
    </row>
    <row r="584" customFormat="false" ht="15" hidden="false" customHeight="false" outlineLevel="0" collapsed="false">
      <c r="A584" s="10" t="s">
        <v>2239</v>
      </c>
      <c r="B584" s="10" t="n">
        <v>1273</v>
      </c>
      <c r="C584" s="8" t="n">
        <v>45780</v>
      </c>
      <c r="D584" s="8" t="n">
        <v>45779</v>
      </c>
      <c r="E584" s="10" t="n">
        <v>1100</v>
      </c>
      <c r="F584" s="0" t="str">
        <f aca="false">INDEX(COA!$C$5:$C$19,MATCH(E584,COA!$A$5:$A$19,0))</f>
        <v>Asset</v>
      </c>
      <c r="G584" s="12" t="n">
        <v>18022.62</v>
      </c>
      <c r="H584" s="12" t="n">
        <v>0</v>
      </c>
      <c r="I584" s="10" t="s">
        <v>103</v>
      </c>
      <c r="J584" s="10" t="s">
        <v>1636</v>
      </c>
      <c r="K584" s="10" t="s">
        <v>1640</v>
      </c>
    </row>
    <row r="585" customFormat="false" ht="15" hidden="false" customHeight="false" outlineLevel="0" collapsed="false">
      <c r="A585" s="10" t="s">
        <v>2240</v>
      </c>
      <c r="B585" s="10" t="n">
        <v>1273</v>
      </c>
      <c r="C585" s="8" t="n">
        <v>45780</v>
      </c>
      <c r="D585" s="8" t="n">
        <v>45779</v>
      </c>
      <c r="E585" s="10" t="n">
        <v>4000</v>
      </c>
      <c r="F585" s="0" t="str">
        <f aca="false">INDEX(COA!$C$5:$C$19,MATCH(E585,COA!$A$5:$A$19,0))</f>
        <v>Revenue</v>
      </c>
      <c r="G585" s="12" t="n">
        <v>0</v>
      </c>
      <c r="H585" s="12" t="n">
        <v>18022.62</v>
      </c>
      <c r="I585" s="10" t="s">
        <v>103</v>
      </c>
      <c r="J585" s="10" t="s">
        <v>1636</v>
      </c>
      <c r="K585" s="10" t="s">
        <v>1640</v>
      </c>
    </row>
    <row r="586" customFormat="false" ht="15" hidden="false" customHeight="false" outlineLevel="0" collapsed="false">
      <c r="A586" s="10" t="s">
        <v>2241</v>
      </c>
      <c r="B586" s="10" t="n">
        <v>1274</v>
      </c>
      <c r="C586" s="8" t="n">
        <v>45781</v>
      </c>
      <c r="D586" s="8" t="n">
        <v>45781</v>
      </c>
      <c r="E586" s="10" t="n">
        <v>6900</v>
      </c>
      <c r="F586" s="0" t="str">
        <f aca="false">INDEX(COA!$C$5:$C$19,MATCH(E586,COA!$A$5:$A$19,0))</f>
        <v>Expense</v>
      </c>
      <c r="G586" s="12" t="n">
        <v>16180.25</v>
      </c>
      <c r="H586" s="12" t="n">
        <v>0</v>
      </c>
      <c r="I586" s="10" t="s">
        <v>100</v>
      </c>
      <c r="J586" s="10" t="s">
        <v>1648</v>
      </c>
      <c r="K586" s="10" t="s">
        <v>2242</v>
      </c>
    </row>
    <row r="587" customFormat="false" ht="15" hidden="false" customHeight="false" outlineLevel="0" collapsed="false">
      <c r="A587" s="10" t="s">
        <v>2243</v>
      </c>
      <c r="B587" s="10" t="n">
        <v>1274</v>
      </c>
      <c r="C587" s="8" t="n">
        <v>45781</v>
      </c>
      <c r="D587" s="8" t="n">
        <v>45781</v>
      </c>
      <c r="E587" s="10" t="n">
        <v>2100</v>
      </c>
      <c r="F587" s="0" t="str">
        <f aca="false">INDEX(COA!$C$5:$C$19,MATCH(E587,COA!$A$5:$A$19,0))</f>
        <v>Liability</v>
      </c>
      <c r="G587" s="12" t="n">
        <v>0</v>
      </c>
      <c r="H587" s="12" t="n">
        <v>16180.25</v>
      </c>
      <c r="I587" s="10" t="s">
        <v>100</v>
      </c>
      <c r="J587" s="10" t="s">
        <v>1648</v>
      </c>
      <c r="K587" s="10" t="s">
        <v>2242</v>
      </c>
    </row>
    <row r="588" customFormat="false" ht="15" hidden="false" customHeight="false" outlineLevel="0" collapsed="false">
      <c r="A588" s="10" t="s">
        <v>2244</v>
      </c>
      <c r="B588" s="10" t="n">
        <v>1275</v>
      </c>
      <c r="C588" s="8" t="n">
        <v>45782</v>
      </c>
      <c r="D588" s="8" t="n">
        <v>45782</v>
      </c>
      <c r="E588" s="10" t="n">
        <v>5000</v>
      </c>
      <c r="F588" s="0" t="str">
        <f aca="false">INDEX(COA!$C$5:$C$19,MATCH(E588,COA!$A$5:$A$19,0))</f>
        <v>Expense</v>
      </c>
      <c r="G588" s="12" t="n">
        <v>1019.06</v>
      </c>
      <c r="H588" s="12" t="n">
        <v>0</v>
      </c>
      <c r="I588" s="10" t="s">
        <v>103</v>
      </c>
      <c r="J588" s="10" t="s">
        <v>1636</v>
      </c>
      <c r="K588" s="10" t="s">
        <v>1670</v>
      </c>
    </row>
    <row r="589" customFormat="false" ht="15" hidden="false" customHeight="false" outlineLevel="0" collapsed="false">
      <c r="A589" s="10" t="s">
        <v>2245</v>
      </c>
      <c r="B589" s="10" t="n">
        <v>1275</v>
      </c>
      <c r="C589" s="8" t="n">
        <v>45782</v>
      </c>
      <c r="D589" s="8" t="n">
        <v>45782</v>
      </c>
      <c r="E589" s="10" t="n">
        <v>5000</v>
      </c>
      <c r="F589" s="0" t="str">
        <f aca="false">INDEX(COA!$C$5:$C$19,MATCH(E589,COA!$A$5:$A$19,0))</f>
        <v>Expense</v>
      </c>
      <c r="G589" s="12" t="n">
        <v>436.74</v>
      </c>
      <c r="H589" s="12" t="n">
        <v>0</v>
      </c>
      <c r="I589" s="10" t="s">
        <v>103</v>
      </c>
      <c r="J589" s="10" t="s">
        <v>1636</v>
      </c>
      <c r="K589" s="10" t="s">
        <v>1670</v>
      </c>
    </row>
    <row r="590" customFormat="false" ht="15" hidden="false" customHeight="false" outlineLevel="0" collapsed="false">
      <c r="A590" s="10" t="s">
        <v>2246</v>
      </c>
      <c r="B590" s="10" t="n">
        <v>1275</v>
      </c>
      <c r="C590" s="8" t="n">
        <v>45782</v>
      </c>
      <c r="D590" s="8" t="n">
        <v>45782</v>
      </c>
      <c r="E590" s="10" t="n">
        <v>1200</v>
      </c>
      <c r="F590" s="0" t="str">
        <f aca="false">INDEX(COA!$C$5:$C$19,MATCH(E590,COA!$A$5:$A$19,0))</f>
        <v>Asset</v>
      </c>
      <c r="G590" s="12" t="n">
        <v>0</v>
      </c>
      <c r="H590" s="12" t="n">
        <v>1455.8</v>
      </c>
      <c r="I590" s="10" t="s">
        <v>103</v>
      </c>
      <c r="J590" s="10" t="s">
        <v>1636</v>
      </c>
      <c r="K590" s="10" t="s">
        <v>1670</v>
      </c>
    </row>
    <row r="591" customFormat="false" ht="15" hidden="false" customHeight="false" outlineLevel="0" collapsed="false">
      <c r="A591" s="10" t="s">
        <v>2247</v>
      </c>
      <c r="B591" s="10" t="n">
        <v>1276</v>
      </c>
      <c r="C591" s="8" t="n">
        <v>45782</v>
      </c>
      <c r="D591" s="8" t="n">
        <v>45781</v>
      </c>
      <c r="E591" s="10" t="n">
        <v>2000</v>
      </c>
      <c r="F591" s="0" t="str">
        <f aca="false">INDEX(COA!$C$5:$C$19,MATCH(E591,COA!$A$5:$A$19,0))</f>
        <v>Liability</v>
      </c>
      <c r="G591" s="12" t="n">
        <v>12507.9</v>
      </c>
      <c r="H591" s="12" t="n">
        <v>0</v>
      </c>
      <c r="I591" s="10" t="s">
        <v>104</v>
      </c>
      <c r="J591" s="10" t="s">
        <v>1636</v>
      </c>
      <c r="K591" s="10" t="s">
        <v>1659</v>
      </c>
    </row>
    <row r="592" customFormat="false" ht="15" hidden="false" customHeight="false" outlineLevel="0" collapsed="false">
      <c r="A592" s="10" t="s">
        <v>2248</v>
      </c>
      <c r="B592" s="10" t="n">
        <v>1276</v>
      </c>
      <c r="C592" s="8" t="n">
        <v>45782</v>
      </c>
      <c r="D592" s="8" t="n">
        <v>45781</v>
      </c>
      <c r="E592" s="10" t="n">
        <v>1000</v>
      </c>
      <c r="F592" s="0" t="str">
        <f aca="false">INDEX(COA!$C$5:$C$19,MATCH(E592,COA!$A$5:$A$19,0))</f>
        <v>Asset</v>
      </c>
      <c r="G592" s="12" t="n">
        <v>0</v>
      </c>
      <c r="H592" s="12" t="n">
        <v>12507.9</v>
      </c>
      <c r="I592" s="10" t="s">
        <v>104</v>
      </c>
      <c r="J592" s="10" t="s">
        <v>1636</v>
      </c>
      <c r="K592" s="10" t="s">
        <v>1659</v>
      </c>
    </row>
    <row r="593" customFormat="false" ht="15" hidden="false" customHeight="false" outlineLevel="0" collapsed="false">
      <c r="A593" s="10" t="s">
        <v>2249</v>
      </c>
      <c r="B593" s="10" t="n">
        <v>1277</v>
      </c>
      <c r="C593" s="8" t="n">
        <v>45782</v>
      </c>
      <c r="D593" s="8" t="n">
        <v>45778</v>
      </c>
      <c r="E593" s="10" t="n">
        <v>1200</v>
      </c>
      <c r="F593" s="0" t="str">
        <f aca="false">INDEX(COA!$C$5:$C$19,MATCH(E593,COA!$A$5:$A$19,0))</f>
        <v>Asset</v>
      </c>
      <c r="G593" s="12" t="n">
        <v>5047.14</v>
      </c>
      <c r="H593" s="12" t="n">
        <v>0</v>
      </c>
      <c r="I593" s="10" t="s">
        <v>102</v>
      </c>
      <c r="J593" s="10" t="s">
        <v>1636</v>
      </c>
      <c r="K593" s="10" t="s">
        <v>1655</v>
      </c>
    </row>
    <row r="594" customFormat="false" ht="15" hidden="false" customHeight="false" outlineLevel="0" collapsed="false">
      <c r="A594" s="10" t="s">
        <v>2250</v>
      </c>
      <c r="B594" s="10" t="n">
        <v>1277</v>
      </c>
      <c r="C594" s="8" t="n">
        <v>45782</v>
      </c>
      <c r="D594" s="8" t="n">
        <v>45778</v>
      </c>
      <c r="E594" s="10" t="n">
        <v>2000</v>
      </c>
      <c r="F594" s="0" t="str">
        <f aca="false">INDEX(COA!$C$5:$C$19,MATCH(E594,COA!$A$5:$A$19,0))</f>
        <v>Liability</v>
      </c>
      <c r="G594" s="12" t="n">
        <v>0</v>
      </c>
      <c r="H594" s="12" t="n">
        <v>5047.14</v>
      </c>
      <c r="I594" s="10" t="s">
        <v>102</v>
      </c>
      <c r="J594" s="10" t="s">
        <v>1636</v>
      </c>
      <c r="K594" s="10" t="s">
        <v>1655</v>
      </c>
    </row>
    <row r="595" customFormat="false" ht="15" hidden="false" customHeight="false" outlineLevel="0" collapsed="false">
      <c r="A595" s="10" t="s">
        <v>2251</v>
      </c>
      <c r="B595" s="10" t="n">
        <v>1278</v>
      </c>
      <c r="C595" s="8" t="n">
        <v>45782</v>
      </c>
      <c r="D595" s="8" t="n">
        <v>45781</v>
      </c>
      <c r="E595" s="10" t="n">
        <v>6200</v>
      </c>
      <c r="F595" s="0" t="str">
        <f aca="false">INDEX(COA!$C$5:$C$19,MATCH(E595,COA!$A$5:$A$19,0))</f>
        <v>Expense</v>
      </c>
      <c r="G595" s="12" t="n">
        <v>6776.64</v>
      </c>
      <c r="H595" s="12" t="n">
        <v>0</v>
      </c>
      <c r="I595" s="10" t="s">
        <v>102</v>
      </c>
      <c r="J595" s="10" t="s">
        <v>1636</v>
      </c>
      <c r="K595" s="10" t="s">
        <v>1689</v>
      </c>
    </row>
    <row r="596" customFormat="false" ht="15" hidden="false" customHeight="false" outlineLevel="0" collapsed="false">
      <c r="A596" s="10" t="s">
        <v>2252</v>
      </c>
      <c r="B596" s="10" t="n">
        <v>1278</v>
      </c>
      <c r="C596" s="8" t="n">
        <v>45782</v>
      </c>
      <c r="D596" s="8" t="n">
        <v>45781</v>
      </c>
      <c r="E596" s="10" t="n">
        <v>2000</v>
      </c>
      <c r="F596" s="0" t="str">
        <f aca="false">INDEX(COA!$C$5:$C$19,MATCH(E596,COA!$A$5:$A$19,0))</f>
        <v>Liability</v>
      </c>
      <c r="G596" s="12" t="n">
        <v>0</v>
      </c>
      <c r="H596" s="12" t="n">
        <v>6776.64</v>
      </c>
      <c r="I596" s="10" t="s">
        <v>102</v>
      </c>
      <c r="J596" s="10" t="s">
        <v>1636</v>
      </c>
      <c r="K596" s="10" t="s">
        <v>1689</v>
      </c>
    </row>
    <row r="597" customFormat="false" ht="15" hidden="false" customHeight="false" outlineLevel="0" collapsed="false">
      <c r="A597" s="10" t="s">
        <v>2253</v>
      </c>
      <c r="B597" s="10" t="n">
        <v>1279</v>
      </c>
      <c r="C597" s="8" t="n">
        <v>45783</v>
      </c>
      <c r="D597" s="8" t="n">
        <v>45781</v>
      </c>
      <c r="E597" s="10" t="n">
        <v>5000</v>
      </c>
      <c r="F597" s="0" t="str">
        <f aca="false">INDEX(COA!$C$5:$C$19,MATCH(E597,COA!$A$5:$A$19,0))</f>
        <v>Expense</v>
      </c>
      <c r="G597" s="12" t="n">
        <v>705.67</v>
      </c>
      <c r="H597" s="12" t="n">
        <v>0</v>
      </c>
      <c r="I597" s="10" t="s">
        <v>103</v>
      </c>
      <c r="J597" s="10" t="s">
        <v>1636</v>
      </c>
      <c r="K597" s="10" t="s">
        <v>1670</v>
      </c>
    </row>
    <row r="598" customFormat="false" ht="15" hidden="false" customHeight="false" outlineLevel="0" collapsed="false">
      <c r="A598" s="10" t="s">
        <v>2254</v>
      </c>
      <c r="B598" s="10" t="n">
        <v>1279</v>
      </c>
      <c r="C598" s="8" t="n">
        <v>45783</v>
      </c>
      <c r="D598" s="8" t="n">
        <v>45781</v>
      </c>
      <c r="E598" s="10" t="n">
        <v>1200</v>
      </c>
      <c r="F598" s="0" t="str">
        <f aca="false">INDEX(COA!$C$5:$C$19,MATCH(E598,COA!$A$5:$A$19,0))</f>
        <v>Asset</v>
      </c>
      <c r="G598" s="12" t="n">
        <v>0</v>
      </c>
      <c r="H598" s="12" t="n">
        <v>705.67</v>
      </c>
      <c r="I598" s="10" t="s">
        <v>103</v>
      </c>
      <c r="J598" s="10" t="s">
        <v>1636</v>
      </c>
      <c r="K598" s="10" t="s">
        <v>1670</v>
      </c>
    </row>
    <row r="599" customFormat="false" ht="15" hidden="false" customHeight="false" outlineLevel="0" collapsed="false">
      <c r="A599" s="10" t="s">
        <v>2255</v>
      </c>
      <c r="B599" s="10" t="n">
        <v>1280</v>
      </c>
      <c r="C599" s="8" t="n">
        <v>45783</v>
      </c>
      <c r="D599" s="8" t="n">
        <v>45780</v>
      </c>
      <c r="E599" s="10" t="n">
        <v>1100</v>
      </c>
      <c r="F599" s="0" t="str">
        <f aca="false">INDEX(COA!$C$5:$C$19,MATCH(E599,COA!$A$5:$A$19,0))</f>
        <v>Asset</v>
      </c>
      <c r="G599" s="12" t="n">
        <v>1111.24</v>
      </c>
      <c r="H599" s="12" t="n">
        <v>0</v>
      </c>
      <c r="I599" s="10" t="s">
        <v>103</v>
      </c>
      <c r="J599" s="10" t="s">
        <v>1636</v>
      </c>
      <c r="K599" s="10" t="s">
        <v>1640</v>
      </c>
    </row>
    <row r="600" customFormat="false" ht="15" hidden="false" customHeight="false" outlineLevel="0" collapsed="false">
      <c r="A600" s="10" t="s">
        <v>2256</v>
      </c>
      <c r="B600" s="10" t="n">
        <v>1280</v>
      </c>
      <c r="C600" s="8" t="n">
        <v>45783</v>
      </c>
      <c r="D600" s="8" t="n">
        <v>45780</v>
      </c>
      <c r="E600" s="10" t="n">
        <v>4000</v>
      </c>
      <c r="F600" s="0" t="str">
        <f aca="false">INDEX(COA!$C$5:$C$19,MATCH(E600,COA!$A$5:$A$19,0))</f>
        <v>Revenue</v>
      </c>
      <c r="G600" s="12" t="n">
        <v>0</v>
      </c>
      <c r="H600" s="12" t="n">
        <v>1111.24</v>
      </c>
      <c r="I600" s="10" t="s">
        <v>103</v>
      </c>
      <c r="J600" s="10" t="s">
        <v>1636</v>
      </c>
      <c r="K600" s="10" t="s">
        <v>1640</v>
      </c>
    </row>
    <row r="601" customFormat="false" ht="15" hidden="false" customHeight="false" outlineLevel="0" collapsed="false">
      <c r="A601" s="10" t="s">
        <v>2257</v>
      </c>
      <c r="B601" s="10" t="n">
        <v>1281</v>
      </c>
      <c r="C601" s="8" t="n">
        <v>45783</v>
      </c>
      <c r="D601" s="8" t="n">
        <v>45780</v>
      </c>
      <c r="E601" s="10" t="n">
        <v>6900</v>
      </c>
      <c r="F601" s="0" t="str">
        <f aca="false">INDEX(COA!$C$5:$C$19,MATCH(E601,COA!$A$5:$A$19,0))</f>
        <v>Expense</v>
      </c>
      <c r="G601" s="12" t="n">
        <v>525.8</v>
      </c>
      <c r="H601" s="12" t="n">
        <v>0</v>
      </c>
      <c r="I601" s="10" t="s">
        <v>99</v>
      </c>
      <c r="J601" s="10" t="s">
        <v>1648</v>
      </c>
      <c r="K601" s="10" t="s">
        <v>1649</v>
      </c>
    </row>
    <row r="602" customFormat="false" ht="15" hidden="false" customHeight="false" outlineLevel="0" collapsed="false">
      <c r="A602" s="10" t="s">
        <v>2258</v>
      </c>
      <c r="B602" s="10" t="n">
        <v>1281</v>
      </c>
      <c r="C602" s="8" t="n">
        <v>45783</v>
      </c>
      <c r="D602" s="8" t="n">
        <v>45780</v>
      </c>
      <c r="E602" s="10" t="n">
        <v>2100</v>
      </c>
      <c r="F602" s="0" t="str">
        <f aca="false">INDEX(COA!$C$5:$C$19,MATCH(E602,COA!$A$5:$A$19,0))</f>
        <v>Liability</v>
      </c>
      <c r="G602" s="12" t="n">
        <v>0</v>
      </c>
      <c r="H602" s="12" t="n">
        <v>525.8</v>
      </c>
      <c r="I602" s="10" t="s">
        <v>99</v>
      </c>
      <c r="J602" s="10" t="s">
        <v>1648</v>
      </c>
      <c r="K602" s="10" t="s">
        <v>1649</v>
      </c>
    </row>
    <row r="603" customFormat="false" ht="15" hidden="false" customHeight="false" outlineLevel="0" collapsed="false">
      <c r="A603" s="10" t="s">
        <v>2259</v>
      </c>
      <c r="B603" s="10" t="n">
        <v>1282</v>
      </c>
      <c r="C603" s="8" t="n">
        <v>45783</v>
      </c>
      <c r="D603" s="8" t="n">
        <v>45779</v>
      </c>
      <c r="E603" s="10" t="n">
        <v>1100</v>
      </c>
      <c r="F603" s="0" t="str">
        <f aca="false">INDEX(COA!$C$5:$C$19,MATCH(E603,COA!$A$5:$A$19,0))</f>
        <v>Asset</v>
      </c>
      <c r="G603" s="12" t="n">
        <v>1100.7</v>
      </c>
      <c r="H603" s="12" t="n">
        <v>0</v>
      </c>
      <c r="I603" s="10" t="s">
        <v>103</v>
      </c>
      <c r="J603" s="10" t="s">
        <v>1636</v>
      </c>
      <c r="K603" s="10" t="s">
        <v>1640</v>
      </c>
    </row>
    <row r="604" customFormat="false" ht="15" hidden="false" customHeight="false" outlineLevel="0" collapsed="false">
      <c r="A604" s="10" t="s">
        <v>2260</v>
      </c>
      <c r="B604" s="10" t="n">
        <v>1282</v>
      </c>
      <c r="C604" s="8" t="n">
        <v>45783</v>
      </c>
      <c r="D604" s="8" t="n">
        <v>45779</v>
      </c>
      <c r="E604" s="10" t="n">
        <v>4000</v>
      </c>
      <c r="F604" s="0" t="str">
        <f aca="false">INDEX(COA!$C$5:$C$19,MATCH(E604,COA!$A$5:$A$19,0))</f>
        <v>Revenue</v>
      </c>
      <c r="G604" s="12" t="n">
        <v>0</v>
      </c>
      <c r="H604" s="12" t="n">
        <v>1100.7</v>
      </c>
      <c r="I604" s="10" t="s">
        <v>103</v>
      </c>
      <c r="J604" s="10" t="s">
        <v>1636</v>
      </c>
      <c r="K604" s="10" t="s">
        <v>1640</v>
      </c>
    </row>
    <row r="605" customFormat="false" ht="15" hidden="false" customHeight="false" outlineLevel="0" collapsed="false">
      <c r="A605" s="10" t="s">
        <v>2261</v>
      </c>
      <c r="B605" s="10" t="n">
        <v>1283</v>
      </c>
      <c r="C605" s="8" t="n">
        <v>45784</v>
      </c>
      <c r="D605" s="8" t="n">
        <v>45784</v>
      </c>
      <c r="E605" s="10" t="n">
        <v>6900</v>
      </c>
      <c r="F605" s="0" t="str">
        <f aca="false">INDEX(COA!$C$5:$C$19,MATCH(E605,COA!$A$5:$A$19,0))</f>
        <v>Expense</v>
      </c>
      <c r="G605" s="12" t="n">
        <v>70213.02</v>
      </c>
      <c r="H605" s="12" t="n">
        <v>0</v>
      </c>
      <c r="I605" s="10" t="s">
        <v>98</v>
      </c>
      <c r="J605" s="10" t="s">
        <v>1648</v>
      </c>
    </row>
    <row r="606" customFormat="false" ht="15" hidden="false" customHeight="false" outlineLevel="0" collapsed="false">
      <c r="A606" s="10" t="s">
        <v>2262</v>
      </c>
      <c r="B606" s="10" t="n">
        <v>1283</v>
      </c>
      <c r="C606" s="8" t="n">
        <v>45784</v>
      </c>
      <c r="D606" s="8" t="n">
        <v>45784</v>
      </c>
      <c r="E606" s="10" t="n">
        <v>2100</v>
      </c>
      <c r="F606" s="0" t="str">
        <f aca="false">INDEX(COA!$C$5:$C$19,MATCH(E606,COA!$A$5:$A$19,0))</f>
        <v>Liability</v>
      </c>
      <c r="G606" s="12" t="n">
        <v>0</v>
      </c>
      <c r="H606" s="12" t="n">
        <v>70213.02</v>
      </c>
      <c r="I606" s="10" t="s">
        <v>98</v>
      </c>
      <c r="J606" s="10" t="s">
        <v>1648</v>
      </c>
    </row>
    <row r="607" customFormat="false" ht="15" hidden="false" customHeight="false" outlineLevel="0" collapsed="false">
      <c r="A607" s="10" t="s">
        <v>2263</v>
      </c>
      <c r="B607" s="10" t="n">
        <v>1284</v>
      </c>
      <c r="C607" s="8" t="n">
        <v>45784</v>
      </c>
      <c r="D607" s="8" t="n">
        <v>45782</v>
      </c>
      <c r="E607" s="10" t="n">
        <v>6900</v>
      </c>
      <c r="F607" s="0" t="str">
        <f aca="false">INDEX(COA!$C$5:$C$19,MATCH(E607,COA!$A$5:$A$19,0))</f>
        <v>Expense</v>
      </c>
      <c r="G607" s="12" t="n">
        <v>1731.23</v>
      </c>
      <c r="H607" s="12" t="n">
        <v>0</v>
      </c>
      <c r="I607" s="10" t="s">
        <v>99</v>
      </c>
      <c r="J607" s="10" t="s">
        <v>1648</v>
      </c>
      <c r="K607" s="10" t="s">
        <v>1649</v>
      </c>
    </row>
    <row r="608" customFormat="false" ht="15" hidden="false" customHeight="false" outlineLevel="0" collapsed="false">
      <c r="A608" s="10" t="s">
        <v>2264</v>
      </c>
      <c r="B608" s="10" t="n">
        <v>1284</v>
      </c>
      <c r="C608" s="8" t="n">
        <v>45784</v>
      </c>
      <c r="D608" s="8" t="n">
        <v>45782</v>
      </c>
      <c r="E608" s="10" t="n">
        <v>2100</v>
      </c>
      <c r="F608" s="0" t="str">
        <f aca="false">INDEX(COA!$C$5:$C$19,MATCH(E608,COA!$A$5:$A$19,0))</f>
        <v>Liability</v>
      </c>
      <c r="G608" s="12" t="n">
        <v>0</v>
      </c>
      <c r="H608" s="12" t="n">
        <v>1731.23</v>
      </c>
      <c r="I608" s="10" t="s">
        <v>99</v>
      </c>
      <c r="J608" s="10" t="s">
        <v>1648</v>
      </c>
      <c r="K608" s="10" t="s">
        <v>1649</v>
      </c>
    </row>
    <row r="609" customFormat="false" ht="15" hidden="false" customHeight="false" outlineLevel="0" collapsed="false">
      <c r="A609" s="10" t="s">
        <v>2265</v>
      </c>
      <c r="B609" s="10" t="n">
        <v>1285</v>
      </c>
      <c r="C609" s="8" t="n">
        <v>45784</v>
      </c>
      <c r="D609" s="8" t="n">
        <v>45781</v>
      </c>
      <c r="E609" s="10" t="n">
        <v>5000</v>
      </c>
      <c r="F609" s="0" t="str">
        <f aca="false">INDEX(COA!$C$5:$C$19,MATCH(E609,COA!$A$5:$A$19,0))</f>
        <v>Expense</v>
      </c>
      <c r="G609" s="12" t="n">
        <v>1486.35</v>
      </c>
      <c r="H609" s="12" t="n">
        <v>0</v>
      </c>
      <c r="I609" s="10" t="s">
        <v>103</v>
      </c>
      <c r="J609" s="10" t="s">
        <v>1636</v>
      </c>
      <c r="K609" s="10" t="s">
        <v>1670</v>
      </c>
    </row>
    <row r="610" customFormat="false" ht="15" hidden="false" customHeight="false" outlineLevel="0" collapsed="false">
      <c r="A610" s="10" t="s">
        <v>2266</v>
      </c>
      <c r="B610" s="10" t="n">
        <v>1285</v>
      </c>
      <c r="C610" s="8" t="n">
        <v>45784</v>
      </c>
      <c r="D610" s="8" t="n">
        <v>45781</v>
      </c>
      <c r="E610" s="10" t="n">
        <v>1200</v>
      </c>
      <c r="F610" s="0" t="str">
        <f aca="false">INDEX(COA!$C$5:$C$19,MATCH(E610,COA!$A$5:$A$19,0))</f>
        <v>Asset</v>
      </c>
      <c r="G610" s="12" t="n">
        <v>0</v>
      </c>
      <c r="H610" s="12" t="n">
        <v>1486.35</v>
      </c>
      <c r="I610" s="10" t="s">
        <v>103</v>
      </c>
      <c r="J610" s="10" t="s">
        <v>1636</v>
      </c>
      <c r="K610" s="10" t="s">
        <v>1670</v>
      </c>
    </row>
    <row r="611" customFormat="false" ht="15" hidden="false" customHeight="false" outlineLevel="0" collapsed="false">
      <c r="A611" s="10" t="s">
        <v>2267</v>
      </c>
      <c r="B611" s="10" t="n">
        <v>1286</v>
      </c>
      <c r="C611" s="8" t="n">
        <v>45784</v>
      </c>
      <c r="D611" s="8" t="n">
        <v>45781</v>
      </c>
      <c r="E611" s="10" t="n">
        <v>1100</v>
      </c>
      <c r="F611" s="0" t="str">
        <f aca="false">INDEX(COA!$C$5:$C$19,MATCH(E611,COA!$A$5:$A$19,0))</f>
        <v>Asset</v>
      </c>
      <c r="G611" s="12" t="n">
        <v>20751.23</v>
      </c>
      <c r="H611" s="12" t="n">
        <v>0</v>
      </c>
      <c r="I611" s="10" t="s">
        <v>103</v>
      </c>
      <c r="J611" s="10" t="s">
        <v>1636</v>
      </c>
      <c r="K611" s="10" t="s">
        <v>1640</v>
      </c>
    </row>
    <row r="612" customFormat="false" ht="15" hidden="false" customHeight="false" outlineLevel="0" collapsed="false">
      <c r="A612" s="10" t="s">
        <v>2268</v>
      </c>
      <c r="B612" s="10" t="n">
        <v>1286</v>
      </c>
      <c r="C612" s="8" t="n">
        <v>45784</v>
      </c>
      <c r="D612" s="8" t="n">
        <v>45781</v>
      </c>
      <c r="E612" s="10" t="n">
        <v>4000</v>
      </c>
      <c r="F612" s="0" t="str">
        <f aca="false">INDEX(COA!$C$5:$C$19,MATCH(E612,COA!$A$5:$A$19,0))</f>
        <v>Revenue</v>
      </c>
      <c r="G612" s="12" t="n">
        <v>0</v>
      </c>
      <c r="H612" s="12" t="n">
        <v>20751.23</v>
      </c>
      <c r="I612" s="10" t="s">
        <v>103</v>
      </c>
      <c r="J612" s="10" t="s">
        <v>1636</v>
      </c>
      <c r="K612" s="10" t="s">
        <v>1640</v>
      </c>
    </row>
    <row r="613" customFormat="false" ht="15" hidden="false" customHeight="false" outlineLevel="0" collapsed="false">
      <c r="A613" s="10" t="s">
        <v>2269</v>
      </c>
      <c r="B613" s="10" t="n">
        <v>1287</v>
      </c>
      <c r="C613" s="8" t="n">
        <v>45787</v>
      </c>
      <c r="D613" s="8" t="n">
        <v>45787</v>
      </c>
      <c r="E613" s="10" t="n">
        <v>1000</v>
      </c>
      <c r="F613" s="0" t="str">
        <f aca="false">INDEX(COA!$C$5:$C$19,MATCH(E613,COA!$A$5:$A$19,0))</f>
        <v>Asset</v>
      </c>
      <c r="G613" s="12" t="n">
        <v>11573.8</v>
      </c>
      <c r="H613" s="12" t="n">
        <v>0</v>
      </c>
      <c r="I613" s="10" t="s">
        <v>103</v>
      </c>
      <c r="J613" s="10" t="s">
        <v>1636</v>
      </c>
      <c r="K613" s="10" t="s">
        <v>1637</v>
      </c>
    </row>
    <row r="614" customFormat="false" ht="15" hidden="false" customHeight="false" outlineLevel="0" collapsed="false">
      <c r="A614" s="10" t="s">
        <v>2270</v>
      </c>
      <c r="B614" s="10" t="n">
        <v>1287</v>
      </c>
      <c r="C614" s="8" t="n">
        <v>45787</v>
      </c>
      <c r="D614" s="8" t="n">
        <v>45787</v>
      </c>
      <c r="E614" s="10" t="n">
        <v>1100</v>
      </c>
      <c r="F614" s="0" t="str">
        <f aca="false">INDEX(COA!$C$5:$C$19,MATCH(E614,COA!$A$5:$A$19,0))</f>
        <v>Asset</v>
      </c>
      <c r="G614" s="12" t="n">
        <v>0</v>
      </c>
      <c r="H614" s="12" t="n">
        <v>11573.8</v>
      </c>
      <c r="I614" s="10" t="s">
        <v>103</v>
      </c>
      <c r="J614" s="10" t="s">
        <v>1636</v>
      </c>
      <c r="K614" s="10" t="s">
        <v>1637</v>
      </c>
    </row>
    <row r="615" customFormat="false" ht="15" hidden="false" customHeight="false" outlineLevel="0" collapsed="false">
      <c r="A615" s="10" t="s">
        <v>2271</v>
      </c>
      <c r="B615" s="10" t="n">
        <v>1288</v>
      </c>
      <c r="C615" s="8" t="n">
        <v>45788</v>
      </c>
      <c r="D615" s="8" t="n">
        <v>45788</v>
      </c>
      <c r="E615" s="10" t="n">
        <v>6900</v>
      </c>
      <c r="F615" s="0" t="str">
        <f aca="false">INDEX(COA!$C$5:$C$19,MATCH(E615,COA!$A$5:$A$19,0))</f>
        <v>Expense</v>
      </c>
      <c r="G615" s="12" t="n">
        <v>961.7</v>
      </c>
      <c r="H615" s="12" t="n">
        <v>0</v>
      </c>
      <c r="I615" s="10" t="s">
        <v>101</v>
      </c>
      <c r="J615" s="10" t="s">
        <v>1648</v>
      </c>
      <c r="K615" s="10" t="s">
        <v>2272</v>
      </c>
    </row>
    <row r="616" customFormat="false" ht="15" hidden="false" customHeight="false" outlineLevel="0" collapsed="false">
      <c r="A616" s="10" t="s">
        <v>2273</v>
      </c>
      <c r="B616" s="10" t="n">
        <v>1288</v>
      </c>
      <c r="C616" s="8" t="n">
        <v>45788</v>
      </c>
      <c r="D616" s="8" t="n">
        <v>45788</v>
      </c>
      <c r="E616" s="10" t="n">
        <v>2100</v>
      </c>
      <c r="F616" s="0" t="str">
        <f aca="false">INDEX(COA!$C$5:$C$19,MATCH(E616,COA!$A$5:$A$19,0))</f>
        <v>Liability</v>
      </c>
      <c r="G616" s="12" t="n">
        <v>0</v>
      </c>
      <c r="H616" s="12" t="n">
        <v>961.7</v>
      </c>
      <c r="I616" s="10" t="s">
        <v>101</v>
      </c>
      <c r="J616" s="10" t="s">
        <v>1648</v>
      </c>
      <c r="K616" s="10" t="s">
        <v>2272</v>
      </c>
    </row>
    <row r="617" customFormat="false" ht="15" hidden="false" customHeight="false" outlineLevel="0" collapsed="false">
      <c r="A617" s="10" t="s">
        <v>2274</v>
      </c>
      <c r="B617" s="10" t="n">
        <v>1289</v>
      </c>
      <c r="C617" s="8" t="n">
        <v>45790</v>
      </c>
      <c r="D617" s="8" t="n">
        <v>45786</v>
      </c>
      <c r="E617" s="10" t="n">
        <v>1000</v>
      </c>
      <c r="F617" s="0" t="str">
        <f aca="false">INDEX(COA!$C$5:$C$19,MATCH(E617,COA!$A$5:$A$19,0))</f>
        <v>Asset</v>
      </c>
      <c r="G617" s="12" t="n">
        <v>2503.86</v>
      </c>
      <c r="H617" s="12" t="n">
        <v>0</v>
      </c>
      <c r="I617" s="10" t="s">
        <v>103</v>
      </c>
      <c r="J617" s="10" t="s">
        <v>1636</v>
      </c>
      <c r="K617" s="10" t="s">
        <v>1637</v>
      </c>
    </row>
    <row r="618" customFormat="false" ht="15" hidden="false" customHeight="false" outlineLevel="0" collapsed="false">
      <c r="A618" s="10" t="s">
        <v>2275</v>
      </c>
      <c r="B618" s="10" t="n">
        <v>1289</v>
      </c>
      <c r="C618" s="8" t="n">
        <v>45790</v>
      </c>
      <c r="D618" s="8" t="n">
        <v>45786</v>
      </c>
      <c r="E618" s="10" t="n">
        <v>1100</v>
      </c>
      <c r="F618" s="0" t="str">
        <f aca="false">INDEX(COA!$C$5:$C$19,MATCH(E618,COA!$A$5:$A$19,0))</f>
        <v>Asset</v>
      </c>
      <c r="G618" s="12" t="n">
        <v>0</v>
      </c>
      <c r="H618" s="12" t="n">
        <v>2503.86</v>
      </c>
      <c r="I618" s="10" t="s">
        <v>103</v>
      </c>
      <c r="J618" s="10" t="s">
        <v>1636</v>
      </c>
      <c r="K618" s="10" t="s">
        <v>1637</v>
      </c>
    </row>
    <row r="619" customFormat="false" ht="15" hidden="false" customHeight="false" outlineLevel="0" collapsed="false">
      <c r="A619" s="10" t="s">
        <v>2276</v>
      </c>
      <c r="B619" s="10" t="n">
        <v>1290</v>
      </c>
      <c r="C619" s="8" t="n">
        <v>45790</v>
      </c>
      <c r="D619" s="8" t="n">
        <v>45786</v>
      </c>
      <c r="E619" s="10" t="n">
        <v>1200</v>
      </c>
      <c r="F619" s="0" t="str">
        <f aca="false">INDEX(COA!$C$5:$C$19,MATCH(E619,COA!$A$5:$A$19,0))</f>
        <v>Asset</v>
      </c>
      <c r="G619" s="12" t="n">
        <v>3619.76</v>
      </c>
      <c r="H619" s="12" t="n">
        <v>0</v>
      </c>
      <c r="I619" s="10" t="s">
        <v>102</v>
      </c>
      <c r="J619" s="10" t="s">
        <v>1636</v>
      </c>
      <c r="K619" s="10" t="s">
        <v>1655</v>
      </c>
    </row>
    <row r="620" customFormat="false" ht="15" hidden="false" customHeight="false" outlineLevel="0" collapsed="false">
      <c r="A620" s="10" t="s">
        <v>2277</v>
      </c>
      <c r="B620" s="10" t="n">
        <v>1290</v>
      </c>
      <c r="C620" s="8" t="n">
        <v>45790</v>
      </c>
      <c r="D620" s="8" t="n">
        <v>45786</v>
      </c>
      <c r="E620" s="10" t="n">
        <v>2000</v>
      </c>
      <c r="F620" s="0" t="str">
        <f aca="false">INDEX(COA!$C$5:$C$19,MATCH(E620,COA!$A$5:$A$19,0))</f>
        <v>Liability</v>
      </c>
      <c r="G620" s="12" t="n">
        <v>0</v>
      </c>
      <c r="H620" s="12" t="n">
        <v>3619.76</v>
      </c>
      <c r="I620" s="10" t="s">
        <v>102</v>
      </c>
      <c r="J620" s="10" t="s">
        <v>1636</v>
      </c>
      <c r="K620" s="10" t="s">
        <v>1655</v>
      </c>
    </row>
    <row r="621" customFormat="false" ht="15" hidden="false" customHeight="false" outlineLevel="0" collapsed="false">
      <c r="A621" s="10" t="s">
        <v>2278</v>
      </c>
      <c r="B621" s="10" t="n">
        <v>1291</v>
      </c>
      <c r="C621" s="8" t="n">
        <v>45790</v>
      </c>
      <c r="D621" s="8" t="n">
        <v>45787</v>
      </c>
      <c r="E621" s="10" t="n">
        <v>1100</v>
      </c>
      <c r="F621" s="0" t="str">
        <f aca="false">INDEX(COA!$C$5:$C$19,MATCH(E621,COA!$A$5:$A$19,0))</f>
        <v>Asset</v>
      </c>
      <c r="G621" s="12" t="n">
        <v>473.86</v>
      </c>
      <c r="H621" s="12" t="n">
        <v>0</v>
      </c>
      <c r="I621" s="10" t="s">
        <v>103</v>
      </c>
      <c r="J621" s="10" t="s">
        <v>1636</v>
      </c>
      <c r="K621" s="10" t="s">
        <v>1640</v>
      </c>
    </row>
    <row r="622" customFormat="false" ht="15" hidden="false" customHeight="false" outlineLevel="0" collapsed="false">
      <c r="A622" s="10" t="s">
        <v>2279</v>
      </c>
      <c r="B622" s="10" t="n">
        <v>1291</v>
      </c>
      <c r="C622" s="8" t="n">
        <v>45790</v>
      </c>
      <c r="D622" s="8" t="n">
        <v>45787</v>
      </c>
      <c r="E622" s="10" t="n">
        <v>4000</v>
      </c>
      <c r="F622" s="0" t="str">
        <f aca="false">INDEX(COA!$C$5:$C$19,MATCH(E622,COA!$A$5:$A$19,0))</f>
        <v>Revenue</v>
      </c>
      <c r="G622" s="12" t="n">
        <v>0</v>
      </c>
      <c r="H622" s="12" t="n">
        <v>473.86</v>
      </c>
      <c r="I622" s="10" t="s">
        <v>103</v>
      </c>
      <c r="J622" s="10" t="s">
        <v>1636</v>
      </c>
      <c r="K622" s="10" t="s">
        <v>1640</v>
      </c>
    </row>
    <row r="623" customFormat="false" ht="15" hidden="false" customHeight="false" outlineLevel="0" collapsed="false">
      <c r="A623" s="10" t="s">
        <v>2280</v>
      </c>
      <c r="B623" s="10" t="n">
        <v>1292</v>
      </c>
      <c r="C623" s="8" t="n">
        <v>45791</v>
      </c>
      <c r="D623" s="8" t="n">
        <v>45789</v>
      </c>
      <c r="E623" s="10" t="n">
        <v>1100</v>
      </c>
      <c r="F623" s="0" t="str">
        <f aca="false">INDEX(COA!$C$5:$C$19,MATCH(E623,COA!$A$5:$A$19,0))</f>
        <v>Asset</v>
      </c>
      <c r="G623" s="12" t="n">
        <v>45958.23</v>
      </c>
      <c r="H623" s="12" t="n">
        <v>0</v>
      </c>
      <c r="I623" s="10" t="s">
        <v>103</v>
      </c>
      <c r="J623" s="10" t="s">
        <v>1636</v>
      </c>
      <c r="K623" s="10" t="s">
        <v>1640</v>
      </c>
    </row>
    <row r="624" customFormat="false" ht="15" hidden="false" customHeight="false" outlineLevel="0" collapsed="false">
      <c r="A624" s="10" t="s">
        <v>2281</v>
      </c>
      <c r="B624" s="10" t="n">
        <v>1292</v>
      </c>
      <c r="C624" s="8" t="n">
        <v>45791</v>
      </c>
      <c r="D624" s="8" t="n">
        <v>45789</v>
      </c>
      <c r="E624" s="10" t="n">
        <v>1100</v>
      </c>
      <c r="F624" s="0" t="str">
        <f aca="false">INDEX(COA!$C$5:$C$19,MATCH(E624,COA!$A$5:$A$19,0))</f>
        <v>Asset</v>
      </c>
      <c r="G624" s="12" t="n">
        <v>19696.38</v>
      </c>
      <c r="H624" s="12" t="n">
        <v>0</v>
      </c>
      <c r="I624" s="10" t="s">
        <v>103</v>
      </c>
      <c r="J624" s="10" t="s">
        <v>1636</v>
      </c>
      <c r="K624" s="10" t="s">
        <v>1640</v>
      </c>
    </row>
    <row r="625" customFormat="false" ht="15" hidden="false" customHeight="false" outlineLevel="0" collapsed="false">
      <c r="A625" s="10" t="s">
        <v>2282</v>
      </c>
      <c r="B625" s="10" t="n">
        <v>1292</v>
      </c>
      <c r="C625" s="8" t="n">
        <v>45791</v>
      </c>
      <c r="D625" s="8" t="n">
        <v>45789</v>
      </c>
      <c r="E625" s="10" t="n">
        <v>4000</v>
      </c>
      <c r="F625" s="0" t="str">
        <f aca="false">INDEX(COA!$C$5:$C$19,MATCH(E625,COA!$A$5:$A$19,0))</f>
        <v>Revenue</v>
      </c>
      <c r="G625" s="12" t="n">
        <v>0</v>
      </c>
      <c r="H625" s="12" t="n">
        <v>65654.61</v>
      </c>
      <c r="I625" s="10" t="s">
        <v>103</v>
      </c>
      <c r="J625" s="10" t="s">
        <v>1636</v>
      </c>
      <c r="K625" s="10" t="s">
        <v>1640</v>
      </c>
    </row>
    <row r="626" customFormat="false" ht="15" hidden="false" customHeight="false" outlineLevel="0" collapsed="false">
      <c r="A626" s="10" t="s">
        <v>2283</v>
      </c>
      <c r="B626" s="10" t="n">
        <v>1293</v>
      </c>
      <c r="C626" s="8" t="n">
        <v>45792</v>
      </c>
      <c r="D626" s="8" t="n">
        <v>45789</v>
      </c>
      <c r="E626" s="10" t="n">
        <v>1100</v>
      </c>
      <c r="F626" s="0" t="str">
        <f aca="false">INDEX(COA!$C$5:$C$19,MATCH(E626,COA!$A$5:$A$19,0))</f>
        <v>Asset</v>
      </c>
      <c r="G626" s="12" t="n">
        <v>844.98</v>
      </c>
      <c r="H626" s="12" t="n">
        <v>0</v>
      </c>
      <c r="I626" s="10" t="s">
        <v>103</v>
      </c>
      <c r="J626" s="10" t="s">
        <v>1636</v>
      </c>
      <c r="K626" s="10" t="s">
        <v>1640</v>
      </c>
    </row>
    <row r="627" customFormat="false" ht="15" hidden="false" customHeight="false" outlineLevel="0" collapsed="false">
      <c r="A627" s="10" t="s">
        <v>2284</v>
      </c>
      <c r="B627" s="10" t="n">
        <v>1293</v>
      </c>
      <c r="C627" s="8" t="n">
        <v>45792</v>
      </c>
      <c r="D627" s="8" t="n">
        <v>45789</v>
      </c>
      <c r="E627" s="10" t="n">
        <v>4000</v>
      </c>
      <c r="F627" s="0" t="str">
        <f aca="false">INDEX(COA!$C$5:$C$19,MATCH(E627,COA!$A$5:$A$19,0))</f>
        <v>Revenue</v>
      </c>
      <c r="G627" s="12" t="n">
        <v>0</v>
      </c>
      <c r="H627" s="12" t="n">
        <v>844.98</v>
      </c>
      <c r="I627" s="10" t="s">
        <v>103</v>
      </c>
      <c r="J627" s="10" t="s">
        <v>1636</v>
      </c>
      <c r="K627" s="10" t="s">
        <v>1640</v>
      </c>
    </row>
    <row r="628" customFormat="false" ht="15" hidden="false" customHeight="false" outlineLevel="0" collapsed="false">
      <c r="A628" s="10" t="s">
        <v>2285</v>
      </c>
      <c r="B628" s="10" t="n">
        <v>1294</v>
      </c>
      <c r="C628" s="8" t="n">
        <v>45792</v>
      </c>
      <c r="D628" s="8" t="n">
        <v>45789</v>
      </c>
      <c r="E628" s="10" t="n">
        <v>1000</v>
      </c>
      <c r="F628" s="0" t="str">
        <f aca="false">INDEX(COA!$C$5:$C$19,MATCH(E628,COA!$A$5:$A$19,0))</f>
        <v>Asset</v>
      </c>
      <c r="G628" s="12" t="n">
        <v>782.22</v>
      </c>
      <c r="H628" s="12" t="n">
        <v>0</v>
      </c>
      <c r="I628" s="10" t="s">
        <v>103</v>
      </c>
      <c r="J628" s="10" t="s">
        <v>1636</v>
      </c>
      <c r="K628" s="10" t="s">
        <v>1637</v>
      </c>
    </row>
    <row r="629" customFormat="false" ht="15" hidden="false" customHeight="false" outlineLevel="0" collapsed="false">
      <c r="A629" s="10" t="s">
        <v>2286</v>
      </c>
      <c r="B629" s="10" t="n">
        <v>1294</v>
      </c>
      <c r="C629" s="8" t="n">
        <v>45792</v>
      </c>
      <c r="D629" s="8" t="n">
        <v>45789</v>
      </c>
      <c r="E629" s="10" t="n">
        <v>1100</v>
      </c>
      <c r="F629" s="0" t="str">
        <f aca="false">INDEX(COA!$C$5:$C$19,MATCH(E629,COA!$A$5:$A$19,0))</f>
        <v>Asset</v>
      </c>
      <c r="G629" s="12" t="n">
        <v>0</v>
      </c>
      <c r="H629" s="12" t="n">
        <v>782.22</v>
      </c>
      <c r="I629" s="10" t="s">
        <v>103</v>
      </c>
      <c r="J629" s="10" t="s">
        <v>1636</v>
      </c>
      <c r="K629" s="10" t="s">
        <v>1637</v>
      </c>
    </row>
    <row r="630" customFormat="false" ht="15" hidden="false" customHeight="false" outlineLevel="0" collapsed="false">
      <c r="A630" s="10" t="s">
        <v>2287</v>
      </c>
      <c r="B630" s="10" t="n">
        <v>1295</v>
      </c>
      <c r="C630" s="8" t="n">
        <v>45792</v>
      </c>
      <c r="D630" s="8" t="n">
        <v>45790</v>
      </c>
      <c r="E630" s="10" t="n">
        <v>1200</v>
      </c>
      <c r="F630" s="0" t="str">
        <f aca="false">INDEX(COA!$C$5:$C$19,MATCH(E630,COA!$A$5:$A$19,0))</f>
        <v>Asset</v>
      </c>
      <c r="G630" s="12" t="n">
        <v>20164.3</v>
      </c>
      <c r="H630" s="12" t="n">
        <v>0</v>
      </c>
      <c r="I630" s="10" t="s">
        <v>102</v>
      </c>
      <c r="J630" s="10" t="s">
        <v>1636</v>
      </c>
      <c r="K630" s="10" t="s">
        <v>1655</v>
      </c>
    </row>
    <row r="631" customFormat="false" ht="15" hidden="false" customHeight="false" outlineLevel="0" collapsed="false">
      <c r="A631" s="10" t="s">
        <v>2288</v>
      </c>
      <c r="B631" s="10" t="n">
        <v>1295</v>
      </c>
      <c r="C631" s="8" t="n">
        <v>45792</v>
      </c>
      <c r="D631" s="8" t="n">
        <v>45790</v>
      </c>
      <c r="E631" s="10" t="n">
        <v>2000</v>
      </c>
      <c r="F631" s="0" t="str">
        <f aca="false">INDEX(COA!$C$5:$C$19,MATCH(E631,COA!$A$5:$A$19,0))</f>
        <v>Liability</v>
      </c>
      <c r="G631" s="12" t="n">
        <v>0</v>
      </c>
      <c r="H631" s="12" t="n">
        <v>20164.3</v>
      </c>
      <c r="I631" s="10" t="s">
        <v>102</v>
      </c>
      <c r="J631" s="10" t="s">
        <v>1636</v>
      </c>
      <c r="K631" s="10" t="s">
        <v>1655</v>
      </c>
    </row>
    <row r="632" customFormat="false" ht="15" hidden="false" customHeight="false" outlineLevel="0" collapsed="false">
      <c r="A632" s="10" t="s">
        <v>2289</v>
      </c>
      <c r="B632" s="10" t="n">
        <v>1296</v>
      </c>
      <c r="C632" s="8" t="n">
        <v>45792</v>
      </c>
      <c r="D632" s="8" t="n">
        <v>45788</v>
      </c>
      <c r="E632" s="10" t="n">
        <v>1000</v>
      </c>
      <c r="F632" s="0" t="str">
        <f aca="false">INDEX(COA!$C$5:$C$19,MATCH(E632,COA!$A$5:$A$19,0))</f>
        <v>Asset</v>
      </c>
      <c r="G632" s="12" t="n">
        <v>47932.22</v>
      </c>
      <c r="H632" s="12" t="n">
        <v>0</v>
      </c>
      <c r="I632" s="10" t="s">
        <v>103</v>
      </c>
      <c r="J632" s="10" t="s">
        <v>1636</v>
      </c>
      <c r="K632" s="10" t="s">
        <v>1637</v>
      </c>
    </row>
    <row r="633" customFormat="false" ht="15" hidden="false" customHeight="false" outlineLevel="0" collapsed="false">
      <c r="A633" s="10" t="s">
        <v>2290</v>
      </c>
      <c r="B633" s="10" t="n">
        <v>1296</v>
      </c>
      <c r="C633" s="8" t="n">
        <v>45792</v>
      </c>
      <c r="D633" s="8" t="n">
        <v>45788</v>
      </c>
      <c r="E633" s="10" t="n">
        <v>1100</v>
      </c>
      <c r="F633" s="0" t="str">
        <f aca="false">INDEX(COA!$C$5:$C$19,MATCH(E633,COA!$A$5:$A$19,0))</f>
        <v>Asset</v>
      </c>
      <c r="G633" s="12" t="n">
        <v>0</v>
      </c>
      <c r="H633" s="12" t="n">
        <v>47932.22</v>
      </c>
      <c r="I633" s="10" t="s">
        <v>103</v>
      </c>
      <c r="J633" s="10" t="s">
        <v>1636</v>
      </c>
      <c r="K633" s="10" t="s">
        <v>1637</v>
      </c>
    </row>
    <row r="634" customFormat="false" ht="15" hidden="false" customHeight="false" outlineLevel="0" collapsed="false">
      <c r="A634" s="10" t="s">
        <v>2291</v>
      </c>
      <c r="B634" s="10" t="n">
        <v>1297</v>
      </c>
      <c r="C634" s="8" t="n">
        <v>45792</v>
      </c>
      <c r="D634" s="8" t="n">
        <v>45790</v>
      </c>
      <c r="E634" s="10" t="n">
        <v>5000</v>
      </c>
      <c r="F634" s="0" t="str">
        <f aca="false">INDEX(COA!$C$5:$C$19,MATCH(E634,COA!$A$5:$A$19,0))</f>
        <v>Expense</v>
      </c>
      <c r="G634" s="12" t="n">
        <v>9843.87</v>
      </c>
      <c r="H634" s="12" t="n">
        <v>0</v>
      </c>
      <c r="I634" s="10" t="s">
        <v>103</v>
      </c>
      <c r="J634" s="10" t="s">
        <v>1636</v>
      </c>
      <c r="K634" s="10" t="s">
        <v>1670</v>
      </c>
    </row>
    <row r="635" customFormat="false" ht="15" hidden="false" customHeight="false" outlineLevel="0" collapsed="false">
      <c r="A635" s="10" t="s">
        <v>2292</v>
      </c>
      <c r="B635" s="10" t="n">
        <v>1297</v>
      </c>
      <c r="C635" s="8" t="n">
        <v>45792</v>
      </c>
      <c r="D635" s="8" t="n">
        <v>45790</v>
      </c>
      <c r="E635" s="10" t="n">
        <v>5000</v>
      </c>
      <c r="F635" s="0" t="str">
        <f aca="false">INDEX(COA!$C$5:$C$19,MATCH(E635,COA!$A$5:$A$19,0))</f>
        <v>Expense</v>
      </c>
      <c r="G635" s="12" t="n">
        <v>4218.8</v>
      </c>
      <c r="H635" s="12" t="n">
        <v>0</v>
      </c>
      <c r="I635" s="10" t="s">
        <v>103</v>
      </c>
      <c r="J635" s="10" t="s">
        <v>1636</v>
      </c>
      <c r="K635" s="10" t="s">
        <v>1670</v>
      </c>
    </row>
    <row r="636" customFormat="false" ht="15" hidden="false" customHeight="false" outlineLevel="0" collapsed="false">
      <c r="A636" s="10" t="s">
        <v>2293</v>
      </c>
      <c r="B636" s="10" t="n">
        <v>1297</v>
      </c>
      <c r="C636" s="8" t="n">
        <v>45792</v>
      </c>
      <c r="D636" s="8" t="n">
        <v>45790</v>
      </c>
      <c r="E636" s="10" t="n">
        <v>1200</v>
      </c>
      <c r="F636" s="0" t="str">
        <f aca="false">INDEX(COA!$C$5:$C$19,MATCH(E636,COA!$A$5:$A$19,0))</f>
        <v>Asset</v>
      </c>
      <c r="G636" s="12" t="n">
        <v>0</v>
      </c>
      <c r="H636" s="12" t="n">
        <v>14062.67</v>
      </c>
      <c r="I636" s="10" t="s">
        <v>103</v>
      </c>
      <c r="J636" s="10" t="s">
        <v>1636</v>
      </c>
      <c r="K636" s="10" t="s">
        <v>1670</v>
      </c>
    </row>
    <row r="637" customFormat="false" ht="15" hidden="false" customHeight="false" outlineLevel="0" collapsed="false">
      <c r="A637" s="10" t="s">
        <v>2294</v>
      </c>
      <c r="B637" s="10" t="n">
        <v>1298</v>
      </c>
      <c r="C637" s="8" t="n">
        <v>45792</v>
      </c>
      <c r="D637" s="8" t="n">
        <v>45790</v>
      </c>
      <c r="E637" s="10" t="n">
        <v>6200</v>
      </c>
      <c r="F637" s="0" t="str">
        <f aca="false">INDEX(COA!$C$5:$C$19,MATCH(E637,COA!$A$5:$A$19,0))</f>
        <v>Expense</v>
      </c>
      <c r="G637" s="12" t="n">
        <v>254.53</v>
      </c>
      <c r="H637" s="12" t="n">
        <v>0</v>
      </c>
      <c r="I637" s="10" t="s">
        <v>102</v>
      </c>
      <c r="J637" s="10" t="s">
        <v>1636</v>
      </c>
      <c r="K637" s="10" t="s">
        <v>1689</v>
      </c>
    </row>
    <row r="638" customFormat="false" ht="15" hidden="false" customHeight="false" outlineLevel="0" collapsed="false">
      <c r="A638" s="10" t="s">
        <v>2295</v>
      </c>
      <c r="B638" s="10" t="n">
        <v>1298</v>
      </c>
      <c r="C638" s="8" t="n">
        <v>45792</v>
      </c>
      <c r="D638" s="8" t="n">
        <v>45790</v>
      </c>
      <c r="E638" s="10" t="n">
        <v>2000</v>
      </c>
      <c r="F638" s="0" t="str">
        <f aca="false">INDEX(COA!$C$5:$C$19,MATCH(E638,COA!$A$5:$A$19,0))</f>
        <v>Liability</v>
      </c>
      <c r="G638" s="12" t="n">
        <v>0</v>
      </c>
      <c r="H638" s="12" t="n">
        <v>254.53</v>
      </c>
      <c r="I638" s="10" t="s">
        <v>102</v>
      </c>
      <c r="J638" s="10" t="s">
        <v>1636</v>
      </c>
      <c r="K638" s="10" t="s">
        <v>1689</v>
      </c>
    </row>
    <row r="639" customFormat="false" ht="15" hidden="false" customHeight="false" outlineLevel="0" collapsed="false">
      <c r="A639" s="10" t="s">
        <v>2296</v>
      </c>
      <c r="B639" s="10" t="n">
        <v>1299</v>
      </c>
      <c r="C639" s="8" t="n">
        <v>45792</v>
      </c>
      <c r="D639" s="8" t="n">
        <v>45791</v>
      </c>
      <c r="E639" s="10" t="n">
        <v>1000</v>
      </c>
      <c r="F639" s="0" t="str">
        <f aca="false">INDEX(COA!$C$5:$C$19,MATCH(E639,COA!$A$5:$A$19,0))</f>
        <v>Asset</v>
      </c>
      <c r="G639" s="12" t="n">
        <v>213.93</v>
      </c>
      <c r="H639" s="12" t="n">
        <v>0</v>
      </c>
      <c r="I639" s="10" t="s">
        <v>103</v>
      </c>
      <c r="J639" s="10" t="s">
        <v>1636</v>
      </c>
      <c r="K639" s="10" t="s">
        <v>1637</v>
      </c>
    </row>
    <row r="640" customFormat="false" ht="15" hidden="false" customHeight="false" outlineLevel="0" collapsed="false">
      <c r="A640" s="10" t="s">
        <v>2297</v>
      </c>
      <c r="B640" s="10" t="n">
        <v>1299</v>
      </c>
      <c r="C640" s="8" t="n">
        <v>45792</v>
      </c>
      <c r="D640" s="8" t="n">
        <v>45791</v>
      </c>
      <c r="E640" s="10" t="n">
        <v>1000</v>
      </c>
      <c r="F640" s="0" t="str">
        <f aca="false">INDEX(COA!$C$5:$C$19,MATCH(E640,COA!$A$5:$A$19,0))</f>
        <v>Asset</v>
      </c>
      <c r="G640" s="12" t="n">
        <v>91.68</v>
      </c>
      <c r="H640" s="12" t="n">
        <v>0</v>
      </c>
      <c r="I640" s="10" t="s">
        <v>103</v>
      </c>
      <c r="J640" s="10" t="s">
        <v>1636</v>
      </c>
      <c r="K640" s="10" t="s">
        <v>1637</v>
      </c>
    </row>
    <row r="641" customFormat="false" ht="15" hidden="false" customHeight="false" outlineLevel="0" collapsed="false">
      <c r="A641" s="10" t="s">
        <v>2298</v>
      </c>
      <c r="B641" s="10" t="n">
        <v>1299</v>
      </c>
      <c r="C641" s="8" t="n">
        <v>45792</v>
      </c>
      <c r="D641" s="8" t="n">
        <v>45791</v>
      </c>
      <c r="E641" s="10" t="n">
        <v>1100</v>
      </c>
      <c r="F641" s="0" t="str">
        <f aca="false">INDEX(COA!$C$5:$C$19,MATCH(E641,COA!$A$5:$A$19,0))</f>
        <v>Asset</v>
      </c>
      <c r="G641" s="12" t="n">
        <v>0</v>
      </c>
      <c r="H641" s="12" t="n">
        <v>305.61</v>
      </c>
      <c r="I641" s="10" t="s">
        <v>103</v>
      </c>
      <c r="J641" s="10" t="s">
        <v>1636</v>
      </c>
      <c r="K641" s="10" t="s">
        <v>1637</v>
      </c>
    </row>
    <row r="642" customFormat="false" ht="15" hidden="false" customHeight="false" outlineLevel="0" collapsed="false">
      <c r="A642" s="10" t="s">
        <v>2299</v>
      </c>
      <c r="B642" s="10" t="n">
        <v>1300</v>
      </c>
      <c r="C642" s="8" t="n">
        <v>45792</v>
      </c>
      <c r="D642" s="8" t="n">
        <v>45788</v>
      </c>
      <c r="E642" s="10" t="n">
        <v>2100</v>
      </c>
      <c r="F642" s="0" t="str">
        <f aca="false">INDEX(COA!$C$5:$C$19,MATCH(E642,COA!$A$5:$A$19,0))</f>
        <v>Liability</v>
      </c>
      <c r="G642" s="12" t="n">
        <v>10205.47</v>
      </c>
      <c r="H642" s="12" t="n">
        <v>0</v>
      </c>
      <c r="I642" s="10" t="s">
        <v>100</v>
      </c>
      <c r="J642" s="10" t="s">
        <v>1648</v>
      </c>
      <c r="K642" s="10" t="s">
        <v>1677</v>
      </c>
    </row>
    <row r="643" customFormat="false" ht="15" hidden="false" customHeight="false" outlineLevel="0" collapsed="false">
      <c r="A643" s="10" t="s">
        <v>2300</v>
      </c>
      <c r="B643" s="10" t="n">
        <v>1300</v>
      </c>
      <c r="C643" s="8" t="n">
        <v>45792</v>
      </c>
      <c r="D643" s="8" t="n">
        <v>45788</v>
      </c>
      <c r="E643" s="10" t="n">
        <v>2100</v>
      </c>
      <c r="F643" s="0" t="str">
        <f aca="false">INDEX(COA!$C$5:$C$19,MATCH(E643,COA!$A$5:$A$19,0))</f>
        <v>Liability</v>
      </c>
      <c r="G643" s="12" t="n">
        <v>4373.78</v>
      </c>
      <c r="H643" s="12" t="n">
        <v>0</v>
      </c>
      <c r="I643" s="10" t="s">
        <v>100</v>
      </c>
      <c r="J643" s="10" t="s">
        <v>1648</v>
      </c>
      <c r="K643" s="10" t="s">
        <v>1677</v>
      </c>
    </row>
    <row r="644" customFormat="false" ht="15" hidden="false" customHeight="false" outlineLevel="0" collapsed="false">
      <c r="A644" s="10" t="s">
        <v>2301</v>
      </c>
      <c r="B644" s="10" t="n">
        <v>1300</v>
      </c>
      <c r="C644" s="8" t="n">
        <v>45792</v>
      </c>
      <c r="D644" s="8" t="n">
        <v>45788</v>
      </c>
      <c r="E644" s="10" t="n">
        <v>6900</v>
      </c>
      <c r="F644" s="0" t="str">
        <f aca="false">INDEX(COA!$C$5:$C$19,MATCH(E644,COA!$A$5:$A$19,0))</f>
        <v>Expense</v>
      </c>
      <c r="G644" s="12" t="n">
        <v>0</v>
      </c>
      <c r="H644" s="12" t="n">
        <v>14579.25</v>
      </c>
      <c r="I644" s="10" t="s">
        <v>100</v>
      </c>
      <c r="J644" s="10" t="s">
        <v>1648</v>
      </c>
      <c r="K644" s="10" t="s">
        <v>1677</v>
      </c>
    </row>
    <row r="645" customFormat="false" ht="15" hidden="false" customHeight="false" outlineLevel="0" collapsed="false">
      <c r="A645" s="10" t="s">
        <v>2302</v>
      </c>
      <c r="B645" s="10" t="n">
        <v>1301</v>
      </c>
      <c r="C645" s="8" t="n">
        <v>45792</v>
      </c>
      <c r="D645" s="8" t="n">
        <v>45790</v>
      </c>
      <c r="E645" s="10" t="n">
        <v>1100</v>
      </c>
      <c r="F645" s="0" t="str">
        <f aca="false">INDEX(COA!$C$5:$C$19,MATCH(E645,COA!$A$5:$A$19,0))</f>
        <v>Asset</v>
      </c>
      <c r="G645" s="12" t="n">
        <v>215.87</v>
      </c>
      <c r="H645" s="12" t="n">
        <v>0</v>
      </c>
      <c r="I645" s="10" t="s">
        <v>103</v>
      </c>
      <c r="J645" s="10" t="s">
        <v>1636</v>
      </c>
      <c r="K645" s="10" t="s">
        <v>1640</v>
      </c>
    </row>
    <row r="646" customFormat="false" ht="15" hidden="false" customHeight="false" outlineLevel="0" collapsed="false">
      <c r="A646" s="10" t="s">
        <v>2303</v>
      </c>
      <c r="B646" s="10" t="n">
        <v>1301</v>
      </c>
      <c r="C646" s="8" t="n">
        <v>45792</v>
      </c>
      <c r="D646" s="8" t="n">
        <v>45790</v>
      </c>
      <c r="E646" s="10" t="n">
        <v>4000</v>
      </c>
      <c r="F646" s="0" t="str">
        <f aca="false">INDEX(COA!$C$5:$C$19,MATCH(E646,COA!$A$5:$A$19,0))</f>
        <v>Revenue</v>
      </c>
      <c r="G646" s="12" t="n">
        <v>0</v>
      </c>
      <c r="H646" s="12" t="n">
        <v>215.87</v>
      </c>
      <c r="I646" s="10" t="s">
        <v>103</v>
      </c>
      <c r="J646" s="10" t="s">
        <v>1636</v>
      </c>
      <c r="K646" s="10" t="s">
        <v>1640</v>
      </c>
    </row>
    <row r="647" customFormat="false" ht="15" hidden="false" customHeight="false" outlineLevel="0" collapsed="false">
      <c r="A647" s="10" t="s">
        <v>2304</v>
      </c>
      <c r="B647" s="10" t="n">
        <v>1302</v>
      </c>
      <c r="C647" s="8" t="n">
        <v>45793</v>
      </c>
      <c r="D647" s="8" t="n">
        <v>45790</v>
      </c>
      <c r="E647" s="10" t="n">
        <v>1000</v>
      </c>
      <c r="F647" s="0" t="str">
        <f aca="false">INDEX(COA!$C$5:$C$19,MATCH(E647,COA!$A$5:$A$19,0))</f>
        <v>Asset</v>
      </c>
      <c r="G647" s="12" t="n">
        <v>491.32</v>
      </c>
      <c r="H647" s="12" t="n">
        <v>0</v>
      </c>
      <c r="I647" s="10" t="s">
        <v>103</v>
      </c>
      <c r="J647" s="10" t="s">
        <v>1636</v>
      </c>
      <c r="K647" s="10" t="s">
        <v>1637</v>
      </c>
    </row>
    <row r="648" customFormat="false" ht="15" hidden="false" customHeight="false" outlineLevel="0" collapsed="false">
      <c r="A648" s="10" t="s">
        <v>2305</v>
      </c>
      <c r="B648" s="10" t="n">
        <v>1302</v>
      </c>
      <c r="C648" s="8" t="n">
        <v>45793</v>
      </c>
      <c r="D648" s="8" t="n">
        <v>45790</v>
      </c>
      <c r="E648" s="10" t="n">
        <v>1100</v>
      </c>
      <c r="F648" s="0" t="str">
        <f aca="false">INDEX(COA!$C$5:$C$19,MATCH(E648,COA!$A$5:$A$19,0))</f>
        <v>Asset</v>
      </c>
      <c r="G648" s="12" t="n">
        <v>0</v>
      </c>
      <c r="H648" s="12" t="n">
        <v>491.32</v>
      </c>
      <c r="I648" s="10" t="s">
        <v>103</v>
      </c>
      <c r="J648" s="10" t="s">
        <v>1636</v>
      </c>
      <c r="K648" s="10" t="s">
        <v>1637</v>
      </c>
    </row>
    <row r="649" customFormat="false" ht="15" hidden="false" customHeight="false" outlineLevel="0" collapsed="false">
      <c r="A649" s="10" t="s">
        <v>2306</v>
      </c>
      <c r="B649" s="10" t="n">
        <v>1303</v>
      </c>
      <c r="C649" s="8" t="n">
        <v>45793</v>
      </c>
      <c r="D649" s="8" t="n">
        <v>45792</v>
      </c>
      <c r="E649" s="10" t="n">
        <v>5000</v>
      </c>
      <c r="F649" s="0" t="str">
        <f aca="false">INDEX(COA!$C$5:$C$19,MATCH(E649,COA!$A$5:$A$19,0))</f>
        <v>Expense</v>
      </c>
      <c r="G649" s="12" t="n">
        <v>16278.04</v>
      </c>
      <c r="H649" s="12" t="n">
        <v>0</v>
      </c>
      <c r="I649" s="10" t="s">
        <v>103</v>
      </c>
      <c r="J649" s="10" t="s">
        <v>1636</v>
      </c>
      <c r="K649" s="10" t="s">
        <v>1670</v>
      </c>
    </row>
    <row r="650" customFormat="false" ht="15" hidden="false" customHeight="false" outlineLevel="0" collapsed="false">
      <c r="A650" s="10" t="s">
        <v>2307</v>
      </c>
      <c r="B650" s="10" t="n">
        <v>1303</v>
      </c>
      <c r="C650" s="8" t="n">
        <v>45793</v>
      </c>
      <c r="D650" s="8" t="n">
        <v>45792</v>
      </c>
      <c r="E650" s="10" t="n">
        <v>1200</v>
      </c>
      <c r="F650" s="0" t="str">
        <f aca="false">INDEX(COA!$C$5:$C$19,MATCH(E650,COA!$A$5:$A$19,0))</f>
        <v>Asset</v>
      </c>
      <c r="G650" s="12" t="n">
        <v>0</v>
      </c>
      <c r="H650" s="12" t="n">
        <v>16278.04</v>
      </c>
      <c r="I650" s="10" t="s">
        <v>103</v>
      </c>
      <c r="J650" s="10" t="s">
        <v>1636</v>
      </c>
      <c r="K650" s="10" t="s">
        <v>1670</v>
      </c>
    </row>
    <row r="651" customFormat="false" ht="15" hidden="false" customHeight="false" outlineLevel="0" collapsed="false">
      <c r="A651" s="10" t="s">
        <v>2308</v>
      </c>
      <c r="B651" s="10" t="n">
        <v>1304</v>
      </c>
      <c r="C651" s="8" t="n">
        <v>45793</v>
      </c>
      <c r="D651" s="8" t="n">
        <v>45790</v>
      </c>
      <c r="E651" s="10" t="n">
        <v>1000</v>
      </c>
      <c r="F651" s="0" t="str">
        <f aca="false">INDEX(COA!$C$5:$C$19,MATCH(E651,COA!$A$5:$A$19,0))</f>
        <v>Asset</v>
      </c>
      <c r="G651" s="12" t="n">
        <v>1873.04</v>
      </c>
      <c r="H651" s="12" t="n">
        <v>0</v>
      </c>
      <c r="I651" s="10" t="s">
        <v>103</v>
      </c>
      <c r="J651" s="10" t="s">
        <v>1636</v>
      </c>
      <c r="K651" s="10" t="s">
        <v>1637</v>
      </c>
    </row>
    <row r="652" customFormat="false" ht="15" hidden="false" customHeight="false" outlineLevel="0" collapsed="false">
      <c r="A652" s="10" t="s">
        <v>2309</v>
      </c>
      <c r="B652" s="10" t="n">
        <v>1304</v>
      </c>
      <c r="C652" s="8" t="n">
        <v>45793</v>
      </c>
      <c r="D652" s="8" t="n">
        <v>45790</v>
      </c>
      <c r="E652" s="10" t="n">
        <v>1100</v>
      </c>
      <c r="F652" s="0" t="str">
        <f aca="false">INDEX(COA!$C$5:$C$19,MATCH(E652,COA!$A$5:$A$19,0))</f>
        <v>Asset</v>
      </c>
      <c r="G652" s="12" t="n">
        <v>0</v>
      </c>
      <c r="H652" s="12" t="n">
        <v>1873.04</v>
      </c>
      <c r="I652" s="10" t="s">
        <v>103</v>
      </c>
      <c r="J652" s="10" t="s">
        <v>1636</v>
      </c>
      <c r="K652" s="10" t="s">
        <v>1637</v>
      </c>
    </row>
    <row r="653" customFormat="false" ht="15" hidden="false" customHeight="false" outlineLevel="0" collapsed="false">
      <c r="A653" s="10" t="s">
        <v>2310</v>
      </c>
      <c r="B653" s="10" t="n">
        <v>1305</v>
      </c>
      <c r="C653" s="8" t="n">
        <v>45793</v>
      </c>
      <c r="D653" s="8" t="n">
        <v>45790</v>
      </c>
      <c r="E653" s="10" t="n">
        <v>1000</v>
      </c>
      <c r="F653" s="0" t="str">
        <f aca="false">INDEX(COA!$C$5:$C$19,MATCH(E653,COA!$A$5:$A$19,0))</f>
        <v>Asset</v>
      </c>
      <c r="G653" s="12" t="n">
        <v>4137.11</v>
      </c>
      <c r="H653" s="12" t="n">
        <v>0</v>
      </c>
      <c r="I653" s="10" t="s">
        <v>103</v>
      </c>
      <c r="J653" s="10" t="s">
        <v>1636</v>
      </c>
      <c r="K653" s="10" t="s">
        <v>1637</v>
      </c>
    </row>
    <row r="654" customFormat="false" ht="15" hidden="false" customHeight="false" outlineLevel="0" collapsed="false">
      <c r="A654" s="10" t="s">
        <v>2311</v>
      </c>
      <c r="B654" s="10" t="n">
        <v>1305</v>
      </c>
      <c r="C654" s="8" t="n">
        <v>45793</v>
      </c>
      <c r="D654" s="8" t="n">
        <v>45790</v>
      </c>
      <c r="E654" s="10" t="n">
        <v>1100</v>
      </c>
      <c r="F654" s="0" t="str">
        <f aca="false">INDEX(COA!$C$5:$C$19,MATCH(E654,COA!$A$5:$A$19,0))</f>
        <v>Asset</v>
      </c>
      <c r="G654" s="12" t="n">
        <v>0</v>
      </c>
      <c r="H654" s="12" t="n">
        <v>4137.11</v>
      </c>
      <c r="I654" s="10" t="s">
        <v>103</v>
      </c>
      <c r="J654" s="10" t="s">
        <v>1636</v>
      </c>
      <c r="K654" s="10" t="s">
        <v>1637</v>
      </c>
    </row>
    <row r="655" customFormat="false" ht="15" hidden="false" customHeight="false" outlineLevel="0" collapsed="false">
      <c r="A655" s="10" t="s">
        <v>2312</v>
      </c>
      <c r="B655" s="10" t="n">
        <v>1306</v>
      </c>
      <c r="C655" s="8" t="n">
        <v>45796</v>
      </c>
      <c r="D655" s="8" t="n">
        <v>45754</v>
      </c>
      <c r="E655" s="10" t="n">
        <v>6900</v>
      </c>
      <c r="F655" s="0" t="str">
        <f aca="false">INDEX(COA!$C$5:$C$19,MATCH(E655,COA!$A$5:$A$19,0))</f>
        <v>Expense</v>
      </c>
      <c r="G655" s="12" t="n">
        <v>29449.5</v>
      </c>
      <c r="H655" s="12" t="n">
        <v>0</v>
      </c>
      <c r="I655" s="10" t="s">
        <v>100</v>
      </c>
      <c r="J655" s="10" t="s">
        <v>1648</v>
      </c>
      <c r="K655" s="10" t="s">
        <v>2313</v>
      </c>
    </row>
    <row r="656" customFormat="false" ht="15" hidden="false" customHeight="false" outlineLevel="0" collapsed="false">
      <c r="A656" s="10" t="s">
        <v>2314</v>
      </c>
      <c r="B656" s="10" t="n">
        <v>1306</v>
      </c>
      <c r="C656" s="8" t="n">
        <v>45796</v>
      </c>
      <c r="D656" s="8" t="n">
        <v>45754</v>
      </c>
      <c r="E656" s="10" t="n">
        <v>2100</v>
      </c>
      <c r="F656" s="0" t="str">
        <f aca="false">INDEX(COA!$C$5:$C$19,MATCH(E656,COA!$A$5:$A$19,0))</f>
        <v>Liability</v>
      </c>
      <c r="G656" s="12" t="n">
        <v>0</v>
      </c>
      <c r="H656" s="12" t="n">
        <v>29449.5</v>
      </c>
      <c r="I656" s="10" t="s">
        <v>100</v>
      </c>
      <c r="J656" s="10" t="s">
        <v>1648</v>
      </c>
      <c r="K656" s="10" t="s">
        <v>2313</v>
      </c>
    </row>
    <row r="657" customFormat="false" ht="15" hidden="false" customHeight="false" outlineLevel="0" collapsed="false">
      <c r="A657" s="10" t="s">
        <v>2315</v>
      </c>
      <c r="B657" s="10" t="n">
        <v>1307</v>
      </c>
      <c r="C657" s="8" t="n">
        <v>45796</v>
      </c>
      <c r="D657" s="8" t="n">
        <v>45793</v>
      </c>
      <c r="E657" s="10" t="n">
        <v>1000</v>
      </c>
      <c r="F657" s="0" t="str">
        <f aca="false">INDEX(COA!$C$5:$C$19,MATCH(E657,COA!$A$5:$A$19,0))</f>
        <v>Asset</v>
      </c>
      <c r="G657" s="12" t="n">
        <v>214</v>
      </c>
      <c r="H657" s="12" t="n">
        <v>0</v>
      </c>
      <c r="I657" s="10" t="s">
        <v>103</v>
      </c>
      <c r="J657" s="10" t="s">
        <v>1636</v>
      </c>
      <c r="K657" s="10" t="s">
        <v>1637</v>
      </c>
    </row>
    <row r="658" customFormat="false" ht="15" hidden="false" customHeight="false" outlineLevel="0" collapsed="false">
      <c r="A658" s="10" t="s">
        <v>2316</v>
      </c>
      <c r="B658" s="10" t="n">
        <v>1307</v>
      </c>
      <c r="C658" s="8" t="n">
        <v>45796</v>
      </c>
      <c r="D658" s="8" t="n">
        <v>45793</v>
      </c>
      <c r="E658" s="10" t="n">
        <v>1100</v>
      </c>
      <c r="F658" s="0" t="str">
        <f aca="false">INDEX(COA!$C$5:$C$19,MATCH(E658,COA!$A$5:$A$19,0))</f>
        <v>Asset</v>
      </c>
      <c r="G658" s="12" t="n">
        <v>0</v>
      </c>
      <c r="H658" s="12" t="n">
        <v>214</v>
      </c>
      <c r="I658" s="10" t="s">
        <v>103</v>
      </c>
      <c r="J658" s="10" t="s">
        <v>1636</v>
      </c>
      <c r="K658" s="10" t="s">
        <v>1637</v>
      </c>
    </row>
    <row r="659" customFormat="false" ht="15" hidden="false" customHeight="false" outlineLevel="0" collapsed="false">
      <c r="A659" s="10" t="s">
        <v>2317</v>
      </c>
      <c r="B659" s="10" t="n">
        <v>1308</v>
      </c>
      <c r="C659" s="8" t="n">
        <v>45796</v>
      </c>
      <c r="D659" s="8" t="n">
        <v>45792</v>
      </c>
      <c r="E659" s="10" t="n">
        <v>1100</v>
      </c>
      <c r="F659" s="0" t="str">
        <f aca="false">INDEX(COA!$C$5:$C$19,MATCH(E659,COA!$A$5:$A$19,0))</f>
        <v>Asset</v>
      </c>
      <c r="G659" s="12" t="n">
        <v>40904.92</v>
      </c>
      <c r="H659" s="12" t="n">
        <v>0</v>
      </c>
      <c r="I659" s="10" t="s">
        <v>103</v>
      </c>
      <c r="J659" s="10" t="s">
        <v>1636</v>
      </c>
      <c r="K659" s="10" t="s">
        <v>1640</v>
      </c>
    </row>
    <row r="660" customFormat="false" ht="15" hidden="false" customHeight="false" outlineLevel="0" collapsed="false">
      <c r="A660" s="10" t="s">
        <v>2318</v>
      </c>
      <c r="B660" s="10" t="n">
        <v>1308</v>
      </c>
      <c r="C660" s="8" t="n">
        <v>45796</v>
      </c>
      <c r="D660" s="8" t="n">
        <v>45792</v>
      </c>
      <c r="E660" s="10" t="n">
        <v>4000</v>
      </c>
      <c r="F660" s="0" t="str">
        <f aca="false">INDEX(COA!$C$5:$C$19,MATCH(E660,COA!$A$5:$A$19,0))</f>
        <v>Revenue</v>
      </c>
      <c r="G660" s="12" t="n">
        <v>0</v>
      </c>
      <c r="H660" s="12" t="n">
        <v>40904.92</v>
      </c>
      <c r="I660" s="10" t="s">
        <v>103</v>
      </c>
      <c r="J660" s="10" t="s">
        <v>1636</v>
      </c>
      <c r="K660" s="10" t="s">
        <v>1640</v>
      </c>
    </row>
    <row r="661" customFormat="false" ht="15" hidden="false" customHeight="false" outlineLevel="0" collapsed="false">
      <c r="A661" s="10" t="s">
        <v>2319</v>
      </c>
      <c r="B661" s="10" t="n">
        <v>1309</v>
      </c>
      <c r="C661" s="8" t="n">
        <v>45796</v>
      </c>
      <c r="D661" s="8" t="n">
        <v>45796</v>
      </c>
      <c r="E661" s="10" t="n">
        <v>1000</v>
      </c>
      <c r="F661" s="0" t="str">
        <f aca="false">INDEX(COA!$C$5:$C$19,MATCH(E661,COA!$A$5:$A$19,0))</f>
        <v>Asset</v>
      </c>
      <c r="G661" s="12" t="n">
        <v>29838.31</v>
      </c>
      <c r="H661" s="12" t="n">
        <v>0</v>
      </c>
      <c r="I661" s="10" t="s">
        <v>103</v>
      </c>
      <c r="J661" s="10" t="s">
        <v>1636</v>
      </c>
      <c r="K661" s="10" t="s">
        <v>1637</v>
      </c>
    </row>
    <row r="662" customFormat="false" ht="15" hidden="false" customHeight="false" outlineLevel="0" collapsed="false">
      <c r="A662" s="10" t="s">
        <v>2320</v>
      </c>
      <c r="B662" s="10" t="n">
        <v>1309</v>
      </c>
      <c r="C662" s="8" t="n">
        <v>45796</v>
      </c>
      <c r="D662" s="8" t="n">
        <v>45796</v>
      </c>
      <c r="E662" s="10" t="n">
        <v>1100</v>
      </c>
      <c r="F662" s="0" t="str">
        <f aca="false">INDEX(COA!$C$5:$C$19,MATCH(E662,COA!$A$5:$A$19,0))</f>
        <v>Asset</v>
      </c>
      <c r="G662" s="12" t="n">
        <v>0</v>
      </c>
      <c r="H662" s="12" t="n">
        <v>29838.31</v>
      </c>
      <c r="I662" s="10" t="s">
        <v>103</v>
      </c>
      <c r="J662" s="10" t="s">
        <v>1636</v>
      </c>
      <c r="K662" s="10" t="s">
        <v>1637</v>
      </c>
    </row>
    <row r="663" customFormat="false" ht="15" hidden="false" customHeight="false" outlineLevel="0" collapsed="false">
      <c r="A663" s="10" t="s">
        <v>2321</v>
      </c>
      <c r="B663" s="10" t="n">
        <v>1310</v>
      </c>
      <c r="C663" s="8" t="n">
        <v>45797</v>
      </c>
      <c r="D663" s="8" t="n">
        <v>45797</v>
      </c>
      <c r="E663" s="10" t="n">
        <v>6900</v>
      </c>
      <c r="F663" s="0" t="str">
        <f aca="false">INDEX(COA!$C$5:$C$19,MATCH(E663,COA!$A$5:$A$19,0))</f>
        <v>Expense</v>
      </c>
      <c r="G663" s="12" t="n">
        <v>48223.07</v>
      </c>
      <c r="H663" s="12" t="n">
        <v>0</v>
      </c>
      <c r="I663" s="10" t="s">
        <v>98</v>
      </c>
      <c r="J663" s="10" t="s">
        <v>1648</v>
      </c>
      <c r="K663" s="10" t="s">
        <v>2322</v>
      </c>
    </row>
    <row r="664" customFormat="false" ht="15" hidden="false" customHeight="false" outlineLevel="0" collapsed="false">
      <c r="A664" s="10" t="s">
        <v>2323</v>
      </c>
      <c r="B664" s="10" t="n">
        <v>1310</v>
      </c>
      <c r="C664" s="8" t="n">
        <v>45797</v>
      </c>
      <c r="D664" s="8" t="n">
        <v>45797</v>
      </c>
      <c r="E664" s="10" t="n">
        <v>2100</v>
      </c>
      <c r="F664" s="0" t="str">
        <f aca="false">INDEX(COA!$C$5:$C$19,MATCH(E664,COA!$A$5:$A$19,0))</f>
        <v>Liability</v>
      </c>
      <c r="G664" s="12" t="n">
        <v>0</v>
      </c>
      <c r="H664" s="12" t="n">
        <v>48223.07</v>
      </c>
      <c r="I664" s="10" t="s">
        <v>98</v>
      </c>
      <c r="J664" s="10" t="s">
        <v>1648</v>
      </c>
      <c r="K664" s="10" t="s">
        <v>2322</v>
      </c>
    </row>
    <row r="665" customFormat="false" ht="15" hidden="false" customHeight="false" outlineLevel="0" collapsed="false">
      <c r="A665" s="10" t="s">
        <v>2324</v>
      </c>
      <c r="B665" s="10" t="n">
        <v>1311</v>
      </c>
      <c r="C665" s="8" t="n">
        <v>45797</v>
      </c>
      <c r="D665" s="8" t="n">
        <v>45794</v>
      </c>
      <c r="E665" s="10" t="n">
        <v>6200</v>
      </c>
      <c r="F665" s="0" t="str">
        <f aca="false">INDEX(COA!$C$5:$C$19,MATCH(E665,COA!$A$5:$A$19,0))</f>
        <v>Expense</v>
      </c>
      <c r="G665" s="12" t="n">
        <v>3828.83</v>
      </c>
      <c r="H665" s="12" t="n">
        <v>0</v>
      </c>
      <c r="I665" s="10" t="s">
        <v>102</v>
      </c>
      <c r="J665" s="10" t="s">
        <v>1636</v>
      </c>
      <c r="K665" s="10" t="s">
        <v>1689</v>
      </c>
    </row>
    <row r="666" customFormat="false" ht="15" hidden="false" customHeight="false" outlineLevel="0" collapsed="false">
      <c r="A666" s="10" t="s">
        <v>2325</v>
      </c>
      <c r="B666" s="10" t="n">
        <v>1311</v>
      </c>
      <c r="C666" s="8" t="n">
        <v>45797</v>
      </c>
      <c r="D666" s="8" t="n">
        <v>45794</v>
      </c>
      <c r="E666" s="10" t="n">
        <v>2000</v>
      </c>
      <c r="F666" s="0" t="str">
        <f aca="false">INDEX(COA!$C$5:$C$19,MATCH(E666,COA!$A$5:$A$19,0))</f>
        <v>Liability</v>
      </c>
      <c r="G666" s="12" t="n">
        <v>0</v>
      </c>
      <c r="H666" s="12" t="n">
        <v>3828.83</v>
      </c>
      <c r="I666" s="10" t="s">
        <v>102</v>
      </c>
      <c r="J666" s="10" t="s">
        <v>1636</v>
      </c>
      <c r="K666" s="10" t="s">
        <v>1689</v>
      </c>
    </row>
    <row r="667" customFormat="false" ht="15" hidden="false" customHeight="false" outlineLevel="0" collapsed="false">
      <c r="A667" s="10" t="s">
        <v>2326</v>
      </c>
      <c r="B667" s="10" t="n">
        <v>1312</v>
      </c>
      <c r="C667" s="8" t="n">
        <v>45798</v>
      </c>
      <c r="D667" s="8" t="n">
        <v>45798</v>
      </c>
      <c r="E667" s="10" t="n">
        <v>1100</v>
      </c>
      <c r="F667" s="0" t="str">
        <f aca="false">INDEX(COA!$C$5:$C$19,MATCH(E667,COA!$A$5:$A$19,0))</f>
        <v>Asset</v>
      </c>
      <c r="G667" s="12" t="n">
        <v>3765.1</v>
      </c>
      <c r="H667" s="12" t="n">
        <v>0</v>
      </c>
      <c r="I667" s="10" t="s">
        <v>103</v>
      </c>
      <c r="J667" s="10" t="s">
        <v>1636</v>
      </c>
      <c r="K667" s="10" t="s">
        <v>1640</v>
      </c>
    </row>
    <row r="668" customFormat="false" ht="15" hidden="false" customHeight="false" outlineLevel="0" collapsed="false">
      <c r="A668" s="10" t="s">
        <v>2327</v>
      </c>
      <c r="B668" s="10" t="n">
        <v>1312</v>
      </c>
      <c r="C668" s="8" t="n">
        <v>45798</v>
      </c>
      <c r="D668" s="8" t="n">
        <v>45798</v>
      </c>
      <c r="E668" s="10" t="n">
        <v>4000</v>
      </c>
      <c r="F668" s="0" t="str">
        <f aca="false">INDEX(COA!$C$5:$C$19,MATCH(E668,COA!$A$5:$A$19,0))</f>
        <v>Revenue</v>
      </c>
      <c r="G668" s="12" t="n">
        <v>0</v>
      </c>
      <c r="H668" s="12" t="n">
        <v>3765.1</v>
      </c>
      <c r="I668" s="10" t="s">
        <v>103</v>
      </c>
      <c r="J668" s="10" t="s">
        <v>1636</v>
      </c>
      <c r="K668" s="10" t="s">
        <v>1640</v>
      </c>
    </row>
    <row r="669" customFormat="false" ht="15" hidden="false" customHeight="false" outlineLevel="0" collapsed="false">
      <c r="A669" s="10" t="s">
        <v>2328</v>
      </c>
      <c r="B669" s="10" t="n">
        <v>1313</v>
      </c>
      <c r="C669" s="8" t="n">
        <v>45798</v>
      </c>
      <c r="D669" s="8" t="n">
        <v>45796</v>
      </c>
      <c r="E669" s="10" t="n">
        <v>1000</v>
      </c>
      <c r="F669" s="0" t="str">
        <f aca="false">INDEX(COA!$C$5:$C$19,MATCH(E669,COA!$A$5:$A$19,0))</f>
        <v>Asset</v>
      </c>
      <c r="G669" s="12" t="n">
        <v>7950.1</v>
      </c>
      <c r="H669" s="12" t="n">
        <v>0</v>
      </c>
      <c r="I669" s="10" t="s">
        <v>103</v>
      </c>
      <c r="J669" s="10" t="s">
        <v>1636</v>
      </c>
      <c r="K669" s="10" t="s">
        <v>1637</v>
      </c>
    </row>
    <row r="670" customFormat="false" ht="15" hidden="false" customHeight="false" outlineLevel="0" collapsed="false">
      <c r="A670" s="10" t="s">
        <v>2329</v>
      </c>
      <c r="B670" s="10" t="n">
        <v>1313</v>
      </c>
      <c r="C670" s="8" t="n">
        <v>45798</v>
      </c>
      <c r="D670" s="8" t="n">
        <v>45796</v>
      </c>
      <c r="E670" s="10" t="n">
        <v>1000</v>
      </c>
      <c r="F670" s="0" t="str">
        <f aca="false">INDEX(COA!$C$5:$C$19,MATCH(E670,COA!$A$5:$A$19,0))</f>
        <v>Asset</v>
      </c>
      <c r="G670" s="12" t="n">
        <v>3407.19</v>
      </c>
      <c r="H670" s="12" t="n">
        <v>0</v>
      </c>
      <c r="I670" s="10" t="s">
        <v>103</v>
      </c>
      <c r="J670" s="10" t="s">
        <v>1636</v>
      </c>
      <c r="K670" s="10" t="s">
        <v>1637</v>
      </c>
    </row>
    <row r="671" customFormat="false" ht="15" hidden="false" customHeight="false" outlineLevel="0" collapsed="false">
      <c r="A671" s="10" t="s">
        <v>2330</v>
      </c>
      <c r="B671" s="10" t="n">
        <v>1313</v>
      </c>
      <c r="C671" s="8" t="n">
        <v>45798</v>
      </c>
      <c r="D671" s="8" t="n">
        <v>45796</v>
      </c>
      <c r="E671" s="10" t="n">
        <v>1100</v>
      </c>
      <c r="F671" s="0" t="str">
        <f aca="false">INDEX(COA!$C$5:$C$19,MATCH(E671,COA!$A$5:$A$19,0))</f>
        <v>Asset</v>
      </c>
      <c r="G671" s="12" t="n">
        <v>0</v>
      </c>
      <c r="H671" s="12" t="n">
        <v>11357.29</v>
      </c>
      <c r="I671" s="10" t="s">
        <v>103</v>
      </c>
      <c r="J671" s="10" t="s">
        <v>1636</v>
      </c>
      <c r="K671" s="10" t="s">
        <v>1637</v>
      </c>
    </row>
    <row r="672" customFormat="false" ht="15" hidden="false" customHeight="false" outlineLevel="0" collapsed="false">
      <c r="A672" s="10" t="s">
        <v>2331</v>
      </c>
      <c r="B672" s="10" t="n">
        <v>1314</v>
      </c>
      <c r="C672" s="8" t="n">
        <v>45798</v>
      </c>
      <c r="D672" s="8" t="n">
        <v>45794</v>
      </c>
      <c r="E672" s="10" t="n">
        <v>1000</v>
      </c>
      <c r="F672" s="0" t="str">
        <f aca="false">INDEX(COA!$C$5:$C$19,MATCH(E672,COA!$A$5:$A$19,0))</f>
        <v>Asset</v>
      </c>
      <c r="G672" s="12" t="n">
        <v>33018.4</v>
      </c>
      <c r="H672" s="12" t="n">
        <v>0</v>
      </c>
      <c r="I672" s="10" t="s">
        <v>103</v>
      </c>
      <c r="J672" s="10" t="s">
        <v>1636</v>
      </c>
      <c r="K672" s="10" t="s">
        <v>1637</v>
      </c>
    </row>
    <row r="673" customFormat="false" ht="15" hidden="false" customHeight="false" outlineLevel="0" collapsed="false">
      <c r="A673" s="10" t="s">
        <v>2332</v>
      </c>
      <c r="B673" s="10" t="n">
        <v>1314</v>
      </c>
      <c r="C673" s="8" t="n">
        <v>45798</v>
      </c>
      <c r="D673" s="8" t="n">
        <v>45794</v>
      </c>
      <c r="E673" s="10" t="n">
        <v>1100</v>
      </c>
      <c r="F673" s="0" t="str">
        <f aca="false">INDEX(COA!$C$5:$C$19,MATCH(E673,COA!$A$5:$A$19,0))</f>
        <v>Asset</v>
      </c>
      <c r="G673" s="12" t="n">
        <v>0</v>
      </c>
      <c r="H673" s="12" t="n">
        <v>33018.4</v>
      </c>
      <c r="I673" s="10" t="s">
        <v>103</v>
      </c>
      <c r="J673" s="10" t="s">
        <v>1636</v>
      </c>
      <c r="K673" s="10" t="s">
        <v>1637</v>
      </c>
    </row>
    <row r="674" customFormat="false" ht="15" hidden="false" customHeight="false" outlineLevel="0" collapsed="false">
      <c r="A674" s="10" t="s">
        <v>2333</v>
      </c>
      <c r="B674" s="10" t="n">
        <v>1315</v>
      </c>
      <c r="C674" s="8" t="n">
        <v>45798</v>
      </c>
      <c r="D674" s="8" t="n">
        <v>45796</v>
      </c>
      <c r="E674" s="10" t="n">
        <v>1000</v>
      </c>
      <c r="F674" s="0" t="str">
        <f aca="false">INDEX(COA!$C$5:$C$19,MATCH(E674,COA!$A$5:$A$19,0))</f>
        <v>Asset</v>
      </c>
      <c r="G674" s="12" t="n">
        <v>18607.43</v>
      </c>
      <c r="H674" s="12" t="n">
        <v>0</v>
      </c>
      <c r="I674" s="10" t="s">
        <v>103</v>
      </c>
      <c r="J674" s="10" t="s">
        <v>1636</v>
      </c>
      <c r="K674" s="10" t="s">
        <v>1637</v>
      </c>
    </row>
    <row r="675" customFormat="false" ht="15" hidden="false" customHeight="false" outlineLevel="0" collapsed="false">
      <c r="A675" s="10" t="s">
        <v>2334</v>
      </c>
      <c r="B675" s="10" t="n">
        <v>1315</v>
      </c>
      <c r="C675" s="8" t="n">
        <v>45798</v>
      </c>
      <c r="D675" s="8" t="n">
        <v>45796</v>
      </c>
      <c r="E675" s="10" t="n">
        <v>1000</v>
      </c>
      <c r="F675" s="0" t="str">
        <f aca="false">INDEX(COA!$C$5:$C$19,MATCH(E675,COA!$A$5:$A$19,0))</f>
        <v>Asset</v>
      </c>
      <c r="G675" s="12" t="n">
        <v>7974.61</v>
      </c>
      <c r="H675" s="12" t="n">
        <v>0</v>
      </c>
      <c r="I675" s="10" t="s">
        <v>103</v>
      </c>
      <c r="J675" s="10" t="s">
        <v>1636</v>
      </c>
      <c r="K675" s="10" t="s">
        <v>1637</v>
      </c>
    </row>
    <row r="676" customFormat="false" ht="15" hidden="false" customHeight="false" outlineLevel="0" collapsed="false">
      <c r="A676" s="10" t="s">
        <v>2335</v>
      </c>
      <c r="B676" s="10" t="n">
        <v>1315</v>
      </c>
      <c r="C676" s="8" t="n">
        <v>45798</v>
      </c>
      <c r="D676" s="8" t="n">
        <v>45796</v>
      </c>
      <c r="E676" s="10" t="n">
        <v>1100</v>
      </c>
      <c r="F676" s="0" t="str">
        <f aca="false">INDEX(COA!$C$5:$C$19,MATCH(E676,COA!$A$5:$A$19,0))</f>
        <v>Asset</v>
      </c>
      <c r="G676" s="12" t="n">
        <v>0</v>
      </c>
      <c r="H676" s="12" t="n">
        <v>26582.04</v>
      </c>
      <c r="I676" s="10" t="s">
        <v>103</v>
      </c>
      <c r="J676" s="10" t="s">
        <v>1636</v>
      </c>
      <c r="K676" s="10" t="s">
        <v>1637</v>
      </c>
    </row>
    <row r="677" customFormat="false" ht="15" hidden="false" customHeight="false" outlineLevel="0" collapsed="false">
      <c r="A677" s="10" t="s">
        <v>2336</v>
      </c>
      <c r="B677" s="10" t="n">
        <v>1316</v>
      </c>
      <c r="C677" s="8" t="n">
        <v>45799</v>
      </c>
      <c r="D677" s="8" t="n">
        <v>45799</v>
      </c>
      <c r="E677" s="10" t="n">
        <v>1100</v>
      </c>
      <c r="F677" s="0" t="str">
        <f aca="false">INDEX(COA!$C$5:$C$19,MATCH(E677,COA!$A$5:$A$19,0))</f>
        <v>Asset</v>
      </c>
      <c r="G677" s="12" t="n">
        <v>42904.01</v>
      </c>
      <c r="H677" s="12" t="n">
        <v>0</v>
      </c>
      <c r="I677" s="10" t="s">
        <v>103</v>
      </c>
      <c r="J677" s="10" t="s">
        <v>1636</v>
      </c>
      <c r="K677" s="10" t="s">
        <v>1640</v>
      </c>
    </row>
    <row r="678" customFormat="false" ht="15" hidden="false" customHeight="false" outlineLevel="0" collapsed="false">
      <c r="A678" s="10" t="s">
        <v>2337</v>
      </c>
      <c r="B678" s="10" t="n">
        <v>1316</v>
      </c>
      <c r="C678" s="8" t="n">
        <v>45799</v>
      </c>
      <c r="D678" s="8" t="n">
        <v>45799</v>
      </c>
      <c r="E678" s="10" t="n">
        <v>1100</v>
      </c>
      <c r="F678" s="0" t="str">
        <f aca="false">INDEX(COA!$C$5:$C$19,MATCH(E678,COA!$A$5:$A$19,0))</f>
        <v>Asset</v>
      </c>
      <c r="G678" s="12" t="n">
        <v>18387.43</v>
      </c>
      <c r="H678" s="12" t="n">
        <v>0</v>
      </c>
      <c r="I678" s="10" t="s">
        <v>103</v>
      </c>
      <c r="J678" s="10" t="s">
        <v>1636</v>
      </c>
      <c r="K678" s="10" t="s">
        <v>1640</v>
      </c>
    </row>
    <row r="679" customFormat="false" ht="15" hidden="false" customHeight="false" outlineLevel="0" collapsed="false">
      <c r="A679" s="10" t="s">
        <v>2338</v>
      </c>
      <c r="B679" s="10" t="n">
        <v>1316</v>
      </c>
      <c r="C679" s="8" t="n">
        <v>45799</v>
      </c>
      <c r="D679" s="8" t="n">
        <v>45799</v>
      </c>
      <c r="E679" s="10" t="n">
        <v>4000</v>
      </c>
      <c r="F679" s="0" t="str">
        <f aca="false">INDEX(COA!$C$5:$C$19,MATCH(E679,COA!$A$5:$A$19,0))</f>
        <v>Revenue</v>
      </c>
      <c r="G679" s="12" t="n">
        <v>0</v>
      </c>
      <c r="H679" s="12" t="n">
        <v>61291.44</v>
      </c>
      <c r="I679" s="10" t="s">
        <v>103</v>
      </c>
      <c r="J679" s="10" t="s">
        <v>1636</v>
      </c>
      <c r="K679" s="10" t="s">
        <v>1640</v>
      </c>
    </row>
    <row r="680" customFormat="false" ht="15" hidden="false" customHeight="false" outlineLevel="0" collapsed="false">
      <c r="A680" s="10" t="s">
        <v>2339</v>
      </c>
      <c r="B680" s="10" t="n">
        <v>1317</v>
      </c>
      <c r="C680" s="8" t="n">
        <v>45799</v>
      </c>
      <c r="D680" s="8" t="n">
        <v>45797</v>
      </c>
      <c r="E680" s="10" t="n">
        <v>2000</v>
      </c>
      <c r="F680" s="0" t="str">
        <f aca="false">INDEX(COA!$C$5:$C$19,MATCH(E680,COA!$A$5:$A$19,0))</f>
        <v>Liability</v>
      </c>
      <c r="G680" s="12" t="n">
        <v>14194.9</v>
      </c>
      <c r="H680" s="12" t="n">
        <v>0</v>
      </c>
      <c r="I680" s="10" t="s">
        <v>104</v>
      </c>
      <c r="J680" s="10" t="s">
        <v>1636</v>
      </c>
      <c r="K680" s="10" t="s">
        <v>1659</v>
      </c>
    </row>
    <row r="681" customFormat="false" ht="15" hidden="false" customHeight="false" outlineLevel="0" collapsed="false">
      <c r="A681" s="10" t="s">
        <v>2340</v>
      </c>
      <c r="B681" s="10" t="n">
        <v>1317</v>
      </c>
      <c r="C681" s="8" t="n">
        <v>45799</v>
      </c>
      <c r="D681" s="8" t="n">
        <v>45797</v>
      </c>
      <c r="E681" s="10" t="n">
        <v>1000</v>
      </c>
      <c r="F681" s="0" t="str">
        <f aca="false">INDEX(COA!$C$5:$C$19,MATCH(E681,COA!$A$5:$A$19,0))</f>
        <v>Asset</v>
      </c>
      <c r="G681" s="12" t="n">
        <v>0</v>
      </c>
      <c r="H681" s="12" t="n">
        <v>14194.9</v>
      </c>
      <c r="I681" s="10" t="s">
        <v>104</v>
      </c>
      <c r="J681" s="10" t="s">
        <v>1636</v>
      </c>
      <c r="K681" s="10" t="s">
        <v>1659</v>
      </c>
    </row>
    <row r="682" customFormat="false" ht="15" hidden="false" customHeight="false" outlineLevel="0" collapsed="false">
      <c r="A682" s="10" t="s">
        <v>2341</v>
      </c>
      <c r="B682" s="10" t="n">
        <v>1318</v>
      </c>
      <c r="C682" s="8" t="n">
        <v>45799</v>
      </c>
      <c r="D682" s="8" t="n">
        <v>45799</v>
      </c>
      <c r="E682" s="10" t="n">
        <v>2100</v>
      </c>
      <c r="F682" s="0" t="str">
        <f aca="false">INDEX(COA!$C$5:$C$19,MATCH(E682,COA!$A$5:$A$19,0))</f>
        <v>Liability</v>
      </c>
      <c r="G682" s="12" t="n">
        <v>15791.3</v>
      </c>
      <c r="H682" s="12" t="n">
        <v>0</v>
      </c>
      <c r="I682" s="10" t="s">
        <v>99</v>
      </c>
      <c r="J682" s="10" t="s">
        <v>1648</v>
      </c>
      <c r="K682" s="10" t="s">
        <v>1677</v>
      </c>
    </row>
    <row r="683" customFormat="false" ht="15" hidden="false" customHeight="false" outlineLevel="0" collapsed="false">
      <c r="A683" s="10" t="s">
        <v>2342</v>
      </c>
      <c r="B683" s="10" t="n">
        <v>1318</v>
      </c>
      <c r="C683" s="8" t="n">
        <v>45799</v>
      </c>
      <c r="D683" s="8" t="n">
        <v>45799</v>
      </c>
      <c r="E683" s="10" t="n">
        <v>6900</v>
      </c>
      <c r="F683" s="0" t="str">
        <f aca="false">INDEX(COA!$C$5:$C$19,MATCH(E683,COA!$A$5:$A$19,0))</f>
        <v>Expense</v>
      </c>
      <c r="G683" s="12" t="n">
        <v>0</v>
      </c>
      <c r="H683" s="12" t="n">
        <v>15791.3</v>
      </c>
      <c r="I683" s="10" t="s">
        <v>99</v>
      </c>
      <c r="J683" s="10" t="s">
        <v>1648</v>
      </c>
      <c r="K683" s="10" t="s">
        <v>1677</v>
      </c>
    </row>
    <row r="684" customFormat="false" ht="15" hidden="false" customHeight="false" outlineLevel="0" collapsed="false">
      <c r="A684" s="10" t="s">
        <v>2343</v>
      </c>
      <c r="B684" s="10" t="n">
        <v>1319</v>
      </c>
      <c r="C684" s="8" t="n">
        <v>45799</v>
      </c>
      <c r="D684" s="8" t="n">
        <v>45796</v>
      </c>
      <c r="E684" s="10" t="n">
        <v>1100</v>
      </c>
      <c r="F684" s="0" t="str">
        <f aca="false">INDEX(COA!$C$5:$C$19,MATCH(E684,COA!$A$5:$A$19,0))</f>
        <v>Asset</v>
      </c>
      <c r="G684" s="12" t="n">
        <v>4035.61</v>
      </c>
      <c r="H684" s="12" t="n">
        <v>0</v>
      </c>
      <c r="I684" s="10" t="s">
        <v>103</v>
      </c>
      <c r="J684" s="10" t="s">
        <v>1636</v>
      </c>
      <c r="K684" s="10" t="s">
        <v>1640</v>
      </c>
    </row>
    <row r="685" customFormat="false" ht="15" hidden="false" customHeight="false" outlineLevel="0" collapsed="false">
      <c r="A685" s="10" t="s">
        <v>2344</v>
      </c>
      <c r="B685" s="10" t="n">
        <v>1319</v>
      </c>
      <c r="C685" s="8" t="n">
        <v>45799</v>
      </c>
      <c r="D685" s="8" t="n">
        <v>45796</v>
      </c>
      <c r="E685" s="10" t="n">
        <v>4000</v>
      </c>
      <c r="F685" s="0" t="str">
        <f aca="false">INDEX(COA!$C$5:$C$19,MATCH(E685,COA!$A$5:$A$19,0))</f>
        <v>Revenue</v>
      </c>
      <c r="G685" s="12" t="n">
        <v>0</v>
      </c>
      <c r="H685" s="12" t="n">
        <v>4035.61</v>
      </c>
      <c r="I685" s="10" t="s">
        <v>103</v>
      </c>
      <c r="J685" s="10" t="s">
        <v>1636</v>
      </c>
      <c r="K685" s="10" t="s">
        <v>1640</v>
      </c>
    </row>
    <row r="686" customFormat="false" ht="15" hidden="false" customHeight="false" outlineLevel="0" collapsed="false">
      <c r="A686" s="10" t="s">
        <v>2345</v>
      </c>
      <c r="B686" s="10" t="n">
        <v>1320</v>
      </c>
      <c r="C686" s="8" t="n">
        <v>45800</v>
      </c>
      <c r="D686" s="8" t="n">
        <v>45800</v>
      </c>
      <c r="E686" s="10" t="n">
        <v>2000</v>
      </c>
      <c r="F686" s="0" t="str">
        <f aca="false">INDEX(COA!$C$5:$C$19,MATCH(E686,COA!$A$5:$A$19,0))</f>
        <v>Liability</v>
      </c>
      <c r="G686" s="12" t="n">
        <v>70570.57</v>
      </c>
      <c r="H686" s="12" t="n">
        <v>0</v>
      </c>
      <c r="I686" s="10" t="s">
        <v>104</v>
      </c>
      <c r="J686" s="10" t="s">
        <v>1636</v>
      </c>
      <c r="K686" s="10" t="s">
        <v>1659</v>
      </c>
    </row>
    <row r="687" customFormat="false" ht="15" hidden="false" customHeight="false" outlineLevel="0" collapsed="false">
      <c r="A687" s="10" t="s">
        <v>2346</v>
      </c>
      <c r="B687" s="10" t="n">
        <v>1320</v>
      </c>
      <c r="C687" s="8" t="n">
        <v>45800</v>
      </c>
      <c r="D687" s="8" t="n">
        <v>45800</v>
      </c>
      <c r="E687" s="10" t="n">
        <v>1000</v>
      </c>
      <c r="F687" s="0" t="str">
        <f aca="false">INDEX(COA!$C$5:$C$19,MATCH(E687,COA!$A$5:$A$19,0))</f>
        <v>Asset</v>
      </c>
      <c r="G687" s="12" t="n">
        <v>0</v>
      </c>
      <c r="H687" s="12" t="n">
        <v>70570.57</v>
      </c>
      <c r="I687" s="10" t="s">
        <v>104</v>
      </c>
      <c r="J687" s="10" t="s">
        <v>1636</v>
      </c>
      <c r="K687" s="10" t="s">
        <v>1659</v>
      </c>
    </row>
    <row r="688" customFormat="false" ht="15" hidden="false" customHeight="false" outlineLevel="0" collapsed="false">
      <c r="A688" s="10" t="s">
        <v>2347</v>
      </c>
      <c r="B688" s="10" t="n">
        <v>1321</v>
      </c>
      <c r="C688" s="8" t="n">
        <v>45802</v>
      </c>
      <c r="D688" s="8" t="n">
        <v>45802</v>
      </c>
      <c r="E688" s="10" t="n">
        <v>6900</v>
      </c>
      <c r="F688" s="0" t="str">
        <f aca="false">INDEX(COA!$C$5:$C$19,MATCH(E688,COA!$A$5:$A$19,0))</f>
        <v>Expense</v>
      </c>
      <c r="G688" s="12" t="n">
        <v>106397.53</v>
      </c>
      <c r="H688" s="12" t="n">
        <v>0</v>
      </c>
      <c r="I688" s="10" t="s">
        <v>98</v>
      </c>
      <c r="J688" s="10" t="s">
        <v>1648</v>
      </c>
      <c r="K688" s="10" t="s">
        <v>2348</v>
      </c>
    </row>
    <row r="689" customFormat="false" ht="15" hidden="false" customHeight="false" outlineLevel="0" collapsed="false">
      <c r="A689" s="10" t="s">
        <v>2349</v>
      </c>
      <c r="B689" s="10" t="n">
        <v>1321</v>
      </c>
      <c r="C689" s="8" t="n">
        <v>45802</v>
      </c>
      <c r="D689" s="8" t="n">
        <v>45802</v>
      </c>
      <c r="E689" s="10" t="n">
        <v>2100</v>
      </c>
      <c r="F689" s="0" t="str">
        <f aca="false">INDEX(COA!$C$5:$C$19,MATCH(E689,COA!$A$5:$A$19,0))</f>
        <v>Liability</v>
      </c>
      <c r="G689" s="12" t="n">
        <v>0</v>
      </c>
      <c r="H689" s="12" t="n">
        <v>106397.53</v>
      </c>
      <c r="I689" s="10" t="s">
        <v>98</v>
      </c>
      <c r="J689" s="10" t="s">
        <v>1648</v>
      </c>
      <c r="K689" s="10" t="s">
        <v>2348</v>
      </c>
    </row>
    <row r="690" customFormat="false" ht="15" hidden="false" customHeight="false" outlineLevel="0" collapsed="false">
      <c r="A690" s="10" t="s">
        <v>2350</v>
      </c>
      <c r="B690" s="10" t="n">
        <v>1322</v>
      </c>
      <c r="C690" s="8" t="n">
        <v>45803</v>
      </c>
      <c r="D690" s="8" t="n">
        <v>45803</v>
      </c>
      <c r="E690" s="10" t="n">
        <v>6000</v>
      </c>
      <c r="F690" s="0" t="str">
        <f aca="false">INDEX(COA!$C$5:$C$19,MATCH(E690,COA!$A$5:$A$19,0))</f>
        <v>Expense</v>
      </c>
      <c r="G690" s="12" t="n">
        <v>240000</v>
      </c>
      <c r="H690" s="12" t="n">
        <v>0</v>
      </c>
      <c r="I690" s="10" t="s">
        <v>104</v>
      </c>
      <c r="J690" s="10" t="s">
        <v>1636</v>
      </c>
      <c r="K690" s="10" t="s">
        <v>1776</v>
      </c>
    </row>
    <row r="691" customFormat="false" ht="15" hidden="false" customHeight="false" outlineLevel="0" collapsed="false">
      <c r="A691" s="10" t="s">
        <v>2351</v>
      </c>
      <c r="B691" s="10" t="n">
        <v>1322</v>
      </c>
      <c r="C691" s="8" t="n">
        <v>45803</v>
      </c>
      <c r="D691" s="8" t="n">
        <v>45803</v>
      </c>
      <c r="E691" s="10" t="n">
        <v>1000</v>
      </c>
      <c r="F691" s="0" t="str">
        <f aca="false">INDEX(COA!$C$5:$C$19,MATCH(E691,COA!$A$5:$A$19,0))</f>
        <v>Asset</v>
      </c>
      <c r="G691" s="12" t="n">
        <v>0</v>
      </c>
      <c r="H691" s="12" t="n">
        <v>240000</v>
      </c>
      <c r="I691" s="10" t="s">
        <v>104</v>
      </c>
      <c r="J691" s="10" t="s">
        <v>1636</v>
      </c>
      <c r="K691" s="10" t="s">
        <v>1776</v>
      </c>
    </row>
    <row r="692" customFormat="false" ht="15" hidden="false" customHeight="false" outlineLevel="0" collapsed="false">
      <c r="A692" s="10" t="s">
        <v>2352</v>
      </c>
      <c r="B692" s="10" t="n">
        <v>1323</v>
      </c>
      <c r="C692" s="8" t="n">
        <v>45803</v>
      </c>
      <c r="D692" s="8" t="n">
        <v>45803</v>
      </c>
      <c r="E692" s="10" t="n">
        <v>1000</v>
      </c>
      <c r="F692" s="0" t="str">
        <f aca="false">INDEX(COA!$C$5:$C$19,MATCH(E692,COA!$A$5:$A$19,0))</f>
        <v>Asset</v>
      </c>
      <c r="G692" s="12" t="n">
        <v>2109.96</v>
      </c>
      <c r="H692" s="12" t="n">
        <v>0</v>
      </c>
      <c r="I692" s="10" t="s">
        <v>103</v>
      </c>
      <c r="J692" s="10" t="s">
        <v>1636</v>
      </c>
      <c r="K692" s="10" t="s">
        <v>1637</v>
      </c>
    </row>
    <row r="693" customFormat="false" ht="15" hidden="false" customHeight="false" outlineLevel="0" collapsed="false">
      <c r="A693" s="10" t="s">
        <v>2353</v>
      </c>
      <c r="B693" s="10" t="n">
        <v>1323</v>
      </c>
      <c r="C693" s="8" t="n">
        <v>45803</v>
      </c>
      <c r="D693" s="8" t="n">
        <v>45803</v>
      </c>
      <c r="E693" s="10" t="n">
        <v>1100</v>
      </c>
      <c r="F693" s="0" t="str">
        <f aca="false">INDEX(COA!$C$5:$C$19,MATCH(E693,COA!$A$5:$A$19,0))</f>
        <v>Asset</v>
      </c>
      <c r="G693" s="12" t="n">
        <v>0</v>
      </c>
      <c r="H693" s="12" t="n">
        <v>2109.96</v>
      </c>
      <c r="I693" s="10" t="s">
        <v>103</v>
      </c>
      <c r="J693" s="10" t="s">
        <v>1636</v>
      </c>
      <c r="K693" s="10" t="s">
        <v>1637</v>
      </c>
    </row>
    <row r="694" customFormat="false" ht="15" hidden="false" customHeight="false" outlineLevel="0" collapsed="false">
      <c r="A694" s="10" t="s">
        <v>2354</v>
      </c>
      <c r="B694" s="10" t="n">
        <v>1324</v>
      </c>
      <c r="C694" s="8" t="n">
        <v>45804</v>
      </c>
      <c r="D694" s="8" t="n">
        <v>45745</v>
      </c>
      <c r="E694" s="10" t="n">
        <v>6900</v>
      </c>
      <c r="F694" s="0" t="str">
        <f aca="false">INDEX(COA!$C$5:$C$19,MATCH(E694,COA!$A$5:$A$19,0))</f>
        <v>Expense</v>
      </c>
      <c r="G694" s="12" t="n">
        <v>407.01</v>
      </c>
      <c r="H694" s="12" t="n">
        <v>0</v>
      </c>
      <c r="I694" s="10" t="s">
        <v>98</v>
      </c>
      <c r="J694" s="10" t="s">
        <v>1648</v>
      </c>
      <c r="K694" s="10" t="s">
        <v>2355</v>
      </c>
    </row>
    <row r="695" customFormat="false" ht="15" hidden="false" customHeight="false" outlineLevel="0" collapsed="false">
      <c r="A695" s="10" t="s">
        <v>2356</v>
      </c>
      <c r="B695" s="10" t="n">
        <v>1324</v>
      </c>
      <c r="C695" s="8" t="n">
        <v>45804</v>
      </c>
      <c r="D695" s="8" t="n">
        <v>45745</v>
      </c>
      <c r="E695" s="10" t="n">
        <v>2100</v>
      </c>
      <c r="F695" s="0" t="str">
        <f aca="false">INDEX(COA!$C$5:$C$19,MATCH(E695,COA!$A$5:$A$19,0))</f>
        <v>Liability</v>
      </c>
      <c r="G695" s="12" t="n">
        <v>0</v>
      </c>
      <c r="H695" s="12" t="n">
        <v>407.01</v>
      </c>
      <c r="I695" s="10" t="s">
        <v>98</v>
      </c>
      <c r="J695" s="10" t="s">
        <v>1648</v>
      </c>
      <c r="K695" s="10" t="s">
        <v>2355</v>
      </c>
    </row>
    <row r="696" customFormat="false" ht="15" hidden="false" customHeight="false" outlineLevel="0" collapsed="false">
      <c r="A696" s="10" t="s">
        <v>2357</v>
      </c>
      <c r="B696" s="10" t="n">
        <v>1325</v>
      </c>
      <c r="C696" s="8" t="n">
        <v>45805</v>
      </c>
      <c r="D696" s="8" t="n">
        <v>45804</v>
      </c>
      <c r="E696" s="10" t="n">
        <v>2000</v>
      </c>
      <c r="F696" s="0" t="str">
        <f aca="false">INDEX(COA!$C$5:$C$19,MATCH(E696,COA!$A$5:$A$19,0))</f>
        <v>Liability</v>
      </c>
      <c r="G696" s="12" t="n">
        <v>1745.81</v>
      </c>
      <c r="H696" s="12" t="n">
        <v>0</v>
      </c>
      <c r="I696" s="10" t="s">
        <v>104</v>
      </c>
      <c r="J696" s="10" t="s">
        <v>1636</v>
      </c>
      <c r="K696" s="10" t="s">
        <v>1659</v>
      </c>
    </row>
    <row r="697" customFormat="false" ht="15" hidden="false" customHeight="false" outlineLevel="0" collapsed="false">
      <c r="A697" s="10" t="s">
        <v>2358</v>
      </c>
      <c r="B697" s="10" t="n">
        <v>1325</v>
      </c>
      <c r="C697" s="8" t="n">
        <v>45805</v>
      </c>
      <c r="D697" s="8" t="n">
        <v>45804</v>
      </c>
      <c r="E697" s="10" t="n">
        <v>2000</v>
      </c>
      <c r="F697" s="0" t="str">
        <f aca="false">INDEX(COA!$C$5:$C$19,MATCH(E697,COA!$A$5:$A$19,0))</f>
        <v>Liability</v>
      </c>
      <c r="G697" s="12" t="n">
        <v>748.2</v>
      </c>
      <c r="H697" s="12" t="n">
        <v>0</v>
      </c>
      <c r="I697" s="10" t="s">
        <v>104</v>
      </c>
      <c r="J697" s="10" t="s">
        <v>1636</v>
      </c>
      <c r="K697" s="10" t="s">
        <v>1659</v>
      </c>
    </row>
    <row r="698" customFormat="false" ht="15" hidden="false" customHeight="false" outlineLevel="0" collapsed="false">
      <c r="A698" s="10" t="s">
        <v>2359</v>
      </c>
      <c r="B698" s="10" t="n">
        <v>1325</v>
      </c>
      <c r="C698" s="8" t="n">
        <v>45805</v>
      </c>
      <c r="D698" s="8" t="n">
        <v>45804</v>
      </c>
      <c r="E698" s="10" t="n">
        <v>1000</v>
      </c>
      <c r="F698" s="0" t="str">
        <f aca="false">INDEX(COA!$C$5:$C$19,MATCH(E698,COA!$A$5:$A$19,0))</f>
        <v>Asset</v>
      </c>
      <c r="G698" s="12" t="n">
        <v>0</v>
      </c>
      <c r="H698" s="12" t="n">
        <v>2494.01</v>
      </c>
      <c r="I698" s="10" t="s">
        <v>104</v>
      </c>
      <c r="J698" s="10" t="s">
        <v>1636</v>
      </c>
      <c r="K698" s="10" t="s">
        <v>1659</v>
      </c>
    </row>
    <row r="699" customFormat="false" ht="15" hidden="false" customHeight="false" outlineLevel="0" collapsed="false">
      <c r="A699" s="10" t="s">
        <v>2360</v>
      </c>
      <c r="B699" s="10" t="n">
        <v>1326</v>
      </c>
      <c r="C699" s="8" t="n">
        <v>45805</v>
      </c>
      <c r="D699" s="8" t="n">
        <v>45802</v>
      </c>
      <c r="E699" s="10" t="n">
        <v>2000</v>
      </c>
      <c r="F699" s="0" t="str">
        <f aca="false">INDEX(COA!$C$5:$C$19,MATCH(E699,COA!$A$5:$A$19,0))</f>
        <v>Liability</v>
      </c>
      <c r="G699" s="12" t="n">
        <v>25642.4</v>
      </c>
      <c r="H699" s="12" t="n">
        <v>0</v>
      </c>
      <c r="I699" s="10" t="s">
        <v>104</v>
      </c>
      <c r="J699" s="10" t="s">
        <v>1636</v>
      </c>
      <c r="K699" s="10" t="s">
        <v>1659</v>
      </c>
    </row>
    <row r="700" customFormat="false" ht="15" hidden="false" customHeight="false" outlineLevel="0" collapsed="false">
      <c r="A700" s="10" t="s">
        <v>2361</v>
      </c>
      <c r="B700" s="10" t="n">
        <v>1326</v>
      </c>
      <c r="C700" s="8" t="n">
        <v>45805</v>
      </c>
      <c r="D700" s="8" t="n">
        <v>45802</v>
      </c>
      <c r="E700" s="10" t="n">
        <v>1000</v>
      </c>
      <c r="F700" s="0" t="str">
        <f aca="false">INDEX(COA!$C$5:$C$19,MATCH(E700,COA!$A$5:$A$19,0))</f>
        <v>Asset</v>
      </c>
      <c r="G700" s="12" t="n">
        <v>0</v>
      </c>
      <c r="H700" s="12" t="n">
        <v>25642.4</v>
      </c>
      <c r="I700" s="10" t="s">
        <v>104</v>
      </c>
      <c r="J700" s="10" t="s">
        <v>1636</v>
      </c>
      <c r="K700" s="10" t="s">
        <v>1659</v>
      </c>
    </row>
    <row r="701" customFormat="false" ht="15" hidden="false" customHeight="false" outlineLevel="0" collapsed="false">
      <c r="A701" s="10" t="s">
        <v>2362</v>
      </c>
      <c r="B701" s="10" t="n">
        <v>1327</v>
      </c>
      <c r="C701" s="8" t="n">
        <v>45805</v>
      </c>
      <c r="D701" s="8" t="n">
        <v>45802</v>
      </c>
      <c r="E701" s="10" t="n">
        <v>1100</v>
      </c>
      <c r="F701" s="0" t="str">
        <f aca="false">INDEX(COA!$C$5:$C$19,MATCH(E701,COA!$A$5:$A$19,0))</f>
        <v>Asset</v>
      </c>
      <c r="G701" s="12" t="n">
        <v>24327.54</v>
      </c>
      <c r="H701" s="12" t="n">
        <v>0</v>
      </c>
      <c r="I701" s="10" t="s">
        <v>103</v>
      </c>
      <c r="J701" s="10" t="s">
        <v>1636</v>
      </c>
      <c r="K701" s="10" t="s">
        <v>1640</v>
      </c>
    </row>
    <row r="702" customFormat="false" ht="15" hidden="false" customHeight="false" outlineLevel="0" collapsed="false">
      <c r="A702" s="10" t="s">
        <v>2363</v>
      </c>
      <c r="B702" s="10" t="n">
        <v>1327</v>
      </c>
      <c r="C702" s="8" t="n">
        <v>45805</v>
      </c>
      <c r="D702" s="8" t="n">
        <v>45802</v>
      </c>
      <c r="E702" s="10" t="n">
        <v>4000</v>
      </c>
      <c r="F702" s="0" t="str">
        <f aca="false">INDEX(COA!$C$5:$C$19,MATCH(E702,COA!$A$5:$A$19,0))</f>
        <v>Revenue</v>
      </c>
      <c r="G702" s="12" t="n">
        <v>0</v>
      </c>
      <c r="H702" s="12" t="n">
        <v>24327.54</v>
      </c>
      <c r="I702" s="10" t="s">
        <v>103</v>
      </c>
      <c r="J702" s="10" t="s">
        <v>1636</v>
      </c>
      <c r="K702" s="10" t="s">
        <v>1640</v>
      </c>
    </row>
    <row r="703" customFormat="false" ht="15" hidden="false" customHeight="false" outlineLevel="0" collapsed="false">
      <c r="A703" s="10" t="s">
        <v>2364</v>
      </c>
      <c r="B703" s="10" t="n">
        <v>1328</v>
      </c>
      <c r="C703" s="8" t="n">
        <v>45806</v>
      </c>
      <c r="D703" s="8" t="n">
        <v>45803</v>
      </c>
      <c r="E703" s="10" t="n">
        <v>1200</v>
      </c>
      <c r="F703" s="0" t="str">
        <f aca="false">INDEX(COA!$C$5:$C$19,MATCH(E703,COA!$A$5:$A$19,0))</f>
        <v>Asset</v>
      </c>
      <c r="G703" s="12" t="n">
        <v>145.69</v>
      </c>
      <c r="H703" s="12" t="n">
        <v>0</v>
      </c>
      <c r="I703" s="10" t="s">
        <v>102</v>
      </c>
      <c r="J703" s="10" t="s">
        <v>1636</v>
      </c>
      <c r="K703" s="10" t="s">
        <v>1655</v>
      </c>
    </row>
    <row r="704" customFormat="false" ht="15" hidden="false" customHeight="false" outlineLevel="0" collapsed="false">
      <c r="A704" s="10" t="s">
        <v>2365</v>
      </c>
      <c r="B704" s="10" t="n">
        <v>1328</v>
      </c>
      <c r="C704" s="8" t="n">
        <v>45806</v>
      </c>
      <c r="D704" s="8" t="n">
        <v>45803</v>
      </c>
      <c r="E704" s="10" t="n">
        <v>1200</v>
      </c>
      <c r="F704" s="0" t="str">
        <f aca="false">INDEX(COA!$C$5:$C$19,MATCH(E704,COA!$A$5:$A$19,0))</f>
        <v>Asset</v>
      </c>
      <c r="G704" s="12" t="n">
        <v>62.44</v>
      </c>
      <c r="H704" s="12" t="n">
        <v>0</v>
      </c>
      <c r="I704" s="10" t="s">
        <v>102</v>
      </c>
      <c r="J704" s="10" t="s">
        <v>1636</v>
      </c>
      <c r="K704" s="10" t="s">
        <v>1655</v>
      </c>
    </row>
    <row r="705" customFormat="false" ht="15" hidden="false" customHeight="false" outlineLevel="0" collapsed="false">
      <c r="A705" s="10" t="s">
        <v>2366</v>
      </c>
      <c r="B705" s="10" t="n">
        <v>1328</v>
      </c>
      <c r="C705" s="8" t="n">
        <v>45806</v>
      </c>
      <c r="D705" s="8" t="n">
        <v>45803</v>
      </c>
      <c r="E705" s="10" t="n">
        <v>2000</v>
      </c>
      <c r="F705" s="0" t="str">
        <f aca="false">INDEX(COA!$C$5:$C$19,MATCH(E705,COA!$A$5:$A$19,0))</f>
        <v>Liability</v>
      </c>
      <c r="G705" s="12" t="n">
        <v>0</v>
      </c>
      <c r="H705" s="12" t="n">
        <v>208.13</v>
      </c>
      <c r="I705" s="10" t="s">
        <v>102</v>
      </c>
      <c r="J705" s="10" t="s">
        <v>1636</v>
      </c>
      <c r="K705" s="10" t="s">
        <v>1655</v>
      </c>
    </row>
    <row r="706" customFormat="false" ht="15" hidden="false" customHeight="false" outlineLevel="0" collapsed="false">
      <c r="A706" s="10" t="s">
        <v>2367</v>
      </c>
      <c r="B706" s="10" t="n">
        <v>1329</v>
      </c>
      <c r="C706" s="8" t="n">
        <v>45806</v>
      </c>
      <c r="D706" s="8" t="n">
        <v>45806</v>
      </c>
      <c r="E706" s="10" t="n">
        <v>1100</v>
      </c>
      <c r="F706" s="0" t="str">
        <f aca="false">INDEX(COA!$C$5:$C$19,MATCH(E706,COA!$A$5:$A$19,0))</f>
        <v>Asset</v>
      </c>
      <c r="G706" s="12" t="n">
        <v>14611.41</v>
      </c>
      <c r="H706" s="12" t="n">
        <v>0</v>
      </c>
      <c r="I706" s="10" t="s">
        <v>103</v>
      </c>
      <c r="J706" s="10" t="s">
        <v>1636</v>
      </c>
      <c r="K706" s="10" t="s">
        <v>1640</v>
      </c>
    </row>
    <row r="707" customFormat="false" ht="15" hidden="false" customHeight="false" outlineLevel="0" collapsed="false">
      <c r="A707" s="10" t="s">
        <v>2368</v>
      </c>
      <c r="B707" s="10" t="n">
        <v>1329</v>
      </c>
      <c r="C707" s="8" t="n">
        <v>45806</v>
      </c>
      <c r="D707" s="8" t="n">
        <v>45806</v>
      </c>
      <c r="E707" s="10" t="n">
        <v>4000</v>
      </c>
      <c r="F707" s="0" t="str">
        <f aca="false">INDEX(COA!$C$5:$C$19,MATCH(E707,COA!$A$5:$A$19,0))</f>
        <v>Revenue</v>
      </c>
      <c r="G707" s="12" t="n">
        <v>0</v>
      </c>
      <c r="H707" s="12" t="n">
        <v>14611.41</v>
      </c>
      <c r="I707" s="10" t="s">
        <v>103</v>
      </c>
      <c r="J707" s="10" t="s">
        <v>1636</v>
      </c>
      <c r="K707" s="10" t="s">
        <v>1640</v>
      </c>
    </row>
    <row r="708" customFormat="false" ht="15" hidden="false" customHeight="false" outlineLevel="0" collapsed="false">
      <c r="A708" s="10" t="s">
        <v>2369</v>
      </c>
      <c r="B708" s="10" t="n">
        <v>1331</v>
      </c>
      <c r="C708" s="8" t="n">
        <v>45806</v>
      </c>
      <c r="D708" s="8" t="n">
        <v>45805</v>
      </c>
      <c r="E708" s="10" t="n">
        <v>1100</v>
      </c>
      <c r="F708" s="0" t="str">
        <f aca="false">INDEX(COA!$C$5:$C$19,MATCH(E708,COA!$A$5:$A$19,0))</f>
        <v>Asset</v>
      </c>
      <c r="G708" s="12" t="n">
        <v>373.13</v>
      </c>
      <c r="H708" s="12" t="n">
        <v>0</v>
      </c>
      <c r="I708" s="10" t="s">
        <v>103</v>
      </c>
      <c r="J708" s="10" t="s">
        <v>1636</v>
      </c>
      <c r="K708" s="10" t="s">
        <v>1640</v>
      </c>
    </row>
    <row r="709" customFormat="false" ht="15" hidden="false" customHeight="false" outlineLevel="0" collapsed="false">
      <c r="A709" s="10" t="s">
        <v>2370</v>
      </c>
      <c r="B709" s="10" t="n">
        <v>1331</v>
      </c>
      <c r="C709" s="8" t="n">
        <v>45806</v>
      </c>
      <c r="D709" s="8" t="n">
        <v>45805</v>
      </c>
      <c r="E709" s="10" t="n">
        <v>1100</v>
      </c>
      <c r="F709" s="0" t="str">
        <f aca="false">INDEX(COA!$C$5:$C$19,MATCH(E709,COA!$A$5:$A$19,0))</f>
        <v>Asset</v>
      </c>
      <c r="G709" s="12" t="n">
        <v>159.92</v>
      </c>
      <c r="H709" s="12" t="n">
        <v>0</v>
      </c>
      <c r="I709" s="10" t="s">
        <v>103</v>
      </c>
      <c r="J709" s="10" t="s">
        <v>1636</v>
      </c>
      <c r="K709" s="10" t="s">
        <v>1640</v>
      </c>
    </row>
    <row r="710" customFormat="false" ht="15" hidden="false" customHeight="false" outlineLevel="0" collapsed="false">
      <c r="A710" s="10" t="s">
        <v>2371</v>
      </c>
      <c r="B710" s="10" t="n">
        <v>1331</v>
      </c>
      <c r="C710" s="8" t="n">
        <v>45806</v>
      </c>
      <c r="D710" s="8" t="n">
        <v>45805</v>
      </c>
      <c r="E710" s="10" t="n">
        <v>4000</v>
      </c>
      <c r="F710" s="0" t="str">
        <f aca="false">INDEX(COA!$C$5:$C$19,MATCH(E710,COA!$A$5:$A$19,0))</f>
        <v>Revenue</v>
      </c>
      <c r="G710" s="12" t="n">
        <v>0</v>
      </c>
      <c r="H710" s="12" t="n">
        <v>533.05</v>
      </c>
      <c r="I710" s="10" t="s">
        <v>103</v>
      </c>
      <c r="J710" s="10" t="s">
        <v>1636</v>
      </c>
      <c r="K710" s="10" t="s">
        <v>1640</v>
      </c>
    </row>
    <row r="711" customFormat="false" ht="15" hidden="false" customHeight="false" outlineLevel="0" collapsed="false">
      <c r="A711" s="10" t="s">
        <v>2372</v>
      </c>
      <c r="B711" s="10" t="n">
        <v>1332</v>
      </c>
      <c r="C711" s="8" t="n">
        <v>45807</v>
      </c>
      <c r="D711" s="8" t="n">
        <v>45805</v>
      </c>
      <c r="E711" s="10" t="n">
        <v>1200</v>
      </c>
      <c r="F711" s="0" t="str">
        <f aca="false">INDEX(COA!$C$5:$C$19,MATCH(E711,COA!$A$5:$A$19,0))</f>
        <v>Asset</v>
      </c>
      <c r="G711" s="12" t="n">
        <v>828.94</v>
      </c>
      <c r="H711" s="12" t="n">
        <v>0</v>
      </c>
      <c r="I711" s="10" t="s">
        <v>102</v>
      </c>
      <c r="J711" s="10" t="s">
        <v>1636</v>
      </c>
    </row>
    <row r="712" customFormat="false" ht="15" hidden="false" customHeight="false" outlineLevel="0" collapsed="false">
      <c r="A712" s="10" t="s">
        <v>2373</v>
      </c>
      <c r="B712" s="10" t="n">
        <v>1332</v>
      </c>
      <c r="C712" s="8" t="n">
        <v>45807</v>
      </c>
      <c r="D712" s="8" t="n">
        <v>45805</v>
      </c>
      <c r="E712" s="10" t="n">
        <v>2000</v>
      </c>
      <c r="F712" s="0" t="str">
        <f aca="false">INDEX(COA!$C$5:$C$19,MATCH(E712,COA!$A$5:$A$19,0))</f>
        <v>Liability</v>
      </c>
      <c r="G712" s="12" t="n">
        <v>0</v>
      </c>
      <c r="H712" s="12" t="n">
        <v>828.94</v>
      </c>
      <c r="I712" s="10" t="s">
        <v>102</v>
      </c>
      <c r="J712" s="10" t="s">
        <v>1636</v>
      </c>
    </row>
    <row r="713" customFormat="false" ht="15" hidden="false" customHeight="false" outlineLevel="0" collapsed="false">
      <c r="A713" s="10" t="s">
        <v>2374</v>
      </c>
      <c r="B713" s="10" t="n">
        <v>1333</v>
      </c>
      <c r="C713" s="8" t="n">
        <v>45807</v>
      </c>
      <c r="D713" s="8" t="n">
        <v>45806</v>
      </c>
      <c r="E713" s="10" t="n">
        <v>5000</v>
      </c>
      <c r="F713" s="0" t="str">
        <f aca="false">INDEX(COA!$C$5:$C$19,MATCH(E713,COA!$A$5:$A$19,0))</f>
        <v>Expense</v>
      </c>
      <c r="G713" s="12" t="n">
        <v>378</v>
      </c>
      <c r="H713" s="12" t="n">
        <v>0</v>
      </c>
      <c r="I713" s="10" t="s">
        <v>103</v>
      </c>
      <c r="J713" s="10" t="s">
        <v>1636</v>
      </c>
      <c r="K713" s="10" t="s">
        <v>1670</v>
      </c>
    </row>
    <row r="714" customFormat="false" ht="15" hidden="false" customHeight="false" outlineLevel="0" collapsed="false">
      <c r="A714" s="10" t="s">
        <v>2375</v>
      </c>
      <c r="B714" s="10" t="n">
        <v>1333</v>
      </c>
      <c r="C714" s="8" t="n">
        <v>45807</v>
      </c>
      <c r="D714" s="8" t="n">
        <v>45806</v>
      </c>
      <c r="E714" s="10" t="n">
        <v>1200</v>
      </c>
      <c r="F714" s="0" t="str">
        <f aca="false">INDEX(COA!$C$5:$C$19,MATCH(E714,COA!$A$5:$A$19,0))</f>
        <v>Asset</v>
      </c>
      <c r="G714" s="12" t="n">
        <v>0</v>
      </c>
      <c r="H714" s="12" t="n">
        <v>378</v>
      </c>
      <c r="I714" s="10" t="s">
        <v>103</v>
      </c>
      <c r="J714" s="10" t="s">
        <v>1636</v>
      </c>
      <c r="K714" s="10" t="s">
        <v>1670</v>
      </c>
    </row>
    <row r="715" customFormat="false" ht="15" hidden="false" customHeight="false" outlineLevel="0" collapsed="false">
      <c r="A715" s="10" t="s">
        <v>2376</v>
      </c>
      <c r="B715" s="10" t="n">
        <v>1334</v>
      </c>
      <c r="C715" s="8" t="n">
        <v>45807</v>
      </c>
      <c r="D715" s="8" t="n">
        <v>45805</v>
      </c>
      <c r="E715" s="10" t="n">
        <v>1200</v>
      </c>
      <c r="F715" s="0" t="str">
        <f aca="false">INDEX(COA!$C$5:$C$19,MATCH(E715,COA!$A$5:$A$19,0))</f>
        <v>Asset</v>
      </c>
      <c r="G715" s="12" t="n">
        <v>1059.81</v>
      </c>
      <c r="H715" s="12" t="n">
        <v>0</v>
      </c>
      <c r="I715" s="10" t="s">
        <v>102</v>
      </c>
      <c r="J715" s="10" t="s">
        <v>1636</v>
      </c>
      <c r="K715" s="10" t="s">
        <v>1655</v>
      </c>
    </row>
    <row r="716" customFormat="false" ht="15" hidden="false" customHeight="false" outlineLevel="0" collapsed="false">
      <c r="A716" s="10" t="s">
        <v>2377</v>
      </c>
      <c r="B716" s="10" t="n">
        <v>1334</v>
      </c>
      <c r="C716" s="8" t="n">
        <v>45807</v>
      </c>
      <c r="D716" s="8" t="n">
        <v>45805</v>
      </c>
      <c r="E716" s="10" t="n">
        <v>1200</v>
      </c>
      <c r="F716" s="0" t="str">
        <f aca="false">INDEX(COA!$C$5:$C$19,MATCH(E716,COA!$A$5:$A$19,0))</f>
        <v>Asset</v>
      </c>
      <c r="G716" s="12" t="n">
        <v>454.21</v>
      </c>
      <c r="H716" s="12" t="n">
        <v>0</v>
      </c>
      <c r="I716" s="10" t="s">
        <v>102</v>
      </c>
      <c r="J716" s="10" t="s">
        <v>1636</v>
      </c>
      <c r="K716" s="10" t="s">
        <v>1655</v>
      </c>
    </row>
    <row r="717" customFormat="false" ht="15" hidden="false" customHeight="false" outlineLevel="0" collapsed="false">
      <c r="A717" s="10" t="s">
        <v>2378</v>
      </c>
      <c r="B717" s="10" t="n">
        <v>1334</v>
      </c>
      <c r="C717" s="8" t="n">
        <v>45807</v>
      </c>
      <c r="D717" s="8" t="n">
        <v>45805</v>
      </c>
      <c r="E717" s="10" t="n">
        <v>2000</v>
      </c>
      <c r="F717" s="0" t="str">
        <f aca="false">INDEX(COA!$C$5:$C$19,MATCH(E717,COA!$A$5:$A$19,0))</f>
        <v>Liability</v>
      </c>
      <c r="G717" s="12" t="n">
        <v>0</v>
      </c>
      <c r="H717" s="12" t="n">
        <v>1514.02</v>
      </c>
      <c r="I717" s="10" t="s">
        <v>102</v>
      </c>
      <c r="J717" s="10" t="s">
        <v>1636</v>
      </c>
      <c r="K717" s="10" t="s">
        <v>1655</v>
      </c>
    </row>
    <row r="718" customFormat="false" ht="15" hidden="false" customHeight="false" outlineLevel="0" collapsed="false">
      <c r="A718" s="10" t="s">
        <v>2379</v>
      </c>
      <c r="B718" s="10" t="n">
        <v>1335</v>
      </c>
      <c r="C718" s="8" t="n">
        <v>45807</v>
      </c>
      <c r="D718" s="8" t="n">
        <v>45806</v>
      </c>
      <c r="E718" s="10" t="n">
        <v>1200</v>
      </c>
      <c r="F718" s="0" t="str">
        <f aca="false">INDEX(COA!$C$5:$C$19,MATCH(E718,COA!$A$5:$A$19,0))</f>
        <v>Asset</v>
      </c>
      <c r="G718" s="12" t="n">
        <v>4373.6</v>
      </c>
      <c r="H718" s="12" t="n">
        <v>0</v>
      </c>
      <c r="I718" s="10" t="s">
        <v>102</v>
      </c>
      <c r="J718" s="10" t="s">
        <v>1636</v>
      </c>
      <c r="K718" s="10" t="s">
        <v>1655</v>
      </c>
    </row>
    <row r="719" customFormat="false" ht="15" hidden="false" customHeight="false" outlineLevel="0" collapsed="false">
      <c r="A719" s="10" t="s">
        <v>2380</v>
      </c>
      <c r="B719" s="10" t="n">
        <v>1335</v>
      </c>
      <c r="C719" s="8" t="n">
        <v>45807</v>
      </c>
      <c r="D719" s="8" t="n">
        <v>45806</v>
      </c>
      <c r="E719" s="10" t="n">
        <v>2000</v>
      </c>
      <c r="F719" s="0" t="str">
        <f aca="false">INDEX(COA!$C$5:$C$19,MATCH(E719,COA!$A$5:$A$19,0))</f>
        <v>Liability</v>
      </c>
      <c r="G719" s="12" t="n">
        <v>0</v>
      </c>
      <c r="H719" s="12" t="n">
        <v>4373.6</v>
      </c>
      <c r="I719" s="10" t="s">
        <v>102</v>
      </c>
      <c r="J719" s="10" t="s">
        <v>1636</v>
      </c>
      <c r="K719" s="10" t="s">
        <v>1655</v>
      </c>
    </row>
    <row r="720" customFormat="false" ht="15" hidden="false" customHeight="false" outlineLevel="0" collapsed="false">
      <c r="A720" s="10" t="s">
        <v>2381</v>
      </c>
      <c r="B720" s="10" t="n">
        <v>1336</v>
      </c>
      <c r="C720" s="8" t="n">
        <v>45807</v>
      </c>
      <c r="D720" s="8" t="n">
        <v>45804</v>
      </c>
      <c r="E720" s="10" t="n">
        <v>1200</v>
      </c>
      <c r="F720" s="0" t="str">
        <f aca="false">INDEX(COA!$C$5:$C$19,MATCH(E720,COA!$A$5:$A$19,0))</f>
        <v>Asset</v>
      </c>
      <c r="G720" s="12" t="n">
        <v>66765.9</v>
      </c>
      <c r="H720" s="12" t="n">
        <v>0</v>
      </c>
      <c r="I720" s="10" t="s">
        <v>102</v>
      </c>
      <c r="J720" s="10" t="s">
        <v>1636</v>
      </c>
      <c r="K720" s="10" t="s">
        <v>1655</v>
      </c>
    </row>
    <row r="721" customFormat="false" ht="15" hidden="false" customHeight="false" outlineLevel="0" collapsed="false">
      <c r="A721" s="10" t="s">
        <v>2382</v>
      </c>
      <c r="B721" s="10" t="n">
        <v>1336</v>
      </c>
      <c r="C721" s="8" t="n">
        <v>45807</v>
      </c>
      <c r="D721" s="8" t="n">
        <v>45804</v>
      </c>
      <c r="E721" s="10" t="n">
        <v>2000</v>
      </c>
      <c r="F721" s="0" t="str">
        <f aca="false">INDEX(COA!$C$5:$C$19,MATCH(E721,COA!$A$5:$A$19,0))</f>
        <v>Liability</v>
      </c>
      <c r="G721" s="12" t="n">
        <v>0</v>
      </c>
      <c r="H721" s="12" t="n">
        <v>66765.9</v>
      </c>
      <c r="I721" s="10" t="s">
        <v>102</v>
      </c>
      <c r="J721" s="10" t="s">
        <v>1636</v>
      </c>
      <c r="K721" s="10" t="s">
        <v>1655</v>
      </c>
    </row>
    <row r="722" customFormat="false" ht="15" hidden="false" customHeight="false" outlineLevel="0" collapsed="false">
      <c r="A722" s="10" t="s">
        <v>2383</v>
      </c>
      <c r="B722" s="10" t="n">
        <v>1337</v>
      </c>
      <c r="C722" s="8" t="n">
        <v>45809</v>
      </c>
      <c r="D722" s="8" t="n">
        <v>45809</v>
      </c>
      <c r="E722" s="10" t="n">
        <v>1000</v>
      </c>
      <c r="F722" s="0" t="str">
        <f aca="false">INDEX(COA!$C$5:$C$19,MATCH(E722,COA!$A$5:$A$19,0))</f>
        <v>Asset</v>
      </c>
      <c r="G722" s="12" t="n">
        <v>3208.39</v>
      </c>
      <c r="H722" s="12" t="n">
        <v>0</v>
      </c>
      <c r="I722" s="10" t="s">
        <v>103</v>
      </c>
      <c r="J722" s="10" t="s">
        <v>1636</v>
      </c>
      <c r="K722" s="10" t="s">
        <v>1637</v>
      </c>
    </row>
    <row r="723" customFormat="false" ht="15" hidden="false" customHeight="false" outlineLevel="0" collapsed="false">
      <c r="A723" s="10" t="s">
        <v>2384</v>
      </c>
      <c r="B723" s="10" t="n">
        <v>1337</v>
      </c>
      <c r="C723" s="8" t="n">
        <v>45809</v>
      </c>
      <c r="D723" s="8" t="n">
        <v>45809</v>
      </c>
      <c r="E723" s="10" t="n">
        <v>1100</v>
      </c>
      <c r="F723" s="0" t="str">
        <f aca="false">INDEX(COA!$C$5:$C$19,MATCH(E723,COA!$A$5:$A$19,0))</f>
        <v>Asset</v>
      </c>
      <c r="G723" s="12" t="n">
        <v>0</v>
      </c>
      <c r="H723" s="12" t="n">
        <v>3208.39</v>
      </c>
      <c r="I723" s="10" t="s">
        <v>103</v>
      </c>
      <c r="J723" s="10" t="s">
        <v>1636</v>
      </c>
      <c r="K723" s="10" t="s">
        <v>1637</v>
      </c>
    </row>
    <row r="724" customFormat="false" ht="15" hidden="false" customHeight="false" outlineLevel="0" collapsed="false">
      <c r="A724" s="10" t="s">
        <v>2385</v>
      </c>
      <c r="B724" s="10" t="n">
        <v>1338</v>
      </c>
      <c r="C724" s="8" t="n">
        <v>45810</v>
      </c>
      <c r="D724" s="8" t="n">
        <v>45806</v>
      </c>
      <c r="E724" s="10" t="n">
        <v>2100</v>
      </c>
      <c r="F724" s="0" t="str">
        <f aca="false">INDEX(COA!$C$5:$C$19,MATCH(E724,COA!$A$5:$A$19,0))</f>
        <v>Liability</v>
      </c>
      <c r="G724" s="12" t="n">
        <v>1197.37</v>
      </c>
      <c r="H724" s="12" t="n">
        <v>0</v>
      </c>
      <c r="I724" s="10" t="s">
        <v>101</v>
      </c>
      <c r="J724" s="10" t="s">
        <v>1648</v>
      </c>
      <c r="K724" s="10" t="s">
        <v>1677</v>
      </c>
    </row>
    <row r="725" customFormat="false" ht="15" hidden="false" customHeight="false" outlineLevel="0" collapsed="false">
      <c r="A725" s="10" t="s">
        <v>2386</v>
      </c>
      <c r="B725" s="10" t="n">
        <v>1338</v>
      </c>
      <c r="C725" s="8" t="n">
        <v>45810</v>
      </c>
      <c r="D725" s="8" t="n">
        <v>45806</v>
      </c>
      <c r="E725" s="10" t="n">
        <v>6900</v>
      </c>
      <c r="F725" s="0" t="str">
        <f aca="false">INDEX(COA!$C$5:$C$19,MATCH(E725,COA!$A$5:$A$19,0))</f>
        <v>Expense</v>
      </c>
      <c r="G725" s="12" t="n">
        <v>0</v>
      </c>
      <c r="H725" s="12" t="n">
        <v>1197.37</v>
      </c>
      <c r="I725" s="10" t="s">
        <v>101</v>
      </c>
      <c r="J725" s="10" t="s">
        <v>1648</v>
      </c>
      <c r="K725" s="10" t="s">
        <v>1677</v>
      </c>
    </row>
    <row r="726" customFormat="false" ht="15" hidden="false" customHeight="false" outlineLevel="0" collapsed="false">
      <c r="A726" s="10" t="s">
        <v>2387</v>
      </c>
      <c r="B726" s="10" t="n">
        <v>1339</v>
      </c>
      <c r="C726" s="8" t="n">
        <v>45810</v>
      </c>
      <c r="D726" s="8" t="n">
        <v>45807</v>
      </c>
      <c r="E726" s="10" t="n">
        <v>5000</v>
      </c>
      <c r="F726" s="0" t="str">
        <f aca="false">INDEX(COA!$C$5:$C$19,MATCH(E726,COA!$A$5:$A$19,0))</f>
        <v>Expense</v>
      </c>
      <c r="G726" s="12" t="n">
        <v>51058.92</v>
      </c>
      <c r="H726" s="12" t="n">
        <v>0</v>
      </c>
      <c r="I726" s="10" t="s">
        <v>103</v>
      </c>
      <c r="J726" s="10" t="s">
        <v>1636</v>
      </c>
      <c r="K726" s="10" t="s">
        <v>1670</v>
      </c>
    </row>
    <row r="727" customFormat="false" ht="15" hidden="false" customHeight="false" outlineLevel="0" collapsed="false">
      <c r="A727" s="10" t="s">
        <v>2388</v>
      </c>
      <c r="B727" s="10" t="n">
        <v>1339</v>
      </c>
      <c r="C727" s="8" t="n">
        <v>45810</v>
      </c>
      <c r="D727" s="8" t="n">
        <v>45807</v>
      </c>
      <c r="E727" s="10" t="n">
        <v>1200</v>
      </c>
      <c r="F727" s="0" t="str">
        <f aca="false">INDEX(COA!$C$5:$C$19,MATCH(E727,COA!$A$5:$A$19,0))</f>
        <v>Asset</v>
      </c>
      <c r="G727" s="12" t="n">
        <v>0</v>
      </c>
      <c r="H727" s="12" t="n">
        <v>51058.92</v>
      </c>
      <c r="I727" s="10" t="s">
        <v>103</v>
      </c>
      <c r="J727" s="10" t="s">
        <v>1636</v>
      </c>
      <c r="K727" s="10" t="s">
        <v>1670</v>
      </c>
    </row>
    <row r="728" customFormat="false" ht="15" hidden="false" customHeight="false" outlineLevel="0" collapsed="false">
      <c r="A728" s="10" t="s">
        <v>2389</v>
      </c>
      <c r="B728" s="10" t="n">
        <v>1340</v>
      </c>
      <c r="C728" s="8" t="n">
        <v>45811</v>
      </c>
      <c r="D728" s="8" t="n">
        <v>45808</v>
      </c>
      <c r="E728" s="10" t="n">
        <v>1100</v>
      </c>
      <c r="F728" s="0" t="str">
        <f aca="false">INDEX(COA!$C$5:$C$19,MATCH(E728,COA!$A$5:$A$19,0))</f>
        <v>Asset</v>
      </c>
      <c r="G728" s="12" t="n">
        <v>8919.21</v>
      </c>
      <c r="H728" s="12" t="n">
        <v>0</v>
      </c>
      <c r="I728" s="10" t="s">
        <v>103</v>
      </c>
      <c r="J728" s="10" t="s">
        <v>1636</v>
      </c>
      <c r="K728" s="10" t="s">
        <v>1640</v>
      </c>
    </row>
    <row r="729" customFormat="false" ht="15" hidden="false" customHeight="false" outlineLevel="0" collapsed="false">
      <c r="A729" s="10" t="s">
        <v>2390</v>
      </c>
      <c r="B729" s="10" t="n">
        <v>1340</v>
      </c>
      <c r="C729" s="8" t="n">
        <v>45811</v>
      </c>
      <c r="D729" s="8" t="n">
        <v>45808</v>
      </c>
      <c r="E729" s="10" t="n">
        <v>4000</v>
      </c>
      <c r="F729" s="0" t="str">
        <f aca="false">INDEX(COA!$C$5:$C$19,MATCH(E729,COA!$A$5:$A$19,0))</f>
        <v>Revenue</v>
      </c>
      <c r="G729" s="12" t="n">
        <v>0</v>
      </c>
      <c r="H729" s="12" t="n">
        <v>8919.21</v>
      </c>
      <c r="I729" s="10" t="s">
        <v>103</v>
      </c>
      <c r="J729" s="10" t="s">
        <v>1636</v>
      </c>
      <c r="K729" s="10" t="s">
        <v>1640</v>
      </c>
    </row>
    <row r="730" customFormat="false" ht="15" hidden="false" customHeight="false" outlineLevel="0" collapsed="false">
      <c r="A730" s="10" t="s">
        <v>2391</v>
      </c>
      <c r="B730" s="10" t="n">
        <v>1341</v>
      </c>
      <c r="C730" s="8" t="n">
        <v>45811</v>
      </c>
      <c r="D730" s="8" t="n">
        <v>45808</v>
      </c>
      <c r="E730" s="10" t="n">
        <v>6900</v>
      </c>
      <c r="F730" s="0" t="str">
        <f aca="false">INDEX(COA!$C$5:$C$19,MATCH(E730,COA!$A$5:$A$19,0))</f>
        <v>Expense</v>
      </c>
      <c r="G730" s="12" t="n">
        <v>3368.94</v>
      </c>
      <c r="H730" s="12" t="n">
        <v>0</v>
      </c>
      <c r="I730" s="10" t="s">
        <v>101</v>
      </c>
      <c r="J730" s="10" t="s">
        <v>1648</v>
      </c>
      <c r="K730" s="10" t="s">
        <v>1649</v>
      </c>
    </row>
    <row r="731" customFormat="false" ht="15" hidden="false" customHeight="false" outlineLevel="0" collapsed="false">
      <c r="A731" s="10" t="s">
        <v>2392</v>
      </c>
      <c r="B731" s="10" t="n">
        <v>1341</v>
      </c>
      <c r="C731" s="8" t="n">
        <v>45811</v>
      </c>
      <c r="D731" s="8" t="n">
        <v>45808</v>
      </c>
      <c r="E731" s="10" t="n">
        <v>6900</v>
      </c>
      <c r="F731" s="0" t="str">
        <f aca="false">INDEX(COA!$C$5:$C$19,MATCH(E731,COA!$A$5:$A$19,0))</f>
        <v>Expense</v>
      </c>
      <c r="G731" s="12" t="n">
        <v>1443.83</v>
      </c>
      <c r="H731" s="12" t="n">
        <v>0</v>
      </c>
      <c r="I731" s="10" t="s">
        <v>101</v>
      </c>
      <c r="J731" s="10" t="s">
        <v>1648</v>
      </c>
      <c r="K731" s="10" t="s">
        <v>1649</v>
      </c>
    </row>
    <row r="732" customFormat="false" ht="15" hidden="false" customHeight="false" outlineLevel="0" collapsed="false">
      <c r="A732" s="10" t="s">
        <v>2393</v>
      </c>
      <c r="B732" s="10" t="n">
        <v>1341</v>
      </c>
      <c r="C732" s="8" t="n">
        <v>45811</v>
      </c>
      <c r="D732" s="8" t="n">
        <v>45808</v>
      </c>
      <c r="E732" s="10" t="n">
        <v>2100</v>
      </c>
      <c r="F732" s="0" t="str">
        <f aca="false">INDEX(COA!$C$5:$C$19,MATCH(E732,COA!$A$5:$A$19,0))</f>
        <v>Liability</v>
      </c>
      <c r="G732" s="12" t="n">
        <v>0</v>
      </c>
      <c r="H732" s="12" t="n">
        <v>4812.77</v>
      </c>
      <c r="I732" s="10" t="s">
        <v>101</v>
      </c>
      <c r="J732" s="10" t="s">
        <v>1648</v>
      </c>
      <c r="K732" s="10" t="s">
        <v>1649</v>
      </c>
    </row>
    <row r="733" customFormat="false" ht="15" hidden="false" customHeight="false" outlineLevel="0" collapsed="false">
      <c r="A733" s="10" t="s">
        <v>2394</v>
      </c>
      <c r="B733" s="10" t="n">
        <v>1342</v>
      </c>
      <c r="C733" s="8" t="n">
        <v>45811</v>
      </c>
      <c r="D733" s="8" t="n">
        <v>45807</v>
      </c>
      <c r="E733" s="10" t="n">
        <v>2000</v>
      </c>
      <c r="F733" s="0" t="str">
        <f aca="false">INDEX(COA!$C$5:$C$19,MATCH(E733,COA!$A$5:$A$19,0))</f>
        <v>Liability</v>
      </c>
      <c r="G733" s="12" t="n">
        <v>25040.79</v>
      </c>
      <c r="H733" s="12" t="n">
        <v>0</v>
      </c>
      <c r="I733" s="10" t="s">
        <v>104</v>
      </c>
      <c r="J733" s="10" t="s">
        <v>1636</v>
      </c>
      <c r="K733" s="10" t="s">
        <v>1659</v>
      </c>
    </row>
    <row r="734" customFormat="false" ht="15" hidden="false" customHeight="false" outlineLevel="0" collapsed="false">
      <c r="A734" s="10" t="s">
        <v>2395</v>
      </c>
      <c r="B734" s="10" t="n">
        <v>1342</v>
      </c>
      <c r="C734" s="8" t="n">
        <v>45811</v>
      </c>
      <c r="D734" s="8" t="n">
        <v>45807</v>
      </c>
      <c r="E734" s="10" t="n">
        <v>1000</v>
      </c>
      <c r="F734" s="0" t="str">
        <f aca="false">INDEX(COA!$C$5:$C$19,MATCH(E734,COA!$A$5:$A$19,0))</f>
        <v>Asset</v>
      </c>
      <c r="G734" s="12" t="n">
        <v>0</v>
      </c>
      <c r="H734" s="12" t="n">
        <v>25040.79</v>
      </c>
      <c r="I734" s="10" t="s">
        <v>104</v>
      </c>
      <c r="J734" s="10" t="s">
        <v>1636</v>
      </c>
      <c r="K734" s="10" t="s">
        <v>1659</v>
      </c>
    </row>
    <row r="735" customFormat="false" ht="15" hidden="false" customHeight="false" outlineLevel="0" collapsed="false">
      <c r="A735" s="10" t="s">
        <v>2396</v>
      </c>
      <c r="B735" s="10" t="n">
        <v>1343</v>
      </c>
      <c r="C735" s="8" t="n">
        <v>45811</v>
      </c>
      <c r="D735" s="8" t="n">
        <v>45810</v>
      </c>
      <c r="E735" s="10" t="n">
        <v>2000</v>
      </c>
      <c r="F735" s="0" t="str">
        <f aca="false">INDEX(COA!$C$5:$C$19,MATCH(E735,COA!$A$5:$A$19,0))</f>
        <v>Liability</v>
      </c>
      <c r="G735" s="12" t="n">
        <v>552.62</v>
      </c>
      <c r="H735" s="12" t="n">
        <v>0</v>
      </c>
      <c r="I735" s="10" t="s">
        <v>104</v>
      </c>
      <c r="J735" s="10" t="s">
        <v>1636</v>
      </c>
      <c r="K735" s="10" t="s">
        <v>1659</v>
      </c>
    </row>
    <row r="736" customFormat="false" ht="15" hidden="false" customHeight="false" outlineLevel="0" collapsed="false">
      <c r="A736" s="10" t="s">
        <v>2397</v>
      </c>
      <c r="B736" s="10" t="n">
        <v>1343</v>
      </c>
      <c r="C736" s="8" t="n">
        <v>45811</v>
      </c>
      <c r="D736" s="8" t="n">
        <v>45810</v>
      </c>
      <c r="E736" s="10" t="n">
        <v>2000</v>
      </c>
      <c r="F736" s="0" t="str">
        <f aca="false">INDEX(COA!$C$5:$C$19,MATCH(E736,COA!$A$5:$A$19,0))</f>
        <v>Liability</v>
      </c>
      <c r="G736" s="12" t="n">
        <v>236.84</v>
      </c>
      <c r="H736" s="12" t="n">
        <v>0</v>
      </c>
      <c r="I736" s="10" t="s">
        <v>104</v>
      </c>
      <c r="J736" s="10" t="s">
        <v>1636</v>
      </c>
      <c r="K736" s="10" t="s">
        <v>1659</v>
      </c>
    </row>
    <row r="737" customFormat="false" ht="15" hidden="false" customHeight="false" outlineLevel="0" collapsed="false">
      <c r="A737" s="10" t="s">
        <v>2398</v>
      </c>
      <c r="B737" s="10" t="n">
        <v>1343</v>
      </c>
      <c r="C737" s="8" t="n">
        <v>45811</v>
      </c>
      <c r="D737" s="8" t="n">
        <v>45810</v>
      </c>
      <c r="E737" s="10" t="n">
        <v>1000</v>
      </c>
      <c r="F737" s="0" t="str">
        <f aca="false">INDEX(COA!$C$5:$C$19,MATCH(E737,COA!$A$5:$A$19,0))</f>
        <v>Asset</v>
      </c>
      <c r="G737" s="12" t="n">
        <v>0</v>
      </c>
      <c r="H737" s="12" t="n">
        <v>789.46</v>
      </c>
      <c r="I737" s="10" t="s">
        <v>104</v>
      </c>
      <c r="J737" s="10" t="s">
        <v>1636</v>
      </c>
      <c r="K737" s="10" t="s">
        <v>1659</v>
      </c>
    </row>
    <row r="738" customFormat="false" ht="15" hidden="false" customHeight="false" outlineLevel="0" collapsed="false">
      <c r="A738" s="10" t="s">
        <v>2399</v>
      </c>
      <c r="B738" s="10" t="n">
        <v>1344</v>
      </c>
      <c r="C738" s="8" t="n">
        <v>45812</v>
      </c>
      <c r="D738" s="8" t="n">
        <v>45809</v>
      </c>
      <c r="E738" s="10" t="n">
        <v>1200</v>
      </c>
      <c r="F738" s="0" t="str">
        <f aca="false">INDEX(COA!$C$5:$C$19,MATCH(E738,COA!$A$5:$A$19,0))</f>
        <v>Asset</v>
      </c>
      <c r="G738" s="12" t="n">
        <v>4707.17</v>
      </c>
      <c r="H738" s="12" t="n">
        <v>0</v>
      </c>
      <c r="I738" s="10" t="s">
        <v>102</v>
      </c>
      <c r="J738" s="10" t="s">
        <v>1636</v>
      </c>
      <c r="K738" s="10" t="s">
        <v>1655</v>
      </c>
    </row>
    <row r="739" customFormat="false" ht="15" hidden="false" customHeight="false" outlineLevel="0" collapsed="false">
      <c r="A739" s="10" t="s">
        <v>2400</v>
      </c>
      <c r="B739" s="10" t="n">
        <v>1344</v>
      </c>
      <c r="C739" s="8" t="n">
        <v>45812</v>
      </c>
      <c r="D739" s="8" t="n">
        <v>45809</v>
      </c>
      <c r="E739" s="10" t="n">
        <v>2000</v>
      </c>
      <c r="F739" s="0" t="str">
        <f aca="false">INDEX(COA!$C$5:$C$19,MATCH(E739,COA!$A$5:$A$19,0))</f>
        <v>Liability</v>
      </c>
      <c r="G739" s="12" t="n">
        <v>0</v>
      </c>
      <c r="H739" s="12" t="n">
        <v>4707.17</v>
      </c>
      <c r="I739" s="10" t="s">
        <v>102</v>
      </c>
      <c r="J739" s="10" t="s">
        <v>1636</v>
      </c>
      <c r="K739" s="10" t="s">
        <v>1655</v>
      </c>
    </row>
    <row r="740" customFormat="false" ht="15" hidden="false" customHeight="false" outlineLevel="0" collapsed="false">
      <c r="A740" s="10" t="s">
        <v>2401</v>
      </c>
      <c r="B740" s="10" t="n">
        <v>1345</v>
      </c>
      <c r="C740" s="8" t="n">
        <v>45812</v>
      </c>
      <c r="D740" s="8" t="n">
        <v>45808</v>
      </c>
      <c r="E740" s="10" t="n">
        <v>1100</v>
      </c>
      <c r="F740" s="0" t="str">
        <f aca="false">INDEX(COA!$C$5:$C$19,MATCH(E740,COA!$A$5:$A$19,0))</f>
        <v>Asset</v>
      </c>
      <c r="G740" s="12" t="n">
        <v>101146.48</v>
      </c>
      <c r="H740" s="12" t="n">
        <v>0</v>
      </c>
      <c r="I740" s="10" t="s">
        <v>103</v>
      </c>
      <c r="J740" s="10" t="s">
        <v>1636</v>
      </c>
      <c r="K740" s="10" t="s">
        <v>1640</v>
      </c>
    </row>
    <row r="741" customFormat="false" ht="15" hidden="false" customHeight="false" outlineLevel="0" collapsed="false">
      <c r="A741" s="10" t="s">
        <v>2402</v>
      </c>
      <c r="B741" s="10" t="n">
        <v>1345</v>
      </c>
      <c r="C741" s="8" t="n">
        <v>45812</v>
      </c>
      <c r="D741" s="8" t="n">
        <v>45808</v>
      </c>
      <c r="E741" s="10" t="n">
        <v>4000</v>
      </c>
      <c r="F741" s="0" t="str">
        <f aca="false">INDEX(COA!$C$5:$C$19,MATCH(E741,COA!$A$5:$A$19,0))</f>
        <v>Revenue</v>
      </c>
      <c r="G741" s="12" t="n">
        <v>0</v>
      </c>
      <c r="H741" s="12" t="n">
        <v>101146.48</v>
      </c>
      <c r="I741" s="10" t="s">
        <v>103</v>
      </c>
      <c r="J741" s="10" t="s">
        <v>1636</v>
      </c>
      <c r="K741" s="10" t="s">
        <v>1640</v>
      </c>
    </row>
    <row r="742" customFormat="false" ht="15" hidden="false" customHeight="false" outlineLevel="0" collapsed="false">
      <c r="A742" s="10" t="s">
        <v>2403</v>
      </c>
      <c r="B742" s="10" t="n">
        <v>1346</v>
      </c>
      <c r="C742" s="8" t="n">
        <v>45812</v>
      </c>
      <c r="D742" s="8" t="n">
        <v>45812</v>
      </c>
      <c r="E742" s="10" t="n">
        <v>1100</v>
      </c>
      <c r="F742" s="0" t="str">
        <f aca="false">INDEX(COA!$C$5:$C$19,MATCH(E742,COA!$A$5:$A$19,0))</f>
        <v>Asset</v>
      </c>
      <c r="G742" s="12" t="n">
        <v>20751.92</v>
      </c>
      <c r="H742" s="12" t="n">
        <v>0</v>
      </c>
      <c r="I742" s="10" t="s">
        <v>103</v>
      </c>
      <c r="J742" s="10" t="s">
        <v>1636</v>
      </c>
      <c r="K742" s="10" t="s">
        <v>1640</v>
      </c>
    </row>
    <row r="743" customFormat="false" ht="15" hidden="false" customHeight="false" outlineLevel="0" collapsed="false">
      <c r="A743" s="10" t="s">
        <v>2404</v>
      </c>
      <c r="B743" s="10" t="n">
        <v>1346</v>
      </c>
      <c r="C743" s="8" t="n">
        <v>45812</v>
      </c>
      <c r="D743" s="8" t="n">
        <v>45812</v>
      </c>
      <c r="E743" s="10" t="n">
        <v>4000</v>
      </c>
      <c r="F743" s="0" t="str">
        <f aca="false">INDEX(COA!$C$5:$C$19,MATCH(E743,COA!$A$5:$A$19,0))</f>
        <v>Revenue</v>
      </c>
      <c r="G743" s="12" t="n">
        <v>0</v>
      </c>
      <c r="H743" s="12" t="n">
        <v>20751.92</v>
      </c>
      <c r="I743" s="10" t="s">
        <v>103</v>
      </c>
      <c r="J743" s="10" t="s">
        <v>1636</v>
      </c>
      <c r="K743" s="10" t="s">
        <v>1640</v>
      </c>
    </row>
    <row r="744" customFormat="false" ht="15" hidden="false" customHeight="false" outlineLevel="0" collapsed="false">
      <c r="A744" s="10" t="s">
        <v>2405</v>
      </c>
      <c r="B744" s="10" t="n">
        <v>1347</v>
      </c>
      <c r="C744" s="8" t="n">
        <v>45812</v>
      </c>
      <c r="D744" s="8" t="n">
        <v>45811</v>
      </c>
      <c r="E744" s="10" t="n">
        <v>1100</v>
      </c>
      <c r="F744" s="0" t="str">
        <f aca="false">INDEX(COA!$C$5:$C$19,MATCH(E744,COA!$A$5:$A$19,0))</f>
        <v>Asset</v>
      </c>
      <c r="G744" s="12" t="n">
        <v>524.81</v>
      </c>
      <c r="H744" s="12" t="n">
        <v>0</v>
      </c>
      <c r="I744" s="10" t="s">
        <v>103</v>
      </c>
      <c r="J744" s="10" t="s">
        <v>1636</v>
      </c>
      <c r="K744" s="10" t="s">
        <v>1640</v>
      </c>
    </row>
    <row r="745" customFormat="false" ht="15" hidden="false" customHeight="false" outlineLevel="0" collapsed="false">
      <c r="A745" s="10" t="s">
        <v>2406</v>
      </c>
      <c r="B745" s="10" t="n">
        <v>1347</v>
      </c>
      <c r="C745" s="8" t="n">
        <v>45812</v>
      </c>
      <c r="D745" s="8" t="n">
        <v>45811</v>
      </c>
      <c r="E745" s="10" t="n">
        <v>4000</v>
      </c>
      <c r="F745" s="0" t="str">
        <f aca="false">INDEX(COA!$C$5:$C$19,MATCH(E745,COA!$A$5:$A$19,0))</f>
        <v>Revenue</v>
      </c>
      <c r="G745" s="12" t="n">
        <v>0</v>
      </c>
      <c r="H745" s="12" t="n">
        <v>524.81</v>
      </c>
      <c r="I745" s="10" t="s">
        <v>103</v>
      </c>
      <c r="J745" s="10" t="s">
        <v>1636</v>
      </c>
      <c r="K745" s="10" t="s">
        <v>1640</v>
      </c>
    </row>
    <row r="746" customFormat="false" ht="15" hidden="false" customHeight="false" outlineLevel="0" collapsed="false">
      <c r="A746" s="10" t="s">
        <v>2407</v>
      </c>
      <c r="B746" s="10" t="n">
        <v>1348</v>
      </c>
      <c r="C746" s="8" t="n">
        <v>45812</v>
      </c>
      <c r="D746" s="8" t="n">
        <v>45810</v>
      </c>
      <c r="E746" s="10" t="n">
        <v>1500</v>
      </c>
      <c r="F746" s="0" t="str">
        <f aca="false">INDEX(COA!$C$5:$C$19,MATCH(E746,COA!$A$5:$A$19,0))</f>
        <v>Asset</v>
      </c>
      <c r="G746" s="12" t="n">
        <v>3947.64</v>
      </c>
      <c r="H746" s="12" t="n">
        <v>0</v>
      </c>
      <c r="I746" s="10" t="s">
        <v>102</v>
      </c>
      <c r="J746" s="10" t="s">
        <v>1636</v>
      </c>
      <c r="K746" s="10" t="s">
        <v>1716</v>
      </c>
    </row>
    <row r="747" customFormat="false" ht="15" hidden="false" customHeight="false" outlineLevel="0" collapsed="false">
      <c r="A747" s="10" t="s">
        <v>2408</v>
      </c>
      <c r="B747" s="10" t="n">
        <v>1348</v>
      </c>
      <c r="C747" s="8" t="n">
        <v>45812</v>
      </c>
      <c r="D747" s="8" t="n">
        <v>45810</v>
      </c>
      <c r="E747" s="10" t="n">
        <v>1500</v>
      </c>
      <c r="F747" s="0" t="str">
        <f aca="false">INDEX(COA!$C$5:$C$19,MATCH(E747,COA!$A$5:$A$19,0))</f>
        <v>Asset</v>
      </c>
      <c r="G747" s="12" t="n">
        <v>1691.84</v>
      </c>
      <c r="H747" s="12" t="n">
        <v>0</v>
      </c>
      <c r="I747" s="10" t="s">
        <v>102</v>
      </c>
      <c r="J747" s="10" t="s">
        <v>1636</v>
      </c>
      <c r="K747" s="10" t="s">
        <v>1716</v>
      </c>
    </row>
    <row r="748" customFormat="false" ht="15" hidden="false" customHeight="false" outlineLevel="0" collapsed="false">
      <c r="A748" s="10" t="s">
        <v>2409</v>
      </c>
      <c r="B748" s="10" t="n">
        <v>1348</v>
      </c>
      <c r="C748" s="8" t="n">
        <v>45812</v>
      </c>
      <c r="D748" s="8" t="n">
        <v>45810</v>
      </c>
      <c r="E748" s="10" t="n">
        <v>2000</v>
      </c>
      <c r="F748" s="0" t="str">
        <f aca="false">INDEX(COA!$C$5:$C$19,MATCH(E748,COA!$A$5:$A$19,0))</f>
        <v>Liability</v>
      </c>
      <c r="G748" s="12" t="n">
        <v>0</v>
      </c>
      <c r="H748" s="12" t="n">
        <v>5639.48</v>
      </c>
      <c r="I748" s="10" t="s">
        <v>102</v>
      </c>
      <c r="J748" s="10" t="s">
        <v>1636</v>
      </c>
      <c r="K748" s="10" t="s">
        <v>1716</v>
      </c>
    </row>
    <row r="749" customFormat="false" ht="15" hidden="false" customHeight="false" outlineLevel="0" collapsed="false">
      <c r="A749" s="10" t="s">
        <v>2410</v>
      </c>
      <c r="B749" s="10" t="n">
        <v>1349</v>
      </c>
      <c r="C749" s="8" t="n">
        <v>45813</v>
      </c>
      <c r="D749" s="8" t="n">
        <v>45813</v>
      </c>
      <c r="E749" s="10" t="n">
        <v>1200</v>
      </c>
      <c r="F749" s="0" t="str">
        <f aca="false">INDEX(COA!$C$5:$C$19,MATCH(E749,COA!$A$5:$A$19,0))</f>
        <v>Asset</v>
      </c>
      <c r="G749" s="12" t="n">
        <v>4916.97</v>
      </c>
      <c r="H749" s="12" t="n">
        <v>0</v>
      </c>
      <c r="I749" s="10" t="s">
        <v>102</v>
      </c>
      <c r="J749" s="10" t="s">
        <v>1636</v>
      </c>
      <c r="K749" s="10" t="s">
        <v>1655</v>
      </c>
    </row>
    <row r="750" customFormat="false" ht="15" hidden="false" customHeight="false" outlineLevel="0" collapsed="false">
      <c r="A750" s="10" t="s">
        <v>2411</v>
      </c>
      <c r="B750" s="10" t="n">
        <v>1349</v>
      </c>
      <c r="C750" s="8" t="n">
        <v>45813</v>
      </c>
      <c r="D750" s="8" t="n">
        <v>45813</v>
      </c>
      <c r="E750" s="10" t="n">
        <v>2000</v>
      </c>
      <c r="F750" s="0" t="str">
        <f aca="false">INDEX(COA!$C$5:$C$19,MATCH(E750,COA!$A$5:$A$19,0))</f>
        <v>Liability</v>
      </c>
      <c r="G750" s="12" t="n">
        <v>0</v>
      </c>
      <c r="H750" s="12" t="n">
        <v>4916.97</v>
      </c>
      <c r="I750" s="10" t="s">
        <v>102</v>
      </c>
      <c r="J750" s="10" t="s">
        <v>1636</v>
      </c>
      <c r="K750" s="10" t="s">
        <v>1655</v>
      </c>
    </row>
    <row r="751" customFormat="false" ht="15" hidden="false" customHeight="false" outlineLevel="0" collapsed="false">
      <c r="A751" s="10" t="s">
        <v>2412</v>
      </c>
      <c r="B751" s="10" t="n">
        <v>1350</v>
      </c>
      <c r="C751" s="8" t="n">
        <v>45813</v>
      </c>
      <c r="D751" s="8" t="n">
        <v>45813</v>
      </c>
      <c r="E751" s="10" t="n">
        <v>6900</v>
      </c>
      <c r="F751" s="0" t="str">
        <f aca="false">INDEX(COA!$C$5:$C$19,MATCH(E751,COA!$A$5:$A$19,0))</f>
        <v>Expense</v>
      </c>
      <c r="G751" s="12" t="n">
        <v>1578.31</v>
      </c>
      <c r="H751" s="12" t="n">
        <v>0</v>
      </c>
      <c r="I751" s="10" t="s">
        <v>1919</v>
      </c>
      <c r="J751" s="10" t="s">
        <v>1648</v>
      </c>
      <c r="K751" s="10" t="s">
        <v>2413</v>
      </c>
    </row>
    <row r="752" customFormat="false" ht="15" hidden="false" customHeight="false" outlineLevel="0" collapsed="false">
      <c r="A752" s="10" t="s">
        <v>2414</v>
      </c>
      <c r="B752" s="10" t="n">
        <v>1350</v>
      </c>
      <c r="C752" s="8" t="n">
        <v>45813</v>
      </c>
      <c r="D752" s="8" t="n">
        <v>45813</v>
      </c>
      <c r="E752" s="10" t="n">
        <v>2100</v>
      </c>
      <c r="F752" s="0" t="str">
        <f aca="false">INDEX(COA!$C$5:$C$19,MATCH(E752,COA!$A$5:$A$19,0))</f>
        <v>Liability</v>
      </c>
      <c r="G752" s="12" t="n">
        <v>0</v>
      </c>
      <c r="H752" s="12" t="n">
        <v>1578.31</v>
      </c>
      <c r="I752" s="10" t="s">
        <v>1919</v>
      </c>
      <c r="J752" s="10" t="s">
        <v>1648</v>
      </c>
      <c r="K752" s="10" t="s">
        <v>2413</v>
      </c>
    </row>
    <row r="753" customFormat="false" ht="15" hidden="false" customHeight="false" outlineLevel="0" collapsed="false">
      <c r="A753" s="10" t="s">
        <v>2415</v>
      </c>
      <c r="B753" s="10" t="n">
        <v>1351</v>
      </c>
      <c r="C753" s="8" t="n">
        <v>45813</v>
      </c>
      <c r="D753" s="8" t="n">
        <v>45809</v>
      </c>
      <c r="E753" s="10" t="n">
        <v>1200</v>
      </c>
      <c r="F753" s="0" t="str">
        <f aca="false">INDEX(COA!$C$5:$C$19,MATCH(E753,COA!$A$5:$A$19,0))</f>
        <v>Asset</v>
      </c>
      <c r="G753" s="12" t="n">
        <v>5104.59</v>
      </c>
      <c r="H753" s="12" t="n">
        <v>0</v>
      </c>
      <c r="I753" s="10" t="s">
        <v>102</v>
      </c>
      <c r="J753" s="10" t="s">
        <v>1636</v>
      </c>
      <c r="K753" s="10" t="s">
        <v>1655</v>
      </c>
    </row>
    <row r="754" customFormat="false" ht="15" hidden="false" customHeight="false" outlineLevel="0" collapsed="false">
      <c r="A754" s="10" t="s">
        <v>2416</v>
      </c>
      <c r="B754" s="10" t="n">
        <v>1351</v>
      </c>
      <c r="C754" s="8" t="n">
        <v>45813</v>
      </c>
      <c r="D754" s="8" t="n">
        <v>45809</v>
      </c>
      <c r="E754" s="10" t="n">
        <v>2000</v>
      </c>
      <c r="F754" s="0" t="str">
        <f aca="false">INDEX(COA!$C$5:$C$19,MATCH(E754,COA!$A$5:$A$19,0))</f>
        <v>Liability</v>
      </c>
      <c r="G754" s="12" t="n">
        <v>0</v>
      </c>
      <c r="H754" s="12" t="n">
        <v>5104.59</v>
      </c>
      <c r="I754" s="10" t="s">
        <v>102</v>
      </c>
      <c r="J754" s="10" t="s">
        <v>1636</v>
      </c>
      <c r="K754" s="10" t="s">
        <v>1655</v>
      </c>
    </row>
    <row r="755" customFormat="false" ht="15" hidden="false" customHeight="false" outlineLevel="0" collapsed="false">
      <c r="A755" s="10" t="s">
        <v>2417</v>
      </c>
      <c r="B755" s="10" t="n">
        <v>1352</v>
      </c>
      <c r="C755" s="8" t="n">
        <v>45814</v>
      </c>
      <c r="D755" s="8" t="n">
        <v>45813</v>
      </c>
      <c r="E755" s="10" t="n">
        <v>1000</v>
      </c>
      <c r="F755" s="0" t="str">
        <f aca="false">INDEX(COA!$C$5:$C$19,MATCH(E755,COA!$A$5:$A$19,0))</f>
        <v>Asset</v>
      </c>
      <c r="G755" s="12" t="n">
        <v>220.58</v>
      </c>
      <c r="H755" s="12" t="n">
        <v>0</v>
      </c>
      <c r="I755" s="10" t="s">
        <v>103</v>
      </c>
      <c r="J755" s="10" t="s">
        <v>1636</v>
      </c>
      <c r="K755" s="10" t="s">
        <v>1637</v>
      </c>
    </row>
    <row r="756" customFormat="false" ht="15" hidden="false" customHeight="false" outlineLevel="0" collapsed="false">
      <c r="A756" s="10" t="s">
        <v>2418</v>
      </c>
      <c r="B756" s="10" t="n">
        <v>1352</v>
      </c>
      <c r="C756" s="8" t="n">
        <v>45814</v>
      </c>
      <c r="D756" s="8" t="n">
        <v>45813</v>
      </c>
      <c r="E756" s="10" t="n">
        <v>1100</v>
      </c>
      <c r="F756" s="0" t="str">
        <f aca="false">INDEX(COA!$C$5:$C$19,MATCH(E756,COA!$A$5:$A$19,0))</f>
        <v>Asset</v>
      </c>
      <c r="G756" s="12" t="n">
        <v>0</v>
      </c>
      <c r="H756" s="12" t="n">
        <v>220.58</v>
      </c>
      <c r="I756" s="10" t="s">
        <v>103</v>
      </c>
      <c r="J756" s="10" t="s">
        <v>1636</v>
      </c>
      <c r="K756" s="10" t="s">
        <v>1637</v>
      </c>
    </row>
    <row r="757" customFormat="false" ht="15" hidden="false" customHeight="false" outlineLevel="0" collapsed="false">
      <c r="A757" s="10" t="s">
        <v>2419</v>
      </c>
      <c r="B757" s="10" t="n">
        <v>1353</v>
      </c>
      <c r="C757" s="8" t="n">
        <v>45814</v>
      </c>
      <c r="D757" s="8" t="n">
        <v>45810</v>
      </c>
      <c r="E757" s="10" t="n">
        <v>5000</v>
      </c>
      <c r="F757" s="0" t="str">
        <f aca="false">INDEX(COA!$C$5:$C$19,MATCH(E757,COA!$A$5:$A$19,0))</f>
        <v>Expense</v>
      </c>
      <c r="G757" s="12" t="n">
        <v>1010.72</v>
      </c>
      <c r="H757" s="12" t="n">
        <v>0</v>
      </c>
      <c r="I757" s="10" t="s">
        <v>103</v>
      </c>
      <c r="J757" s="10" t="s">
        <v>1636</v>
      </c>
      <c r="K757" s="10" t="s">
        <v>1670</v>
      </c>
    </row>
    <row r="758" customFormat="false" ht="15" hidden="false" customHeight="false" outlineLevel="0" collapsed="false">
      <c r="A758" s="10" t="s">
        <v>2420</v>
      </c>
      <c r="B758" s="10" t="n">
        <v>1353</v>
      </c>
      <c r="C758" s="8" t="n">
        <v>45814</v>
      </c>
      <c r="D758" s="8" t="n">
        <v>45810</v>
      </c>
      <c r="E758" s="10" t="n">
        <v>5000</v>
      </c>
      <c r="F758" s="0" t="str">
        <f aca="false">INDEX(COA!$C$5:$C$19,MATCH(E758,COA!$A$5:$A$19,0))</f>
        <v>Expense</v>
      </c>
      <c r="G758" s="12" t="n">
        <v>433.16</v>
      </c>
      <c r="H758" s="12" t="n">
        <v>0</v>
      </c>
      <c r="I758" s="10" t="s">
        <v>103</v>
      </c>
      <c r="J758" s="10" t="s">
        <v>1636</v>
      </c>
      <c r="K758" s="10" t="s">
        <v>1670</v>
      </c>
    </row>
    <row r="759" customFormat="false" ht="15" hidden="false" customHeight="false" outlineLevel="0" collapsed="false">
      <c r="A759" s="10" t="s">
        <v>2421</v>
      </c>
      <c r="B759" s="10" t="n">
        <v>1353</v>
      </c>
      <c r="C759" s="8" t="n">
        <v>45814</v>
      </c>
      <c r="D759" s="8" t="n">
        <v>45810</v>
      </c>
      <c r="E759" s="10" t="n">
        <v>1200</v>
      </c>
      <c r="F759" s="0" t="str">
        <f aca="false">INDEX(COA!$C$5:$C$19,MATCH(E759,COA!$A$5:$A$19,0))</f>
        <v>Asset</v>
      </c>
      <c r="G759" s="12" t="n">
        <v>0</v>
      </c>
      <c r="H759" s="12" t="n">
        <v>1443.88</v>
      </c>
      <c r="I759" s="10" t="s">
        <v>103</v>
      </c>
      <c r="J759" s="10" t="s">
        <v>1636</v>
      </c>
      <c r="K759" s="10" t="s">
        <v>1670</v>
      </c>
    </row>
    <row r="760" customFormat="false" ht="15" hidden="false" customHeight="false" outlineLevel="0" collapsed="false">
      <c r="A760" s="10" t="s">
        <v>2422</v>
      </c>
      <c r="B760" s="10" t="n">
        <v>1354</v>
      </c>
      <c r="C760" s="8" t="n">
        <v>45814</v>
      </c>
      <c r="D760" s="8" t="n">
        <v>45810</v>
      </c>
      <c r="E760" s="10" t="n">
        <v>2000</v>
      </c>
      <c r="F760" s="0" t="str">
        <f aca="false">INDEX(COA!$C$5:$C$19,MATCH(E760,COA!$A$5:$A$19,0))</f>
        <v>Liability</v>
      </c>
      <c r="G760" s="12" t="n">
        <v>3522.06</v>
      </c>
      <c r="H760" s="12" t="n">
        <v>0</v>
      </c>
      <c r="I760" s="10" t="s">
        <v>104</v>
      </c>
      <c r="J760" s="10" t="s">
        <v>1636</v>
      </c>
      <c r="K760" s="10" t="s">
        <v>1659</v>
      </c>
    </row>
    <row r="761" customFormat="false" ht="15" hidden="false" customHeight="false" outlineLevel="0" collapsed="false">
      <c r="A761" s="10" t="s">
        <v>2423</v>
      </c>
      <c r="B761" s="10" t="n">
        <v>1354</v>
      </c>
      <c r="C761" s="8" t="n">
        <v>45814</v>
      </c>
      <c r="D761" s="8" t="n">
        <v>45810</v>
      </c>
      <c r="E761" s="10" t="n">
        <v>1000</v>
      </c>
      <c r="F761" s="0" t="str">
        <f aca="false">INDEX(COA!$C$5:$C$19,MATCH(E761,COA!$A$5:$A$19,0))</f>
        <v>Asset</v>
      </c>
      <c r="G761" s="12" t="n">
        <v>0</v>
      </c>
      <c r="H761" s="12" t="n">
        <v>3522.06</v>
      </c>
      <c r="I761" s="10" t="s">
        <v>104</v>
      </c>
      <c r="J761" s="10" t="s">
        <v>1636</v>
      </c>
      <c r="K761" s="10" t="s">
        <v>1659</v>
      </c>
    </row>
    <row r="762" customFormat="false" ht="15" hidden="false" customHeight="false" outlineLevel="0" collapsed="false">
      <c r="A762" s="10" t="s">
        <v>2424</v>
      </c>
      <c r="B762" s="10" t="n">
        <v>1355</v>
      </c>
      <c r="C762" s="8" t="n">
        <v>45814</v>
      </c>
      <c r="D762" s="8" t="n">
        <v>45814</v>
      </c>
      <c r="E762" s="10" t="n">
        <v>1000</v>
      </c>
      <c r="F762" s="0" t="str">
        <f aca="false">INDEX(COA!$C$5:$C$19,MATCH(E762,COA!$A$5:$A$19,0))</f>
        <v>Asset</v>
      </c>
      <c r="G762" s="12" t="n">
        <v>1839.22</v>
      </c>
      <c r="H762" s="12" t="n">
        <v>0</v>
      </c>
      <c r="I762" s="10" t="s">
        <v>103</v>
      </c>
      <c r="J762" s="10" t="s">
        <v>1636</v>
      </c>
      <c r="K762" s="10" t="s">
        <v>1637</v>
      </c>
    </row>
    <row r="763" customFormat="false" ht="15" hidden="false" customHeight="false" outlineLevel="0" collapsed="false">
      <c r="A763" s="10" t="s">
        <v>2425</v>
      </c>
      <c r="B763" s="10" t="n">
        <v>1355</v>
      </c>
      <c r="C763" s="8" t="n">
        <v>45814</v>
      </c>
      <c r="D763" s="8" t="n">
        <v>45814</v>
      </c>
      <c r="E763" s="10" t="n">
        <v>1100</v>
      </c>
      <c r="F763" s="0" t="str">
        <f aca="false">INDEX(COA!$C$5:$C$19,MATCH(E763,COA!$A$5:$A$19,0))</f>
        <v>Asset</v>
      </c>
      <c r="G763" s="12" t="n">
        <v>0</v>
      </c>
      <c r="H763" s="12" t="n">
        <v>1839.22</v>
      </c>
      <c r="I763" s="10" t="s">
        <v>103</v>
      </c>
      <c r="J763" s="10" t="s">
        <v>1636</v>
      </c>
      <c r="K763" s="10" t="s">
        <v>1637</v>
      </c>
    </row>
    <row r="764" customFormat="false" ht="15" hidden="false" customHeight="false" outlineLevel="0" collapsed="false">
      <c r="A764" s="10" t="s">
        <v>2426</v>
      </c>
      <c r="B764" s="10" t="n">
        <v>1356</v>
      </c>
      <c r="C764" s="8" t="n">
        <v>45817</v>
      </c>
      <c r="D764" s="8" t="n">
        <v>45814</v>
      </c>
      <c r="E764" s="10" t="n">
        <v>2000</v>
      </c>
      <c r="F764" s="0" t="str">
        <f aca="false">INDEX(COA!$C$5:$C$19,MATCH(E764,COA!$A$5:$A$19,0))</f>
        <v>Liability</v>
      </c>
      <c r="G764" s="12" t="n">
        <v>7947.69</v>
      </c>
      <c r="H764" s="12" t="n">
        <v>0</v>
      </c>
      <c r="I764" s="10" t="s">
        <v>104</v>
      </c>
      <c r="J764" s="10" t="s">
        <v>1636</v>
      </c>
      <c r="K764" s="10" t="s">
        <v>1659</v>
      </c>
    </row>
    <row r="765" customFormat="false" ht="15" hidden="false" customHeight="false" outlineLevel="0" collapsed="false">
      <c r="A765" s="10" t="s">
        <v>2427</v>
      </c>
      <c r="B765" s="10" t="n">
        <v>1356</v>
      </c>
      <c r="C765" s="8" t="n">
        <v>45817</v>
      </c>
      <c r="D765" s="8" t="n">
        <v>45814</v>
      </c>
      <c r="E765" s="10" t="n">
        <v>2000</v>
      </c>
      <c r="F765" s="0" t="str">
        <f aca="false">INDEX(COA!$C$5:$C$19,MATCH(E765,COA!$A$5:$A$19,0))</f>
        <v>Liability</v>
      </c>
      <c r="G765" s="12" t="n">
        <v>3406.16</v>
      </c>
      <c r="H765" s="12" t="n">
        <v>0</v>
      </c>
      <c r="I765" s="10" t="s">
        <v>104</v>
      </c>
      <c r="J765" s="10" t="s">
        <v>1636</v>
      </c>
      <c r="K765" s="10" t="s">
        <v>1659</v>
      </c>
    </row>
    <row r="766" customFormat="false" ht="15" hidden="false" customHeight="false" outlineLevel="0" collapsed="false">
      <c r="A766" s="10" t="s">
        <v>2428</v>
      </c>
      <c r="B766" s="10" t="n">
        <v>1356</v>
      </c>
      <c r="C766" s="8" t="n">
        <v>45817</v>
      </c>
      <c r="D766" s="8" t="n">
        <v>45814</v>
      </c>
      <c r="E766" s="10" t="n">
        <v>1000</v>
      </c>
      <c r="F766" s="0" t="str">
        <f aca="false">INDEX(COA!$C$5:$C$19,MATCH(E766,COA!$A$5:$A$19,0))</f>
        <v>Asset</v>
      </c>
      <c r="G766" s="12" t="n">
        <v>0</v>
      </c>
      <c r="H766" s="12" t="n">
        <v>11353.85</v>
      </c>
      <c r="I766" s="10" t="s">
        <v>104</v>
      </c>
      <c r="J766" s="10" t="s">
        <v>1636</v>
      </c>
      <c r="K766" s="10" t="s">
        <v>1659</v>
      </c>
    </row>
    <row r="767" customFormat="false" ht="15" hidden="false" customHeight="false" outlineLevel="0" collapsed="false">
      <c r="A767" s="10" t="s">
        <v>2429</v>
      </c>
      <c r="B767" s="10" t="n">
        <v>1357</v>
      </c>
      <c r="C767" s="8" t="n">
        <v>45817</v>
      </c>
      <c r="D767" s="8" t="n">
        <v>45791</v>
      </c>
      <c r="E767" s="10" t="n">
        <v>6900</v>
      </c>
      <c r="F767" s="0" t="str">
        <f aca="false">INDEX(COA!$C$5:$C$19,MATCH(E767,COA!$A$5:$A$19,0))</f>
        <v>Expense</v>
      </c>
      <c r="G767" s="12" t="n">
        <v>2775.6</v>
      </c>
      <c r="H767" s="12" t="n">
        <v>0</v>
      </c>
      <c r="I767" s="10" t="s">
        <v>99</v>
      </c>
      <c r="J767" s="10" t="s">
        <v>1648</v>
      </c>
      <c r="K767" s="10" t="s">
        <v>2430</v>
      </c>
    </row>
    <row r="768" customFormat="false" ht="15" hidden="false" customHeight="false" outlineLevel="0" collapsed="false">
      <c r="A768" s="10" t="s">
        <v>2431</v>
      </c>
      <c r="B768" s="10" t="n">
        <v>1357</v>
      </c>
      <c r="C768" s="8" t="n">
        <v>45817</v>
      </c>
      <c r="D768" s="8" t="n">
        <v>45791</v>
      </c>
      <c r="E768" s="10" t="n">
        <v>2100</v>
      </c>
      <c r="F768" s="0" t="str">
        <f aca="false">INDEX(COA!$C$5:$C$19,MATCH(E768,COA!$A$5:$A$19,0))</f>
        <v>Liability</v>
      </c>
      <c r="G768" s="12" t="n">
        <v>0</v>
      </c>
      <c r="H768" s="12" t="n">
        <v>2775.6</v>
      </c>
      <c r="I768" s="10" t="s">
        <v>99</v>
      </c>
      <c r="J768" s="10" t="s">
        <v>1648</v>
      </c>
      <c r="K768" s="10" t="s">
        <v>2430</v>
      </c>
    </row>
    <row r="769" customFormat="false" ht="15" hidden="false" customHeight="false" outlineLevel="0" collapsed="false">
      <c r="A769" s="10" t="s">
        <v>2432</v>
      </c>
      <c r="B769" s="10" t="n">
        <v>1358</v>
      </c>
      <c r="C769" s="8" t="n">
        <v>45817</v>
      </c>
      <c r="D769" s="8" t="n">
        <v>45814</v>
      </c>
      <c r="E769" s="10" t="n">
        <v>1000</v>
      </c>
      <c r="F769" s="0" t="str">
        <f aca="false">INDEX(COA!$C$5:$C$19,MATCH(E769,COA!$A$5:$A$19,0))</f>
        <v>Asset</v>
      </c>
      <c r="G769" s="12" t="n">
        <v>989.97</v>
      </c>
      <c r="H769" s="12" t="n">
        <v>0</v>
      </c>
      <c r="I769" s="10" t="s">
        <v>103</v>
      </c>
      <c r="J769" s="10" t="s">
        <v>1636</v>
      </c>
      <c r="K769" s="10" t="s">
        <v>1637</v>
      </c>
    </row>
    <row r="770" customFormat="false" ht="15" hidden="false" customHeight="false" outlineLevel="0" collapsed="false">
      <c r="A770" s="10" t="s">
        <v>2433</v>
      </c>
      <c r="B770" s="10" t="n">
        <v>1358</v>
      </c>
      <c r="C770" s="8" t="n">
        <v>45817</v>
      </c>
      <c r="D770" s="8" t="n">
        <v>45814</v>
      </c>
      <c r="E770" s="10" t="n">
        <v>1100</v>
      </c>
      <c r="F770" s="0" t="str">
        <f aca="false">INDEX(COA!$C$5:$C$19,MATCH(E770,COA!$A$5:$A$19,0))</f>
        <v>Asset</v>
      </c>
      <c r="G770" s="12" t="n">
        <v>0</v>
      </c>
      <c r="H770" s="12" t="n">
        <v>989.97</v>
      </c>
      <c r="I770" s="10" t="s">
        <v>103</v>
      </c>
      <c r="J770" s="10" t="s">
        <v>1636</v>
      </c>
      <c r="K770" s="10" t="s">
        <v>1637</v>
      </c>
    </row>
    <row r="771" customFormat="false" ht="15" hidden="false" customHeight="false" outlineLevel="0" collapsed="false">
      <c r="A771" s="10" t="s">
        <v>2434</v>
      </c>
      <c r="B771" s="10" t="n">
        <v>1359</v>
      </c>
      <c r="C771" s="8" t="n">
        <v>45818</v>
      </c>
      <c r="D771" s="8" t="n">
        <v>45816</v>
      </c>
      <c r="E771" s="10" t="n">
        <v>1000</v>
      </c>
      <c r="F771" s="0" t="str">
        <f aca="false">INDEX(COA!$C$5:$C$19,MATCH(E771,COA!$A$5:$A$19,0))</f>
        <v>Asset</v>
      </c>
      <c r="G771" s="12" t="n">
        <v>241.79</v>
      </c>
      <c r="H771" s="12" t="n">
        <v>0</v>
      </c>
      <c r="I771" s="10" t="s">
        <v>103</v>
      </c>
      <c r="J771" s="10" t="s">
        <v>1636</v>
      </c>
      <c r="K771" s="10" t="s">
        <v>1637</v>
      </c>
    </row>
    <row r="772" customFormat="false" ht="15" hidden="false" customHeight="false" outlineLevel="0" collapsed="false">
      <c r="A772" s="10" t="s">
        <v>2435</v>
      </c>
      <c r="B772" s="10" t="n">
        <v>1359</v>
      </c>
      <c r="C772" s="8" t="n">
        <v>45818</v>
      </c>
      <c r="D772" s="8" t="n">
        <v>45816</v>
      </c>
      <c r="E772" s="10" t="n">
        <v>1100</v>
      </c>
      <c r="F772" s="0" t="str">
        <f aca="false">INDEX(COA!$C$5:$C$19,MATCH(E772,COA!$A$5:$A$19,0))</f>
        <v>Asset</v>
      </c>
      <c r="G772" s="12" t="n">
        <v>0</v>
      </c>
      <c r="H772" s="12" t="n">
        <v>241.79</v>
      </c>
      <c r="I772" s="10" t="s">
        <v>103</v>
      </c>
      <c r="J772" s="10" t="s">
        <v>1636</v>
      </c>
      <c r="K772" s="10" t="s">
        <v>1637</v>
      </c>
    </row>
    <row r="773" customFormat="false" ht="15" hidden="false" customHeight="false" outlineLevel="0" collapsed="false">
      <c r="A773" s="10" t="s">
        <v>2436</v>
      </c>
      <c r="B773" s="10" t="n">
        <v>1360</v>
      </c>
      <c r="C773" s="8" t="n">
        <v>45818</v>
      </c>
      <c r="D773" s="8" t="n">
        <v>45817</v>
      </c>
      <c r="E773" s="10" t="n">
        <v>5000</v>
      </c>
      <c r="F773" s="0" t="str">
        <f aca="false">INDEX(COA!$C$5:$C$19,MATCH(E773,COA!$A$5:$A$19,0))</f>
        <v>Expense</v>
      </c>
      <c r="G773" s="12" t="n">
        <v>4735.7</v>
      </c>
      <c r="H773" s="12" t="n">
        <v>0</v>
      </c>
      <c r="I773" s="10" t="s">
        <v>103</v>
      </c>
      <c r="J773" s="10" t="s">
        <v>1636</v>
      </c>
      <c r="K773" s="10" t="s">
        <v>1670</v>
      </c>
    </row>
    <row r="774" customFormat="false" ht="15" hidden="false" customHeight="false" outlineLevel="0" collapsed="false">
      <c r="A774" s="10" t="s">
        <v>2437</v>
      </c>
      <c r="B774" s="10" t="n">
        <v>1360</v>
      </c>
      <c r="C774" s="8" t="n">
        <v>45818</v>
      </c>
      <c r="D774" s="8" t="n">
        <v>45817</v>
      </c>
      <c r="E774" s="10" t="n">
        <v>5000</v>
      </c>
      <c r="F774" s="0" t="str">
        <f aca="false">INDEX(COA!$C$5:$C$19,MATCH(E774,COA!$A$5:$A$19,0))</f>
        <v>Expense</v>
      </c>
      <c r="G774" s="12" t="n">
        <v>2029.59</v>
      </c>
      <c r="H774" s="12" t="n">
        <v>0</v>
      </c>
      <c r="I774" s="10" t="s">
        <v>103</v>
      </c>
      <c r="J774" s="10" t="s">
        <v>1636</v>
      </c>
      <c r="K774" s="10" t="s">
        <v>1670</v>
      </c>
    </row>
    <row r="775" customFormat="false" ht="15" hidden="false" customHeight="false" outlineLevel="0" collapsed="false">
      <c r="A775" s="10" t="s">
        <v>2438</v>
      </c>
      <c r="B775" s="10" t="n">
        <v>1360</v>
      </c>
      <c r="C775" s="8" t="n">
        <v>45818</v>
      </c>
      <c r="D775" s="8" t="n">
        <v>45817</v>
      </c>
      <c r="E775" s="10" t="n">
        <v>1200</v>
      </c>
      <c r="F775" s="0" t="str">
        <f aca="false">INDEX(COA!$C$5:$C$19,MATCH(E775,COA!$A$5:$A$19,0))</f>
        <v>Asset</v>
      </c>
      <c r="G775" s="12" t="n">
        <v>0</v>
      </c>
      <c r="H775" s="12" t="n">
        <v>6765.29</v>
      </c>
      <c r="I775" s="10" t="s">
        <v>103</v>
      </c>
      <c r="J775" s="10" t="s">
        <v>1636</v>
      </c>
      <c r="K775" s="10" t="s">
        <v>1670</v>
      </c>
    </row>
    <row r="776" customFormat="false" ht="15" hidden="false" customHeight="false" outlineLevel="0" collapsed="false">
      <c r="A776" s="10" t="s">
        <v>2439</v>
      </c>
      <c r="B776" s="10" t="n">
        <v>1361</v>
      </c>
      <c r="C776" s="8" t="n">
        <v>45819</v>
      </c>
      <c r="D776" s="8" t="n">
        <v>45817</v>
      </c>
      <c r="E776" s="10" t="n">
        <v>5000</v>
      </c>
      <c r="F776" s="0" t="str">
        <f aca="false">INDEX(COA!$C$5:$C$19,MATCH(E776,COA!$A$5:$A$19,0))</f>
        <v>Expense</v>
      </c>
      <c r="G776" s="12" t="n">
        <v>251.57</v>
      </c>
      <c r="H776" s="12" t="n">
        <v>0</v>
      </c>
      <c r="I776" s="10" t="s">
        <v>103</v>
      </c>
      <c r="J776" s="10" t="s">
        <v>1636</v>
      </c>
      <c r="K776" s="10" t="s">
        <v>1670</v>
      </c>
    </row>
    <row r="777" customFormat="false" ht="15" hidden="false" customHeight="false" outlineLevel="0" collapsed="false">
      <c r="A777" s="10" t="s">
        <v>2440</v>
      </c>
      <c r="B777" s="10" t="n">
        <v>1361</v>
      </c>
      <c r="C777" s="8" t="n">
        <v>45819</v>
      </c>
      <c r="D777" s="8" t="n">
        <v>45817</v>
      </c>
      <c r="E777" s="10" t="n">
        <v>1200</v>
      </c>
      <c r="F777" s="0" t="str">
        <f aca="false">INDEX(COA!$C$5:$C$19,MATCH(E777,COA!$A$5:$A$19,0))</f>
        <v>Asset</v>
      </c>
      <c r="G777" s="12" t="n">
        <v>0</v>
      </c>
      <c r="H777" s="12" t="n">
        <v>251.57</v>
      </c>
      <c r="I777" s="10" t="s">
        <v>103</v>
      </c>
      <c r="J777" s="10" t="s">
        <v>1636</v>
      </c>
      <c r="K777" s="10" t="s">
        <v>1670</v>
      </c>
    </row>
    <row r="778" customFormat="false" ht="15" hidden="false" customHeight="false" outlineLevel="0" collapsed="false">
      <c r="A778" s="10" t="s">
        <v>2441</v>
      </c>
      <c r="B778" s="10" t="n">
        <v>1362</v>
      </c>
      <c r="C778" s="8" t="n">
        <v>45819</v>
      </c>
      <c r="D778" s="8" t="n">
        <v>45819</v>
      </c>
      <c r="E778" s="10" t="n">
        <v>1200</v>
      </c>
      <c r="F778" s="0" t="str">
        <f aca="false">INDEX(COA!$C$5:$C$19,MATCH(E778,COA!$A$5:$A$19,0))</f>
        <v>Asset</v>
      </c>
      <c r="G778" s="12" t="n">
        <v>2902.41</v>
      </c>
      <c r="H778" s="12" t="n">
        <v>0</v>
      </c>
      <c r="I778" s="10" t="s">
        <v>102</v>
      </c>
      <c r="J778" s="10" t="s">
        <v>1636</v>
      </c>
      <c r="K778" s="10" t="s">
        <v>1655</v>
      </c>
    </row>
    <row r="779" customFormat="false" ht="15" hidden="false" customHeight="false" outlineLevel="0" collapsed="false">
      <c r="A779" s="10" t="s">
        <v>2442</v>
      </c>
      <c r="B779" s="10" t="n">
        <v>1362</v>
      </c>
      <c r="C779" s="8" t="n">
        <v>45819</v>
      </c>
      <c r="D779" s="8" t="n">
        <v>45819</v>
      </c>
      <c r="E779" s="10" t="n">
        <v>2000</v>
      </c>
      <c r="F779" s="0" t="str">
        <f aca="false">INDEX(COA!$C$5:$C$19,MATCH(E779,COA!$A$5:$A$19,0))</f>
        <v>Liability</v>
      </c>
      <c r="G779" s="12" t="n">
        <v>0</v>
      </c>
      <c r="H779" s="12" t="n">
        <v>2902.41</v>
      </c>
      <c r="I779" s="10" t="s">
        <v>102</v>
      </c>
      <c r="J779" s="10" t="s">
        <v>1636</v>
      </c>
      <c r="K779" s="10" t="s">
        <v>1655</v>
      </c>
    </row>
    <row r="780" customFormat="false" ht="15" hidden="false" customHeight="false" outlineLevel="0" collapsed="false">
      <c r="A780" s="10" t="s">
        <v>2443</v>
      </c>
      <c r="B780" s="10" t="n">
        <v>1363</v>
      </c>
      <c r="C780" s="8" t="n">
        <v>45819</v>
      </c>
      <c r="D780" s="8" t="n">
        <v>45818</v>
      </c>
      <c r="E780" s="10" t="n">
        <v>2000</v>
      </c>
      <c r="F780" s="0" t="str">
        <f aca="false">INDEX(COA!$C$5:$C$19,MATCH(E780,COA!$A$5:$A$19,0))</f>
        <v>Liability</v>
      </c>
      <c r="G780" s="12" t="n">
        <v>93470.21</v>
      </c>
      <c r="H780" s="12" t="n">
        <v>0</v>
      </c>
      <c r="I780" s="10" t="s">
        <v>104</v>
      </c>
      <c r="J780" s="10" t="s">
        <v>1636</v>
      </c>
      <c r="K780" s="10" t="s">
        <v>1659</v>
      </c>
    </row>
    <row r="781" customFormat="false" ht="15" hidden="false" customHeight="false" outlineLevel="0" collapsed="false">
      <c r="A781" s="10" t="s">
        <v>2444</v>
      </c>
      <c r="B781" s="10" t="n">
        <v>1363</v>
      </c>
      <c r="C781" s="8" t="n">
        <v>45819</v>
      </c>
      <c r="D781" s="8" t="n">
        <v>45818</v>
      </c>
      <c r="E781" s="10" t="n">
        <v>1000</v>
      </c>
      <c r="F781" s="0" t="str">
        <f aca="false">INDEX(COA!$C$5:$C$19,MATCH(E781,COA!$A$5:$A$19,0))</f>
        <v>Asset</v>
      </c>
      <c r="G781" s="12" t="n">
        <v>0</v>
      </c>
      <c r="H781" s="12" t="n">
        <v>93470.21</v>
      </c>
      <c r="I781" s="10" t="s">
        <v>104</v>
      </c>
      <c r="J781" s="10" t="s">
        <v>1636</v>
      </c>
      <c r="K781" s="10" t="s">
        <v>1659</v>
      </c>
    </row>
    <row r="782" customFormat="false" ht="15" hidden="false" customHeight="false" outlineLevel="0" collapsed="false">
      <c r="A782" s="10" t="s">
        <v>2445</v>
      </c>
      <c r="B782" s="10" t="n">
        <v>1364</v>
      </c>
      <c r="C782" s="8" t="n">
        <v>45819</v>
      </c>
      <c r="D782" s="8" t="n">
        <v>45819</v>
      </c>
      <c r="E782" s="10" t="n">
        <v>5000</v>
      </c>
      <c r="F782" s="0" t="str">
        <f aca="false">INDEX(COA!$C$5:$C$19,MATCH(E782,COA!$A$5:$A$19,0))</f>
        <v>Expense</v>
      </c>
      <c r="G782" s="12" t="n">
        <v>323.13</v>
      </c>
      <c r="H782" s="12" t="n">
        <v>0</v>
      </c>
      <c r="I782" s="10" t="s">
        <v>103</v>
      </c>
      <c r="J782" s="10" t="s">
        <v>1636</v>
      </c>
      <c r="K782" s="10" t="s">
        <v>1670</v>
      </c>
    </row>
    <row r="783" customFormat="false" ht="15" hidden="false" customHeight="false" outlineLevel="0" collapsed="false">
      <c r="A783" s="10" t="s">
        <v>2446</v>
      </c>
      <c r="B783" s="10" t="n">
        <v>1364</v>
      </c>
      <c r="C783" s="8" t="n">
        <v>45819</v>
      </c>
      <c r="D783" s="8" t="n">
        <v>45819</v>
      </c>
      <c r="E783" s="10" t="n">
        <v>1200</v>
      </c>
      <c r="F783" s="0" t="str">
        <f aca="false">INDEX(COA!$C$5:$C$19,MATCH(E783,COA!$A$5:$A$19,0))</f>
        <v>Asset</v>
      </c>
      <c r="G783" s="12" t="n">
        <v>0</v>
      </c>
      <c r="H783" s="12" t="n">
        <v>323.13</v>
      </c>
      <c r="I783" s="10" t="s">
        <v>103</v>
      </c>
      <c r="J783" s="10" t="s">
        <v>1636</v>
      </c>
      <c r="K783" s="10" t="s">
        <v>1670</v>
      </c>
    </row>
    <row r="784" customFormat="false" ht="15" hidden="false" customHeight="false" outlineLevel="0" collapsed="false">
      <c r="A784" s="10" t="s">
        <v>2447</v>
      </c>
      <c r="B784" s="10" t="n">
        <v>1365</v>
      </c>
      <c r="C784" s="8" t="n">
        <v>45820</v>
      </c>
      <c r="D784" s="8" t="n">
        <v>45816</v>
      </c>
      <c r="E784" s="10" t="n">
        <v>5000</v>
      </c>
      <c r="F784" s="0" t="str">
        <f aca="false">INDEX(COA!$C$5:$C$19,MATCH(E784,COA!$A$5:$A$19,0))</f>
        <v>Expense</v>
      </c>
      <c r="G784" s="12" t="n">
        <v>200.53</v>
      </c>
      <c r="H784" s="12" t="n">
        <v>0</v>
      </c>
      <c r="I784" s="10" t="s">
        <v>103</v>
      </c>
      <c r="J784" s="10" t="s">
        <v>1636</v>
      </c>
      <c r="K784" s="10" t="s">
        <v>1670</v>
      </c>
    </row>
    <row r="785" customFormat="false" ht="15" hidden="false" customHeight="false" outlineLevel="0" collapsed="false">
      <c r="A785" s="10" t="s">
        <v>2448</v>
      </c>
      <c r="B785" s="10" t="n">
        <v>1365</v>
      </c>
      <c r="C785" s="8" t="n">
        <v>45820</v>
      </c>
      <c r="D785" s="8" t="n">
        <v>45816</v>
      </c>
      <c r="E785" s="10" t="n">
        <v>1200</v>
      </c>
      <c r="F785" s="0" t="str">
        <f aca="false">INDEX(COA!$C$5:$C$19,MATCH(E785,COA!$A$5:$A$19,0))</f>
        <v>Asset</v>
      </c>
      <c r="G785" s="12" t="n">
        <v>0</v>
      </c>
      <c r="H785" s="12" t="n">
        <v>200.53</v>
      </c>
      <c r="I785" s="10" t="s">
        <v>103</v>
      </c>
      <c r="J785" s="10" t="s">
        <v>1636</v>
      </c>
      <c r="K785" s="10" t="s">
        <v>1670</v>
      </c>
    </row>
    <row r="786" customFormat="false" ht="15" hidden="false" customHeight="false" outlineLevel="0" collapsed="false">
      <c r="A786" s="10" t="s">
        <v>2449</v>
      </c>
      <c r="B786" s="10" t="n">
        <v>1366</v>
      </c>
      <c r="C786" s="8" t="n">
        <v>45820</v>
      </c>
      <c r="D786" s="8" t="n">
        <v>45818</v>
      </c>
      <c r="E786" s="10" t="n">
        <v>5000</v>
      </c>
      <c r="F786" s="0" t="str">
        <f aca="false">INDEX(COA!$C$5:$C$19,MATCH(E786,COA!$A$5:$A$19,0))</f>
        <v>Expense</v>
      </c>
      <c r="G786" s="12" t="n">
        <v>36803.17</v>
      </c>
      <c r="H786" s="12" t="n">
        <v>0</v>
      </c>
      <c r="I786" s="10" t="s">
        <v>103</v>
      </c>
      <c r="J786" s="10" t="s">
        <v>1636</v>
      </c>
      <c r="K786" s="10" t="s">
        <v>1670</v>
      </c>
    </row>
    <row r="787" customFormat="false" ht="15" hidden="false" customHeight="false" outlineLevel="0" collapsed="false">
      <c r="A787" s="10" t="s">
        <v>2450</v>
      </c>
      <c r="B787" s="10" t="n">
        <v>1366</v>
      </c>
      <c r="C787" s="8" t="n">
        <v>45820</v>
      </c>
      <c r="D787" s="8" t="n">
        <v>45818</v>
      </c>
      <c r="E787" s="10" t="n">
        <v>1200</v>
      </c>
      <c r="F787" s="0" t="str">
        <f aca="false">INDEX(COA!$C$5:$C$19,MATCH(E787,COA!$A$5:$A$19,0))</f>
        <v>Asset</v>
      </c>
      <c r="G787" s="12" t="n">
        <v>0</v>
      </c>
      <c r="H787" s="12" t="n">
        <v>36803.17</v>
      </c>
      <c r="I787" s="10" t="s">
        <v>103</v>
      </c>
      <c r="J787" s="10" t="s">
        <v>1636</v>
      </c>
      <c r="K787" s="10" t="s">
        <v>1670</v>
      </c>
    </row>
    <row r="788" customFormat="false" ht="15" hidden="false" customHeight="false" outlineLevel="0" collapsed="false">
      <c r="A788" s="10" t="s">
        <v>2451</v>
      </c>
      <c r="B788" s="10" t="n">
        <v>1367</v>
      </c>
      <c r="C788" s="8" t="n">
        <v>45820</v>
      </c>
      <c r="D788" s="8" t="n">
        <v>45819</v>
      </c>
      <c r="E788" s="10" t="n">
        <v>1100</v>
      </c>
      <c r="F788" s="0" t="str">
        <f aca="false">INDEX(COA!$C$5:$C$19,MATCH(E788,COA!$A$5:$A$19,0))</f>
        <v>Asset</v>
      </c>
      <c r="G788" s="12" t="n">
        <v>550.42</v>
      </c>
      <c r="H788" s="12" t="n">
        <v>0</v>
      </c>
      <c r="I788" s="10" t="s">
        <v>103</v>
      </c>
      <c r="J788" s="10" t="s">
        <v>1636</v>
      </c>
      <c r="K788" s="10" t="s">
        <v>1640</v>
      </c>
    </row>
    <row r="789" customFormat="false" ht="15" hidden="false" customHeight="false" outlineLevel="0" collapsed="false">
      <c r="A789" s="10" t="s">
        <v>2452</v>
      </c>
      <c r="B789" s="10" t="n">
        <v>1367</v>
      </c>
      <c r="C789" s="8" t="n">
        <v>45820</v>
      </c>
      <c r="D789" s="8" t="n">
        <v>45819</v>
      </c>
      <c r="E789" s="10" t="n">
        <v>4000</v>
      </c>
      <c r="F789" s="0" t="str">
        <f aca="false">INDEX(COA!$C$5:$C$19,MATCH(E789,COA!$A$5:$A$19,0))</f>
        <v>Revenue</v>
      </c>
      <c r="G789" s="12" t="n">
        <v>0</v>
      </c>
      <c r="H789" s="12" t="n">
        <v>550.42</v>
      </c>
      <c r="I789" s="10" t="s">
        <v>103</v>
      </c>
      <c r="J789" s="10" t="s">
        <v>1636</v>
      </c>
      <c r="K789" s="10" t="s">
        <v>1640</v>
      </c>
    </row>
    <row r="790" customFormat="false" ht="15" hidden="false" customHeight="false" outlineLevel="0" collapsed="false">
      <c r="A790" s="10" t="s">
        <v>2453</v>
      </c>
      <c r="B790" s="10" t="n">
        <v>1368</v>
      </c>
      <c r="C790" s="8" t="n">
        <v>45820</v>
      </c>
      <c r="D790" s="8" t="n">
        <v>45820</v>
      </c>
      <c r="E790" s="10" t="n">
        <v>1100</v>
      </c>
      <c r="F790" s="0" t="str">
        <f aca="false">INDEX(COA!$C$5:$C$19,MATCH(E790,COA!$A$5:$A$19,0))</f>
        <v>Asset</v>
      </c>
      <c r="G790" s="12" t="n">
        <v>6413.61</v>
      </c>
      <c r="H790" s="12" t="n">
        <v>0</v>
      </c>
      <c r="I790" s="10" t="s">
        <v>103</v>
      </c>
      <c r="J790" s="10" t="s">
        <v>1636</v>
      </c>
      <c r="K790" s="10" t="s">
        <v>1640</v>
      </c>
    </row>
    <row r="791" customFormat="false" ht="15" hidden="false" customHeight="false" outlineLevel="0" collapsed="false">
      <c r="A791" s="10" t="s">
        <v>2454</v>
      </c>
      <c r="B791" s="10" t="n">
        <v>1368</v>
      </c>
      <c r="C791" s="8" t="n">
        <v>45820</v>
      </c>
      <c r="D791" s="8" t="n">
        <v>45820</v>
      </c>
      <c r="E791" s="10" t="n">
        <v>1100</v>
      </c>
      <c r="F791" s="0" t="str">
        <f aca="false">INDEX(COA!$C$5:$C$19,MATCH(E791,COA!$A$5:$A$19,0))</f>
        <v>Asset</v>
      </c>
      <c r="G791" s="12" t="n">
        <v>2748.69</v>
      </c>
      <c r="H791" s="12" t="n">
        <v>0</v>
      </c>
      <c r="I791" s="10" t="s">
        <v>103</v>
      </c>
      <c r="J791" s="10" t="s">
        <v>1636</v>
      </c>
      <c r="K791" s="10" t="s">
        <v>1640</v>
      </c>
    </row>
    <row r="792" customFormat="false" ht="15" hidden="false" customHeight="false" outlineLevel="0" collapsed="false">
      <c r="A792" s="10" t="s">
        <v>2455</v>
      </c>
      <c r="B792" s="10" t="n">
        <v>1368</v>
      </c>
      <c r="C792" s="8" t="n">
        <v>45820</v>
      </c>
      <c r="D792" s="8" t="n">
        <v>45820</v>
      </c>
      <c r="E792" s="10" t="n">
        <v>4000</v>
      </c>
      <c r="F792" s="0" t="str">
        <f aca="false">INDEX(COA!$C$5:$C$19,MATCH(E792,COA!$A$5:$A$19,0))</f>
        <v>Revenue</v>
      </c>
      <c r="G792" s="12" t="n">
        <v>0</v>
      </c>
      <c r="H792" s="12" t="n">
        <v>9162.3</v>
      </c>
      <c r="I792" s="10" t="s">
        <v>103</v>
      </c>
      <c r="J792" s="10" t="s">
        <v>1636</v>
      </c>
      <c r="K792" s="10" t="s">
        <v>1640</v>
      </c>
    </row>
    <row r="793" customFormat="false" ht="15" hidden="false" customHeight="false" outlineLevel="0" collapsed="false">
      <c r="A793" s="10" t="s">
        <v>2456</v>
      </c>
      <c r="B793" s="10" t="n">
        <v>1369</v>
      </c>
      <c r="C793" s="8" t="n">
        <v>45821</v>
      </c>
      <c r="D793" s="8" t="n">
        <v>45821</v>
      </c>
      <c r="E793" s="10" t="n">
        <v>1000</v>
      </c>
      <c r="F793" s="0" t="str">
        <f aca="false">INDEX(COA!$C$5:$C$19,MATCH(E793,COA!$A$5:$A$19,0))</f>
        <v>Asset</v>
      </c>
      <c r="G793" s="12" t="n">
        <v>36926.78</v>
      </c>
      <c r="H793" s="12" t="n">
        <v>0</v>
      </c>
      <c r="I793" s="10" t="s">
        <v>103</v>
      </c>
      <c r="J793" s="10" t="s">
        <v>1636</v>
      </c>
      <c r="K793" s="10" t="s">
        <v>1637</v>
      </c>
    </row>
    <row r="794" customFormat="false" ht="15" hidden="false" customHeight="false" outlineLevel="0" collapsed="false">
      <c r="A794" s="10" t="s">
        <v>2457</v>
      </c>
      <c r="B794" s="10" t="n">
        <v>1369</v>
      </c>
      <c r="C794" s="8" t="n">
        <v>45821</v>
      </c>
      <c r="D794" s="8" t="n">
        <v>45821</v>
      </c>
      <c r="E794" s="10" t="n">
        <v>1000</v>
      </c>
      <c r="F794" s="0" t="str">
        <f aca="false">INDEX(COA!$C$5:$C$19,MATCH(E794,COA!$A$5:$A$19,0))</f>
        <v>Asset</v>
      </c>
      <c r="G794" s="12" t="n">
        <v>15825.77</v>
      </c>
      <c r="H794" s="12" t="n">
        <v>0</v>
      </c>
      <c r="I794" s="10" t="s">
        <v>103</v>
      </c>
      <c r="J794" s="10" t="s">
        <v>1636</v>
      </c>
      <c r="K794" s="10" t="s">
        <v>1637</v>
      </c>
    </row>
    <row r="795" customFormat="false" ht="15" hidden="false" customHeight="false" outlineLevel="0" collapsed="false">
      <c r="A795" s="10" t="s">
        <v>2458</v>
      </c>
      <c r="B795" s="10" t="n">
        <v>1369</v>
      </c>
      <c r="C795" s="8" t="n">
        <v>45821</v>
      </c>
      <c r="D795" s="8" t="n">
        <v>45821</v>
      </c>
      <c r="E795" s="10" t="n">
        <v>1100</v>
      </c>
      <c r="F795" s="0" t="str">
        <f aca="false">INDEX(COA!$C$5:$C$19,MATCH(E795,COA!$A$5:$A$19,0))</f>
        <v>Asset</v>
      </c>
      <c r="G795" s="12" t="n">
        <v>0</v>
      </c>
      <c r="H795" s="12" t="n">
        <v>52752.55</v>
      </c>
      <c r="I795" s="10" t="s">
        <v>103</v>
      </c>
      <c r="J795" s="10" t="s">
        <v>1636</v>
      </c>
      <c r="K795" s="10" t="s">
        <v>1637</v>
      </c>
    </row>
    <row r="796" customFormat="false" ht="15" hidden="false" customHeight="false" outlineLevel="0" collapsed="false">
      <c r="A796" s="10" t="s">
        <v>2459</v>
      </c>
      <c r="B796" s="10" t="n">
        <v>1370</v>
      </c>
      <c r="C796" s="8" t="n">
        <v>45821</v>
      </c>
      <c r="D796" s="8" t="n">
        <v>45821</v>
      </c>
      <c r="E796" s="10" t="n">
        <v>6900</v>
      </c>
      <c r="F796" s="0" t="str">
        <f aca="false">INDEX(COA!$C$5:$C$19,MATCH(E796,COA!$A$5:$A$19,0))</f>
        <v>Expense</v>
      </c>
      <c r="G796" s="12" t="n">
        <v>48593.96</v>
      </c>
      <c r="H796" s="12" t="n">
        <v>0</v>
      </c>
      <c r="I796" s="10" t="s">
        <v>99</v>
      </c>
      <c r="J796" s="10" t="s">
        <v>1648</v>
      </c>
      <c r="K796" s="10" t="s">
        <v>2460</v>
      </c>
    </row>
    <row r="797" customFormat="false" ht="15" hidden="false" customHeight="false" outlineLevel="0" collapsed="false">
      <c r="A797" s="10" t="s">
        <v>2461</v>
      </c>
      <c r="B797" s="10" t="n">
        <v>1370</v>
      </c>
      <c r="C797" s="8" t="n">
        <v>45821</v>
      </c>
      <c r="D797" s="8" t="n">
        <v>45821</v>
      </c>
      <c r="E797" s="10" t="n">
        <v>2100</v>
      </c>
      <c r="F797" s="0" t="str">
        <f aca="false">INDEX(COA!$C$5:$C$19,MATCH(E797,COA!$A$5:$A$19,0))</f>
        <v>Liability</v>
      </c>
      <c r="G797" s="12" t="n">
        <v>0</v>
      </c>
      <c r="H797" s="12" t="n">
        <v>48593.96</v>
      </c>
      <c r="I797" s="10" t="s">
        <v>99</v>
      </c>
      <c r="J797" s="10" t="s">
        <v>1648</v>
      </c>
      <c r="K797" s="10" t="s">
        <v>2460</v>
      </c>
    </row>
    <row r="798" customFormat="false" ht="15" hidden="false" customHeight="false" outlineLevel="0" collapsed="false">
      <c r="A798" s="10" t="s">
        <v>2462</v>
      </c>
      <c r="B798" s="10" t="n">
        <v>1371</v>
      </c>
      <c r="C798" s="8" t="n">
        <v>45824</v>
      </c>
      <c r="D798" s="8" t="n">
        <v>45821</v>
      </c>
      <c r="E798" s="10" t="n">
        <v>5000</v>
      </c>
      <c r="F798" s="0" t="str">
        <f aca="false">INDEX(COA!$C$5:$C$19,MATCH(E798,COA!$A$5:$A$19,0))</f>
        <v>Expense</v>
      </c>
      <c r="G798" s="12" t="n">
        <v>77216.28</v>
      </c>
      <c r="H798" s="12" t="n">
        <v>0</v>
      </c>
      <c r="I798" s="10" t="s">
        <v>103</v>
      </c>
      <c r="J798" s="10" t="s">
        <v>1636</v>
      </c>
      <c r="K798" s="10" t="s">
        <v>1670</v>
      </c>
    </row>
    <row r="799" customFormat="false" ht="15" hidden="false" customHeight="false" outlineLevel="0" collapsed="false">
      <c r="A799" s="10" t="s">
        <v>2463</v>
      </c>
      <c r="B799" s="10" t="n">
        <v>1371</v>
      </c>
      <c r="C799" s="8" t="n">
        <v>45824</v>
      </c>
      <c r="D799" s="8" t="n">
        <v>45821</v>
      </c>
      <c r="E799" s="10" t="n">
        <v>1200</v>
      </c>
      <c r="F799" s="0" t="str">
        <f aca="false">INDEX(COA!$C$5:$C$19,MATCH(E799,COA!$A$5:$A$19,0))</f>
        <v>Asset</v>
      </c>
      <c r="G799" s="12" t="n">
        <v>0</v>
      </c>
      <c r="H799" s="12" t="n">
        <v>77216.28</v>
      </c>
      <c r="I799" s="10" t="s">
        <v>103</v>
      </c>
      <c r="J799" s="10" t="s">
        <v>1636</v>
      </c>
      <c r="K799" s="10" t="s">
        <v>1670</v>
      </c>
    </row>
    <row r="800" customFormat="false" ht="15" hidden="false" customHeight="false" outlineLevel="0" collapsed="false">
      <c r="A800" s="10" t="s">
        <v>2464</v>
      </c>
      <c r="B800" s="10" t="n">
        <v>1372</v>
      </c>
      <c r="C800" s="8" t="n">
        <v>45824</v>
      </c>
      <c r="D800" s="8" t="n">
        <v>45823</v>
      </c>
      <c r="E800" s="10" t="n">
        <v>1200</v>
      </c>
      <c r="F800" s="0" t="str">
        <f aca="false">INDEX(COA!$C$5:$C$19,MATCH(E800,COA!$A$5:$A$19,0))</f>
        <v>Asset</v>
      </c>
      <c r="G800" s="12" t="n">
        <v>282.09</v>
      </c>
      <c r="H800" s="12" t="n">
        <v>0</v>
      </c>
      <c r="I800" s="10" t="s">
        <v>102</v>
      </c>
      <c r="J800" s="10" t="s">
        <v>1636</v>
      </c>
      <c r="K800" s="10" t="s">
        <v>1655</v>
      </c>
    </row>
    <row r="801" customFormat="false" ht="15" hidden="false" customHeight="false" outlineLevel="0" collapsed="false">
      <c r="A801" s="10" t="s">
        <v>2465</v>
      </c>
      <c r="B801" s="10" t="n">
        <v>1372</v>
      </c>
      <c r="C801" s="8" t="n">
        <v>45824</v>
      </c>
      <c r="D801" s="8" t="n">
        <v>45823</v>
      </c>
      <c r="E801" s="10" t="n">
        <v>2000</v>
      </c>
      <c r="F801" s="0" t="str">
        <f aca="false">INDEX(COA!$C$5:$C$19,MATCH(E801,COA!$A$5:$A$19,0))</f>
        <v>Liability</v>
      </c>
      <c r="G801" s="12" t="n">
        <v>0</v>
      </c>
      <c r="H801" s="12" t="n">
        <v>282.09</v>
      </c>
      <c r="I801" s="10" t="s">
        <v>102</v>
      </c>
      <c r="J801" s="10" t="s">
        <v>1636</v>
      </c>
      <c r="K801" s="10" t="s">
        <v>1655</v>
      </c>
    </row>
    <row r="802" customFormat="false" ht="15" hidden="false" customHeight="false" outlineLevel="0" collapsed="false">
      <c r="A802" s="10" t="s">
        <v>2466</v>
      </c>
      <c r="B802" s="10" t="n">
        <v>1373</v>
      </c>
      <c r="C802" s="8" t="n">
        <v>45824</v>
      </c>
      <c r="D802" s="8" t="n">
        <v>45820</v>
      </c>
      <c r="E802" s="10" t="n">
        <v>1200</v>
      </c>
      <c r="F802" s="0" t="str">
        <f aca="false">INDEX(COA!$C$5:$C$19,MATCH(E802,COA!$A$5:$A$19,0))</f>
        <v>Asset</v>
      </c>
      <c r="G802" s="12" t="n">
        <v>6917.35</v>
      </c>
      <c r="H802" s="12" t="n">
        <v>0</v>
      </c>
      <c r="I802" s="10" t="s">
        <v>102</v>
      </c>
      <c r="J802" s="10" t="s">
        <v>1636</v>
      </c>
      <c r="K802" s="10" t="s">
        <v>1655</v>
      </c>
    </row>
    <row r="803" customFormat="false" ht="15" hidden="false" customHeight="false" outlineLevel="0" collapsed="false">
      <c r="A803" s="10" t="s">
        <v>2467</v>
      </c>
      <c r="B803" s="10" t="n">
        <v>1373</v>
      </c>
      <c r="C803" s="8" t="n">
        <v>45824</v>
      </c>
      <c r="D803" s="8" t="n">
        <v>45820</v>
      </c>
      <c r="E803" s="10" t="n">
        <v>2000</v>
      </c>
      <c r="F803" s="0" t="str">
        <f aca="false">INDEX(COA!$C$5:$C$19,MATCH(E803,COA!$A$5:$A$19,0))</f>
        <v>Liability</v>
      </c>
      <c r="G803" s="12" t="n">
        <v>0</v>
      </c>
      <c r="H803" s="12" t="n">
        <v>6917.35</v>
      </c>
      <c r="I803" s="10" t="s">
        <v>102</v>
      </c>
      <c r="J803" s="10" t="s">
        <v>1636</v>
      </c>
      <c r="K803" s="10" t="s">
        <v>1655</v>
      </c>
    </row>
    <row r="804" customFormat="false" ht="15" hidden="false" customHeight="false" outlineLevel="0" collapsed="false">
      <c r="A804" s="10" t="s">
        <v>2468</v>
      </c>
      <c r="B804" s="10" t="n">
        <v>1374</v>
      </c>
      <c r="C804" s="8" t="n">
        <v>45825</v>
      </c>
      <c r="D804" s="8" t="n">
        <v>45823</v>
      </c>
      <c r="E804" s="10" t="n">
        <v>1200</v>
      </c>
      <c r="F804" s="0" t="str">
        <f aca="false">INDEX(COA!$C$5:$C$19,MATCH(E804,COA!$A$5:$A$19,0))</f>
        <v>Asset</v>
      </c>
      <c r="G804" s="12" t="n">
        <v>242.78</v>
      </c>
      <c r="H804" s="12" t="n">
        <v>0</v>
      </c>
      <c r="I804" s="10" t="s">
        <v>102</v>
      </c>
      <c r="J804" s="10" t="s">
        <v>1636</v>
      </c>
      <c r="K804" s="10" t="s">
        <v>1655</v>
      </c>
    </row>
    <row r="805" customFormat="false" ht="15" hidden="false" customHeight="false" outlineLevel="0" collapsed="false">
      <c r="A805" s="10" t="s">
        <v>2469</v>
      </c>
      <c r="B805" s="10" t="n">
        <v>1374</v>
      </c>
      <c r="C805" s="8" t="n">
        <v>45825</v>
      </c>
      <c r="D805" s="8" t="n">
        <v>45823</v>
      </c>
      <c r="E805" s="10" t="n">
        <v>2000</v>
      </c>
      <c r="F805" s="0" t="str">
        <f aca="false">INDEX(COA!$C$5:$C$19,MATCH(E805,COA!$A$5:$A$19,0))</f>
        <v>Liability</v>
      </c>
      <c r="G805" s="12" t="n">
        <v>0</v>
      </c>
      <c r="H805" s="12" t="n">
        <v>242.78</v>
      </c>
      <c r="I805" s="10" t="s">
        <v>102</v>
      </c>
      <c r="J805" s="10" t="s">
        <v>1636</v>
      </c>
      <c r="K805" s="10" t="s">
        <v>1655</v>
      </c>
    </row>
    <row r="806" customFormat="false" ht="15" hidden="false" customHeight="false" outlineLevel="0" collapsed="false">
      <c r="A806" s="10" t="s">
        <v>2470</v>
      </c>
      <c r="B806" s="10" t="n">
        <v>1375</v>
      </c>
      <c r="C806" s="8" t="n">
        <v>45825</v>
      </c>
      <c r="D806" s="8" t="n">
        <v>45822</v>
      </c>
      <c r="E806" s="10" t="n">
        <v>1100</v>
      </c>
      <c r="F806" s="0" t="str">
        <f aca="false">INDEX(COA!$C$5:$C$19,MATCH(E806,COA!$A$5:$A$19,0))</f>
        <v>Asset</v>
      </c>
      <c r="G806" s="12" t="n">
        <v>18206.25</v>
      </c>
      <c r="H806" s="12" t="n">
        <v>0</v>
      </c>
      <c r="I806" s="10" t="s">
        <v>103</v>
      </c>
      <c r="J806" s="10" t="s">
        <v>1636</v>
      </c>
      <c r="K806" s="10" t="s">
        <v>1640</v>
      </c>
    </row>
    <row r="807" customFormat="false" ht="15" hidden="false" customHeight="false" outlineLevel="0" collapsed="false">
      <c r="A807" s="10" t="s">
        <v>2471</v>
      </c>
      <c r="B807" s="10" t="n">
        <v>1375</v>
      </c>
      <c r="C807" s="8" t="n">
        <v>45825</v>
      </c>
      <c r="D807" s="8" t="n">
        <v>45822</v>
      </c>
      <c r="E807" s="10" t="n">
        <v>1100</v>
      </c>
      <c r="F807" s="0" t="str">
        <f aca="false">INDEX(COA!$C$5:$C$19,MATCH(E807,COA!$A$5:$A$19,0))</f>
        <v>Asset</v>
      </c>
      <c r="G807" s="12" t="n">
        <v>7802.68</v>
      </c>
      <c r="H807" s="12" t="n">
        <v>0</v>
      </c>
      <c r="I807" s="10" t="s">
        <v>103</v>
      </c>
      <c r="J807" s="10" t="s">
        <v>1636</v>
      </c>
      <c r="K807" s="10" t="s">
        <v>1640</v>
      </c>
    </row>
    <row r="808" customFormat="false" ht="15" hidden="false" customHeight="false" outlineLevel="0" collapsed="false">
      <c r="A808" s="10" t="s">
        <v>2472</v>
      </c>
      <c r="B808" s="10" t="n">
        <v>1375</v>
      </c>
      <c r="C808" s="8" t="n">
        <v>45825</v>
      </c>
      <c r="D808" s="8" t="n">
        <v>45822</v>
      </c>
      <c r="E808" s="10" t="n">
        <v>4000</v>
      </c>
      <c r="F808" s="0" t="str">
        <f aca="false">INDEX(COA!$C$5:$C$19,MATCH(E808,COA!$A$5:$A$19,0))</f>
        <v>Revenue</v>
      </c>
      <c r="G808" s="12" t="n">
        <v>0</v>
      </c>
      <c r="H808" s="12" t="n">
        <v>26008.93</v>
      </c>
      <c r="I808" s="10" t="s">
        <v>103</v>
      </c>
      <c r="J808" s="10" t="s">
        <v>1636</v>
      </c>
      <c r="K808" s="10" t="s">
        <v>1640</v>
      </c>
    </row>
    <row r="809" customFormat="false" ht="15" hidden="false" customHeight="false" outlineLevel="0" collapsed="false">
      <c r="A809" s="10" t="s">
        <v>2473</v>
      </c>
      <c r="B809" s="10" t="n">
        <v>1376</v>
      </c>
      <c r="C809" s="8" t="n">
        <v>45825</v>
      </c>
      <c r="D809" s="8" t="n">
        <v>45824</v>
      </c>
      <c r="E809" s="10" t="n">
        <v>2000</v>
      </c>
      <c r="F809" s="0" t="str">
        <f aca="false">INDEX(COA!$C$5:$C$19,MATCH(E809,COA!$A$5:$A$19,0))</f>
        <v>Liability</v>
      </c>
      <c r="G809" s="12" t="n">
        <v>60404.37</v>
      </c>
      <c r="H809" s="12" t="n">
        <v>0</v>
      </c>
      <c r="I809" s="10" t="s">
        <v>104</v>
      </c>
      <c r="J809" s="10" t="s">
        <v>1636</v>
      </c>
      <c r="K809" s="10" t="s">
        <v>1659</v>
      </c>
    </row>
    <row r="810" customFormat="false" ht="15" hidden="false" customHeight="false" outlineLevel="0" collapsed="false">
      <c r="A810" s="10" t="s">
        <v>2474</v>
      </c>
      <c r="B810" s="10" t="n">
        <v>1376</v>
      </c>
      <c r="C810" s="8" t="n">
        <v>45825</v>
      </c>
      <c r="D810" s="8" t="n">
        <v>45824</v>
      </c>
      <c r="E810" s="10" t="n">
        <v>1000</v>
      </c>
      <c r="F810" s="0" t="str">
        <f aca="false">INDEX(COA!$C$5:$C$19,MATCH(E810,COA!$A$5:$A$19,0))</f>
        <v>Asset</v>
      </c>
      <c r="G810" s="12" t="n">
        <v>0</v>
      </c>
      <c r="H810" s="12" t="n">
        <v>60404.37</v>
      </c>
      <c r="I810" s="10" t="s">
        <v>104</v>
      </c>
      <c r="J810" s="10" t="s">
        <v>1636</v>
      </c>
      <c r="K810" s="10" t="s">
        <v>1659</v>
      </c>
    </row>
    <row r="811" customFormat="false" ht="15" hidden="false" customHeight="false" outlineLevel="0" collapsed="false">
      <c r="A811" s="10" t="s">
        <v>2475</v>
      </c>
      <c r="B811" s="10" t="n">
        <v>1377</v>
      </c>
      <c r="C811" s="8" t="n">
        <v>45825</v>
      </c>
      <c r="D811" s="8" t="n">
        <v>45822</v>
      </c>
      <c r="E811" s="10" t="n">
        <v>1000</v>
      </c>
      <c r="F811" s="0" t="str">
        <f aca="false">INDEX(COA!$C$5:$C$19,MATCH(E811,COA!$A$5:$A$19,0))</f>
        <v>Asset</v>
      </c>
      <c r="G811" s="12" t="n">
        <v>236.38</v>
      </c>
      <c r="H811" s="12" t="n">
        <v>0</v>
      </c>
      <c r="I811" s="10" t="s">
        <v>103</v>
      </c>
      <c r="J811" s="10" t="s">
        <v>1636</v>
      </c>
    </row>
    <row r="812" customFormat="false" ht="15" hidden="false" customHeight="false" outlineLevel="0" collapsed="false">
      <c r="A812" s="10" t="s">
        <v>2476</v>
      </c>
      <c r="B812" s="10" t="n">
        <v>1377</v>
      </c>
      <c r="C812" s="8" t="n">
        <v>45825</v>
      </c>
      <c r="D812" s="8" t="n">
        <v>45822</v>
      </c>
      <c r="E812" s="10" t="n">
        <v>1100</v>
      </c>
      <c r="F812" s="0" t="str">
        <f aca="false">INDEX(COA!$C$5:$C$19,MATCH(E812,COA!$A$5:$A$19,0))</f>
        <v>Asset</v>
      </c>
      <c r="G812" s="12" t="n">
        <v>0</v>
      </c>
      <c r="H812" s="12" t="n">
        <v>236.38</v>
      </c>
      <c r="I812" s="10" t="s">
        <v>103</v>
      </c>
      <c r="J812" s="10" t="s">
        <v>1636</v>
      </c>
    </row>
    <row r="813" customFormat="false" ht="15" hidden="false" customHeight="false" outlineLevel="0" collapsed="false">
      <c r="A813" s="10" t="s">
        <v>2477</v>
      </c>
      <c r="B813" s="10" t="n">
        <v>1378</v>
      </c>
      <c r="C813" s="8" t="n">
        <v>45825</v>
      </c>
      <c r="D813" s="8" t="n">
        <v>45823</v>
      </c>
      <c r="E813" s="10" t="n">
        <v>1100</v>
      </c>
      <c r="F813" s="0" t="str">
        <f aca="false">INDEX(COA!$C$5:$C$19,MATCH(E813,COA!$A$5:$A$19,0))</f>
        <v>Asset</v>
      </c>
      <c r="G813" s="12" t="n">
        <v>32701.56</v>
      </c>
      <c r="H813" s="12" t="n">
        <v>0</v>
      </c>
      <c r="I813" s="10" t="s">
        <v>103</v>
      </c>
      <c r="J813" s="10" t="s">
        <v>1636</v>
      </c>
      <c r="K813" s="10" t="s">
        <v>1640</v>
      </c>
    </row>
    <row r="814" customFormat="false" ht="15" hidden="false" customHeight="false" outlineLevel="0" collapsed="false">
      <c r="A814" s="10" t="s">
        <v>2478</v>
      </c>
      <c r="B814" s="10" t="n">
        <v>1378</v>
      </c>
      <c r="C814" s="8" t="n">
        <v>45825</v>
      </c>
      <c r="D814" s="8" t="n">
        <v>45823</v>
      </c>
      <c r="E814" s="10" t="n">
        <v>4000</v>
      </c>
      <c r="F814" s="0" t="str">
        <f aca="false">INDEX(COA!$C$5:$C$19,MATCH(E814,COA!$A$5:$A$19,0))</f>
        <v>Revenue</v>
      </c>
      <c r="G814" s="12" t="n">
        <v>0</v>
      </c>
      <c r="H814" s="12" t="n">
        <v>32701.56</v>
      </c>
      <c r="I814" s="10" t="s">
        <v>103</v>
      </c>
      <c r="J814" s="10" t="s">
        <v>1636</v>
      </c>
      <c r="K814" s="10" t="s">
        <v>1640</v>
      </c>
    </row>
    <row r="815" customFormat="false" ht="15" hidden="false" customHeight="false" outlineLevel="0" collapsed="false">
      <c r="A815" s="10" t="s">
        <v>2479</v>
      </c>
      <c r="B815" s="10" t="n">
        <v>1379</v>
      </c>
      <c r="C815" s="8" t="n">
        <v>45825</v>
      </c>
      <c r="D815" s="8" t="n">
        <v>45823</v>
      </c>
      <c r="E815" s="10" t="n">
        <v>1100</v>
      </c>
      <c r="F815" s="0" t="str">
        <f aca="false">INDEX(COA!$C$5:$C$19,MATCH(E815,COA!$A$5:$A$19,0))</f>
        <v>Asset</v>
      </c>
      <c r="G815" s="12" t="n">
        <v>363.56</v>
      </c>
      <c r="H815" s="12" t="n">
        <v>0</v>
      </c>
      <c r="I815" s="10" t="s">
        <v>103</v>
      </c>
      <c r="J815" s="10" t="s">
        <v>1636</v>
      </c>
      <c r="K815" s="10" t="s">
        <v>1640</v>
      </c>
    </row>
    <row r="816" customFormat="false" ht="15" hidden="false" customHeight="false" outlineLevel="0" collapsed="false">
      <c r="A816" s="10" t="s">
        <v>2480</v>
      </c>
      <c r="B816" s="10" t="n">
        <v>1379</v>
      </c>
      <c r="C816" s="8" t="n">
        <v>45825</v>
      </c>
      <c r="D816" s="8" t="n">
        <v>45823</v>
      </c>
      <c r="E816" s="10" t="n">
        <v>4000</v>
      </c>
      <c r="F816" s="0" t="str">
        <f aca="false">INDEX(COA!$C$5:$C$19,MATCH(E816,COA!$A$5:$A$19,0))</f>
        <v>Revenue</v>
      </c>
      <c r="G816" s="12" t="n">
        <v>0</v>
      </c>
      <c r="H816" s="12" t="n">
        <v>363.56</v>
      </c>
      <c r="I816" s="10" t="s">
        <v>103</v>
      </c>
      <c r="J816" s="10" t="s">
        <v>1636</v>
      </c>
      <c r="K816" s="10" t="s">
        <v>1640</v>
      </c>
    </row>
    <row r="817" customFormat="false" ht="15" hidden="false" customHeight="false" outlineLevel="0" collapsed="false">
      <c r="A817" s="10" t="s">
        <v>2481</v>
      </c>
      <c r="B817" s="10" t="n">
        <v>1380</v>
      </c>
      <c r="C817" s="8" t="n">
        <v>45825</v>
      </c>
      <c r="D817" s="8" t="n">
        <v>45823</v>
      </c>
      <c r="E817" s="10" t="n">
        <v>1000</v>
      </c>
      <c r="F817" s="0" t="str">
        <f aca="false">INDEX(COA!$C$5:$C$19,MATCH(E817,COA!$A$5:$A$19,0))</f>
        <v>Asset</v>
      </c>
      <c r="G817" s="12" t="n">
        <v>13273.84</v>
      </c>
      <c r="H817" s="12" t="n">
        <v>0</v>
      </c>
      <c r="I817" s="10" t="s">
        <v>103</v>
      </c>
      <c r="J817" s="10" t="s">
        <v>1636</v>
      </c>
      <c r="K817" s="10" t="s">
        <v>1637</v>
      </c>
    </row>
    <row r="818" customFormat="false" ht="15" hidden="false" customHeight="false" outlineLevel="0" collapsed="false">
      <c r="A818" s="10" t="s">
        <v>2482</v>
      </c>
      <c r="B818" s="10" t="n">
        <v>1380</v>
      </c>
      <c r="C818" s="8" t="n">
        <v>45825</v>
      </c>
      <c r="D818" s="8" t="n">
        <v>45823</v>
      </c>
      <c r="E818" s="10" t="n">
        <v>1100</v>
      </c>
      <c r="F818" s="0" t="str">
        <f aca="false">INDEX(COA!$C$5:$C$19,MATCH(E818,COA!$A$5:$A$19,0))</f>
        <v>Asset</v>
      </c>
      <c r="G818" s="12" t="n">
        <v>0</v>
      </c>
      <c r="H818" s="12" t="n">
        <v>13273.84</v>
      </c>
      <c r="I818" s="10" t="s">
        <v>103</v>
      </c>
      <c r="J818" s="10" t="s">
        <v>1636</v>
      </c>
      <c r="K818" s="10" t="s">
        <v>1637</v>
      </c>
    </row>
    <row r="819" customFormat="false" ht="15" hidden="false" customHeight="false" outlineLevel="0" collapsed="false">
      <c r="A819" s="10" t="s">
        <v>2483</v>
      </c>
      <c r="B819" s="10" t="n">
        <v>1381</v>
      </c>
      <c r="C819" s="8" t="n">
        <v>45825</v>
      </c>
      <c r="D819" s="8" t="n">
        <v>45825</v>
      </c>
      <c r="E819" s="10" t="n">
        <v>1100</v>
      </c>
      <c r="F819" s="0" t="str">
        <f aca="false">INDEX(COA!$C$5:$C$19,MATCH(E819,COA!$A$5:$A$19,0))</f>
        <v>Asset</v>
      </c>
      <c r="G819" s="12" t="n">
        <v>16941.15</v>
      </c>
      <c r="H819" s="12" t="n">
        <v>0</v>
      </c>
      <c r="I819" s="10" t="s">
        <v>103</v>
      </c>
      <c r="J819" s="10" t="s">
        <v>1636</v>
      </c>
      <c r="K819" s="10" t="s">
        <v>1640</v>
      </c>
    </row>
    <row r="820" customFormat="false" ht="15" hidden="false" customHeight="false" outlineLevel="0" collapsed="false">
      <c r="A820" s="10" t="s">
        <v>2484</v>
      </c>
      <c r="B820" s="10" t="n">
        <v>1381</v>
      </c>
      <c r="C820" s="8" t="n">
        <v>45825</v>
      </c>
      <c r="D820" s="8" t="n">
        <v>45825</v>
      </c>
      <c r="E820" s="10" t="n">
        <v>1100</v>
      </c>
      <c r="F820" s="0" t="str">
        <f aca="false">INDEX(COA!$C$5:$C$19,MATCH(E820,COA!$A$5:$A$19,0))</f>
        <v>Asset</v>
      </c>
      <c r="G820" s="12" t="n">
        <v>7260.5</v>
      </c>
      <c r="H820" s="12" t="n">
        <v>0</v>
      </c>
      <c r="I820" s="10" t="s">
        <v>103</v>
      </c>
      <c r="J820" s="10" t="s">
        <v>1636</v>
      </c>
      <c r="K820" s="10" t="s">
        <v>1640</v>
      </c>
    </row>
    <row r="821" customFormat="false" ht="15" hidden="false" customHeight="false" outlineLevel="0" collapsed="false">
      <c r="A821" s="10" t="s">
        <v>2485</v>
      </c>
      <c r="B821" s="10" t="n">
        <v>1381</v>
      </c>
      <c r="C821" s="8" t="n">
        <v>45825</v>
      </c>
      <c r="D821" s="8" t="n">
        <v>45825</v>
      </c>
      <c r="E821" s="10" t="n">
        <v>4000</v>
      </c>
      <c r="F821" s="0" t="str">
        <f aca="false">INDEX(COA!$C$5:$C$19,MATCH(E821,COA!$A$5:$A$19,0))</f>
        <v>Revenue</v>
      </c>
      <c r="G821" s="12" t="n">
        <v>0</v>
      </c>
      <c r="H821" s="12" t="n">
        <v>24201.65</v>
      </c>
      <c r="I821" s="10" t="s">
        <v>103</v>
      </c>
      <c r="J821" s="10" t="s">
        <v>1636</v>
      </c>
      <c r="K821" s="10" t="s">
        <v>1640</v>
      </c>
    </row>
    <row r="822" customFormat="false" ht="15" hidden="false" customHeight="false" outlineLevel="0" collapsed="false">
      <c r="A822" s="10" t="s">
        <v>2486</v>
      </c>
      <c r="B822" s="10" t="n">
        <v>1382</v>
      </c>
      <c r="C822" s="8" t="n">
        <v>45825</v>
      </c>
      <c r="D822" s="8" t="n">
        <v>45823</v>
      </c>
      <c r="E822" s="10" t="n">
        <v>1100</v>
      </c>
      <c r="F822" s="0" t="str">
        <f aca="false">INDEX(COA!$C$5:$C$19,MATCH(E822,COA!$A$5:$A$19,0))</f>
        <v>Asset</v>
      </c>
      <c r="G822" s="12" t="n">
        <v>7997.95</v>
      </c>
      <c r="H822" s="12" t="n">
        <v>0</v>
      </c>
      <c r="I822" s="10" t="s">
        <v>103</v>
      </c>
      <c r="J822" s="10" t="s">
        <v>1636</v>
      </c>
      <c r="K822" s="10" t="s">
        <v>1640</v>
      </c>
    </row>
    <row r="823" customFormat="false" ht="15" hidden="false" customHeight="false" outlineLevel="0" collapsed="false">
      <c r="A823" s="10" t="s">
        <v>2487</v>
      </c>
      <c r="B823" s="10" t="n">
        <v>1382</v>
      </c>
      <c r="C823" s="8" t="n">
        <v>45825</v>
      </c>
      <c r="D823" s="8" t="n">
        <v>45823</v>
      </c>
      <c r="E823" s="10" t="n">
        <v>4000</v>
      </c>
      <c r="F823" s="0" t="str">
        <f aca="false">INDEX(COA!$C$5:$C$19,MATCH(E823,COA!$A$5:$A$19,0))</f>
        <v>Revenue</v>
      </c>
      <c r="G823" s="12" t="n">
        <v>0</v>
      </c>
      <c r="H823" s="12" t="n">
        <v>7997.95</v>
      </c>
      <c r="I823" s="10" t="s">
        <v>103</v>
      </c>
      <c r="J823" s="10" t="s">
        <v>1636</v>
      </c>
      <c r="K823" s="10" t="s">
        <v>1640</v>
      </c>
    </row>
    <row r="824" customFormat="false" ht="15" hidden="false" customHeight="false" outlineLevel="0" collapsed="false">
      <c r="A824" s="10" t="s">
        <v>2488</v>
      </c>
      <c r="B824" s="10" t="n">
        <v>1383</v>
      </c>
      <c r="C824" s="8" t="n">
        <v>45826</v>
      </c>
      <c r="D824" s="8" t="n">
        <v>45825</v>
      </c>
      <c r="E824" s="10" t="n">
        <v>1100</v>
      </c>
      <c r="F824" s="0" t="str">
        <f aca="false">INDEX(COA!$C$5:$C$19,MATCH(E824,COA!$A$5:$A$19,0))</f>
        <v>Asset</v>
      </c>
      <c r="G824" s="12" t="n">
        <v>12147.92</v>
      </c>
      <c r="H824" s="12" t="n">
        <v>0</v>
      </c>
      <c r="I824" s="10" t="s">
        <v>103</v>
      </c>
      <c r="J824" s="10" t="s">
        <v>1636</v>
      </c>
      <c r="K824" s="10" t="s">
        <v>1640</v>
      </c>
    </row>
    <row r="825" customFormat="false" ht="15" hidden="false" customHeight="false" outlineLevel="0" collapsed="false">
      <c r="A825" s="10" t="s">
        <v>2489</v>
      </c>
      <c r="B825" s="10" t="n">
        <v>1383</v>
      </c>
      <c r="C825" s="8" t="n">
        <v>45826</v>
      </c>
      <c r="D825" s="8" t="n">
        <v>45825</v>
      </c>
      <c r="E825" s="10" t="n">
        <v>4000</v>
      </c>
      <c r="F825" s="0" t="str">
        <f aca="false">INDEX(COA!$C$5:$C$19,MATCH(E825,COA!$A$5:$A$19,0))</f>
        <v>Revenue</v>
      </c>
      <c r="G825" s="12" t="n">
        <v>0</v>
      </c>
      <c r="H825" s="12" t="n">
        <v>12147.92</v>
      </c>
      <c r="I825" s="10" t="s">
        <v>103</v>
      </c>
      <c r="J825" s="10" t="s">
        <v>1636</v>
      </c>
      <c r="K825" s="10" t="s">
        <v>1640</v>
      </c>
    </row>
    <row r="826" customFormat="false" ht="15" hidden="false" customHeight="false" outlineLevel="0" collapsed="false">
      <c r="A826" s="10" t="s">
        <v>2490</v>
      </c>
      <c r="B826" s="10" t="n">
        <v>1384</v>
      </c>
      <c r="C826" s="8" t="n">
        <v>45826</v>
      </c>
      <c r="D826" s="8" t="n">
        <v>45824</v>
      </c>
      <c r="E826" s="10" t="n">
        <v>6200</v>
      </c>
      <c r="F826" s="0" t="str">
        <f aca="false">INDEX(COA!$C$5:$C$19,MATCH(E826,COA!$A$5:$A$19,0))</f>
        <v>Expense</v>
      </c>
      <c r="G826" s="12" t="n">
        <v>5437.65</v>
      </c>
      <c r="H826" s="12" t="n">
        <v>0</v>
      </c>
      <c r="I826" s="10" t="s">
        <v>102</v>
      </c>
      <c r="J826" s="10" t="s">
        <v>1636</v>
      </c>
      <c r="K826" s="10" t="s">
        <v>1689</v>
      </c>
    </row>
    <row r="827" customFormat="false" ht="15" hidden="false" customHeight="false" outlineLevel="0" collapsed="false">
      <c r="A827" s="10" t="s">
        <v>2491</v>
      </c>
      <c r="B827" s="10" t="n">
        <v>1384</v>
      </c>
      <c r="C827" s="8" t="n">
        <v>45826</v>
      </c>
      <c r="D827" s="8" t="n">
        <v>45824</v>
      </c>
      <c r="E827" s="10" t="n">
        <v>2000</v>
      </c>
      <c r="F827" s="0" t="str">
        <f aca="false">INDEX(COA!$C$5:$C$19,MATCH(E827,COA!$A$5:$A$19,0))</f>
        <v>Liability</v>
      </c>
      <c r="G827" s="12" t="n">
        <v>0</v>
      </c>
      <c r="H827" s="12" t="n">
        <v>5437.65</v>
      </c>
      <c r="I827" s="10" t="s">
        <v>102</v>
      </c>
      <c r="J827" s="10" t="s">
        <v>1636</v>
      </c>
      <c r="K827" s="10" t="s">
        <v>1689</v>
      </c>
    </row>
    <row r="828" customFormat="false" ht="15" hidden="false" customHeight="false" outlineLevel="0" collapsed="false">
      <c r="A828" s="10" t="s">
        <v>2492</v>
      </c>
      <c r="B828" s="10" t="n">
        <v>1385</v>
      </c>
      <c r="C828" s="8" t="n">
        <v>45826</v>
      </c>
      <c r="D828" s="8" t="n">
        <v>45823</v>
      </c>
      <c r="E828" s="10" t="n">
        <v>1100</v>
      </c>
      <c r="F828" s="0" t="str">
        <f aca="false">INDEX(COA!$C$5:$C$19,MATCH(E828,COA!$A$5:$A$19,0))</f>
        <v>Asset</v>
      </c>
      <c r="G828" s="12" t="n">
        <v>769.83</v>
      </c>
      <c r="H828" s="12" t="n">
        <v>0</v>
      </c>
      <c r="I828" s="10" t="s">
        <v>103</v>
      </c>
      <c r="J828" s="10" t="s">
        <v>1636</v>
      </c>
      <c r="K828" s="10" t="s">
        <v>1640</v>
      </c>
    </row>
    <row r="829" customFormat="false" ht="15" hidden="false" customHeight="false" outlineLevel="0" collapsed="false">
      <c r="A829" s="10" t="s">
        <v>2493</v>
      </c>
      <c r="B829" s="10" t="n">
        <v>1385</v>
      </c>
      <c r="C829" s="8" t="n">
        <v>45826</v>
      </c>
      <c r="D829" s="8" t="n">
        <v>45823</v>
      </c>
      <c r="E829" s="10" t="n">
        <v>4000</v>
      </c>
      <c r="F829" s="0" t="str">
        <f aca="false">INDEX(COA!$C$5:$C$19,MATCH(E829,COA!$A$5:$A$19,0))</f>
        <v>Revenue</v>
      </c>
      <c r="G829" s="12" t="n">
        <v>0</v>
      </c>
      <c r="H829" s="12" t="n">
        <v>769.83</v>
      </c>
      <c r="I829" s="10" t="s">
        <v>103</v>
      </c>
      <c r="J829" s="10" t="s">
        <v>1636</v>
      </c>
      <c r="K829" s="10" t="s">
        <v>1640</v>
      </c>
    </row>
    <row r="830" customFormat="false" ht="15" hidden="false" customHeight="false" outlineLevel="0" collapsed="false">
      <c r="A830" s="10" t="s">
        <v>2494</v>
      </c>
      <c r="B830" s="10" t="n">
        <v>1386</v>
      </c>
      <c r="C830" s="8" t="n">
        <v>45827</v>
      </c>
      <c r="D830" s="8" t="n">
        <v>45823</v>
      </c>
      <c r="E830" s="10" t="n">
        <v>5000</v>
      </c>
      <c r="F830" s="0" t="str">
        <f aca="false">INDEX(COA!$C$5:$C$19,MATCH(E830,COA!$A$5:$A$19,0))</f>
        <v>Expense</v>
      </c>
      <c r="G830" s="12" t="n">
        <v>67767.85</v>
      </c>
      <c r="H830" s="12" t="n">
        <v>0</v>
      </c>
      <c r="I830" s="10" t="s">
        <v>103</v>
      </c>
      <c r="J830" s="10" t="s">
        <v>1636</v>
      </c>
    </row>
    <row r="831" customFormat="false" ht="15" hidden="false" customHeight="false" outlineLevel="0" collapsed="false">
      <c r="A831" s="10" t="s">
        <v>2495</v>
      </c>
      <c r="B831" s="10" t="n">
        <v>1386</v>
      </c>
      <c r="C831" s="8" t="n">
        <v>45827</v>
      </c>
      <c r="D831" s="8" t="n">
        <v>45823</v>
      </c>
      <c r="E831" s="10" t="n">
        <v>1200</v>
      </c>
      <c r="F831" s="0" t="str">
        <f aca="false">INDEX(COA!$C$5:$C$19,MATCH(E831,COA!$A$5:$A$19,0))</f>
        <v>Asset</v>
      </c>
      <c r="G831" s="12" t="n">
        <v>0</v>
      </c>
      <c r="H831" s="12" t="n">
        <v>67767.85</v>
      </c>
      <c r="I831" s="10" t="s">
        <v>103</v>
      </c>
      <c r="J831" s="10" t="s">
        <v>1636</v>
      </c>
    </row>
    <row r="832" customFormat="false" ht="15" hidden="false" customHeight="false" outlineLevel="0" collapsed="false">
      <c r="A832" s="10" t="s">
        <v>2496</v>
      </c>
      <c r="B832" s="10" t="n">
        <v>1387</v>
      </c>
      <c r="C832" s="8" t="n">
        <v>45827</v>
      </c>
      <c r="D832" s="8" t="n">
        <v>45826</v>
      </c>
      <c r="E832" s="10" t="n">
        <v>1500</v>
      </c>
      <c r="F832" s="0" t="str">
        <f aca="false">INDEX(COA!$C$5:$C$19,MATCH(E832,COA!$A$5:$A$19,0))</f>
        <v>Asset</v>
      </c>
      <c r="G832" s="12" t="n">
        <v>226.34</v>
      </c>
      <c r="H832" s="12" t="n">
        <v>0</v>
      </c>
      <c r="I832" s="10" t="s">
        <v>102</v>
      </c>
      <c r="J832" s="10" t="s">
        <v>1636</v>
      </c>
      <c r="K832" s="10" t="s">
        <v>1716</v>
      </c>
    </row>
    <row r="833" customFormat="false" ht="15" hidden="false" customHeight="false" outlineLevel="0" collapsed="false">
      <c r="A833" s="10" t="s">
        <v>2497</v>
      </c>
      <c r="B833" s="10" t="n">
        <v>1387</v>
      </c>
      <c r="C833" s="8" t="n">
        <v>45827</v>
      </c>
      <c r="D833" s="8" t="n">
        <v>45826</v>
      </c>
      <c r="E833" s="10" t="n">
        <v>2000</v>
      </c>
      <c r="F833" s="0" t="str">
        <f aca="false">INDEX(COA!$C$5:$C$19,MATCH(E833,COA!$A$5:$A$19,0))</f>
        <v>Liability</v>
      </c>
      <c r="G833" s="12" t="n">
        <v>0</v>
      </c>
      <c r="H833" s="12" t="n">
        <v>226.34</v>
      </c>
      <c r="I833" s="10" t="s">
        <v>102</v>
      </c>
      <c r="J833" s="10" t="s">
        <v>1636</v>
      </c>
      <c r="K833" s="10" t="s">
        <v>1716</v>
      </c>
    </row>
    <row r="834" customFormat="false" ht="15" hidden="false" customHeight="false" outlineLevel="0" collapsed="false">
      <c r="A834" s="10" t="s">
        <v>2498</v>
      </c>
      <c r="B834" s="10" t="n">
        <v>1388</v>
      </c>
      <c r="C834" s="8" t="n">
        <v>45827</v>
      </c>
      <c r="D834" s="8" t="n">
        <v>45827</v>
      </c>
      <c r="E834" s="10" t="n">
        <v>1100</v>
      </c>
      <c r="F834" s="0" t="str">
        <f aca="false">INDEX(COA!$C$5:$C$19,MATCH(E834,COA!$A$5:$A$19,0))</f>
        <v>Asset</v>
      </c>
      <c r="G834" s="12" t="n">
        <v>361.25</v>
      </c>
      <c r="H834" s="12" t="n">
        <v>0</v>
      </c>
      <c r="I834" s="10" t="s">
        <v>103</v>
      </c>
      <c r="J834" s="10" t="s">
        <v>1636</v>
      </c>
      <c r="K834" s="10" t="s">
        <v>1640</v>
      </c>
    </row>
    <row r="835" customFormat="false" ht="15" hidden="false" customHeight="false" outlineLevel="0" collapsed="false">
      <c r="A835" s="10" t="s">
        <v>2499</v>
      </c>
      <c r="B835" s="10" t="n">
        <v>1388</v>
      </c>
      <c r="C835" s="8" t="n">
        <v>45827</v>
      </c>
      <c r="D835" s="8" t="n">
        <v>45827</v>
      </c>
      <c r="E835" s="10" t="n">
        <v>4000</v>
      </c>
      <c r="F835" s="0" t="str">
        <f aca="false">INDEX(COA!$C$5:$C$19,MATCH(E835,COA!$A$5:$A$19,0))</f>
        <v>Revenue</v>
      </c>
      <c r="G835" s="12" t="n">
        <v>0</v>
      </c>
      <c r="H835" s="12" t="n">
        <v>361.25</v>
      </c>
      <c r="I835" s="10" t="s">
        <v>103</v>
      </c>
      <c r="J835" s="10" t="s">
        <v>1636</v>
      </c>
      <c r="K835" s="10" t="s">
        <v>1640</v>
      </c>
    </row>
    <row r="836" customFormat="false" ht="15" hidden="false" customHeight="false" outlineLevel="0" collapsed="false">
      <c r="A836" s="10" t="s">
        <v>2500</v>
      </c>
      <c r="B836" s="10" t="n">
        <v>1389</v>
      </c>
      <c r="C836" s="8" t="n">
        <v>45827</v>
      </c>
      <c r="D836" s="8" t="n">
        <v>45826</v>
      </c>
      <c r="E836" s="10" t="n">
        <v>1200</v>
      </c>
      <c r="F836" s="0" t="str">
        <f aca="false">INDEX(COA!$C$5:$C$19,MATCH(E836,COA!$A$5:$A$19,0))</f>
        <v>Asset</v>
      </c>
      <c r="G836" s="12" t="n">
        <v>105265.37</v>
      </c>
      <c r="H836" s="12" t="n">
        <v>0</v>
      </c>
      <c r="I836" s="10" t="s">
        <v>102</v>
      </c>
      <c r="J836" s="10" t="s">
        <v>1636</v>
      </c>
      <c r="K836" s="10" t="s">
        <v>1655</v>
      </c>
    </row>
    <row r="837" customFormat="false" ht="15" hidden="false" customHeight="false" outlineLevel="0" collapsed="false">
      <c r="A837" s="10" t="s">
        <v>2501</v>
      </c>
      <c r="B837" s="10" t="n">
        <v>1389</v>
      </c>
      <c r="C837" s="8" t="n">
        <v>45827</v>
      </c>
      <c r="D837" s="8" t="n">
        <v>45826</v>
      </c>
      <c r="E837" s="10" t="n">
        <v>2000</v>
      </c>
      <c r="F837" s="0" t="str">
        <f aca="false">INDEX(COA!$C$5:$C$19,MATCH(E837,COA!$A$5:$A$19,0))</f>
        <v>Liability</v>
      </c>
      <c r="G837" s="12" t="n">
        <v>0</v>
      </c>
      <c r="H837" s="12" t="n">
        <v>105265.37</v>
      </c>
      <c r="I837" s="10" t="s">
        <v>102</v>
      </c>
      <c r="J837" s="10" t="s">
        <v>1636</v>
      </c>
      <c r="K837" s="10" t="s">
        <v>1655</v>
      </c>
    </row>
    <row r="838" customFormat="false" ht="15" hidden="false" customHeight="false" outlineLevel="0" collapsed="false">
      <c r="A838" s="10" t="s">
        <v>2502</v>
      </c>
      <c r="B838" s="10" t="n">
        <v>1390</v>
      </c>
      <c r="C838" s="8" t="n">
        <v>45827</v>
      </c>
      <c r="D838" s="8" t="n">
        <v>45825</v>
      </c>
      <c r="E838" s="10" t="n">
        <v>1000</v>
      </c>
      <c r="F838" s="0" t="str">
        <f aca="false">INDEX(COA!$C$5:$C$19,MATCH(E838,COA!$A$5:$A$19,0))</f>
        <v>Asset</v>
      </c>
      <c r="G838" s="12" t="n">
        <v>2778.68</v>
      </c>
      <c r="H838" s="12" t="n">
        <v>0</v>
      </c>
      <c r="I838" s="10" t="s">
        <v>103</v>
      </c>
      <c r="J838" s="10" t="s">
        <v>1636</v>
      </c>
      <c r="K838" s="10" t="s">
        <v>1637</v>
      </c>
    </row>
    <row r="839" customFormat="false" ht="15" hidden="false" customHeight="false" outlineLevel="0" collapsed="false">
      <c r="A839" s="10" t="s">
        <v>2503</v>
      </c>
      <c r="B839" s="10" t="n">
        <v>1390</v>
      </c>
      <c r="C839" s="8" t="n">
        <v>45827</v>
      </c>
      <c r="D839" s="8" t="n">
        <v>45825</v>
      </c>
      <c r="E839" s="10" t="n">
        <v>1100</v>
      </c>
      <c r="F839" s="0" t="str">
        <f aca="false">INDEX(COA!$C$5:$C$19,MATCH(E839,COA!$A$5:$A$19,0))</f>
        <v>Asset</v>
      </c>
      <c r="G839" s="12" t="n">
        <v>0</v>
      </c>
      <c r="H839" s="12" t="n">
        <v>2778.68</v>
      </c>
      <c r="I839" s="10" t="s">
        <v>103</v>
      </c>
      <c r="J839" s="10" t="s">
        <v>1636</v>
      </c>
      <c r="K839" s="10" t="s">
        <v>1637</v>
      </c>
    </row>
    <row r="840" customFormat="false" ht="15" hidden="false" customHeight="false" outlineLevel="0" collapsed="false">
      <c r="A840" s="10" t="s">
        <v>2504</v>
      </c>
      <c r="B840" s="10" t="n">
        <v>1391</v>
      </c>
      <c r="C840" s="8" t="n">
        <v>45827</v>
      </c>
      <c r="D840" s="8" t="n">
        <v>45825</v>
      </c>
      <c r="E840" s="10" t="n">
        <v>2000</v>
      </c>
      <c r="F840" s="0" t="str">
        <f aca="false">INDEX(COA!$C$5:$C$19,MATCH(E840,COA!$A$5:$A$19,0))</f>
        <v>Liability</v>
      </c>
      <c r="G840" s="12" t="n">
        <v>14098.15</v>
      </c>
      <c r="H840" s="12" t="n">
        <v>0</v>
      </c>
      <c r="I840" s="10" t="s">
        <v>104</v>
      </c>
      <c r="J840" s="10" t="s">
        <v>1636</v>
      </c>
      <c r="K840" s="10" t="s">
        <v>1659</v>
      </c>
    </row>
    <row r="841" customFormat="false" ht="15" hidden="false" customHeight="false" outlineLevel="0" collapsed="false">
      <c r="A841" s="10" t="s">
        <v>2505</v>
      </c>
      <c r="B841" s="10" t="n">
        <v>1391</v>
      </c>
      <c r="C841" s="8" t="n">
        <v>45827</v>
      </c>
      <c r="D841" s="8" t="n">
        <v>45825</v>
      </c>
      <c r="E841" s="10" t="n">
        <v>1000</v>
      </c>
      <c r="F841" s="0" t="str">
        <f aca="false">INDEX(COA!$C$5:$C$19,MATCH(E841,COA!$A$5:$A$19,0))</f>
        <v>Asset</v>
      </c>
      <c r="G841" s="12" t="n">
        <v>0</v>
      </c>
      <c r="H841" s="12" t="n">
        <v>14098.15</v>
      </c>
      <c r="I841" s="10" t="s">
        <v>104</v>
      </c>
      <c r="J841" s="10" t="s">
        <v>1636</v>
      </c>
      <c r="K841" s="10" t="s">
        <v>1659</v>
      </c>
    </row>
    <row r="842" customFormat="false" ht="15" hidden="false" customHeight="false" outlineLevel="0" collapsed="false">
      <c r="A842" s="10" t="s">
        <v>2506</v>
      </c>
      <c r="B842" s="10" t="n">
        <v>1392</v>
      </c>
      <c r="C842" s="8" t="n">
        <v>45828</v>
      </c>
      <c r="D842" s="8" t="n">
        <v>45826</v>
      </c>
      <c r="E842" s="10" t="n">
        <v>1200</v>
      </c>
      <c r="F842" s="0" t="str">
        <f aca="false">INDEX(COA!$C$5:$C$19,MATCH(E842,COA!$A$5:$A$19,0))</f>
        <v>Asset</v>
      </c>
      <c r="G842" s="12" t="n">
        <v>223.73</v>
      </c>
      <c r="H842" s="12" t="n">
        <v>0</v>
      </c>
      <c r="I842" s="10" t="s">
        <v>102</v>
      </c>
      <c r="J842" s="10" t="s">
        <v>1636</v>
      </c>
    </row>
    <row r="843" customFormat="false" ht="15" hidden="false" customHeight="false" outlineLevel="0" collapsed="false">
      <c r="A843" s="10" t="s">
        <v>2507</v>
      </c>
      <c r="B843" s="10" t="n">
        <v>1392</v>
      </c>
      <c r="C843" s="8" t="n">
        <v>45828</v>
      </c>
      <c r="D843" s="8" t="n">
        <v>45826</v>
      </c>
      <c r="E843" s="10" t="n">
        <v>2000</v>
      </c>
      <c r="F843" s="0" t="str">
        <f aca="false">INDEX(COA!$C$5:$C$19,MATCH(E843,COA!$A$5:$A$19,0))</f>
        <v>Liability</v>
      </c>
      <c r="G843" s="12" t="n">
        <v>0</v>
      </c>
      <c r="H843" s="12" t="n">
        <v>223.73</v>
      </c>
      <c r="I843" s="10" t="s">
        <v>102</v>
      </c>
      <c r="J843" s="10" t="s">
        <v>1636</v>
      </c>
    </row>
    <row r="844" customFormat="false" ht="15" hidden="false" customHeight="false" outlineLevel="0" collapsed="false">
      <c r="A844" s="10" t="s">
        <v>2508</v>
      </c>
      <c r="B844" s="10" t="n">
        <v>1393</v>
      </c>
      <c r="C844" s="8" t="n">
        <v>45828</v>
      </c>
      <c r="D844" s="8" t="n">
        <v>45825</v>
      </c>
      <c r="E844" s="10" t="n">
        <v>1000</v>
      </c>
      <c r="F844" s="0" t="str">
        <f aca="false">INDEX(COA!$C$5:$C$19,MATCH(E844,COA!$A$5:$A$19,0))</f>
        <v>Asset</v>
      </c>
      <c r="G844" s="12" t="n">
        <v>113065.63</v>
      </c>
      <c r="H844" s="12" t="n">
        <v>0</v>
      </c>
      <c r="I844" s="10" t="s">
        <v>103</v>
      </c>
      <c r="J844" s="10" t="s">
        <v>1636</v>
      </c>
      <c r="K844" s="10" t="s">
        <v>1637</v>
      </c>
    </row>
    <row r="845" customFormat="false" ht="15" hidden="false" customHeight="false" outlineLevel="0" collapsed="false">
      <c r="A845" s="10" t="s">
        <v>2509</v>
      </c>
      <c r="B845" s="10" t="n">
        <v>1393</v>
      </c>
      <c r="C845" s="8" t="n">
        <v>45828</v>
      </c>
      <c r="D845" s="8" t="n">
        <v>45825</v>
      </c>
      <c r="E845" s="10" t="n">
        <v>1100</v>
      </c>
      <c r="F845" s="0" t="str">
        <f aca="false">INDEX(COA!$C$5:$C$19,MATCH(E845,COA!$A$5:$A$19,0))</f>
        <v>Asset</v>
      </c>
      <c r="G845" s="12" t="n">
        <v>0</v>
      </c>
      <c r="H845" s="12" t="n">
        <v>113065.63</v>
      </c>
      <c r="I845" s="10" t="s">
        <v>103</v>
      </c>
      <c r="J845" s="10" t="s">
        <v>1636</v>
      </c>
      <c r="K845" s="10" t="s">
        <v>1637</v>
      </c>
    </row>
    <row r="846" customFormat="false" ht="15" hidden="false" customHeight="false" outlineLevel="0" collapsed="false">
      <c r="A846" s="10" t="s">
        <v>2510</v>
      </c>
      <c r="B846" s="10" t="n">
        <v>1394</v>
      </c>
      <c r="C846" s="8" t="n">
        <v>45828</v>
      </c>
      <c r="D846" s="8" t="n">
        <v>45827</v>
      </c>
      <c r="E846" s="10" t="n">
        <v>1000</v>
      </c>
      <c r="F846" s="0" t="str">
        <f aca="false">INDEX(COA!$C$5:$C$19,MATCH(E846,COA!$A$5:$A$19,0))</f>
        <v>Asset</v>
      </c>
      <c r="G846" s="12" t="n">
        <v>6567.39</v>
      </c>
      <c r="H846" s="12" t="n">
        <v>0</v>
      </c>
      <c r="I846" s="10" t="s">
        <v>103</v>
      </c>
      <c r="J846" s="10" t="s">
        <v>1636</v>
      </c>
      <c r="K846" s="10" t="s">
        <v>1637</v>
      </c>
    </row>
    <row r="847" customFormat="false" ht="15" hidden="false" customHeight="false" outlineLevel="0" collapsed="false">
      <c r="A847" s="10" t="s">
        <v>2511</v>
      </c>
      <c r="B847" s="10" t="n">
        <v>1394</v>
      </c>
      <c r="C847" s="8" t="n">
        <v>45828</v>
      </c>
      <c r="D847" s="8" t="n">
        <v>45827</v>
      </c>
      <c r="E847" s="10" t="n">
        <v>1100</v>
      </c>
      <c r="F847" s="0" t="str">
        <f aca="false">INDEX(COA!$C$5:$C$19,MATCH(E847,COA!$A$5:$A$19,0))</f>
        <v>Asset</v>
      </c>
      <c r="G847" s="12" t="n">
        <v>0</v>
      </c>
      <c r="H847" s="12" t="n">
        <v>6567.39</v>
      </c>
      <c r="I847" s="10" t="s">
        <v>103</v>
      </c>
      <c r="J847" s="10" t="s">
        <v>1636</v>
      </c>
      <c r="K847" s="10" t="s">
        <v>1637</v>
      </c>
    </row>
    <row r="848" customFormat="false" ht="15" hidden="false" customHeight="false" outlineLevel="0" collapsed="false">
      <c r="A848" s="10" t="s">
        <v>2512</v>
      </c>
      <c r="B848" s="10" t="n">
        <v>1395</v>
      </c>
      <c r="C848" s="8" t="n">
        <v>45830</v>
      </c>
      <c r="D848" s="8" t="n">
        <v>45830</v>
      </c>
      <c r="E848" s="10" t="n">
        <v>1200</v>
      </c>
      <c r="F848" s="0" t="str">
        <f aca="false">INDEX(COA!$C$5:$C$19,MATCH(E848,COA!$A$5:$A$19,0))</f>
        <v>Asset</v>
      </c>
      <c r="G848" s="12" t="n">
        <v>481.88</v>
      </c>
      <c r="H848" s="12" t="n">
        <v>0</v>
      </c>
      <c r="I848" s="10" t="s">
        <v>102</v>
      </c>
      <c r="J848" s="10" t="s">
        <v>1636</v>
      </c>
      <c r="K848" s="10" t="s">
        <v>1655</v>
      </c>
    </row>
    <row r="849" customFormat="false" ht="15" hidden="false" customHeight="false" outlineLevel="0" collapsed="false">
      <c r="A849" s="10" t="s">
        <v>2513</v>
      </c>
      <c r="B849" s="10" t="n">
        <v>1395</v>
      </c>
      <c r="C849" s="8" t="n">
        <v>45830</v>
      </c>
      <c r="D849" s="8" t="n">
        <v>45830</v>
      </c>
      <c r="E849" s="10" t="n">
        <v>2000</v>
      </c>
      <c r="F849" s="0" t="str">
        <f aca="false">INDEX(COA!$C$5:$C$19,MATCH(E849,COA!$A$5:$A$19,0))</f>
        <v>Liability</v>
      </c>
      <c r="G849" s="12" t="n">
        <v>0</v>
      </c>
      <c r="H849" s="12" t="n">
        <v>481.88</v>
      </c>
      <c r="I849" s="10" t="s">
        <v>102</v>
      </c>
      <c r="J849" s="10" t="s">
        <v>1636</v>
      </c>
      <c r="K849" s="10" t="s">
        <v>1655</v>
      </c>
    </row>
    <row r="850" customFormat="false" ht="15" hidden="false" customHeight="false" outlineLevel="0" collapsed="false">
      <c r="A850" s="10" t="s">
        <v>2514</v>
      </c>
      <c r="B850" s="10" t="n">
        <v>1396</v>
      </c>
      <c r="C850" s="8" t="n">
        <v>45831</v>
      </c>
      <c r="D850" s="8" t="n">
        <v>45827</v>
      </c>
      <c r="E850" s="10" t="n">
        <v>1100</v>
      </c>
      <c r="F850" s="0" t="str">
        <f aca="false">INDEX(COA!$C$5:$C$19,MATCH(E850,COA!$A$5:$A$19,0))</f>
        <v>Asset</v>
      </c>
      <c r="G850" s="12" t="n">
        <v>3650.76</v>
      </c>
      <c r="H850" s="12" t="n">
        <v>0</v>
      </c>
      <c r="I850" s="10" t="s">
        <v>103</v>
      </c>
      <c r="J850" s="10" t="s">
        <v>1636</v>
      </c>
      <c r="K850" s="10" t="s">
        <v>1640</v>
      </c>
    </row>
    <row r="851" customFormat="false" ht="15" hidden="false" customHeight="false" outlineLevel="0" collapsed="false">
      <c r="A851" s="10" t="s">
        <v>2515</v>
      </c>
      <c r="B851" s="10" t="n">
        <v>1396</v>
      </c>
      <c r="C851" s="8" t="n">
        <v>45831</v>
      </c>
      <c r="D851" s="8" t="n">
        <v>45827</v>
      </c>
      <c r="E851" s="10" t="n">
        <v>1100</v>
      </c>
      <c r="F851" s="0" t="str">
        <f aca="false">INDEX(COA!$C$5:$C$19,MATCH(E851,COA!$A$5:$A$19,0))</f>
        <v>Asset</v>
      </c>
      <c r="G851" s="12" t="n">
        <v>1564.61</v>
      </c>
      <c r="H851" s="12" t="n">
        <v>0</v>
      </c>
      <c r="I851" s="10" t="s">
        <v>103</v>
      </c>
      <c r="J851" s="10" t="s">
        <v>1636</v>
      </c>
      <c r="K851" s="10" t="s">
        <v>1640</v>
      </c>
    </row>
    <row r="852" customFormat="false" ht="15" hidden="false" customHeight="false" outlineLevel="0" collapsed="false">
      <c r="A852" s="10" t="s">
        <v>2516</v>
      </c>
      <c r="B852" s="10" t="n">
        <v>1396</v>
      </c>
      <c r="C852" s="8" t="n">
        <v>45831</v>
      </c>
      <c r="D852" s="8" t="n">
        <v>45827</v>
      </c>
      <c r="E852" s="10" t="n">
        <v>4000</v>
      </c>
      <c r="F852" s="0" t="str">
        <f aca="false">INDEX(COA!$C$5:$C$19,MATCH(E852,COA!$A$5:$A$19,0))</f>
        <v>Revenue</v>
      </c>
      <c r="G852" s="12" t="n">
        <v>0</v>
      </c>
      <c r="H852" s="12" t="n">
        <v>5215.37</v>
      </c>
      <c r="I852" s="10" t="s">
        <v>103</v>
      </c>
      <c r="J852" s="10" t="s">
        <v>1636</v>
      </c>
      <c r="K852" s="10" t="s">
        <v>1640</v>
      </c>
    </row>
    <row r="853" customFormat="false" ht="15" hidden="false" customHeight="false" outlineLevel="0" collapsed="false">
      <c r="A853" s="10" t="s">
        <v>2517</v>
      </c>
      <c r="B853" s="10" t="n">
        <v>1397</v>
      </c>
      <c r="C853" s="8" t="n">
        <v>45831</v>
      </c>
      <c r="D853" s="8" t="n">
        <v>45829</v>
      </c>
      <c r="E853" s="10" t="n">
        <v>2000</v>
      </c>
      <c r="F853" s="0" t="str">
        <f aca="false">INDEX(COA!$C$5:$C$19,MATCH(E853,COA!$A$5:$A$19,0))</f>
        <v>Liability</v>
      </c>
      <c r="G853" s="12" t="n">
        <v>1321.8</v>
      </c>
      <c r="H853" s="12" t="n">
        <v>0</v>
      </c>
      <c r="I853" s="10" t="s">
        <v>104</v>
      </c>
      <c r="J853" s="10" t="s">
        <v>1636</v>
      </c>
      <c r="K853" s="10" t="s">
        <v>1659</v>
      </c>
    </row>
    <row r="854" customFormat="false" ht="15" hidden="false" customHeight="false" outlineLevel="0" collapsed="false">
      <c r="A854" s="10" t="s">
        <v>2518</v>
      </c>
      <c r="B854" s="10" t="n">
        <v>1397</v>
      </c>
      <c r="C854" s="8" t="n">
        <v>45831</v>
      </c>
      <c r="D854" s="8" t="n">
        <v>45829</v>
      </c>
      <c r="E854" s="10" t="n">
        <v>1000</v>
      </c>
      <c r="F854" s="0" t="str">
        <f aca="false">INDEX(COA!$C$5:$C$19,MATCH(E854,COA!$A$5:$A$19,0))</f>
        <v>Asset</v>
      </c>
      <c r="G854" s="12" t="n">
        <v>0</v>
      </c>
      <c r="H854" s="12" t="n">
        <v>1321.8</v>
      </c>
      <c r="I854" s="10" t="s">
        <v>104</v>
      </c>
      <c r="J854" s="10" t="s">
        <v>1636</v>
      </c>
      <c r="K854" s="10" t="s">
        <v>1659</v>
      </c>
    </row>
    <row r="855" customFormat="false" ht="15" hidden="false" customHeight="false" outlineLevel="0" collapsed="false">
      <c r="A855" s="10" t="s">
        <v>2519</v>
      </c>
      <c r="B855" s="10" t="n">
        <v>1398</v>
      </c>
      <c r="C855" s="8" t="n">
        <v>45831</v>
      </c>
      <c r="D855" s="8" t="n">
        <v>45828</v>
      </c>
      <c r="E855" s="10" t="n">
        <v>1000</v>
      </c>
      <c r="F855" s="0" t="str">
        <f aca="false">INDEX(COA!$C$5:$C$19,MATCH(E855,COA!$A$5:$A$19,0))</f>
        <v>Asset</v>
      </c>
      <c r="G855" s="12" t="n">
        <v>26040.77</v>
      </c>
      <c r="H855" s="12" t="n">
        <v>0</v>
      </c>
      <c r="I855" s="10" t="s">
        <v>103</v>
      </c>
      <c r="J855" s="10" t="s">
        <v>1636</v>
      </c>
      <c r="K855" s="10" t="s">
        <v>1637</v>
      </c>
    </row>
    <row r="856" customFormat="false" ht="15" hidden="false" customHeight="false" outlineLevel="0" collapsed="false">
      <c r="A856" s="10" t="s">
        <v>2520</v>
      </c>
      <c r="B856" s="10" t="n">
        <v>1398</v>
      </c>
      <c r="C856" s="8" t="n">
        <v>45831</v>
      </c>
      <c r="D856" s="8" t="n">
        <v>45828</v>
      </c>
      <c r="E856" s="10" t="n">
        <v>1100</v>
      </c>
      <c r="F856" s="0" t="str">
        <f aca="false">INDEX(COA!$C$5:$C$19,MATCH(E856,COA!$A$5:$A$19,0))</f>
        <v>Asset</v>
      </c>
      <c r="G856" s="12" t="n">
        <v>0</v>
      </c>
      <c r="H856" s="12" t="n">
        <v>26040.77</v>
      </c>
      <c r="I856" s="10" t="s">
        <v>103</v>
      </c>
      <c r="J856" s="10" t="s">
        <v>1636</v>
      </c>
      <c r="K856" s="10" t="s">
        <v>1637</v>
      </c>
    </row>
    <row r="857" customFormat="false" ht="15" hidden="false" customHeight="false" outlineLevel="0" collapsed="false">
      <c r="A857" s="10" t="s">
        <v>2521</v>
      </c>
      <c r="B857" s="10" t="n">
        <v>1399</v>
      </c>
      <c r="C857" s="8" t="n">
        <v>45832</v>
      </c>
      <c r="D857" s="8" t="n">
        <v>45829</v>
      </c>
      <c r="E857" s="10" t="n">
        <v>6200</v>
      </c>
      <c r="F857" s="0" t="str">
        <f aca="false">INDEX(COA!$C$5:$C$19,MATCH(E857,COA!$A$5:$A$19,0))</f>
        <v>Expense</v>
      </c>
      <c r="G857" s="12" t="n">
        <v>10209.84</v>
      </c>
      <c r="H857" s="12" t="n">
        <v>0</v>
      </c>
      <c r="I857" s="10" t="s">
        <v>102</v>
      </c>
      <c r="J857" s="10" t="s">
        <v>1636</v>
      </c>
      <c r="K857" s="10" t="s">
        <v>1689</v>
      </c>
    </row>
    <row r="858" customFormat="false" ht="15" hidden="false" customHeight="false" outlineLevel="0" collapsed="false">
      <c r="A858" s="10" t="s">
        <v>2522</v>
      </c>
      <c r="B858" s="10" t="n">
        <v>1399</v>
      </c>
      <c r="C858" s="8" t="n">
        <v>45832</v>
      </c>
      <c r="D858" s="8" t="n">
        <v>45829</v>
      </c>
      <c r="E858" s="10" t="n">
        <v>6200</v>
      </c>
      <c r="F858" s="0" t="str">
        <f aca="false">INDEX(COA!$C$5:$C$19,MATCH(E858,COA!$A$5:$A$19,0))</f>
        <v>Expense</v>
      </c>
      <c r="G858" s="12" t="n">
        <v>4375.65</v>
      </c>
      <c r="H858" s="12" t="n">
        <v>0</v>
      </c>
      <c r="I858" s="10" t="s">
        <v>102</v>
      </c>
      <c r="J858" s="10" t="s">
        <v>1636</v>
      </c>
      <c r="K858" s="10" t="s">
        <v>1689</v>
      </c>
    </row>
    <row r="859" customFormat="false" ht="15" hidden="false" customHeight="false" outlineLevel="0" collapsed="false">
      <c r="A859" s="10" t="s">
        <v>2523</v>
      </c>
      <c r="B859" s="10" t="n">
        <v>1399</v>
      </c>
      <c r="C859" s="8" t="n">
        <v>45832</v>
      </c>
      <c r="D859" s="8" t="n">
        <v>45829</v>
      </c>
      <c r="E859" s="10" t="n">
        <v>2000</v>
      </c>
      <c r="F859" s="0" t="str">
        <f aca="false">INDEX(COA!$C$5:$C$19,MATCH(E859,COA!$A$5:$A$19,0))</f>
        <v>Liability</v>
      </c>
      <c r="G859" s="12" t="n">
        <v>0</v>
      </c>
      <c r="H859" s="12" t="n">
        <v>14585.49</v>
      </c>
      <c r="I859" s="10" t="s">
        <v>102</v>
      </c>
      <c r="J859" s="10" t="s">
        <v>1636</v>
      </c>
      <c r="K859" s="10" t="s">
        <v>1689</v>
      </c>
    </row>
    <row r="860" customFormat="false" ht="15" hidden="false" customHeight="false" outlineLevel="0" collapsed="false">
      <c r="A860" s="10" t="s">
        <v>2524</v>
      </c>
      <c r="B860" s="10" t="n">
        <v>1400</v>
      </c>
      <c r="C860" s="8" t="n">
        <v>45832</v>
      </c>
      <c r="D860" s="8" t="n">
        <v>45829</v>
      </c>
      <c r="E860" s="10" t="n">
        <v>1000</v>
      </c>
      <c r="F860" s="0" t="str">
        <f aca="false">INDEX(COA!$C$5:$C$19,MATCH(E860,COA!$A$5:$A$19,0))</f>
        <v>Asset</v>
      </c>
      <c r="G860" s="12" t="n">
        <v>1634.38</v>
      </c>
      <c r="H860" s="12" t="n">
        <v>0</v>
      </c>
      <c r="I860" s="10" t="s">
        <v>103</v>
      </c>
      <c r="J860" s="10" t="s">
        <v>1636</v>
      </c>
      <c r="K860" s="10" t="s">
        <v>1637</v>
      </c>
    </row>
    <row r="861" customFormat="false" ht="15" hidden="false" customHeight="false" outlineLevel="0" collapsed="false">
      <c r="A861" s="10" t="s">
        <v>2525</v>
      </c>
      <c r="B861" s="10" t="n">
        <v>1400</v>
      </c>
      <c r="C861" s="8" t="n">
        <v>45832</v>
      </c>
      <c r="D861" s="8" t="n">
        <v>45829</v>
      </c>
      <c r="E861" s="10" t="n">
        <v>1100</v>
      </c>
      <c r="F861" s="0" t="str">
        <f aca="false">INDEX(COA!$C$5:$C$19,MATCH(E861,COA!$A$5:$A$19,0))</f>
        <v>Asset</v>
      </c>
      <c r="G861" s="12" t="n">
        <v>0</v>
      </c>
      <c r="H861" s="12" t="n">
        <v>1634.38</v>
      </c>
      <c r="I861" s="10" t="s">
        <v>103</v>
      </c>
      <c r="J861" s="10" t="s">
        <v>1636</v>
      </c>
      <c r="K861" s="10" t="s">
        <v>1637</v>
      </c>
    </row>
    <row r="862" customFormat="false" ht="15" hidden="false" customHeight="false" outlineLevel="0" collapsed="false">
      <c r="A862" s="10" t="s">
        <v>2526</v>
      </c>
      <c r="B862" s="10" t="n">
        <v>1401</v>
      </c>
      <c r="C862" s="8" t="n">
        <v>45833</v>
      </c>
      <c r="D862" s="8" t="n">
        <v>45829</v>
      </c>
      <c r="E862" s="10" t="n">
        <v>5000</v>
      </c>
      <c r="F862" s="0" t="str">
        <f aca="false">INDEX(COA!$C$5:$C$19,MATCH(E862,COA!$A$5:$A$19,0))</f>
        <v>Expense</v>
      </c>
      <c r="G862" s="12" t="n">
        <v>6257.47</v>
      </c>
      <c r="H862" s="12" t="n">
        <v>0</v>
      </c>
      <c r="I862" s="10" t="s">
        <v>103</v>
      </c>
      <c r="J862" s="10" t="s">
        <v>1636</v>
      </c>
      <c r="K862" s="10" t="s">
        <v>1670</v>
      </c>
    </row>
    <row r="863" customFormat="false" ht="15" hidden="false" customHeight="false" outlineLevel="0" collapsed="false">
      <c r="A863" s="10" t="s">
        <v>2527</v>
      </c>
      <c r="B863" s="10" t="n">
        <v>1401</v>
      </c>
      <c r="C863" s="8" t="n">
        <v>45833</v>
      </c>
      <c r="D863" s="8" t="n">
        <v>45829</v>
      </c>
      <c r="E863" s="10" t="n">
        <v>1200</v>
      </c>
      <c r="F863" s="0" t="str">
        <f aca="false">INDEX(COA!$C$5:$C$19,MATCH(E863,COA!$A$5:$A$19,0))</f>
        <v>Asset</v>
      </c>
      <c r="G863" s="12" t="n">
        <v>0</v>
      </c>
      <c r="H863" s="12" t="n">
        <v>6257.47</v>
      </c>
      <c r="I863" s="10" t="s">
        <v>103</v>
      </c>
      <c r="J863" s="10" t="s">
        <v>1636</v>
      </c>
      <c r="K863" s="10" t="s">
        <v>1670</v>
      </c>
    </row>
    <row r="864" customFormat="false" ht="15" hidden="false" customHeight="false" outlineLevel="0" collapsed="false">
      <c r="A864" s="10" t="s">
        <v>2528</v>
      </c>
      <c r="B864" s="10" t="n">
        <v>1402</v>
      </c>
      <c r="C864" s="8" t="n">
        <v>45833</v>
      </c>
      <c r="D864" s="8" t="n">
        <v>45830</v>
      </c>
      <c r="E864" s="10" t="n">
        <v>1000</v>
      </c>
      <c r="F864" s="0" t="str">
        <f aca="false">INDEX(COA!$C$5:$C$19,MATCH(E864,COA!$A$5:$A$19,0))</f>
        <v>Asset</v>
      </c>
      <c r="G864" s="12" t="n">
        <v>4469.51</v>
      </c>
      <c r="H864" s="12" t="n">
        <v>0</v>
      </c>
      <c r="I864" s="10" t="s">
        <v>103</v>
      </c>
      <c r="J864" s="10" t="s">
        <v>1636</v>
      </c>
      <c r="K864" s="10" t="s">
        <v>1637</v>
      </c>
    </row>
    <row r="865" customFormat="false" ht="15" hidden="false" customHeight="false" outlineLevel="0" collapsed="false">
      <c r="A865" s="10" t="s">
        <v>2529</v>
      </c>
      <c r="B865" s="10" t="n">
        <v>1402</v>
      </c>
      <c r="C865" s="8" t="n">
        <v>45833</v>
      </c>
      <c r="D865" s="8" t="n">
        <v>45830</v>
      </c>
      <c r="E865" s="10" t="n">
        <v>1100</v>
      </c>
      <c r="F865" s="0" t="str">
        <f aca="false">INDEX(COA!$C$5:$C$19,MATCH(E865,COA!$A$5:$A$19,0))</f>
        <v>Asset</v>
      </c>
      <c r="G865" s="12" t="n">
        <v>0</v>
      </c>
      <c r="H865" s="12" t="n">
        <v>4469.51</v>
      </c>
      <c r="I865" s="10" t="s">
        <v>103</v>
      </c>
      <c r="J865" s="10" t="s">
        <v>1636</v>
      </c>
      <c r="K865" s="10" t="s">
        <v>1637</v>
      </c>
    </row>
    <row r="866" customFormat="false" ht="15" hidden="false" customHeight="false" outlineLevel="0" collapsed="false">
      <c r="A866" s="10" t="s">
        <v>2530</v>
      </c>
      <c r="B866" s="10" t="n">
        <v>1403</v>
      </c>
      <c r="C866" s="8" t="n">
        <v>45833</v>
      </c>
      <c r="D866" s="8" t="n">
        <v>45833</v>
      </c>
      <c r="E866" s="10" t="n">
        <v>6000</v>
      </c>
      <c r="F866" s="0" t="str">
        <f aca="false">INDEX(COA!$C$5:$C$19,MATCH(E866,COA!$A$5:$A$19,0))</f>
        <v>Expense</v>
      </c>
      <c r="G866" s="12" t="n">
        <v>244000</v>
      </c>
      <c r="H866" s="12" t="n">
        <v>0</v>
      </c>
      <c r="I866" s="10" t="s">
        <v>104</v>
      </c>
      <c r="J866" s="10" t="s">
        <v>1636</v>
      </c>
      <c r="K866" s="10" t="s">
        <v>1776</v>
      </c>
    </row>
    <row r="867" customFormat="false" ht="15" hidden="false" customHeight="false" outlineLevel="0" collapsed="false">
      <c r="A867" s="10" t="s">
        <v>2531</v>
      </c>
      <c r="B867" s="10" t="n">
        <v>1403</v>
      </c>
      <c r="C867" s="8" t="n">
        <v>45833</v>
      </c>
      <c r="D867" s="8" t="n">
        <v>45833</v>
      </c>
      <c r="E867" s="10" t="n">
        <v>1000</v>
      </c>
      <c r="F867" s="0" t="str">
        <f aca="false">INDEX(COA!$C$5:$C$19,MATCH(E867,COA!$A$5:$A$19,0))</f>
        <v>Asset</v>
      </c>
      <c r="G867" s="12" t="n">
        <v>0</v>
      </c>
      <c r="H867" s="12" t="n">
        <v>244000</v>
      </c>
      <c r="I867" s="10" t="s">
        <v>104</v>
      </c>
      <c r="J867" s="10" t="s">
        <v>1636</v>
      </c>
      <c r="K867" s="10" t="s">
        <v>1776</v>
      </c>
    </row>
    <row r="868" customFormat="false" ht="15" hidden="false" customHeight="false" outlineLevel="0" collapsed="false">
      <c r="A868" s="10" t="s">
        <v>2532</v>
      </c>
      <c r="B868" s="10" t="n">
        <v>1404</v>
      </c>
      <c r="C868" s="8" t="n">
        <v>45833</v>
      </c>
      <c r="D868" s="8" t="n">
        <v>45831</v>
      </c>
      <c r="E868" s="10" t="n">
        <v>1000</v>
      </c>
      <c r="F868" s="0" t="str">
        <f aca="false">INDEX(COA!$C$5:$C$19,MATCH(E868,COA!$A$5:$A$19,0))</f>
        <v>Asset</v>
      </c>
      <c r="G868" s="12" t="n">
        <v>4863.28</v>
      </c>
      <c r="H868" s="12" t="n">
        <v>0</v>
      </c>
      <c r="I868" s="10" t="s">
        <v>103</v>
      </c>
      <c r="J868" s="10" t="s">
        <v>1636</v>
      </c>
      <c r="K868" s="10" t="s">
        <v>1637</v>
      </c>
    </row>
    <row r="869" customFormat="false" ht="15" hidden="false" customHeight="false" outlineLevel="0" collapsed="false">
      <c r="A869" s="10" t="s">
        <v>2533</v>
      </c>
      <c r="B869" s="10" t="n">
        <v>1404</v>
      </c>
      <c r="C869" s="8" t="n">
        <v>45833</v>
      </c>
      <c r="D869" s="8" t="n">
        <v>45831</v>
      </c>
      <c r="E869" s="10" t="n">
        <v>1100</v>
      </c>
      <c r="F869" s="0" t="str">
        <f aca="false">INDEX(COA!$C$5:$C$19,MATCH(E869,COA!$A$5:$A$19,0))</f>
        <v>Asset</v>
      </c>
      <c r="G869" s="12" t="n">
        <v>0</v>
      </c>
      <c r="H869" s="12" t="n">
        <v>4863.28</v>
      </c>
      <c r="I869" s="10" t="s">
        <v>103</v>
      </c>
      <c r="J869" s="10" t="s">
        <v>1636</v>
      </c>
      <c r="K869" s="10" t="s">
        <v>1637</v>
      </c>
    </row>
    <row r="870" customFormat="false" ht="15" hidden="false" customHeight="false" outlineLevel="0" collapsed="false">
      <c r="A870" s="10" t="s">
        <v>2534</v>
      </c>
      <c r="B870" s="10" t="n">
        <v>1405</v>
      </c>
      <c r="C870" s="8" t="n">
        <v>45834</v>
      </c>
      <c r="D870" s="8" t="n">
        <v>45830</v>
      </c>
      <c r="E870" s="10" t="n">
        <v>1000</v>
      </c>
      <c r="F870" s="0" t="str">
        <f aca="false">INDEX(COA!$C$5:$C$19,MATCH(E870,COA!$A$5:$A$19,0))</f>
        <v>Asset</v>
      </c>
      <c r="G870" s="12" t="n">
        <v>3016.7</v>
      </c>
      <c r="H870" s="12" t="n">
        <v>0</v>
      </c>
      <c r="I870" s="10" t="s">
        <v>103</v>
      </c>
      <c r="J870" s="10" t="s">
        <v>1636</v>
      </c>
      <c r="K870" s="10" t="s">
        <v>1637</v>
      </c>
    </row>
    <row r="871" customFormat="false" ht="15" hidden="false" customHeight="false" outlineLevel="0" collapsed="false">
      <c r="A871" s="10" t="s">
        <v>2535</v>
      </c>
      <c r="B871" s="10" t="n">
        <v>1405</v>
      </c>
      <c r="C871" s="8" t="n">
        <v>45834</v>
      </c>
      <c r="D871" s="8" t="n">
        <v>45830</v>
      </c>
      <c r="E871" s="10" t="n">
        <v>1000</v>
      </c>
      <c r="F871" s="0" t="str">
        <f aca="false">INDEX(COA!$C$5:$C$19,MATCH(E871,COA!$A$5:$A$19,0))</f>
        <v>Asset</v>
      </c>
      <c r="G871" s="12" t="n">
        <v>1292.87</v>
      </c>
      <c r="H871" s="12" t="n">
        <v>0</v>
      </c>
      <c r="I871" s="10" t="s">
        <v>103</v>
      </c>
      <c r="J871" s="10" t="s">
        <v>1636</v>
      </c>
      <c r="K871" s="10" t="s">
        <v>1637</v>
      </c>
    </row>
    <row r="872" customFormat="false" ht="15" hidden="false" customHeight="false" outlineLevel="0" collapsed="false">
      <c r="A872" s="10" t="s">
        <v>2536</v>
      </c>
      <c r="B872" s="10" t="n">
        <v>1405</v>
      </c>
      <c r="C872" s="8" t="n">
        <v>45834</v>
      </c>
      <c r="D872" s="8" t="n">
        <v>45830</v>
      </c>
      <c r="E872" s="10" t="n">
        <v>1100</v>
      </c>
      <c r="F872" s="0" t="str">
        <f aca="false">INDEX(COA!$C$5:$C$19,MATCH(E872,COA!$A$5:$A$19,0))</f>
        <v>Asset</v>
      </c>
      <c r="G872" s="12" t="n">
        <v>0</v>
      </c>
      <c r="H872" s="12" t="n">
        <v>4309.57</v>
      </c>
      <c r="I872" s="10" t="s">
        <v>103</v>
      </c>
      <c r="J872" s="10" t="s">
        <v>1636</v>
      </c>
      <c r="K872" s="10" t="s">
        <v>1637</v>
      </c>
    </row>
    <row r="873" customFormat="false" ht="15" hidden="false" customHeight="false" outlineLevel="0" collapsed="false">
      <c r="A873" s="10" t="s">
        <v>2537</v>
      </c>
      <c r="B873" s="10" t="n">
        <v>1406</v>
      </c>
      <c r="C873" s="8" t="n">
        <v>45835</v>
      </c>
      <c r="D873" s="8" t="n">
        <v>45833</v>
      </c>
      <c r="E873" s="10" t="n">
        <v>6900</v>
      </c>
      <c r="F873" s="0" t="str">
        <f aca="false">INDEX(COA!$C$5:$C$19,MATCH(E873,COA!$A$5:$A$19,0))</f>
        <v>Expense</v>
      </c>
      <c r="G873" s="12" t="n">
        <v>12134.21</v>
      </c>
      <c r="H873" s="12" t="n">
        <v>0</v>
      </c>
      <c r="I873" s="10" t="s">
        <v>100</v>
      </c>
      <c r="J873" s="10" t="s">
        <v>1648</v>
      </c>
      <c r="K873" s="10" t="s">
        <v>1649</v>
      </c>
    </row>
    <row r="874" customFormat="false" ht="15" hidden="false" customHeight="false" outlineLevel="0" collapsed="false">
      <c r="A874" s="10" t="s">
        <v>2538</v>
      </c>
      <c r="B874" s="10" t="n">
        <v>1406</v>
      </c>
      <c r="C874" s="8" t="n">
        <v>45835</v>
      </c>
      <c r="D874" s="8" t="n">
        <v>45833</v>
      </c>
      <c r="E874" s="10" t="n">
        <v>2100</v>
      </c>
      <c r="F874" s="0" t="str">
        <f aca="false">INDEX(COA!$C$5:$C$19,MATCH(E874,COA!$A$5:$A$19,0))</f>
        <v>Liability</v>
      </c>
      <c r="G874" s="12" t="n">
        <v>0</v>
      </c>
      <c r="H874" s="12" t="n">
        <v>12134.21</v>
      </c>
      <c r="I874" s="10" t="s">
        <v>100</v>
      </c>
      <c r="J874" s="10" t="s">
        <v>1648</v>
      </c>
      <c r="K874" s="10" t="s">
        <v>1649</v>
      </c>
    </row>
    <row r="875" customFormat="false" ht="15" hidden="false" customHeight="false" outlineLevel="0" collapsed="false">
      <c r="A875" s="10" t="s">
        <v>2539</v>
      </c>
      <c r="B875" s="10" t="n">
        <v>1407</v>
      </c>
      <c r="C875" s="8" t="n">
        <v>45835</v>
      </c>
      <c r="D875" s="8" t="n">
        <v>45832</v>
      </c>
      <c r="E875" s="10" t="n">
        <v>2000</v>
      </c>
      <c r="F875" s="0" t="str">
        <f aca="false">INDEX(COA!$C$5:$C$19,MATCH(E875,COA!$A$5:$A$19,0))</f>
        <v>Liability</v>
      </c>
      <c r="G875" s="12" t="n">
        <v>1354.52</v>
      </c>
      <c r="H875" s="12" t="n">
        <v>0</v>
      </c>
      <c r="I875" s="10" t="s">
        <v>104</v>
      </c>
      <c r="J875" s="10" t="s">
        <v>1636</v>
      </c>
      <c r="K875" s="10" t="s">
        <v>1659</v>
      </c>
    </row>
    <row r="876" customFormat="false" ht="15" hidden="false" customHeight="false" outlineLevel="0" collapsed="false">
      <c r="A876" s="10" t="s">
        <v>2540</v>
      </c>
      <c r="B876" s="10" t="n">
        <v>1407</v>
      </c>
      <c r="C876" s="8" t="n">
        <v>45835</v>
      </c>
      <c r="D876" s="8" t="n">
        <v>45832</v>
      </c>
      <c r="E876" s="10" t="n">
        <v>2000</v>
      </c>
      <c r="F876" s="0" t="str">
        <f aca="false">INDEX(COA!$C$5:$C$19,MATCH(E876,COA!$A$5:$A$19,0))</f>
        <v>Liability</v>
      </c>
      <c r="G876" s="12" t="n">
        <v>580.51</v>
      </c>
      <c r="H876" s="12" t="n">
        <v>0</v>
      </c>
      <c r="I876" s="10" t="s">
        <v>104</v>
      </c>
      <c r="J876" s="10" t="s">
        <v>1636</v>
      </c>
      <c r="K876" s="10" t="s">
        <v>1659</v>
      </c>
    </row>
    <row r="877" customFormat="false" ht="15" hidden="false" customHeight="false" outlineLevel="0" collapsed="false">
      <c r="A877" s="10" t="s">
        <v>2541</v>
      </c>
      <c r="B877" s="10" t="n">
        <v>1407</v>
      </c>
      <c r="C877" s="8" t="n">
        <v>45835</v>
      </c>
      <c r="D877" s="8" t="n">
        <v>45832</v>
      </c>
      <c r="E877" s="10" t="n">
        <v>1000</v>
      </c>
      <c r="F877" s="0" t="str">
        <f aca="false">INDEX(COA!$C$5:$C$19,MATCH(E877,COA!$A$5:$A$19,0))</f>
        <v>Asset</v>
      </c>
      <c r="G877" s="12" t="n">
        <v>0</v>
      </c>
      <c r="H877" s="12" t="n">
        <v>1935.03</v>
      </c>
      <c r="I877" s="10" t="s">
        <v>104</v>
      </c>
      <c r="J877" s="10" t="s">
        <v>1636</v>
      </c>
      <c r="K877" s="10" t="s">
        <v>1659</v>
      </c>
    </row>
    <row r="878" customFormat="false" ht="15" hidden="false" customHeight="false" outlineLevel="0" collapsed="false">
      <c r="A878" s="10" t="s">
        <v>2542</v>
      </c>
      <c r="B878" s="10" t="n">
        <v>1408</v>
      </c>
      <c r="C878" s="8" t="n">
        <v>45835</v>
      </c>
      <c r="D878" s="8" t="n">
        <v>45832</v>
      </c>
      <c r="E878" s="10" t="n">
        <v>5000</v>
      </c>
      <c r="F878" s="0" t="str">
        <f aca="false">INDEX(COA!$C$5:$C$19,MATCH(E878,COA!$A$5:$A$19,0))</f>
        <v>Expense</v>
      </c>
      <c r="G878" s="12" t="n">
        <v>7659.9</v>
      </c>
      <c r="H878" s="12" t="n">
        <v>0</v>
      </c>
      <c r="I878" s="10" t="s">
        <v>103</v>
      </c>
      <c r="J878" s="10" t="s">
        <v>1636</v>
      </c>
      <c r="K878" s="10" t="s">
        <v>1670</v>
      </c>
    </row>
    <row r="879" customFormat="false" ht="15" hidden="false" customHeight="false" outlineLevel="0" collapsed="false">
      <c r="A879" s="10" t="s">
        <v>2543</v>
      </c>
      <c r="B879" s="10" t="n">
        <v>1408</v>
      </c>
      <c r="C879" s="8" t="n">
        <v>45835</v>
      </c>
      <c r="D879" s="8" t="n">
        <v>45832</v>
      </c>
      <c r="E879" s="10" t="n">
        <v>1200</v>
      </c>
      <c r="F879" s="0" t="str">
        <f aca="false">INDEX(COA!$C$5:$C$19,MATCH(E879,COA!$A$5:$A$19,0))</f>
        <v>Asset</v>
      </c>
      <c r="G879" s="12" t="n">
        <v>0</v>
      </c>
      <c r="H879" s="12" t="n">
        <v>7659.9</v>
      </c>
      <c r="I879" s="10" t="s">
        <v>103</v>
      </c>
      <c r="J879" s="10" t="s">
        <v>1636</v>
      </c>
      <c r="K879" s="10" t="s">
        <v>1670</v>
      </c>
    </row>
    <row r="880" customFormat="false" ht="15" hidden="false" customHeight="false" outlineLevel="0" collapsed="false">
      <c r="A880" s="10" t="s">
        <v>2544</v>
      </c>
      <c r="B880" s="10" t="n">
        <v>1409</v>
      </c>
      <c r="C880" s="8" t="n">
        <v>45835</v>
      </c>
      <c r="D880" s="8" t="n">
        <v>45833</v>
      </c>
      <c r="E880" s="10" t="n">
        <v>2000</v>
      </c>
      <c r="F880" s="0" t="str">
        <f aca="false">INDEX(COA!$C$5:$C$19,MATCH(E880,COA!$A$5:$A$19,0))</f>
        <v>Liability</v>
      </c>
      <c r="G880" s="12" t="n">
        <v>10089.05</v>
      </c>
      <c r="H880" s="12" t="n">
        <v>0</v>
      </c>
      <c r="I880" s="10" t="s">
        <v>104</v>
      </c>
      <c r="J880" s="10" t="s">
        <v>1636</v>
      </c>
      <c r="K880" s="10" t="s">
        <v>1659</v>
      </c>
    </row>
    <row r="881" customFormat="false" ht="15" hidden="false" customHeight="false" outlineLevel="0" collapsed="false">
      <c r="A881" s="10" t="s">
        <v>2545</v>
      </c>
      <c r="B881" s="10" t="n">
        <v>1409</v>
      </c>
      <c r="C881" s="8" t="n">
        <v>45835</v>
      </c>
      <c r="D881" s="8" t="n">
        <v>45833</v>
      </c>
      <c r="E881" s="10" t="n">
        <v>1000</v>
      </c>
      <c r="F881" s="0" t="str">
        <f aca="false">INDEX(COA!$C$5:$C$19,MATCH(E881,COA!$A$5:$A$19,0))</f>
        <v>Asset</v>
      </c>
      <c r="G881" s="12" t="n">
        <v>0</v>
      </c>
      <c r="H881" s="12" t="n">
        <v>10089.05</v>
      </c>
      <c r="I881" s="10" t="s">
        <v>104</v>
      </c>
      <c r="J881" s="10" t="s">
        <v>1636</v>
      </c>
      <c r="K881" s="10" t="s">
        <v>1659</v>
      </c>
    </row>
    <row r="882" customFormat="false" ht="15" hidden="false" customHeight="false" outlineLevel="0" collapsed="false">
      <c r="A882" s="10" t="s">
        <v>2546</v>
      </c>
      <c r="B882" s="10" t="n">
        <v>1410</v>
      </c>
      <c r="C882" s="8" t="n">
        <v>45835</v>
      </c>
      <c r="D882" s="8" t="n">
        <v>45832</v>
      </c>
      <c r="E882" s="10" t="n">
        <v>1000</v>
      </c>
      <c r="F882" s="0" t="str">
        <f aca="false">INDEX(COA!$C$5:$C$19,MATCH(E882,COA!$A$5:$A$19,0))</f>
        <v>Asset</v>
      </c>
      <c r="G882" s="12" t="n">
        <v>207.5</v>
      </c>
      <c r="H882" s="12" t="n">
        <v>0</v>
      </c>
      <c r="I882" s="10" t="s">
        <v>103</v>
      </c>
      <c r="J882" s="10" t="s">
        <v>1636</v>
      </c>
      <c r="K882" s="10" t="s">
        <v>1637</v>
      </c>
    </row>
    <row r="883" customFormat="false" ht="15" hidden="false" customHeight="false" outlineLevel="0" collapsed="false">
      <c r="A883" s="10" t="s">
        <v>2547</v>
      </c>
      <c r="B883" s="10" t="n">
        <v>1410</v>
      </c>
      <c r="C883" s="8" t="n">
        <v>45835</v>
      </c>
      <c r="D883" s="8" t="n">
        <v>45832</v>
      </c>
      <c r="E883" s="10" t="n">
        <v>1100</v>
      </c>
      <c r="F883" s="0" t="str">
        <f aca="false">INDEX(COA!$C$5:$C$19,MATCH(E883,COA!$A$5:$A$19,0))</f>
        <v>Asset</v>
      </c>
      <c r="G883" s="12" t="n">
        <v>0</v>
      </c>
      <c r="H883" s="12" t="n">
        <v>207.5</v>
      </c>
      <c r="I883" s="10" t="s">
        <v>103</v>
      </c>
      <c r="J883" s="10" t="s">
        <v>1636</v>
      </c>
      <c r="K883" s="10" t="s">
        <v>1637</v>
      </c>
    </row>
    <row r="884" customFormat="false" ht="15" hidden="false" customHeight="false" outlineLevel="0" collapsed="false">
      <c r="A884" s="10" t="s">
        <v>2548</v>
      </c>
      <c r="B884" s="10" t="n">
        <v>1411</v>
      </c>
      <c r="C884" s="8" t="n">
        <v>45838</v>
      </c>
      <c r="D884" s="8" t="n">
        <v>45834</v>
      </c>
      <c r="E884" s="10" t="n">
        <v>1500</v>
      </c>
      <c r="F884" s="0" t="str">
        <f aca="false">INDEX(COA!$C$5:$C$19,MATCH(E884,COA!$A$5:$A$19,0))</f>
        <v>Asset</v>
      </c>
      <c r="G884" s="12" t="n">
        <v>93392.9</v>
      </c>
      <c r="H884" s="12" t="n">
        <v>0</v>
      </c>
      <c r="I884" s="10" t="s">
        <v>102</v>
      </c>
      <c r="J884" s="10" t="s">
        <v>1636</v>
      </c>
      <c r="K884" s="10" t="s">
        <v>1716</v>
      </c>
    </row>
    <row r="885" customFormat="false" ht="15" hidden="false" customHeight="false" outlineLevel="0" collapsed="false">
      <c r="A885" s="10" t="s">
        <v>2549</v>
      </c>
      <c r="B885" s="10" t="n">
        <v>1411</v>
      </c>
      <c r="C885" s="8" t="n">
        <v>45838</v>
      </c>
      <c r="D885" s="8" t="n">
        <v>45834</v>
      </c>
      <c r="E885" s="10" t="n">
        <v>1500</v>
      </c>
      <c r="F885" s="0" t="str">
        <f aca="false">INDEX(COA!$C$5:$C$19,MATCH(E885,COA!$A$5:$A$19,0))</f>
        <v>Asset</v>
      </c>
      <c r="G885" s="12" t="n">
        <v>40025.53</v>
      </c>
      <c r="H885" s="12" t="n">
        <v>0</v>
      </c>
      <c r="I885" s="10" t="s">
        <v>102</v>
      </c>
      <c r="J885" s="10" t="s">
        <v>1636</v>
      </c>
      <c r="K885" s="10" t="s">
        <v>1716</v>
      </c>
    </row>
    <row r="886" customFormat="false" ht="15" hidden="false" customHeight="false" outlineLevel="0" collapsed="false">
      <c r="A886" s="10" t="s">
        <v>2550</v>
      </c>
      <c r="B886" s="10" t="n">
        <v>1411</v>
      </c>
      <c r="C886" s="8" t="n">
        <v>45838</v>
      </c>
      <c r="D886" s="8" t="n">
        <v>45834</v>
      </c>
      <c r="E886" s="10" t="n">
        <v>2000</v>
      </c>
      <c r="F886" s="0" t="str">
        <f aca="false">INDEX(COA!$C$5:$C$19,MATCH(E886,COA!$A$5:$A$19,0))</f>
        <v>Liability</v>
      </c>
      <c r="G886" s="12" t="n">
        <v>0</v>
      </c>
      <c r="H886" s="12" t="n">
        <v>133418.43</v>
      </c>
      <c r="I886" s="10" t="s">
        <v>102</v>
      </c>
      <c r="J886" s="10" t="s">
        <v>1636</v>
      </c>
      <c r="K886" s="10" t="s">
        <v>1716</v>
      </c>
    </row>
    <row r="887" customFormat="false" ht="15" hidden="false" customHeight="false" outlineLevel="0" collapsed="false">
      <c r="A887" s="10" t="s">
        <v>2551</v>
      </c>
      <c r="B887" s="10" t="n">
        <v>1412</v>
      </c>
      <c r="C887" s="8" t="n">
        <v>45838</v>
      </c>
      <c r="D887" s="8" t="n">
        <v>45838</v>
      </c>
      <c r="E887" s="10" t="n">
        <v>2000</v>
      </c>
      <c r="F887" s="0" t="str">
        <f aca="false">INDEX(COA!$C$5:$C$19,MATCH(E887,COA!$A$5:$A$19,0))</f>
        <v>Liability</v>
      </c>
      <c r="G887" s="12" t="n">
        <v>298.66</v>
      </c>
      <c r="H887" s="12" t="n">
        <v>0</v>
      </c>
      <c r="I887" s="10" t="s">
        <v>104</v>
      </c>
      <c r="J887" s="10" t="s">
        <v>1636</v>
      </c>
      <c r="K887" s="10" t="s">
        <v>1659</v>
      </c>
    </row>
    <row r="888" customFormat="false" ht="15" hidden="false" customHeight="false" outlineLevel="0" collapsed="false">
      <c r="A888" s="10" t="s">
        <v>2552</v>
      </c>
      <c r="B888" s="10" t="n">
        <v>1412</v>
      </c>
      <c r="C888" s="8" t="n">
        <v>45838</v>
      </c>
      <c r="D888" s="8" t="n">
        <v>45838</v>
      </c>
      <c r="E888" s="10" t="n">
        <v>1000</v>
      </c>
      <c r="F888" s="0" t="str">
        <f aca="false">INDEX(COA!$C$5:$C$19,MATCH(E888,COA!$A$5:$A$19,0))</f>
        <v>Asset</v>
      </c>
      <c r="G888" s="12" t="n">
        <v>0</v>
      </c>
      <c r="H888" s="12" t="n">
        <v>298.66</v>
      </c>
      <c r="I888" s="10" t="s">
        <v>104</v>
      </c>
      <c r="J888" s="10" t="s">
        <v>1636</v>
      </c>
      <c r="K888" s="10" t="s">
        <v>1659</v>
      </c>
    </row>
    <row r="889" customFormat="false" ht="15" hidden="false" customHeight="false" outlineLevel="0" collapsed="false">
      <c r="A889" s="10" t="s">
        <v>2553</v>
      </c>
      <c r="B889" s="10" t="n">
        <v>1413</v>
      </c>
      <c r="C889" s="8" t="n">
        <v>45838</v>
      </c>
      <c r="D889" s="8" t="n">
        <v>45835</v>
      </c>
      <c r="E889" s="10" t="n">
        <v>1200</v>
      </c>
      <c r="F889" s="0" t="str">
        <f aca="false">INDEX(COA!$C$5:$C$19,MATCH(E889,COA!$A$5:$A$19,0))</f>
        <v>Asset</v>
      </c>
      <c r="G889" s="12" t="n">
        <v>2539.87</v>
      </c>
      <c r="H889" s="12" t="n">
        <v>0</v>
      </c>
      <c r="I889" s="10" t="s">
        <v>102</v>
      </c>
      <c r="J889" s="10" t="s">
        <v>1636</v>
      </c>
      <c r="K889" s="10" t="s">
        <v>1655</v>
      </c>
    </row>
    <row r="890" customFormat="false" ht="15" hidden="false" customHeight="false" outlineLevel="0" collapsed="false">
      <c r="A890" s="10" t="s">
        <v>2554</v>
      </c>
      <c r="B890" s="10" t="n">
        <v>1413</v>
      </c>
      <c r="C890" s="8" t="n">
        <v>45838</v>
      </c>
      <c r="D890" s="8" t="n">
        <v>45835</v>
      </c>
      <c r="E890" s="10" t="n">
        <v>2000</v>
      </c>
      <c r="F890" s="0" t="str">
        <f aca="false">INDEX(COA!$C$5:$C$19,MATCH(E890,COA!$A$5:$A$19,0))</f>
        <v>Liability</v>
      </c>
      <c r="G890" s="12" t="n">
        <v>0</v>
      </c>
      <c r="H890" s="12" t="n">
        <v>2539.87</v>
      </c>
      <c r="I890" s="10" t="s">
        <v>102</v>
      </c>
      <c r="J890" s="10" t="s">
        <v>1636</v>
      </c>
      <c r="K890" s="10" t="s">
        <v>1655</v>
      </c>
    </row>
    <row r="891" customFormat="false" ht="15" hidden="false" customHeight="false" outlineLevel="0" collapsed="false">
      <c r="A891" s="10" t="s">
        <v>2555</v>
      </c>
      <c r="B891" s="10" t="n">
        <v>1414</v>
      </c>
      <c r="C891" s="8" t="n">
        <v>45838</v>
      </c>
      <c r="D891" s="8" t="n">
        <v>45836</v>
      </c>
      <c r="E891" s="10" t="n">
        <v>1100</v>
      </c>
      <c r="F891" s="0" t="str">
        <f aca="false">INDEX(COA!$C$5:$C$19,MATCH(E891,COA!$A$5:$A$19,0))</f>
        <v>Asset</v>
      </c>
      <c r="G891" s="12" t="n">
        <v>925.64</v>
      </c>
      <c r="H891" s="12" t="n">
        <v>0</v>
      </c>
      <c r="I891" s="10" t="s">
        <v>103</v>
      </c>
      <c r="J891" s="10" t="s">
        <v>1636</v>
      </c>
      <c r="K891" s="10" t="s">
        <v>1640</v>
      </c>
    </row>
    <row r="892" customFormat="false" ht="15" hidden="false" customHeight="false" outlineLevel="0" collapsed="false">
      <c r="A892" s="10" t="s">
        <v>2556</v>
      </c>
      <c r="B892" s="10" t="n">
        <v>1414</v>
      </c>
      <c r="C892" s="8" t="n">
        <v>45838</v>
      </c>
      <c r="D892" s="8" t="n">
        <v>45836</v>
      </c>
      <c r="E892" s="10" t="n">
        <v>1100</v>
      </c>
      <c r="F892" s="0" t="str">
        <f aca="false">INDEX(COA!$C$5:$C$19,MATCH(E892,COA!$A$5:$A$19,0))</f>
        <v>Asset</v>
      </c>
      <c r="G892" s="12" t="n">
        <v>396.71</v>
      </c>
      <c r="H892" s="12" t="n">
        <v>0</v>
      </c>
      <c r="I892" s="10" t="s">
        <v>103</v>
      </c>
      <c r="J892" s="10" t="s">
        <v>1636</v>
      </c>
      <c r="K892" s="10" t="s">
        <v>1640</v>
      </c>
    </row>
    <row r="893" customFormat="false" ht="15" hidden="false" customHeight="false" outlineLevel="0" collapsed="false">
      <c r="A893" s="10" t="s">
        <v>2557</v>
      </c>
      <c r="B893" s="10" t="n">
        <v>1414</v>
      </c>
      <c r="C893" s="8" t="n">
        <v>45838</v>
      </c>
      <c r="D893" s="8" t="n">
        <v>45836</v>
      </c>
      <c r="E893" s="10" t="n">
        <v>4000</v>
      </c>
      <c r="F893" s="0" t="str">
        <f aca="false">INDEX(COA!$C$5:$C$19,MATCH(E893,COA!$A$5:$A$19,0))</f>
        <v>Revenue</v>
      </c>
      <c r="G893" s="12" t="n">
        <v>0</v>
      </c>
      <c r="H893" s="12" t="n">
        <v>1322.35</v>
      </c>
      <c r="I893" s="10" t="s">
        <v>103</v>
      </c>
      <c r="J893" s="10" t="s">
        <v>1636</v>
      </c>
      <c r="K893" s="10" t="s">
        <v>1640</v>
      </c>
    </row>
    <row r="894" customFormat="false" ht="15" hidden="false" customHeight="false" outlineLevel="0" collapsed="false">
      <c r="A894" s="10" t="s">
        <v>2558</v>
      </c>
      <c r="B894" s="10" t="n">
        <v>1415</v>
      </c>
      <c r="C894" s="8" t="n">
        <v>45838</v>
      </c>
      <c r="D894" s="8" t="n">
        <v>45834</v>
      </c>
      <c r="E894" s="10" t="n">
        <v>1000</v>
      </c>
      <c r="F894" s="0" t="str">
        <f aca="false">INDEX(COA!$C$5:$C$19,MATCH(E894,COA!$A$5:$A$19,0))</f>
        <v>Asset</v>
      </c>
      <c r="G894" s="12" t="n">
        <v>7771.33</v>
      </c>
      <c r="H894" s="12" t="n">
        <v>0</v>
      </c>
      <c r="I894" s="10" t="s">
        <v>103</v>
      </c>
      <c r="J894" s="10" t="s">
        <v>1636</v>
      </c>
      <c r="K894" s="10" t="s">
        <v>1637</v>
      </c>
    </row>
    <row r="895" customFormat="false" ht="15" hidden="false" customHeight="false" outlineLevel="0" collapsed="false">
      <c r="A895" s="10" t="s">
        <v>2559</v>
      </c>
      <c r="B895" s="10" t="n">
        <v>1415</v>
      </c>
      <c r="C895" s="8" t="n">
        <v>45838</v>
      </c>
      <c r="D895" s="8" t="n">
        <v>45834</v>
      </c>
      <c r="E895" s="10" t="n">
        <v>1100</v>
      </c>
      <c r="F895" s="0" t="str">
        <f aca="false">INDEX(COA!$C$5:$C$19,MATCH(E895,COA!$A$5:$A$19,0))</f>
        <v>Asset</v>
      </c>
      <c r="G895" s="12" t="n">
        <v>0</v>
      </c>
      <c r="H895" s="12" t="n">
        <v>7771.33</v>
      </c>
      <c r="I895" s="10" t="s">
        <v>103</v>
      </c>
      <c r="J895" s="10" t="s">
        <v>1636</v>
      </c>
      <c r="K895" s="10" t="s">
        <v>1637</v>
      </c>
    </row>
    <row r="896" customFormat="false" ht="15" hidden="false" customHeight="false" outlineLevel="0" collapsed="false">
      <c r="A896" s="10" t="s">
        <v>2560</v>
      </c>
      <c r="B896" s="10" t="n">
        <v>1416</v>
      </c>
      <c r="C896" s="8" t="n">
        <v>45839</v>
      </c>
      <c r="D896" s="8" t="n">
        <v>45838</v>
      </c>
      <c r="E896" s="10" t="n">
        <v>1100</v>
      </c>
      <c r="F896" s="0" t="str">
        <f aca="false">INDEX(COA!$C$5:$C$19,MATCH(E896,COA!$A$5:$A$19,0))</f>
        <v>Asset</v>
      </c>
      <c r="G896" s="12" t="n">
        <v>47743.18</v>
      </c>
      <c r="H896" s="12" t="n">
        <v>0</v>
      </c>
      <c r="I896" s="10" t="s">
        <v>103</v>
      </c>
      <c r="J896" s="10" t="s">
        <v>1636</v>
      </c>
      <c r="K896" s="10" t="s">
        <v>1640</v>
      </c>
    </row>
    <row r="897" customFormat="false" ht="15" hidden="false" customHeight="false" outlineLevel="0" collapsed="false">
      <c r="A897" s="10" t="s">
        <v>2561</v>
      </c>
      <c r="B897" s="10" t="n">
        <v>1416</v>
      </c>
      <c r="C897" s="8" t="n">
        <v>45839</v>
      </c>
      <c r="D897" s="8" t="n">
        <v>45838</v>
      </c>
      <c r="E897" s="10" t="n">
        <v>1100</v>
      </c>
      <c r="F897" s="0" t="str">
        <f aca="false">INDEX(COA!$C$5:$C$19,MATCH(E897,COA!$A$5:$A$19,0))</f>
        <v>Asset</v>
      </c>
      <c r="G897" s="12" t="n">
        <v>20461.37</v>
      </c>
      <c r="H897" s="12" t="n">
        <v>0</v>
      </c>
      <c r="I897" s="10" t="s">
        <v>103</v>
      </c>
      <c r="J897" s="10" t="s">
        <v>1636</v>
      </c>
      <c r="K897" s="10" t="s">
        <v>1640</v>
      </c>
    </row>
    <row r="898" customFormat="false" ht="15" hidden="false" customHeight="false" outlineLevel="0" collapsed="false">
      <c r="A898" s="10" t="s">
        <v>2562</v>
      </c>
      <c r="B898" s="10" t="n">
        <v>1416</v>
      </c>
      <c r="C898" s="8" t="n">
        <v>45839</v>
      </c>
      <c r="D898" s="8" t="n">
        <v>45838</v>
      </c>
      <c r="E898" s="10" t="n">
        <v>4000</v>
      </c>
      <c r="F898" s="0" t="str">
        <f aca="false">INDEX(COA!$C$5:$C$19,MATCH(E898,COA!$A$5:$A$19,0))</f>
        <v>Revenue</v>
      </c>
      <c r="G898" s="12" t="n">
        <v>0</v>
      </c>
      <c r="H898" s="12" t="n">
        <v>68204.55</v>
      </c>
      <c r="I898" s="10" t="s">
        <v>103</v>
      </c>
      <c r="J898" s="10" t="s">
        <v>1636</v>
      </c>
      <c r="K898" s="10" t="s">
        <v>1640</v>
      </c>
    </row>
    <row r="899" customFormat="false" ht="15" hidden="false" customHeight="false" outlineLevel="0" collapsed="false">
      <c r="A899" s="10" t="s">
        <v>2563</v>
      </c>
      <c r="B899" s="10" t="n">
        <v>1417</v>
      </c>
      <c r="C899" s="8" t="n">
        <v>45839</v>
      </c>
      <c r="D899" s="8" t="n">
        <v>45839</v>
      </c>
      <c r="E899" s="10" t="n">
        <v>2000</v>
      </c>
      <c r="F899" s="0" t="str">
        <f aca="false">INDEX(COA!$C$5:$C$19,MATCH(E899,COA!$A$5:$A$19,0))</f>
        <v>Liability</v>
      </c>
      <c r="G899" s="12" t="n">
        <v>17793.13</v>
      </c>
      <c r="H899" s="12" t="n">
        <v>0</v>
      </c>
      <c r="I899" s="10" t="s">
        <v>104</v>
      </c>
      <c r="J899" s="10" t="s">
        <v>1636</v>
      </c>
      <c r="K899" s="10" t="s">
        <v>1659</v>
      </c>
    </row>
    <row r="900" customFormat="false" ht="15" hidden="false" customHeight="false" outlineLevel="0" collapsed="false">
      <c r="A900" s="10" t="s">
        <v>2564</v>
      </c>
      <c r="B900" s="10" t="n">
        <v>1417</v>
      </c>
      <c r="C900" s="8" t="n">
        <v>45839</v>
      </c>
      <c r="D900" s="8" t="n">
        <v>45839</v>
      </c>
      <c r="E900" s="10" t="n">
        <v>2000</v>
      </c>
      <c r="F900" s="0" t="str">
        <f aca="false">INDEX(COA!$C$5:$C$19,MATCH(E900,COA!$A$5:$A$19,0))</f>
        <v>Liability</v>
      </c>
      <c r="G900" s="12" t="n">
        <v>7625.63</v>
      </c>
      <c r="H900" s="12" t="n">
        <v>0</v>
      </c>
      <c r="I900" s="10" t="s">
        <v>104</v>
      </c>
      <c r="J900" s="10" t="s">
        <v>1636</v>
      </c>
      <c r="K900" s="10" t="s">
        <v>1659</v>
      </c>
    </row>
    <row r="901" customFormat="false" ht="15" hidden="false" customHeight="false" outlineLevel="0" collapsed="false">
      <c r="A901" s="10" t="s">
        <v>2565</v>
      </c>
      <c r="B901" s="10" t="n">
        <v>1417</v>
      </c>
      <c r="C901" s="8" t="n">
        <v>45839</v>
      </c>
      <c r="D901" s="8" t="n">
        <v>45839</v>
      </c>
      <c r="E901" s="10" t="n">
        <v>1000</v>
      </c>
      <c r="F901" s="0" t="str">
        <f aca="false">INDEX(COA!$C$5:$C$19,MATCH(E901,COA!$A$5:$A$19,0))</f>
        <v>Asset</v>
      </c>
      <c r="G901" s="12" t="n">
        <v>0</v>
      </c>
      <c r="H901" s="12" t="n">
        <v>25418.76</v>
      </c>
      <c r="I901" s="10" t="s">
        <v>104</v>
      </c>
      <c r="J901" s="10" t="s">
        <v>1636</v>
      </c>
      <c r="K901" s="10" t="s">
        <v>1659</v>
      </c>
    </row>
    <row r="902" customFormat="false" ht="15" hidden="false" customHeight="false" outlineLevel="0" collapsed="false">
      <c r="A902" s="10" t="s">
        <v>2566</v>
      </c>
      <c r="B902" s="10" t="n">
        <v>1418</v>
      </c>
      <c r="C902" s="8" t="n">
        <v>45839</v>
      </c>
      <c r="D902" s="8" t="n">
        <v>45837</v>
      </c>
      <c r="E902" s="10" t="n">
        <v>1000</v>
      </c>
      <c r="F902" s="0" t="str">
        <f aca="false">INDEX(COA!$C$5:$C$19,MATCH(E902,COA!$A$5:$A$19,0))</f>
        <v>Asset</v>
      </c>
      <c r="G902" s="12" t="n">
        <v>3005.15</v>
      </c>
      <c r="H902" s="12" t="n">
        <v>0</v>
      </c>
      <c r="I902" s="10" t="s">
        <v>103</v>
      </c>
      <c r="J902" s="10" t="s">
        <v>1636</v>
      </c>
      <c r="K902" s="10" t="s">
        <v>1637</v>
      </c>
    </row>
    <row r="903" customFormat="false" ht="15" hidden="false" customHeight="false" outlineLevel="0" collapsed="false">
      <c r="A903" s="10" t="s">
        <v>2567</v>
      </c>
      <c r="B903" s="10" t="n">
        <v>1418</v>
      </c>
      <c r="C903" s="8" t="n">
        <v>45839</v>
      </c>
      <c r="D903" s="8" t="n">
        <v>45837</v>
      </c>
      <c r="E903" s="10" t="n">
        <v>1000</v>
      </c>
      <c r="F903" s="0" t="str">
        <f aca="false">INDEX(COA!$C$5:$C$19,MATCH(E903,COA!$A$5:$A$19,0))</f>
        <v>Asset</v>
      </c>
      <c r="G903" s="12" t="n">
        <v>1287.92</v>
      </c>
      <c r="H903" s="12" t="n">
        <v>0</v>
      </c>
      <c r="I903" s="10" t="s">
        <v>103</v>
      </c>
      <c r="J903" s="10" t="s">
        <v>1636</v>
      </c>
      <c r="K903" s="10" t="s">
        <v>1637</v>
      </c>
    </row>
    <row r="904" customFormat="false" ht="15" hidden="false" customHeight="false" outlineLevel="0" collapsed="false">
      <c r="A904" s="10" t="s">
        <v>2568</v>
      </c>
      <c r="B904" s="10" t="n">
        <v>1418</v>
      </c>
      <c r="C904" s="8" t="n">
        <v>45839</v>
      </c>
      <c r="D904" s="8" t="n">
        <v>45837</v>
      </c>
      <c r="E904" s="10" t="n">
        <v>1100</v>
      </c>
      <c r="F904" s="0" t="str">
        <f aca="false">INDEX(COA!$C$5:$C$19,MATCH(E904,COA!$A$5:$A$19,0))</f>
        <v>Asset</v>
      </c>
      <c r="G904" s="12" t="n">
        <v>0</v>
      </c>
      <c r="H904" s="12" t="n">
        <v>4293.07</v>
      </c>
      <c r="I904" s="10" t="s">
        <v>103</v>
      </c>
      <c r="J904" s="10" t="s">
        <v>1636</v>
      </c>
      <c r="K904" s="10" t="s">
        <v>1637</v>
      </c>
    </row>
    <row r="905" customFormat="false" ht="15" hidden="false" customHeight="false" outlineLevel="0" collapsed="false">
      <c r="A905" s="10" t="s">
        <v>2569</v>
      </c>
      <c r="B905" s="10" t="n">
        <v>1419</v>
      </c>
      <c r="C905" s="8" t="n">
        <v>45839</v>
      </c>
      <c r="D905" s="8" t="n">
        <v>45839</v>
      </c>
      <c r="E905" s="10" t="n">
        <v>6900</v>
      </c>
      <c r="F905" s="0" t="str">
        <f aca="false">INDEX(COA!$C$5:$C$19,MATCH(E905,COA!$A$5:$A$19,0))</f>
        <v>Expense</v>
      </c>
      <c r="G905" s="12" t="n">
        <v>38042.6</v>
      </c>
      <c r="H905" s="12" t="n">
        <v>0</v>
      </c>
      <c r="I905" s="10" t="s">
        <v>101</v>
      </c>
      <c r="J905" s="10" t="s">
        <v>1648</v>
      </c>
    </row>
    <row r="906" customFormat="false" ht="15" hidden="false" customHeight="false" outlineLevel="0" collapsed="false">
      <c r="A906" s="10" t="s">
        <v>2570</v>
      </c>
      <c r="B906" s="10" t="n">
        <v>1419</v>
      </c>
      <c r="C906" s="8" t="n">
        <v>45839</v>
      </c>
      <c r="D906" s="8" t="n">
        <v>45839</v>
      </c>
      <c r="E906" s="10" t="n">
        <v>2100</v>
      </c>
      <c r="F906" s="0" t="str">
        <f aca="false">INDEX(COA!$C$5:$C$19,MATCH(E906,COA!$A$5:$A$19,0))</f>
        <v>Liability</v>
      </c>
      <c r="G906" s="12" t="n">
        <v>0</v>
      </c>
      <c r="H906" s="12" t="n">
        <v>38042.6</v>
      </c>
      <c r="I906" s="10" t="s">
        <v>101</v>
      </c>
      <c r="J906" s="10" t="s">
        <v>1648</v>
      </c>
    </row>
    <row r="907" customFormat="false" ht="15" hidden="false" customHeight="false" outlineLevel="0" collapsed="false">
      <c r="A907" s="10" t="s">
        <v>2571</v>
      </c>
      <c r="B907" s="10" t="n">
        <v>1421</v>
      </c>
      <c r="C907" s="8" t="n">
        <v>45840</v>
      </c>
      <c r="D907" s="8" t="n">
        <v>45836</v>
      </c>
      <c r="E907" s="10" t="n">
        <v>1100</v>
      </c>
      <c r="F907" s="0" t="str">
        <f aca="false">INDEX(COA!$C$5:$C$19,MATCH(E907,COA!$A$5:$A$19,0))</f>
        <v>Asset</v>
      </c>
      <c r="G907" s="12" t="n">
        <v>142235.65</v>
      </c>
      <c r="H907" s="12" t="n">
        <v>0</v>
      </c>
      <c r="I907" s="10" t="s">
        <v>103</v>
      </c>
      <c r="J907" s="10" t="s">
        <v>1636</v>
      </c>
      <c r="K907" s="10" t="s">
        <v>1640</v>
      </c>
    </row>
    <row r="908" customFormat="false" ht="15" hidden="false" customHeight="false" outlineLevel="0" collapsed="false">
      <c r="A908" s="10" t="s">
        <v>2572</v>
      </c>
      <c r="B908" s="10" t="n">
        <v>1421</v>
      </c>
      <c r="C908" s="8" t="n">
        <v>45840</v>
      </c>
      <c r="D908" s="8" t="n">
        <v>45836</v>
      </c>
      <c r="E908" s="10" t="n">
        <v>4000</v>
      </c>
      <c r="F908" s="0" t="str">
        <f aca="false">INDEX(COA!$C$5:$C$19,MATCH(E908,COA!$A$5:$A$19,0))</f>
        <v>Revenue</v>
      </c>
      <c r="G908" s="12" t="n">
        <v>0</v>
      </c>
      <c r="H908" s="12" t="n">
        <v>142235.65</v>
      </c>
      <c r="I908" s="10" t="s">
        <v>103</v>
      </c>
      <c r="J908" s="10" t="s">
        <v>1636</v>
      </c>
      <c r="K908" s="10" t="s">
        <v>1640</v>
      </c>
    </row>
    <row r="909" customFormat="false" ht="15" hidden="false" customHeight="false" outlineLevel="0" collapsed="false">
      <c r="A909" s="10" t="s">
        <v>2573</v>
      </c>
      <c r="B909" s="10" t="n">
        <v>1422</v>
      </c>
      <c r="C909" s="8" t="n">
        <v>45840</v>
      </c>
      <c r="D909" s="8" t="n">
        <v>45836</v>
      </c>
      <c r="E909" s="10" t="n">
        <v>1000</v>
      </c>
      <c r="F909" s="0" t="str">
        <f aca="false">INDEX(COA!$C$5:$C$19,MATCH(E909,COA!$A$5:$A$19,0))</f>
        <v>Asset</v>
      </c>
      <c r="G909" s="12" t="n">
        <v>1196.23</v>
      </c>
      <c r="H909" s="12" t="n">
        <v>0</v>
      </c>
      <c r="I909" s="10" t="s">
        <v>103</v>
      </c>
      <c r="J909" s="10" t="s">
        <v>1636</v>
      </c>
      <c r="K909" s="10" t="s">
        <v>1637</v>
      </c>
    </row>
    <row r="910" customFormat="false" ht="15" hidden="false" customHeight="false" outlineLevel="0" collapsed="false">
      <c r="A910" s="10" t="s">
        <v>2574</v>
      </c>
      <c r="B910" s="10" t="n">
        <v>1422</v>
      </c>
      <c r="C910" s="8" t="n">
        <v>45840</v>
      </c>
      <c r="D910" s="8" t="n">
        <v>45836</v>
      </c>
      <c r="E910" s="10" t="n">
        <v>1100</v>
      </c>
      <c r="F910" s="0" t="str">
        <f aca="false">INDEX(COA!$C$5:$C$19,MATCH(E910,COA!$A$5:$A$19,0))</f>
        <v>Asset</v>
      </c>
      <c r="G910" s="12" t="n">
        <v>0</v>
      </c>
      <c r="H910" s="12" t="n">
        <v>1196.23</v>
      </c>
      <c r="I910" s="10" t="s">
        <v>103</v>
      </c>
      <c r="J910" s="10" t="s">
        <v>1636</v>
      </c>
      <c r="K910" s="10" t="s">
        <v>1637</v>
      </c>
    </row>
    <row r="911" customFormat="false" ht="15" hidden="false" customHeight="false" outlineLevel="0" collapsed="false">
      <c r="A911" s="10" t="s">
        <v>2575</v>
      </c>
      <c r="B911" s="10" t="n">
        <v>1423</v>
      </c>
      <c r="C911" s="8" t="n">
        <v>45840</v>
      </c>
      <c r="D911" s="8" t="n">
        <v>45838</v>
      </c>
      <c r="E911" s="10" t="n">
        <v>2100</v>
      </c>
      <c r="F911" s="0" t="str">
        <f aca="false">INDEX(COA!$C$5:$C$19,MATCH(E911,COA!$A$5:$A$19,0))</f>
        <v>Liability</v>
      </c>
      <c r="G911" s="12" t="n">
        <v>410.86</v>
      </c>
      <c r="H911" s="12" t="n">
        <v>0</v>
      </c>
      <c r="I911" s="10" t="s">
        <v>101</v>
      </c>
      <c r="J911" s="10" t="s">
        <v>1648</v>
      </c>
      <c r="K911" s="10" t="s">
        <v>1677</v>
      </c>
    </row>
    <row r="912" customFormat="false" ht="15" hidden="false" customHeight="false" outlineLevel="0" collapsed="false">
      <c r="A912" s="10" t="s">
        <v>2576</v>
      </c>
      <c r="B912" s="10" t="n">
        <v>1423</v>
      </c>
      <c r="C912" s="8" t="n">
        <v>45840</v>
      </c>
      <c r="D912" s="8" t="n">
        <v>45838</v>
      </c>
      <c r="E912" s="10" t="n">
        <v>6900</v>
      </c>
      <c r="F912" s="0" t="str">
        <f aca="false">INDEX(COA!$C$5:$C$19,MATCH(E912,COA!$A$5:$A$19,0))</f>
        <v>Expense</v>
      </c>
      <c r="G912" s="12" t="n">
        <v>0</v>
      </c>
      <c r="H912" s="12" t="n">
        <v>410.86</v>
      </c>
      <c r="I912" s="10" t="s">
        <v>101</v>
      </c>
      <c r="J912" s="10" t="s">
        <v>1648</v>
      </c>
      <c r="K912" s="10" t="s">
        <v>1677</v>
      </c>
    </row>
    <row r="913" customFormat="false" ht="15" hidden="false" customHeight="false" outlineLevel="0" collapsed="false">
      <c r="A913" s="10" t="s">
        <v>2577</v>
      </c>
      <c r="B913" s="10" t="n">
        <v>1424</v>
      </c>
      <c r="C913" s="8" t="n">
        <v>45840</v>
      </c>
      <c r="D913" s="8" t="n">
        <v>45836</v>
      </c>
      <c r="E913" s="10" t="n">
        <v>6900</v>
      </c>
      <c r="F913" s="0" t="str">
        <f aca="false">INDEX(COA!$C$5:$C$19,MATCH(E913,COA!$A$5:$A$19,0))</f>
        <v>Expense</v>
      </c>
      <c r="G913" s="12" t="n">
        <v>1519.65</v>
      </c>
      <c r="H913" s="12" t="n">
        <v>0</v>
      </c>
      <c r="I913" s="10" t="s">
        <v>99</v>
      </c>
      <c r="J913" s="10" t="s">
        <v>1648</v>
      </c>
      <c r="K913" s="10" t="s">
        <v>1649</v>
      </c>
    </row>
    <row r="914" customFormat="false" ht="15" hidden="false" customHeight="false" outlineLevel="0" collapsed="false">
      <c r="A914" s="10" t="s">
        <v>2578</v>
      </c>
      <c r="B914" s="10" t="n">
        <v>1424</v>
      </c>
      <c r="C914" s="8" t="n">
        <v>45840</v>
      </c>
      <c r="D914" s="8" t="n">
        <v>45836</v>
      </c>
      <c r="E914" s="10" t="n">
        <v>2100</v>
      </c>
      <c r="F914" s="0" t="str">
        <f aca="false">INDEX(COA!$C$5:$C$19,MATCH(E914,COA!$A$5:$A$19,0))</f>
        <v>Liability</v>
      </c>
      <c r="G914" s="12" t="n">
        <v>0</v>
      </c>
      <c r="H914" s="12" t="n">
        <v>1519.65</v>
      </c>
      <c r="I914" s="10" t="s">
        <v>99</v>
      </c>
      <c r="J914" s="10" t="s">
        <v>1648</v>
      </c>
      <c r="K914" s="10" t="s">
        <v>1649</v>
      </c>
    </row>
    <row r="915" customFormat="false" ht="15" hidden="false" customHeight="false" outlineLevel="0" collapsed="false">
      <c r="A915" s="10" t="s">
        <v>2579</v>
      </c>
      <c r="B915" s="10" t="n">
        <v>1425</v>
      </c>
      <c r="C915" s="8" t="n">
        <v>45841</v>
      </c>
      <c r="D915" s="8" t="n">
        <v>45839</v>
      </c>
      <c r="E915" s="10" t="n">
        <v>2000</v>
      </c>
      <c r="F915" s="0" t="str">
        <f aca="false">INDEX(COA!$C$5:$C$19,MATCH(E915,COA!$A$5:$A$19,0))</f>
        <v>Liability</v>
      </c>
      <c r="G915" s="12" t="n">
        <v>3361.2</v>
      </c>
      <c r="H915" s="12" t="n">
        <v>0</v>
      </c>
      <c r="I915" s="10" t="s">
        <v>104</v>
      </c>
      <c r="J915" s="10" t="s">
        <v>1636</v>
      </c>
      <c r="K915" s="10" t="s">
        <v>1659</v>
      </c>
    </row>
    <row r="916" customFormat="false" ht="15" hidden="false" customHeight="false" outlineLevel="0" collapsed="false">
      <c r="A916" s="10" t="s">
        <v>2580</v>
      </c>
      <c r="B916" s="10" t="n">
        <v>1425</v>
      </c>
      <c r="C916" s="8" t="n">
        <v>45841</v>
      </c>
      <c r="D916" s="8" t="n">
        <v>45839</v>
      </c>
      <c r="E916" s="10" t="n">
        <v>1000</v>
      </c>
      <c r="F916" s="0" t="str">
        <f aca="false">INDEX(COA!$C$5:$C$19,MATCH(E916,COA!$A$5:$A$19,0))</f>
        <v>Asset</v>
      </c>
      <c r="G916" s="12" t="n">
        <v>0</v>
      </c>
      <c r="H916" s="12" t="n">
        <v>3361.2</v>
      </c>
      <c r="I916" s="10" t="s">
        <v>104</v>
      </c>
      <c r="J916" s="10" t="s">
        <v>1636</v>
      </c>
      <c r="K916" s="10" t="s">
        <v>1659</v>
      </c>
    </row>
    <row r="917" customFormat="false" ht="15" hidden="false" customHeight="false" outlineLevel="0" collapsed="false">
      <c r="A917" s="10" t="s">
        <v>2581</v>
      </c>
      <c r="B917" s="10" t="n">
        <v>1426</v>
      </c>
      <c r="C917" s="8" t="n">
        <v>45841</v>
      </c>
      <c r="D917" s="8" t="n">
        <v>45840</v>
      </c>
      <c r="E917" s="10" t="n">
        <v>5000</v>
      </c>
      <c r="F917" s="0" t="str">
        <f aca="false">INDEX(COA!$C$5:$C$19,MATCH(E917,COA!$A$5:$A$19,0))</f>
        <v>Expense</v>
      </c>
      <c r="G917" s="12" t="n">
        <v>4616.81</v>
      </c>
      <c r="H917" s="12" t="n">
        <v>0</v>
      </c>
      <c r="I917" s="10" t="s">
        <v>103</v>
      </c>
      <c r="J917" s="10" t="s">
        <v>1636</v>
      </c>
      <c r="K917" s="10" t="s">
        <v>1670</v>
      </c>
    </row>
    <row r="918" customFormat="false" ht="15" hidden="false" customHeight="false" outlineLevel="0" collapsed="false">
      <c r="A918" s="10" t="s">
        <v>2582</v>
      </c>
      <c r="B918" s="10" t="n">
        <v>1426</v>
      </c>
      <c r="C918" s="8" t="n">
        <v>45841</v>
      </c>
      <c r="D918" s="8" t="n">
        <v>45840</v>
      </c>
      <c r="E918" s="10" t="n">
        <v>5000</v>
      </c>
      <c r="F918" s="0" t="str">
        <f aca="false">INDEX(COA!$C$5:$C$19,MATCH(E918,COA!$A$5:$A$19,0))</f>
        <v>Expense</v>
      </c>
      <c r="G918" s="12" t="n">
        <v>1978.63</v>
      </c>
      <c r="H918" s="12" t="n">
        <v>0</v>
      </c>
      <c r="I918" s="10" t="s">
        <v>103</v>
      </c>
      <c r="J918" s="10" t="s">
        <v>1636</v>
      </c>
      <c r="K918" s="10" t="s">
        <v>1670</v>
      </c>
    </row>
    <row r="919" customFormat="false" ht="15" hidden="false" customHeight="false" outlineLevel="0" collapsed="false">
      <c r="A919" s="10" t="s">
        <v>2583</v>
      </c>
      <c r="B919" s="10" t="n">
        <v>1426</v>
      </c>
      <c r="C919" s="8" t="n">
        <v>45841</v>
      </c>
      <c r="D919" s="8" t="n">
        <v>45840</v>
      </c>
      <c r="E919" s="10" t="n">
        <v>1200</v>
      </c>
      <c r="F919" s="0" t="str">
        <f aca="false">INDEX(COA!$C$5:$C$19,MATCH(E919,COA!$A$5:$A$19,0))</f>
        <v>Asset</v>
      </c>
      <c r="G919" s="12" t="n">
        <v>0</v>
      </c>
      <c r="H919" s="12" t="n">
        <v>6595.44</v>
      </c>
      <c r="I919" s="10" t="s">
        <v>103</v>
      </c>
      <c r="J919" s="10" t="s">
        <v>1636</v>
      </c>
      <c r="K919" s="10" t="s">
        <v>1670</v>
      </c>
    </row>
    <row r="920" customFormat="false" ht="15" hidden="false" customHeight="false" outlineLevel="0" collapsed="false">
      <c r="A920" s="10" t="s">
        <v>2584</v>
      </c>
      <c r="B920" s="10" t="n">
        <v>1427</v>
      </c>
      <c r="C920" s="8" t="n">
        <v>45842</v>
      </c>
      <c r="D920" s="8" t="n">
        <v>45842</v>
      </c>
      <c r="E920" s="10" t="n">
        <v>5000</v>
      </c>
      <c r="F920" s="0" t="str">
        <f aca="false">INDEX(COA!$C$5:$C$19,MATCH(E920,COA!$A$5:$A$19,0))</f>
        <v>Expense</v>
      </c>
      <c r="G920" s="12" t="n">
        <v>49593.61</v>
      </c>
      <c r="H920" s="12" t="n">
        <v>0</v>
      </c>
      <c r="I920" s="10" t="s">
        <v>103</v>
      </c>
      <c r="J920" s="10" t="s">
        <v>1636</v>
      </c>
      <c r="K920" s="10" t="s">
        <v>1670</v>
      </c>
    </row>
    <row r="921" customFormat="false" ht="15" hidden="false" customHeight="false" outlineLevel="0" collapsed="false">
      <c r="A921" s="10" t="s">
        <v>2585</v>
      </c>
      <c r="B921" s="10" t="n">
        <v>1427</v>
      </c>
      <c r="C921" s="8" t="n">
        <v>45842</v>
      </c>
      <c r="D921" s="8" t="n">
        <v>45842</v>
      </c>
      <c r="E921" s="10" t="n">
        <v>1200</v>
      </c>
      <c r="F921" s="0" t="str">
        <f aca="false">INDEX(COA!$C$5:$C$19,MATCH(E921,COA!$A$5:$A$19,0))</f>
        <v>Asset</v>
      </c>
      <c r="G921" s="12" t="n">
        <v>0</v>
      </c>
      <c r="H921" s="12" t="n">
        <v>49593.61</v>
      </c>
      <c r="I921" s="10" t="s">
        <v>103</v>
      </c>
      <c r="J921" s="10" t="s">
        <v>1636</v>
      </c>
      <c r="K921" s="10" t="s">
        <v>1670</v>
      </c>
    </row>
    <row r="922" customFormat="false" ht="15" hidden="false" customHeight="false" outlineLevel="0" collapsed="false">
      <c r="A922" s="10" t="s">
        <v>2586</v>
      </c>
      <c r="B922" s="10" t="n">
        <v>1428</v>
      </c>
      <c r="C922" s="8" t="n">
        <v>45842</v>
      </c>
      <c r="D922" s="8" t="n">
        <v>45841</v>
      </c>
      <c r="E922" s="10" t="n">
        <v>1200</v>
      </c>
      <c r="F922" s="0" t="str">
        <f aca="false">INDEX(COA!$C$5:$C$19,MATCH(E922,COA!$A$5:$A$19,0))</f>
        <v>Asset</v>
      </c>
      <c r="G922" s="12" t="n">
        <v>13351.66</v>
      </c>
      <c r="H922" s="12" t="n">
        <v>0</v>
      </c>
      <c r="I922" s="10" t="s">
        <v>102</v>
      </c>
      <c r="J922" s="10" t="s">
        <v>1636</v>
      </c>
      <c r="K922" s="10" t="s">
        <v>1655</v>
      </c>
    </row>
    <row r="923" customFormat="false" ht="15" hidden="false" customHeight="false" outlineLevel="0" collapsed="false">
      <c r="A923" s="10" t="s">
        <v>2587</v>
      </c>
      <c r="B923" s="10" t="n">
        <v>1428</v>
      </c>
      <c r="C923" s="8" t="n">
        <v>45842</v>
      </c>
      <c r="D923" s="8" t="n">
        <v>45841</v>
      </c>
      <c r="E923" s="10" t="n">
        <v>2000</v>
      </c>
      <c r="F923" s="0" t="str">
        <f aca="false">INDEX(COA!$C$5:$C$19,MATCH(E923,COA!$A$5:$A$19,0))</f>
        <v>Liability</v>
      </c>
      <c r="G923" s="12" t="n">
        <v>0</v>
      </c>
      <c r="H923" s="12" t="n">
        <v>13351.66</v>
      </c>
      <c r="I923" s="10" t="s">
        <v>102</v>
      </c>
      <c r="J923" s="10" t="s">
        <v>1636</v>
      </c>
      <c r="K923" s="10" t="s">
        <v>1655</v>
      </c>
    </row>
    <row r="924" customFormat="false" ht="15" hidden="false" customHeight="false" outlineLevel="0" collapsed="false">
      <c r="A924" s="10" t="s">
        <v>2588</v>
      </c>
      <c r="B924" s="10" t="n">
        <v>1429</v>
      </c>
      <c r="C924" s="8" t="n">
        <v>45842</v>
      </c>
      <c r="D924" s="8" t="n">
        <v>45842</v>
      </c>
      <c r="E924" s="10" t="n">
        <v>1200</v>
      </c>
      <c r="F924" s="0" t="str">
        <f aca="false">INDEX(COA!$C$5:$C$19,MATCH(E924,COA!$A$5:$A$19,0))</f>
        <v>Asset</v>
      </c>
      <c r="G924" s="12" t="n">
        <v>274.96</v>
      </c>
      <c r="H924" s="12" t="n">
        <v>0</v>
      </c>
      <c r="I924" s="10" t="s">
        <v>102</v>
      </c>
      <c r="J924" s="10" t="s">
        <v>1636</v>
      </c>
      <c r="K924" s="10" t="s">
        <v>1655</v>
      </c>
    </row>
    <row r="925" customFormat="false" ht="15" hidden="false" customHeight="false" outlineLevel="0" collapsed="false">
      <c r="A925" s="10" t="s">
        <v>2589</v>
      </c>
      <c r="B925" s="10" t="n">
        <v>1429</v>
      </c>
      <c r="C925" s="8" t="n">
        <v>45842</v>
      </c>
      <c r="D925" s="8" t="n">
        <v>45842</v>
      </c>
      <c r="E925" s="10" t="n">
        <v>2000</v>
      </c>
      <c r="F925" s="0" t="str">
        <f aca="false">INDEX(COA!$C$5:$C$19,MATCH(E925,COA!$A$5:$A$19,0))</f>
        <v>Liability</v>
      </c>
      <c r="G925" s="12" t="n">
        <v>0</v>
      </c>
      <c r="H925" s="12" t="n">
        <v>274.96</v>
      </c>
      <c r="I925" s="10" t="s">
        <v>102</v>
      </c>
      <c r="J925" s="10" t="s">
        <v>1636</v>
      </c>
      <c r="K925" s="10" t="s">
        <v>1655</v>
      </c>
    </row>
    <row r="926" customFormat="false" ht="15" hidden="false" customHeight="false" outlineLevel="0" collapsed="false">
      <c r="A926" s="10" t="s">
        <v>2590</v>
      </c>
      <c r="B926" s="10" t="n">
        <v>1430</v>
      </c>
      <c r="C926" s="8" t="n">
        <v>45842</v>
      </c>
      <c r="D926" s="8" t="n">
        <v>45840</v>
      </c>
      <c r="E926" s="10" t="n">
        <v>5000</v>
      </c>
      <c r="F926" s="0" t="str">
        <f aca="false">INDEX(COA!$C$5:$C$19,MATCH(E926,COA!$A$5:$A$19,0))</f>
        <v>Expense</v>
      </c>
      <c r="G926" s="12" t="n">
        <v>4701.96</v>
      </c>
      <c r="H926" s="12" t="n">
        <v>0</v>
      </c>
      <c r="I926" s="10" t="s">
        <v>103</v>
      </c>
      <c r="J926" s="10" t="s">
        <v>1636</v>
      </c>
      <c r="K926" s="10" t="s">
        <v>1670</v>
      </c>
    </row>
    <row r="927" customFormat="false" ht="15" hidden="false" customHeight="false" outlineLevel="0" collapsed="false">
      <c r="A927" s="10" t="s">
        <v>2591</v>
      </c>
      <c r="B927" s="10" t="n">
        <v>1430</v>
      </c>
      <c r="C927" s="8" t="n">
        <v>45842</v>
      </c>
      <c r="D927" s="8" t="n">
        <v>45840</v>
      </c>
      <c r="E927" s="10" t="n">
        <v>1200</v>
      </c>
      <c r="F927" s="0" t="str">
        <f aca="false">INDEX(COA!$C$5:$C$19,MATCH(E927,COA!$A$5:$A$19,0))</f>
        <v>Asset</v>
      </c>
      <c r="G927" s="12" t="n">
        <v>0</v>
      </c>
      <c r="H927" s="12" t="n">
        <v>4701.96</v>
      </c>
      <c r="I927" s="10" t="s">
        <v>103</v>
      </c>
      <c r="J927" s="10" t="s">
        <v>1636</v>
      </c>
      <c r="K927" s="10" t="s">
        <v>1670</v>
      </c>
    </row>
    <row r="928" customFormat="false" ht="15" hidden="false" customHeight="false" outlineLevel="0" collapsed="false">
      <c r="A928" s="10" t="s">
        <v>2592</v>
      </c>
      <c r="B928" s="10" t="n">
        <v>1431</v>
      </c>
      <c r="C928" s="8" t="n">
        <v>45842</v>
      </c>
      <c r="D928" s="8" t="n">
        <v>45838</v>
      </c>
      <c r="E928" s="10" t="n">
        <v>2000</v>
      </c>
      <c r="F928" s="0" t="str">
        <f aca="false">INDEX(COA!$C$5:$C$19,MATCH(E928,COA!$A$5:$A$19,0))</f>
        <v>Liability</v>
      </c>
      <c r="G928" s="12" t="n">
        <v>14878.01</v>
      </c>
      <c r="H928" s="12" t="n">
        <v>0</v>
      </c>
      <c r="I928" s="10" t="s">
        <v>104</v>
      </c>
      <c r="J928" s="10" t="s">
        <v>1636</v>
      </c>
      <c r="K928" s="10" t="s">
        <v>1659</v>
      </c>
    </row>
    <row r="929" customFormat="false" ht="15" hidden="false" customHeight="false" outlineLevel="0" collapsed="false">
      <c r="A929" s="10" t="s">
        <v>2593</v>
      </c>
      <c r="B929" s="10" t="n">
        <v>1431</v>
      </c>
      <c r="C929" s="8" t="n">
        <v>45842</v>
      </c>
      <c r="D929" s="8" t="n">
        <v>45838</v>
      </c>
      <c r="E929" s="10" t="n">
        <v>1000</v>
      </c>
      <c r="F929" s="0" t="str">
        <f aca="false">INDEX(COA!$C$5:$C$19,MATCH(E929,COA!$A$5:$A$19,0))</f>
        <v>Asset</v>
      </c>
      <c r="G929" s="12" t="n">
        <v>0</v>
      </c>
      <c r="H929" s="12" t="n">
        <v>14878.01</v>
      </c>
      <c r="I929" s="10" t="s">
        <v>104</v>
      </c>
      <c r="J929" s="10" t="s">
        <v>1636</v>
      </c>
      <c r="K929" s="10" t="s">
        <v>1659</v>
      </c>
    </row>
    <row r="930" customFormat="false" ht="15" hidden="false" customHeight="false" outlineLevel="0" collapsed="false">
      <c r="A930" s="10" t="s">
        <v>2594</v>
      </c>
      <c r="B930" s="10" t="n">
        <v>1432</v>
      </c>
      <c r="C930" s="8" t="n">
        <v>45844</v>
      </c>
      <c r="D930" s="8" t="n">
        <v>45843</v>
      </c>
      <c r="E930" s="10" t="n">
        <v>1200</v>
      </c>
      <c r="F930" s="0" t="str">
        <f aca="false">INDEX(COA!$C$5:$C$19,MATCH(E930,COA!$A$5:$A$19,0))</f>
        <v>Asset</v>
      </c>
      <c r="G930" s="12" t="n">
        <v>660.82</v>
      </c>
      <c r="H930" s="12" t="n">
        <v>0</v>
      </c>
      <c r="I930" s="10" t="s">
        <v>102</v>
      </c>
      <c r="J930" s="10" t="s">
        <v>1636</v>
      </c>
      <c r="K930" s="10" t="s">
        <v>1655</v>
      </c>
    </row>
    <row r="931" customFormat="false" ht="15" hidden="false" customHeight="false" outlineLevel="0" collapsed="false">
      <c r="A931" s="10" t="s">
        <v>2595</v>
      </c>
      <c r="B931" s="10" t="n">
        <v>1432</v>
      </c>
      <c r="C931" s="8" t="n">
        <v>45844</v>
      </c>
      <c r="D931" s="8" t="n">
        <v>45843</v>
      </c>
      <c r="E931" s="10" t="n">
        <v>2000</v>
      </c>
      <c r="F931" s="0" t="str">
        <f aca="false">INDEX(COA!$C$5:$C$19,MATCH(E931,COA!$A$5:$A$19,0))</f>
        <v>Liability</v>
      </c>
      <c r="G931" s="12" t="n">
        <v>0</v>
      </c>
      <c r="H931" s="12" t="n">
        <v>660.82</v>
      </c>
      <c r="I931" s="10" t="s">
        <v>102</v>
      </c>
      <c r="J931" s="10" t="s">
        <v>1636</v>
      </c>
      <c r="K931" s="10" t="s">
        <v>1655</v>
      </c>
    </row>
    <row r="932" customFormat="false" ht="15" hidden="false" customHeight="false" outlineLevel="0" collapsed="false">
      <c r="A932" s="10" t="s">
        <v>2596</v>
      </c>
      <c r="B932" s="10" t="n">
        <v>1433</v>
      </c>
      <c r="C932" s="8" t="n">
        <v>45845</v>
      </c>
      <c r="D932" s="8" t="n">
        <v>45844</v>
      </c>
      <c r="E932" s="10" t="n">
        <v>1000</v>
      </c>
      <c r="F932" s="0" t="str">
        <f aca="false">INDEX(COA!$C$5:$C$19,MATCH(E932,COA!$A$5:$A$19,0))</f>
        <v>Asset</v>
      </c>
      <c r="G932" s="12" t="n">
        <v>6622.04</v>
      </c>
      <c r="H932" s="12" t="n">
        <v>0</v>
      </c>
      <c r="I932" s="10" t="s">
        <v>103</v>
      </c>
      <c r="J932" s="10" t="s">
        <v>1636</v>
      </c>
      <c r="K932" s="10" t="s">
        <v>1637</v>
      </c>
    </row>
    <row r="933" customFormat="false" ht="15" hidden="false" customHeight="false" outlineLevel="0" collapsed="false">
      <c r="A933" s="10" t="s">
        <v>2597</v>
      </c>
      <c r="B933" s="10" t="n">
        <v>1433</v>
      </c>
      <c r="C933" s="8" t="n">
        <v>45845</v>
      </c>
      <c r="D933" s="8" t="n">
        <v>45844</v>
      </c>
      <c r="E933" s="10" t="n">
        <v>1100</v>
      </c>
      <c r="F933" s="0" t="str">
        <f aca="false">INDEX(COA!$C$5:$C$19,MATCH(E933,COA!$A$5:$A$19,0))</f>
        <v>Asset</v>
      </c>
      <c r="G933" s="12" t="n">
        <v>0</v>
      </c>
      <c r="H933" s="12" t="n">
        <v>6622.04</v>
      </c>
      <c r="I933" s="10" t="s">
        <v>103</v>
      </c>
      <c r="J933" s="10" t="s">
        <v>1636</v>
      </c>
      <c r="K933" s="10" t="s">
        <v>1637</v>
      </c>
    </row>
    <row r="934" customFormat="false" ht="15" hidden="false" customHeight="false" outlineLevel="0" collapsed="false">
      <c r="A934" s="10" t="s">
        <v>2598</v>
      </c>
      <c r="B934" s="10" t="n">
        <v>1434</v>
      </c>
      <c r="C934" s="8" t="n">
        <v>45845</v>
      </c>
      <c r="D934" s="8" t="n">
        <v>45842</v>
      </c>
      <c r="E934" s="10" t="n">
        <v>1000</v>
      </c>
      <c r="F934" s="0" t="str">
        <f aca="false">INDEX(COA!$C$5:$C$19,MATCH(E934,COA!$A$5:$A$19,0))</f>
        <v>Asset</v>
      </c>
      <c r="G934" s="12" t="n">
        <v>103892.83</v>
      </c>
      <c r="H934" s="12" t="n">
        <v>0</v>
      </c>
      <c r="I934" s="10" t="s">
        <v>103</v>
      </c>
      <c r="J934" s="10" t="s">
        <v>1636</v>
      </c>
      <c r="K934" s="10" t="s">
        <v>1637</v>
      </c>
    </row>
    <row r="935" customFormat="false" ht="15" hidden="false" customHeight="false" outlineLevel="0" collapsed="false">
      <c r="A935" s="10" t="s">
        <v>2599</v>
      </c>
      <c r="B935" s="10" t="n">
        <v>1434</v>
      </c>
      <c r="C935" s="8" t="n">
        <v>45845</v>
      </c>
      <c r="D935" s="8" t="n">
        <v>45842</v>
      </c>
      <c r="E935" s="10" t="n">
        <v>1100</v>
      </c>
      <c r="F935" s="0" t="str">
        <f aca="false">INDEX(COA!$C$5:$C$19,MATCH(E935,COA!$A$5:$A$19,0))</f>
        <v>Asset</v>
      </c>
      <c r="G935" s="12" t="n">
        <v>0</v>
      </c>
      <c r="H935" s="12" t="n">
        <v>103892.83</v>
      </c>
      <c r="I935" s="10" t="s">
        <v>103</v>
      </c>
      <c r="J935" s="10" t="s">
        <v>1636</v>
      </c>
      <c r="K935" s="10" t="s">
        <v>1637</v>
      </c>
    </row>
    <row r="936" customFormat="false" ht="15" hidden="false" customHeight="false" outlineLevel="0" collapsed="false">
      <c r="A936" s="10" t="s">
        <v>2600</v>
      </c>
      <c r="B936" s="10" t="n">
        <v>1435</v>
      </c>
      <c r="C936" s="8" t="n">
        <v>45846</v>
      </c>
      <c r="D936" s="8" t="n">
        <v>45846</v>
      </c>
      <c r="E936" s="10" t="n">
        <v>1200</v>
      </c>
      <c r="F936" s="0" t="str">
        <f aca="false">INDEX(COA!$C$5:$C$19,MATCH(E936,COA!$A$5:$A$19,0))</f>
        <v>Asset</v>
      </c>
      <c r="G936" s="12" t="n">
        <v>4352.08</v>
      </c>
      <c r="H936" s="12" t="n">
        <v>0</v>
      </c>
      <c r="I936" s="10" t="s">
        <v>102</v>
      </c>
      <c r="J936" s="10" t="s">
        <v>1636</v>
      </c>
      <c r="K936" s="10" t="s">
        <v>1655</v>
      </c>
    </row>
    <row r="937" customFormat="false" ht="15" hidden="false" customHeight="false" outlineLevel="0" collapsed="false">
      <c r="A937" s="10" t="s">
        <v>2601</v>
      </c>
      <c r="B937" s="10" t="n">
        <v>1435</v>
      </c>
      <c r="C937" s="8" t="n">
        <v>45846</v>
      </c>
      <c r="D937" s="8" t="n">
        <v>45846</v>
      </c>
      <c r="E937" s="10" t="n">
        <v>1200</v>
      </c>
      <c r="F937" s="0" t="str">
        <f aca="false">INDEX(COA!$C$5:$C$19,MATCH(E937,COA!$A$5:$A$19,0))</f>
        <v>Asset</v>
      </c>
      <c r="G937" s="12" t="n">
        <v>1865.18</v>
      </c>
      <c r="H937" s="12" t="n">
        <v>0</v>
      </c>
      <c r="I937" s="10" t="s">
        <v>102</v>
      </c>
      <c r="J937" s="10" t="s">
        <v>1636</v>
      </c>
      <c r="K937" s="10" t="s">
        <v>1655</v>
      </c>
    </row>
    <row r="938" customFormat="false" ht="15" hidden="false" customHeight="false" outlineLevel="0" collapsed="false">
      <c r="A938" s="10" t="s">
        <v>2602</v>
      </c>
      <c r="B938" s="10" t="n">
        <v>1435</v>
      </c>
      <c r="C938" s="8" t="n">
        <v>45846</v>
      </c>
      <c r="D938" s="8" t="n">
        <v>45846</v>
      </c>
      <c r="E938" s="10" t="n">
        <v>2000</v>
      </c>
      <c r="F938" s="0" t="str">
        <f aca="false">INDEX(COA!$C$5:$C$19,MATCH(E938,COA!$A$5:$A$19,0))</f>
        <v>Liability</v>
      </c>
      <c r="G938" s="12" t="n">
        <v>0</v>
      </c>
      <c r="H938" s="12" t="n">
        <v>6217.26</v>
      </c>
      <c r="I938" s="10" t="s">
        <v>102</v>
      </c>
      <c r="J938" s="10" t="s">
        <v>1636</v>
      </c>
      <c r="K938" s="10" t="s">
        <v>1655</v>
      </c>
    </row>
    <row r="939" customFormat="false" ht="15" hidden="false" customHeight="false" outlineLevel="0" collapsed="false">
      <c r="A939" s="10" t="s">
        <v>2603</v>
      </c>
      <c r="B939" s="10" t="n">
        <v>1436</v>
      </c>
      <c r="C939" s="8" t="n">
        <v>45846</v>
      </c>
      <c r="D939" s="8" t="n">
        <v>45843</v>
      </c>
      <c r="E939" s="10" t="n">
        <v>2000</v>
      </c>
      <c r="F939" s="0" t="str">
        <f aca="false">INDEX(COA!$C$5:$C$19,MATCH(E939,COA!$A$5:$A$19,0))</f>
        <v>Liability</v>
      </c>
      <c r="G939" s="12" t="n">
        <v>135589.03</v>
      </c>
      <c r="H939" s="12" t="n">
        <v>0</v>
      </c>
      <c r="I939" s="10" t="s">
        <v>104</v>
      </c>
      <c r="J939" s="10" t="s">
        <v>1636</v>
      </c>
      <c r="K939" s="10" t="s">
        <v>1659</v>
      </c>
    </row>
    <row r="940" customFormat="false" ht="15" hidden="false" customHeight="false" outlineLevel="0" collapsed="false">
      <c r="A940" s="10" t="s">
        <v>2604</v>
      </c>
      <c r="B940" s="10" t="n">
        <v>1436</v>
      </c>
      <c r="C940" s="8" t="n">
        <v>45846</v>
      </c>
      <c r="D940" s="8" t="n">
        <v>45843</v>
      </c>
      <c r="E940" s="10" t="n">
        <v>1000</v>
      </c>
      <c r="F940" s="0" t="str">
        <f aca="false">INDEX(COA!$C$5:$C$19,MATCH(E940,COA!$A$5:$A$19,0))</f>
        <v>Asset</v>
      </c>
      <c r="G940" s="12" t="n">
        <v>0</v>
      </c>
      <c r="H940" s="12" t="n">
        <v>135589.03</v>
      </c>
      <c r="I940" s="10" t="s">
        <v>104</v>
      </c>
      <c r="J940" s="10" t="s">
        <v>1636</v>
      </c>
      <c r="K940" s="10" t="s">
        <v>1659</v>
      </c>
    </row>
    <row r="941" customFormat="false" ht="15" hidden="false" customHeight="false" outlineLevel="0" collapsed="false">
      <c r="A941" s="10" t="s">
        <v>2605</v>
      </c>
      <c r="B941" s="10" t="n">
        <v>1437</v>
      </c>
      <c r="C941" s="8" t="n">
        <v>45847</v>
      </c>
      <c r="D941" s="8" t="n">
        <v>45846</v>
      </c>
      <c r="E941" s="10" t="n">
        <v>2000</v>
      </c>
      <c r="F941" s="0" t="str">
        <f aca="false">INDEX(COA!$C$5:$C$19,MATCH(E941,COA!$A$5:$A$19,0))</f>
        <v>Liability</v>
      </c>
      <c r="G941" s="12" t="n">
        <v>55949.21</v>
      </c>
      <c r="H941" s="12" t="n">
        <v>0</v>
      </c>
      <c r="I941" s="10" t="s">
        <v>104</v>
      </c>
      <c r="J941" s="10" t="s">
        <v>1636</v>
      </c>
      <c r="K941" s="10" t="s">
        <v>1659</v>
      </c>
    </row>
    <row r="942" customFormat="false" ht="15" hidden="false" customHeight="false" outlineLevel="0" collapsed="false">
      <c r="A942" s="10" t="s">
        <v>2606</v>
      </c>
      <c r="B942" s="10" t="n">
        <v>1437</v>
      </c>
      <c r="C942" s="8" t="n">
        <v>45847</v>
      </c>
      <c r="D942" s="8" t="n">
        <v>45846</v>
      </c>
      <c r="E942" s="10" t="n">
        <v>1000</v>
      </c>
      <c r="F942" s="0" t="str">
        <f aca="false">INDEX(COA!$C$5:$C$19,MATCH(E942,COA!$A$5:$A$19,0))</f>
        <v>Asset</v>
      </c>
      <c r="G942" s="12" t="n">
        <v>0</v>
      </c>
      <c r="H942" s="12" t="n">
        <v>55949.21</v>
      </c>
      <c r="I942" s="10" t="s">
        <v>104</v>
      </c>
      <c r="J942" s="10" t="s">
        <v>1636</v>
      </c>
      <c r="K942" s="10" t="s">
        <v>1659</v>
      </c>
    </row>
    <row r="943" customFormat="false" ht="15" hidden="false" customHeight="false" outlineLevel="0" collapsed="false">
      <c r="A943" s="10" t="s">
        <v>2607</v>
      </c>
      <c r="B943" s="10" t="n">
        <v>1438</v>
      </c>
      <c r="C943" s="8" t="n">
        <v>45847</v>
      </c>
      <c r="D943" s="8" t="n">
        <v>45844</v>
      </c>
      <c r="E943" s="10" t="n">
        <v>2100</v>
      </c>
      <c r="F943" s="0" t="str">
        <f aca="false">INDEX(COA!$C$5:$C$19,MATCH(E943,COA!$A$5:$A$19,0))</f>
        <v>Liability</v>
      </c>
      <c r="G943" s="12" t="n">
        <v>32154.86</v>
      </c>
      <c r="H943" s="12" t="n">
        <v>0</v>
      </c>
      <c r="I943" s="10" t="s">
        <v>99</v>
      </c>
      <c r="J943" s="10" t="s">
        <v>1648</v>
      </c>
      <c r="K943" s="10" t="s">
        <v>1677</v>
      </c>
    </row>
    <row r="944" customFormat="false" ht="15" hidden="false" customHeight="false" outlineLevel="0" collapsed="false">
      <c r="A944" s="10" t="s">
        <v>2608</v>
      </c>
      <c r="B944" s="10" t="n">
        <v>1438</v>
      </c>
      <c r="C944" s="8" t="n">
        <v>45847</v>
      </c>
      <c r="D944" s="8" t="n">
        <v>45844</v>
      </c>
      <c r="E944" s="10" t="n">
        <v>2100</v>
      </c>
      <c r="F944" s="0" t="str">
        <f aca="false">INDEX(COA!$C$5:$C$19,MATCH(E944,COA!$A$5:$A$19,0))</f>
        <v>Liability</v>
      </c>
      <c r="G944" s="12" t="n">
        <v>13780.66</v>
      </c>
      <c r="H944" s="12" t="n">
        <v>0</v>
      </c>
      <c r="I944" s="10" t="s">
        <v>99</v>
      </c>
      <c r="J944" s="10" t="s">
        <v>1648</v>
      </c>
      <c r="K944" s="10" t="s">
        <v>1677</v>
      </c>
    </row>
    <row r="945" customFormat="false" ht="15" hidden="false" customHeight="false" outlineLevel="0" collapsed="false">
      <c r="A945" s="10" t="s">
        <v>2609</v>
      </c>
      <c r="B945" s="10" t="n">
        <v>1438</v>
      </c>
      <c r="C945" s="8" t="n">
        <v>45847</v>
      </c>
      <c r="D945" s="8" t="n">
        <v>45844</v>
      </c>
      <c r="E945" s="10" t="n">
        <v>6900</v>
      </c>
      <c r="F945" s="0" t="str">
        <f aca="false">INDEX(COA!$C$5:$C$19,MATCH(E945,COA!$A$5:$A$19,0))</f>
        <v>Expense</v>
      </c>
      <c r="G945" s="12" t="n">
        <v>0</v>
      </c>
      <c r="H945" s="12" t="n">
        <v>45935.52</v>
      </c>
      <c r="I945" s="10" t="s">
        <v>99</v>
      </c>
      <c r="J945" s="10" t="s">
        <v>1648</v>
      </c>
      <c r="K945" s="10" t="s">
        <v>1677</v>
      </c>
    </row>
    <row r="946" customFormat="false" ht="15" hidden="false" customHeight="false" outlineLevel="0" collapsed="false">
      <c r="A946" s="10" t="s">
        <v>2610</v>
      </c>
      <c r="B946" s="10" t="n">
        <v>1439</v>
      </c>
      <c r="C946" s="8" t="n">
        <v>45847</v>
      </c>
      <c r="D946" s="8" t="n">
        <v>45845</v>
      </c>
      <c r="E946" s="10" t="n">
        <v>1000</v>
      </c>
      <c r="F946" s="0" t="str">
        <f aca="false">INDEX(COA!$C$5:$C$19,MATCH(E946,COA!$A$5:$A$19,0))</f>
        <v>Asset</v>
      </c>
      <c r="G946" s="12" t="n">
        <v>64873.21</v>
      </c>
      <c r="H946" s="12" t="n">
        <v>0</v>
      </c>
      <c r="I946" s="10" t="s">
        <v>103</v>
      </c>
      <c r="J946" s="10" t="s">
        <v>1636</v>
      </c>
      <c r="K946" s="10" t="s">
        <v>1637</v>
      </c>
    </row>
    <row r="947" customFormat="false" ht="15" hidden="false" customHeight="false" outlineLevel="0" collapsed="false">
      <c r="A947" s="10" t="s">
        <v>2611</v>
      </c>
      <c r="B947" s="10" t="n">
        <v>1439</v>
      </c>
      <c r="C947" s="8" t="n">
        <v>45847</v>
      </c>
      <c r="D947" s="8" t="n">
        <v>45845</v>
      </c>
      <c r="E947" s="10" t="n">
        <v>1100</v>
      </c>
      <c r="F947" s="0" t="str">
        <f aca="false">INDEX(COA!$C$5:$C$19,MATCH(E947,COA!$A$5:$A$19,0))</f>
        <v>Asset</v>
      </c>
      <c r="G947" s="12" t="n">
        <v>0</v>
      </c>
      <c r="H947" s="12" t="n">
        <v>64873.21</v>
      </c>
      <c r="I947" s="10" t="s">
        <v>103</v>
      </c>
      <c r="J947" s="10" t="s">
        <v>1636</v>
      </c>
      <c r="K947" s="10" t="s">
        <v>1637</v>
      </c>
    </row>
    <row r="948" customFormat="false" ht="15" hidden="false" customHeight="false" outlineLevel="0" collapsed="false">
      <c r="A948" s="10" t="s">
        <v>2612</v>
      </c>
      <c r="B948" s="10" t="n">
        <v>1440</v>
      </c>
      <c r="C948" s="8" t="n">
        <v>45847</v>
      </c>
      <c r="D948" s="8" t="n">
        <v>45845</v>
      </c>
      <c r="E948" s="10" t="n">
        <v>6900</v>
      </c>
      <c r="F948" s="0" t="str">
        <f aca="false">INDEX(COA!$C$5:$C$19,MATCH(E948,COA!$A$5:$A$19,0))</f>
        <v>Expense</v>
      </c>
      <c r="G948" s="12" t="n">
        <v>1700.46</v>
      </c>
      <c r="H948" s="12" t="n">
        <v>0</v>
      </c>
      <c r="I948" s="10" t="s">
        <v>101</v>
      </c>
      <c r="J948" s="10" t="s">
        <v>1648</v>
      </c>
      <c r="K948" s="10" t="s">
        <v>1649</v>
      </c>
    </row>
    <row r="949" customFormat="false" ht="15" hidden="false" customHeight="false" outlineLevel="0" collapsed="false">
      <c r="A949" s="10" t="s">
        <v>2613</v>
      </c>
      <c r="B949" s="10" t="n">
        <v>1440</v>
      </c>
      <c r="C949" s="8" t="n">
        <v>45847</v>
      </c>
      <c r="D949" s="8" t="n">
        <v>45845</v>
      </c>
      <c r="E949" s="10" t="n">
        <v>6900</v>
      </c>
      <c r="F949" s="0" t="str">
        <f aca="false">INDEX(COA!$C$5:$C$19,MATCH(E949,COA!$A$5:$A$19,0))</f>
        <v>Expense</v>
      </c>
      <c r="G949" s="12" t="n">
        <v>728.77</v>
      </c>
      <c r="H949" s="12" t="n">
        <v>0</v>
      </c>
      <c r="I949" s="10" t="s">
        <v>101</v>
      </c>
      <c r="J949" s="10" t="s">
        <v>1648</v>
      </c>
      <c r="K949" s="10" t="s">
        <v>1649</v>
      </c>
    </row>
    <row r="950" customFormat="false" ht="15" hidden="false" customHeight="false" outlineLevel="0" collapsed="false">
      <c r="A950" s="10" t="s">
        <v>2614</v>
      </c>
      <c r="B950" s="10" t="n">
        <v>1440</v>
      </c>
      <c r="C950" s="8" t="n">
        <v>45847</v>
      </c>
      <c r="D950" s="8" t="n">
        <v>45845</v>
      </c>
      <c r="E950" s="10" t="n">
        <v>2100</v>
      </c>
      <c r="F950" s="0" t="str">
        <f aca="false">INDEX(COA!$C$5:$C$19,MATCH(E950,COA!$A$5:$A$19,0))</f>
        <v>Liability</v>
      </c>
      <c r="G950" s="12" t="n">
        <v>0</v>
      </c>
      <c r="H950" s="12" t="n">
        <v>2429.23</v>
      </c>
      <c r="I950" s="10" t="s">
        <v>101</v>
      </c>
      <c r="J950" s="10" t="s">
        <v>1648</v>
      </c>
      <c r="K950" s="10" t="s">
        <v>1649</v>
      </c>
    </row>
    <row r="951" customFormat="false" ht="15" hidden="false" customHeight="false" outlineLevel="0" collapsed="false">
      <c r="A951" s="10" t="s">
        <v>2615</v>
      </c>
      <c r="B951" s="10" t="n">
        <v>1441</v>
      </c>
      <c r="C951" s="8" t="n">
        <v>45847</v>
      </c>
      <c r="D951" s="8" t="n">
        <v>45843</v>
      </c>
      <c r="E951" s="10" t="n">
        <v>6200</v>
      </c>
      <c r="F951" s="0" t="str">
        <f aca="false">INDEX(COA!$C$5:$C$19,MATCH(E951,COA!$A$5:$A$19,0))</f>
        <v>Expense</v>
      </c>
      <c r="G951" s="12" t="n">
        <v>1238.87</v>
      </c>
      <c r="H951" s="12" t="n">
        <v>0</v>
      </c>
      <c r="I951" s="10" t="s">
        <v>102</v>
      </c>
      <c r="J951" s="10" t="s">
        <v>1636</v>
      </c>
      <c r="K951" s="10" t="s">
        <v>1689</v>
      </c>
    </row>
    <row r="952" customFormat="false" ht="15" hidden="false" customHeight="false" outlineLevel="0" collapsed="false">
      <c r="A952" s="10" t="s">
        <v>2616</v>
      </c>
      <c r="B952" s="10" t="n">
        <v>1441</v>
      </c>
      <c r="C952" s="8" t="n">
        <v>45847</v>
      </c>
      <c r="D952" s="8" t="n">
        <v>45843</v>
      </c>
      <c r="E952" s="10" t="n">
        <v>2000</v>
      </c>
      <c r="F952" s="0" t="str">
        <f aca="false">INDEX(COA!$C$5:$C$19,MATCH(E952,COA!$A$5:$A$19,0))</f>
        <v>Liability</v>
      </c>
      <c r="G952" s="12" t="n">
        <v>0</v>
      </c>
      <c r="H952" s="12" t="n">
        <v>1238.87</v>
      </c>
      <c r="I952" s="10" t="s">
        <v>102</v>
      </c>
      <c r="J952" s="10" t="s">
        <v>1636</v>
      </c>
      <c r="K952" s="10" t="s">
        <v>1689</v>
      </c>
    </row>
    <row r="953" customFormat="false" ht="15" hidden="false" customHeight="false" outlineLevel="0" collapsed="false">
      <c r="A953" s="10" t="s">
        <v>2617</v>
      </c>
      <c r="B953" s="10" t="n">
        <v>1442</v>
      </c>
      <c r="C953" s="8" t="n">
        <v>45847</v>
      </c>
      <c r="D953" s="8" t="n">
        <v>45847</v>
      </c>
      <c r="E953" s="10" t="n">
        <v>6900</v>
      </c>
      <c r="F953" s="0" t="str">
        <f aca="false">INDEX(COA!$C$5:$C$19,MATCH(E953,COA!$A$5:$A$19,0))</f>
        <v>Expense</v>
      </c>
      <c r="G953" s="12" t="n">
        <v>34000</v>
      </c>
      <c r="H953" s="12" t="n">
        <v>0</v>
      </c>
      <c r="I953" s="10" t="s">
        <v>100</v>
      </c>
      <c r="J953" s="10" t="s">
        <v>1648</v>
      </c>
      <c r="K953" s="10" t="s">
        <v>2618</v>
      </c>
    </row>
    <row r="954" customFormat="false" ht="15" hidden="false" customHeight="false" outlineLevel="0" collapsed="false">
      <c r="A954" s="10" t="s">
        <v>2619</v>
      </c>
      <c r="B954" s="10" t="n">
        <v>1442</v>
      </c>
      <c r="C954" s="8" t="n">
        <v>45847</v>
      </c>
      <c r="D954" s="8" t="n">
        <v>45847</v>
      </c>
      <c r="E954" s="10" t="n">
        <v>2100</v>
      </c>
      <c r="F954" s="0" t="str">
        <f aca="false">INDEX(COA!$C$5:$C$19,MATCH(E954,COA!$A$5:$A$19,0))</f>
        <v>Liability</v>
      </c>
      <c r="G954" s="12" t="n">
        <v>0</v>
      </c>
      <c r="H954" s="12" t="n">
        <v>34000</v>
      </c>
      <c r="I954" s="10" t="s">
        <v>100</v>
      </c>
      <c r="J954" s="10" t="s">
        <v>1648</v>
      </c>
      <c r="K954" s="10" t="s">
        <v>2618</v>
      </c>
    </row>
    <row r="955" customFormat="false" ht="15" hidden="false" customHeight="false" outlineLevel="0" collapsed="false">
      <c r="A955" s="10" t="s">
        <v>2620</v>
      </c>
      <c r="B955" s="10" t="n">
        <v>1443</v>
      </c>
      <c r="C955" s="8" t="n">
        <v>45848</v>
      </c>
      <c r="D955" s="8" t="n">
        <v>45847</v>
      </c>
      <c r="E955" s="10" t="n">
        <v>1100</v>
      </c>
      <c r="F955" s="0" t="str">
        <f aca="false">INDEX(COA!$C$5:$C$19,MATCH(E955,COA!$A$5:$A$19,0))</f>
        <v>Asset</v>
      </c>
      <c r="G955" s="12" t="n">
        <v>73390.76</v>
      </c>
      <c r="H955" s="12" t="n">
        <v>0</v>
      </c>
      <c r="I955" s="10" t="s">
        <v>103</v>
      </c>
      <c r="J955" s="10" t="s">
        <v>1636</v>
      </c>
      <c r="K955" s="10" t="s">
        <v>1640</v>
      </c>
    </row>
    <row r="956" customFormat="false" ht="15" hidden="false" customHeight="false" outlineLevel="0" collapsed="false">
      <c r="A956" s="10" t="s">
        <v>2621</v>
      </c>
      <c r="B956" s="10" t="n">
        <v>1443</v>
      </c>
      <c r="C956" s="8" t="n">
        <v>45848</v>
      </c>
      <c r="D956" s="8" t="n">
        <v>45847</v>
      </c>
      <c r="E956" s="10" t="n">
        <v>4000</v>
      </c>
      <c r="F956" s="0" t="str">
        <f aca="false">INDEX(COA!$C$5:$C$19,MATCH(E956,COA!$A$5:$A$19,0))</f>
        <v>Revenue</v>
      </c>
      <c r="G956" s="12" t="n">
        <v>0</v>
      </c>
      <c r="H956" s="12" t="n">
        <v>73390.76</v>
      </c>
      <c r="I956" s="10" t="s">
        <v>103</v>
      </c>
      <c r="J956" s="10" t="s">
        <v>1636</v>
      </c>
      <c r="K956" s="10" t="s">
        <v>1640</v>
      </c>
    </row>
    <row r="957" customFormat="false" ht="15" hidden="false" customHeight="false" outlineLevel="0" collapsed="false">
      <c r="A957" s="10" t="s">
        <v>2622</v>
      </c>
      <c r="B957" s="10" t="n">
        <v>1444</v>
      </c>
      <c r="C957" s="8" t="n">
        <v>45848</v>
      </c>
      <c r="D957" s="8" t="n">
        <v>45846</v>
      </c>
      <c r="E957" s="10" t="n">
        <v>6900</v>
      </c>
      <c r="F957" s="0" t="str">
        <f aca="false">INDEX(COA!$C$5:$C$19,MATCH(E957,COA!$A$5:$A$19,0))</f>
        <v>Expense</v>
      </c>
      <c r="G957" s="12" t="n">
        <v>2071.62</v>
      </c>
      <c r="H957" s="12" t="n">
        <v>0</v>
      </c>
      <c r="I957" s="10" t="s">
        <v>97</v>
      </c>
      <c r="J957" s="10" t="s">
        <v>1648</v>
      </c>
      <c r="K957" s="10" t="s">
        <v>1649</v>
      </c>
    </row>
    <row r="958" customFormat="false" ht="15" hidden="false" customHeight="false" outlineLevel="0" collapsed="false">
      <c r="A958" s="10" t="s">
        <v>2623</v>
      </c>
      <c r="B958" s="10" t="n">
        <v>1444</v>
      </c>
      <c r="C958" s="8" t="n">
        <v>45848</v>
      </c>
      <c r="D958" s="8" t="n">
        <v>45846</v>
      </c>
      <c r="E958" s="10" t="n">
        <v>6900</v>
      </c>
      <c r="F958" s="0" t="str">
        <f aca="false">INDEX(COA!$C$5:$C$19,MATCH(E958,COA!$A$5:$A$19,0))</f>
        <v>Expense</v>
      </c>
      <c r="G958" s="12" t="n">
        <v>887.84</v>
      </c>
      <c r="H958" s="12" t="n">
        <v>0</v>
      </c>
      <c r="I958" s="10" t="s">
        <v>97</v>
      </c>
      <c r="J958" s="10" t="s">
        <v>1648</v>
      </c>
      <c r="K958" s="10" t="s">
        <v>1649</v>
      </c>
    </row>
    <row r="959" customFormat="false" ht="15" hidden="false" customHeight="false" outlineLevel="0" collapsed="false">
      <c r="A959" s="10" t="s">
        <v>2624</v>
      </c>
      <c r="B959" s="10" t="n">
        <v>1444</v>
      </c>
      <c r="C959" s="8" t="n">
        <v>45848</v>
      </c>
      <c r="D959" s="8" t="n">
        <v>45846</v>
      </c>
      <c r="E959" s="10" t="n">
        <v>2100</v>
      </c>
      <c r="F959" s="0" t="str">
        <f aca="false">INDEX(COA!$C$5:$C$19,MATCH(E959,COA!$A$5:$A$19,0))</f>
        <v>Liability</v>
      </c>
      <c r="G959" s="12" t="n">
        <v>0</v>
      </c>
      <c r="H959" s="12" t="n">
        <v>2959.46</v>
      </c>
      <c r="I959" s="10" t="s">
        <v>97</v>
      </c>
      <c r="J959" s="10" t="s">
        <v>1648</v>
      </c>
      <c r="K959" s="10" t="s">
        <v>1649</v>
      </c>
    </row>
    <row r="960" customFormat="false" ht="15" hidden="false" customHeight="false" outlineLevel="0" collapsed="false">
      <c r="A960" s="10" t="s">
        <v>2625</v>
      </c>
      <c r="B960" s="10" t="n">
        <v>1445</v>
      </c>
      <c r="C960" s="8" t="n">
        <v>45848</v>
      </c>
      <c r="D960" s="8" t="n">
        <v>45846</v>
      </c>
      <c r="E960" s="10" t="n">
        <v>6900</v>
      </c>
      <c r="F960" s="0" t="str">
        <f aca="false">INDEX(COA!$C$5:$C$19,MATCH(E960,COA!$A$5:$A$19,0))</f>
        <v>Expense</v>
      </c>
      <c r="G960" s="12" t="n">
        <v>1579.57</v>
      </c>
      <c r="H960" s="12" t="n">
        <v>0</v>
      </c>
      <c r="I960" s="10" t="s">
        <v>100</v>
      </c>
      <c r="J960" s="10" t="s">
        <v>1648</v>
      </c>
      <c r="K960" s="10" t="s">
        <v>1649</v>
      </c>
    </row>
    <row r="961" customFormat="false" ht="15" hidden="false" customHeight="false" outlineLevel="0" collapsed="false">
      <c r="A961" s="10" t="s">
        <v>2626</v>
      </c>
      <c r="B961" s="10" t="n">
        <v>1445</v>
      </c>
      <c r="C961" s="8" t="n">
        <v>45848</v>
      </c>
      <c r="D961" s="8" t="n">
        <v>45846</v>
      </c>
      <c r="E961" s="10" t="n">
        <v>2100</v>
      </c>
      <c r="F961" s="0" t="str">
        <f aca="false">INDEX(COA!$C$5:$C$19,MATCH(E961,COA!$A$5:$A$19,0))</f>
        <v>Liability</v>
      </c>
      <c r="G961" s="12" t="n">
        <v>0</v>
      </c>
      <c r="H961" s="12" t="n">
        <v>1579.57</v>
      </c>
      <c r="I961" s="10" t="s">
        <v>100</v>
      </c>
      <c r="J961" s="10" t="s">
        <v>1648</v>
      </c>
      <c r="K961" s="10" t="s">
        <v>1649</v>
      </c>
    </row>
    <row r="962" customFormat="false" ht="15" hidden="false" customHeight="false" outlineLevel="0" collapsed="false">
      <c r="A962" s="10" t="s">
        <v>2627</v>
      </c>
      <c r="B962" s="10" t="n">
        <v>1446</v>
      </c>
      <c r="C962" s="8" t="n">
        <v>45848</v>
      </c>
      <c r="D962" s="8" t="n">
        <v>45848</v>
      </c>
      <c r="E962" s="10" t="n">
        <v>1200</v>
      </c>
      <c r="F962" s="0" t="str">
        <f aca="false">INDEX(COA!$C$5:$C$19,MATCH(E962,COA!$A$5:$A$19,0))</f>
        <v>Asset</v>
      </c>
      <c r="G962" s="12" t="n">
        <v>8388.65</v>
      </c>
      <c r="H962" s="12" t="n">
        <v>0</v>
      </c>
      <c r="I962" s="10" t="s">
        <v>102</v>
      </c>
      <c r="J962" s="10" t="s">
        <v>1636</v>
      </c>
      <c r="K962" s="10" t="s">
        <v>1655</v>
      </c>
    </row>
    <row r="963" customFormat="false" ht="15" hidden="false" customHeight="false" outlineLevel="0" collapsed="false">
      <c r="A963" s="10" t="s">
        <v>2628</v>
      </c>
      <c r="B963" s="10" t="n">
        <v>1446</v>
      </c>
      <c r="C963" s="8" t="n">
        <v>45848</v>
      </c>
      <c r="D963" s="8" t="n">
        <v>45848</v>
      </c>
      <c r="E963" s="10" t="n">
        <v>1200</v>
      </c>
      <c r="F963" s="0" t="str">
        <f aca="false">INDEX(COA!$C$5:$C$19,MATCH(E963,COA!$A$5:$A$19,0))</f>
        <v>Asset</v>
      </c>
      <c r="G963" s="12" t="n">
        <v>3595.13</v>
      </c>
      <c r="H963" s="12" t="n">
        <v>0</v>
      </c>
      <c r="I963" s="10" t="s">
        <v>102</v>
      </c>
      <c r="J963" s="10" t="s">
        <v>1636</v>
      </c>
      <c r="K963" s="10" t="s">
        <v>1655</v>
      </c>
    </row>
    <row r="964" customFormat="false" ht="15" hidden="false" customHeight="false" outlineLevel="0" collapsed="false">
      <c r="A964" s="10" t="s">
        <v>2629</v>
      </c>
      <c r="B964" s="10" t="n">
        <v>1446</v>
      </c>
      <c r="C964" s="8" t="n">
        <v>45848</v>
      </c>
      <c r="D964" s="8" t="n">
        <v>45848</v>
      </c>
      <c r="E964" s="10" t="n">
        <v>2000</v>
      </c>
      <c r="F964" s="0" t="str">
        <f aca="false">INDEX(COA!$C$5:$C$19,MATCH(E964,COA!$A$5:$A$19,0))</f>
        <v>Liability</v>
      </c>
      <c r="G964" s="12" t="n">
        <v>0</v>
      </c>
      <c r="H964" s="12" t="n">
        <v>11983.78</v>
      </c>
      <c r="I964" s="10" t="s">
        <v>102</v>
      </c>
      <c r="J964" s="10" t="s">
        <v>1636</v>
      </c>
      <c r="K964" s="10" t="s">
        <v>1655</v>
      </c>
    </row>
    <row r="965" customFormat="false" ht="15" hidden="false" customHeight="false" outlineLevel="0" collapsed="false">
      <c r="A965" s="10" t="s">
        <v>2630</v>
      </c>
      <c r="B965" s="10" t="n">
        <v>1447</v>
      </c>
      <c r="C965" s="8" t="n">
        <v>45849</v>
      </c>
      <c r="D965" s="8" t="n">
        <v>45846</v>
      </c>
      <c r="E965" s="10" t="n">
        <v>1100</v>
      </c>
      <c r="F965" s="0" t="str">
        <f aca="false">INDEX(COA!$C$5:$C$19,MATCH(E965,COA!$A$5:$A$19,0))</f>
        <v>Asset</v>
      </c>
      <c r="G965" s="12" t="n">
        <v>80729.07</v>
      </c>
      <c r="H965" s="12" t="n">
        <v>0</v>
      </c>
      <c r="I965" s="10" t="s">
        <v>103</v>
      </c>
      <c r="J965" s="10" t="s">
        <v>1636</v>
      </c>
      <c r="K965" s="10" t="s">
        <v>1640</v>
      </c>
    </row>
    <row r="966" customFormat="false" ht="15" hidden="false" customHeight="false" outlineLevel="0" collapsed="false">
      <c r="A966" s="10" t="s">
        <v>2631</v>
      </c>
      <c r="B966" s="10" t="n">
        <v>1447</v>
      </c>
      <c r="C966" s="8" t="n">
        <v>45849</v>
      </c>
      <c r="D966" s="8" t="n">
        <v>45846</v>
      </c>
      <c r="E966" s="10" t="n">
        <v>4000</v>
      </c>
      <c r="F966" s="0" t="str">
        <f aca="false">INDEX(COA!$C$5:$C$19,MATCH(E966,COA!$A$5:$A$19,0))</f>
        <v>Revenue</v>
      </c>
      <c r="G966" s="12" t="n">
        <v>0</v>
      </c>
      <c r="H966" s="12" t="n">
        <v>80729.07</v>
      </c>
      <c r="I966" s="10" t="s">
        <v>103</v>
      </c>
      <c r="J966" s="10" t="s">
        <v>1636</v>
      </c>
      <c r="K966" s="10" t="s">
        <v>1640</v>
      </c>
    </row>
    <row r="967" customFormat="false" ht="15" hidden="false" customHeight="false" outlineLevel="0" collapsed="false">
      <c r="A967" s="10" t="s">
        <v>2632</v>
      </c>
      <c r="B967" s="10" t="n">
        <v>1448</v>
      </c>
      <c r="C967" s="8" t="n">
        <v>45849</v>
      </c>
      <c r="D967" s="8" t="n">
        <v>45847</v>
      </c>
      <c r="E967" s="10" t="n">
        <v>2000</v>
      </c>
      <c r="F967" s="0" t="str">
        <f aca="false">INDEX(COA!$C$5:$C$19,MATCH(E967,COA!$A$5:$A$19,0))</f>
        <v>Liability</v>
      </c>
      <c r="G967" s="12" t="n">
        <v>34023.5</v>
      </c>
      <c r="H967" s="12" t="n">
        <v>0</v>
      </c>
      <c r="I967" s="10" t="s">
        <v>104</v>
      </c>
      <c r="J967" s="10" t="s">
        <v>1636</v>
      </c>
      <c r="K967" s="10" t="s">
        <v>1659</v>
      </c>
    </row>
    <row r="968" customFormat="false" ht="15" hidden="false" customHeight="false" outlineLevel="0" collapsed="false">
      <c r="A968" s="10" t="s">
        <v>2633</v>
      </c>
      <c r="B968" s="10" t="n">
        <v>1448</v>
      </c>
      <c r="C968" s="8" t="n">
        <v>45849</v>
      </c>
      <c r="D968" s="8" t="n">
        <v>45847</v>
      </c>
      <c r="E968" s="10" t="n">
        <v>1000</v>
      </c>
      <c r="F968" s="0" t="str">
        <f aca="false">INDEX(COA!$C$5:$C$19,MATCH(E968,COA!$A$5:$A$19,0))</f>
        <v>Asset</v>
      </c>
      <c r="G968" s="12" t="n">
        <v>0</v>
      </c>
      <c r="H968" s="12" t="n">
        <v>34023.5</v>
      </c>
      <c r="I968" s="10" t="s">
        <v>104</v>
      </c>
      <c r="J968" s="10" t="s">
        <v>1636</v>
      </c>
      <c r="K968" s="10" t="s">
        <v>1659</v>
      </c>
    </row>
    <row r="969" customFormat="false" ht="15" hidden="false" customHeight="false" outlineLevel="0" collapsed="false">
      <c r="A969" s="10" t="s">
        <v>2634</v>
      </c>
      <c r="B969" s="10" t="n">
        <v>1449</v>
      </c>
      <c r="C969" s="8" t="n">
        <v>45852</v>
      </c>
      <c r="D969" s="8" t="n">
        <v>45848</v>
      </c>
      <c r="E969" s="10" t="n">
        <v>5000</v>
      </c>
      <c r="F969" s="0" t="str">
        <f aca="false">INDEX(COA!$C$5:$C$19,MATCH(E969,COA!$A$5:$A$19,0))</f>
        <v>Expense</v>
      </c>
      <c r="G969" s="12" t="n">
        <v>7263.97</v>
      </c>
      <c r="H969" s="12" t="n">
        <v>0</v>
      </c>
      <c r="I969" s="10" t="s">
        <v>103</v>
      </c>
      <c r="J969" s="10" t="s">
        <v>1636</v>
      </c>
      <c r="K969" s="10" t="s">
        <v>1670</v>
      </c>
    </row>
    <row r="970" customFormat="false" ht="15" hidden="false" customHeight="false" outlineLevel="0" collapsed="false">
      <c r="A970" s="10" t="s">
        <v>2635</v>
      </c>
      <c r="B970" s="10" t="n">
        <v>1449</v>
      </c>
      <c r="C970" s="8" t="n">
        <v>45852</v>
      </c>
      <c r="D970" s="8" t="n">
        <v>45848</v>
      </c>
      <c r="E970" s="10" t="n">
        <v>1200</v>
      </c>
      <c r="F970" s="0" t="str">
        <f aca="false">INDEX(COA!$C$5:$C$19,MATCH(E970,COA!$A$5:$A$19,0))</f>
        <v>Asset</v>
      </c>
      <c r="G970" s="12" t="n">
        <v>0</v>
      </c>
      <c r="H970" s="12" t="n">
        <v>7263.97</v>
      </c>
      <c r="I970" s="10" t="s">
        <v>103</v>
      </c>
      <c r="J970" s="10" t="s">
        <v>1636</v>
      </c>
      <c r="K970" s="10" t="s">
        <v>1670</v>
      </c>
    </row>
    <row r="971" customFormat="false" ht="15" hidden="false" customHeight="false" outlineLevel="0" collapsed="false">
      <c r="A971" s="10" t="s">
        <v>2636</v>
      </c>
      <c r="B971" s="10" t="n">
        <v>1450</v>
      </c>
      <c r="C971" s="8" t="n">
        <v>45852</v>
      </c>
      <c r="D971" s="8" t="n">
        <v>45850</v>
      </c>
      <c r="E971" s="10" t="n">
        <v>5000</v>
      </c>
      <c r="F971" s="0" t="str">
        <f aca="false">INDEX(COA!$C$5:$C$19,MATCH(E971,COA!$A$5:$A$19,0))</f>
        <v>Expense</v>
      </c>
      <c r="G971" s="12" t="n">
        <v>631.96</v>
      </c>
      <c r="H971" s="12" t="n">
        <v>0</v>
      </c>
      <c r="I971" s="10" t="s">
        <v>103</v>
      </c>
      <c r="J971" s="10" t="s">
        <v>1636</v>
      </c>
      <c r="K971" s="10" t="s">
        <v>1670</v>
      </c>
    </row>
    <row r="972" customFormat="false" ht="15" hidden="false" customHeight="false" outlineLevel="0" collapsed="false">
      <c r="A972" s="10" t="s">
        <v>2637</v>
      </c>
      <c r="B972" s="10" t="n">
        <v>1450</v>
      </c>
      <c r="C972" s="8" t="n">
        <v>45852</v>
      </c>
      <c r="D972" s="8" t="n">
        <v>45850</v>
      </c>
      <c r="E972" s="10" t="n">
        <v>1200</v>
      </c>
      <c r="F972" s="0" t="str">
        <f aca="false">INDEX(COA!$C$5:$C$19,MATCH(E972,COA!$A$5:$A$19,0))</f>
        <v>Asset</v>
      </c>
      <c r="G972" s="12" t="n">
        <v>0</v>
      </c>
      <c r="H972" s="12" t="n">
        <v>631.96</v>
      </c>
      <c r="I972" s="10" t="s">
        <v>103</v>
      </c>
      <c r="J972" s="10" t="s">
        <v>1636</v>
      </c>
      <c r="K972" s="10" t="s">
        <v>1670</v>
      </c>
    </row>
    <row r="973" customFormat="false" ht="15" hidden="false" customHeight="false" outlineLevel="0" collapsed="false">
      <c r="A973" s="10" t="s">
        <v>2638</v>
      </c>
      <c r="B973" s="10" t="n">
        <v>1451</v>
      </c>
      <c r="C973" s="8" t="n">
        <v>45852</v>
      </c>
      <c r="D973" s="8" t="n">
        <v>45849</v>
      </c>
      <c r="E973" s="10" t="n">
        <v>5000</v>
      </c>
      <c r="F973" s="0" t="str">
        <f aca="false">INDEX(COA!$C$5:$C$19,MATCH(E973,COA!$A$5:$A$19,0))</f>
        <v>Expense</v>
      </c>
      <c r="G973" s="12" t="n">
        <v>1266.12</v>
      </c>
      <c r="H973" s="12" t="n">
        <v>0</v>
      </c>
      <c r="I973" s="10" t="s">
        <v>103</v>
      </c>
      <c r="J973" s="10" t="s">
        <v>1636</v>
      </c>
      <c r="K973" s="10" t="s">
        <v>1670</v>
      </c>
    </row>
    <row r="974" customFormat="false" ht="15" hidden="false" customHeight="false" outlineLevel="0" collapsed="false">
      <c r="A974" s="10" t="s">
        <v>2639</v>
      </c>
      <c r="B974" s="10" t="n">
        <v>1451</v>
      </c>
      <c r="C974" s="8" t="n">
        <v>45852</v>
      </c>
      <c r="D974" s="8" t="n">
        <v>45849</v>
      </c>
      <c r="E974" s="10" t="n">
        <v>5000</v>
      </c>
      <c r="F974" s="0" t="str">
        <f aca="false">INDEX(COA!$C$5:$C$19,MATCH(E974,COA!$A$5:$A$19,0))</f>
        <v>Expense</v>
      </c>
      <c r="G974" s="12" t="n">
        <v>542.62</v>
      </c>
      <c r="H974" s="12" t="n">
        <v>0</v>
      </c>
      <c r="I974" s="10" t="s">
        <v>103</v>
      </c>
      <c r="J974" s="10" t="s">
        <v>1636</v>
      </c>
      <c r="K974" s="10" t="s">
        <v>1670</v>
      </c>
    </row>
    <row r="975" customFormat="false" ht="15" hidden="false" customHeight="false" outlineLevel="0" collapsed="false">
      <c r="A975" s="10" t="s">
        <v>2640</v>
      </c>
      <c r="B975" s="10" t="n">
        <v>1451</v>
      </c>
      <c r="C975" s="8" t="n">
        <v>45852</v>
      </c>
      <c r="D975" s="8" t="n">
        <v>45849</v>
      </c>
      <c r="E975" s="10" t="n">
        <v>1200</v>
      </c>
      <c r="F975" s="0" t="str">
        <f aca="false">INDEX(COA!$C$5:$C$19,MATCH(E975,COA!$A$5:$A$19,0))</f>
        <v>Asset</v>
      </c>
      <c r="G975" s="12" t="n">
        <v>0</v>
      </c>
      <c r="H975" s="12" t="n">
        <v>1808.74</v>
      </c>
      <c r="I975" s="10" t="s">
        <v>103</v>
      </c>
      <c r="J975" s="10" t="s">
        <v>1636</v>
      </c>
      <c r="K975" s="10" t="s">
        <v>1670</v>
      </c>
    </row>
    <row r="976" customFormat="false" ht="15" hidden="false" customHeight="false" outlineLevel="0" collapsed="false">
      <c r="A976" s="10" t="s">
        <v>2641</v>
      </c>
      <c r="B976" s="10" t="n">
        <v>1452</v>
      </c>
      <c r="C976" s="8" t="n">
        <v>45852</v>
      </c>
      <c r="D976" s="8" t="n">
        <v>45851</v>
      </c>
      <c r="E976" s="10" t="n">
        <v>6900</v>
      </c>
      <c r="F976" s="0" t="str">
        <f aca="false">INDEX(COA!$C$5:$C$19,MATCH(E976,COA!$A$5:$A$19,0))</f>
        <v>Expense</v>
      </c>
      <c r="G976" s="12" t="n">
        <v>1861.75</v>
      </c>
      <c r="H976" s="12" t="n">
        <v>0</v>
      </c>
      <c r="I976" s="10" t="s">
        <v>100</v>
      </c>
      <c r="J976" s="10" t="s">
        <v>1648</v>
      </c>
      <c r="K976" s="10" t="s">
        <v>1649</v>
      </c>
    </row>
    <row r="977" customFormat="false" ht="15" hidden="false" customHeight="false" outlineLevel="0" collapsed="false">
      <c r="A977" s="10" t="s">
        <v>2642</v>
      </c>
      <c r="B977" s="10" t="n">
        <v>1452</v>
      </c>
      <c r="C977" s="8" t="n">
        <v>45852</v>
      </c>
      <c r="D977" s="8" t="n">
        <v>45851</v>
      </c>
      <c r="E977" s="10" t="n">
        <v>2100</v>
      </c>
      <c r="F977" s="0" t="str">
        <f aca="false">INDEX(COA!$C$5:$C$19,MATCH(E977,COA!$A$5:$A$19,0))</f>
        <v>Liability</v>
      </c>
      <c r="G977" s="12" t="n">
        <v>0</v>
      </c>
      <c r="H977" s="12" t="n">
        <v>1861.75</v>
      </c>
      <c r="I977" s="10" t="s">
        <v>100</v>
      </c>
      <c r="J977" s="10" t="s">
        <v>1648</v>
      </c>
      <c r="K977" s="10" t="s">
        <v>1649</v>
      </c>
    </row>
    <row r="978" customFormat="false" ht="15" hidden="false" customHeight="false" outlineLevel="0" collapsed="false">
      <c r="A978" s="10" t="s">
        <v>2643</v>
      </c>
      <c r="B978" s="10" t="n">
        <v>1453</v>
      </c>
      <c r="C978" s="8" t="n">
        <v>45852</v>
      </c>
      <c r="D978" s="8" t="n">
        <v>45852</v>
      </c>
      <c r="E978" s="10" t="n">
        <v>2100</v>
      </c>
      <c r="F978" s="0" t="str">
        <f aca="false">INDEX(COA!$C$5:$C$19,MATCH(E978,COA!$A$5:$A$19,0))</f>
        <v>Liability</v>
      </c>
      <c r="G978" s="12" t="n">
        <v>4587.11</v>
      </c>
      <c r="H978" s="12" t="n">
        <v>0</v>
      </c>
      <c r="I978" s="10" t="s">
        <v>97</v>
      </c>
      <c r="J978" s="10" t="s">
        <v>1648</v>
      </c>
      <c r="K978" s="10" t="s">
        <v>1677</v>
      </c>
    </row>
    <row r="979" customFormat="false" ht="15" hidden="false" customHeight="false" outlineLevel="0" collapsed="false">
      <c r="A979" s="10" t="s">
        <v>2644</v>
      </c>
      <c r="B979" s="10" t="n">
        <v>1453</v>
      </c>
      <c r="C979" s="8" t="n">
        <v>45852</v>
      </c>
      <c r="D979" s="8" t="n">
        <v>45852</v>
      </c>
      <c r="E979" s="10" t="n">
        <v>6900</v>
      </c>
      <c r="F979" s="0" t="str">
        <f aca="false">INDEX(COA!$C$5:$C$19,MATCH(E979,COA!$A$5:$A$19,0))</f>
        <v>Expense</v>
      </c>
      <c r="G979" s="12" t="n">
        <v>0</v>
      </c>
      <c r="H979" s="12" t="n">
        <v>4587.11</v>
      </c>
      <c r="I979" s="10" t="s">
        <v>97</v>
      </c>
      <c r="J979" s="10" t="s">
        <v>1648</v>
      </c>
      <c r="K979" s="10" t="s">
        <v>1677</v>
      </c>
    </row>
    <row r="980" customFormat="false" ht="15" hidden="false" customHeight="false" outlineLevel="0" collapsed="false">
      <c r="A980" s="10" t="s">
        <v>2645</v>
      </c>
      <c r="B980" s="10" t="n">
        <v>1454</v>
      </c>
      <c r="C980" s="8" t="n">
        <v>45853</v>
      </c>
      <c r="D980" s="8" t="n">
        <v>45851</v>
      </c>
      <c r="E980" s="10" t="n">
        <v>6900</v>
      </c>
      <c r="F980" s="0" t="str">
        <f aca="false">INDEX(COA!$C$5:$C$19,MATCH(E980,COA!$A$5:$A$19,0))</f>
        <v>Expense</v>
      </c>
      <c r="G980" s="12" t="n">
        <v>44808.26</v>
      </c>
      <c r="H980" s="12" t="n">
        <v>0</v>
      </c>
      <c r="I980" s="10" t="s">
        <v>100</v>
      </c>
      <c r="J980" s="10" t="s">
        <v>1648</v>
      </c>
      <c r="K980" s="10" t="s">
        <v>1649</v>
      </c>
    </row>
    <row r="981" customFormat="false" ht="15" hidden="false" customHeight="false" outlineLevel="0" collapsed="false">
      <c r="A981" s="10" t="s">
        <v>2646</v>
      </c>
      <c r="B981" s="10" t="n">
        <v>1454</v>
      </c>
      <c r="C981" s="8" t="n">
        <v>45853</v>
      </c>
      <c r="D981" s="8" t="n">
        <v>45851</v>
      </c>
      <c r="E981" s="10" t="n">
        <v>2100</v>
      </c>
      <c r="F981" s="0" t="str">
        <f aca="false">INDEX(COA!$C$5:$C$19,MATCH(E981,COA!$A$5:$A$19,0))</f>
        <v>Liability</v>
      </c>
      <c r="G981" s="12" t="n">
        <v>0</v>
      </c>
      <c r="H981" s="12" t="n">
        <v>44808.26</v>
      </c>
      <c r="I981" s="10" t="s">
        <v>100</v>
      </c>
      <c r="J981" s="10" t="s">
        <v>1648</v>
      </c>
      <c r="K981" s="10" t="s">
        <v>1649</v>
      </c>
    </row>
    <row r="982" customFormat="false" ht="15" hidden="false" customHeight="false" outlineLevel="0" collapsed="false">
      <c r="A982" s="10" t="s">
        <v>2647</v>
      </c>
      <c r="B982" s="10" t="n">
        <v>1455</v>
      </c>
      <c r="C982" s="8" t="n">
        <v>45854</v>
      </c>
      <c r="D982" s="8" t="n">
        <v>45851</v>
      </c>
      <c r="E982" s="10" t="n">
        <v>1200</v>
      </c>
      <c r="F982" s="0" t="str">
        <f aca="false">INDEX(COA!$C$5:$C$19,MATCH(E982,COA!$A$5:$A$19,0))</f>
        <v>Asset</v>
      </c>
      <c r="G982" s="12" t="n">
        <v>2578.22</v>
      </c>
      <c r="H982" s="12" t="n">
        <v>0</v>
      </c>
      <c r="I982" s="10" t="s">
        <v>102</v>
      </c>
      <c r="J982" s="10" t="s">
        <v>1636</v>
      </c>
      <c r="K982" s="10" t="s">
        <v>1655</v>
      </c>
    </row>
    <row r="983" customFormat="false" ht="15" hidden="false" customHeight="false" outlineLevel="0" collapsed="false">
      <c r="A983" s="10" t="s">
        <v>2648</v>
      </c>
      <c r="B983" s="10" t="n">
        <v>1455</v>
      </c>
      <c r="C983" s="8" t="n">
        <v>45854</v>
      </c>
      <c r="D983" s="8" t="n">
        <v>45851</v>
      </c>
      <c r="E983" s="10" t="n">
        <v>2000</v>
      </c>
      <c r="F983" s="0" t="str">
        <f aca="false">INDEX(COA!$C$5:$C$19,MATCH(E983,COA!$A$5:$A$19,0))</f>
        <v>Liability</v>
      </c>
      <c r="G983" s="12" t="n">
        <v>0</v>
      </c>
      <c r="H983" s="12" t="n">
        <v>2578.22</v>
      </c>
      <c r="I983" s="10" t="s">
        <v>102</v>
      </c>
      <c r="J983" s="10" t="s">
        <v>1636</v>
      </c>
      <c r="K983" s="10" t="s">
        <v>1655</v>
      </c>
    </row>
    <row r="984" customFormat="false" ht="15" hidden="false" customHeight="false" outlineLevel="0" collapsed="false">
      <c r="A984" s="10" t="s">
        <v>2649</v>
      </c>
      <c r="B984" s="10" t="n">
        <v>1456</v>
      </c>
      <c r="C984" s="8" t="n">
        <v>45855</v>
      </c>
      <c r="D984" s="8" t="n">
        <v>45852</v>
      </c>
      <c r="E984" s="10" t="n">
        <v>1000</v>
      </c>
      <c r="F984" s="0" t="str">
        <f aca="false">INDEX(COA!$C$5:$C$19,MATCH(E984,COA!$A$5:$A$19,0))</f>
        <v>Asset</v>
      </c>
      <c r="G984" s="12" t="n">
        <v>1390.23</v>
      </c>
      <c r="H984" s="12" t="n">
        <v>0</v>
      </c>
      <c r="I984" s="10" t="s">
        <v>103</v>
      </c>
      <c r="J984" s="10" t="s">
        <v>1636</v>
      </c>
      <c r="K984" s="10" t="s">
        <v>1637</v>
      </c>
    </row>
    <row r="985" customFormat="false" ht="15" hidden="false" customHeight="false" outlineLevel="0" collapsed="false">
      <c r="A985" s="10" t="s">
        <v>2650</v>
      </c>
      <c r="B985" s="10" t="n">
        <v>1456</v>
      </c>
      <c r="C985" s="8" t="n">
        <v>45855</v>
      </c>
      <c r="D985" s="8" t="n">
        <v>45852</v>
      </c>
      <c r="E985" s="10" t="n">
        <v>1100</v>
      </c>
      <c r="F985" s="0" t="str">
        <f aca="false">INDEX(COA!$C$5:$C$19,MATCH(E985,COA!$A$5:$A$19,0))</f>
        <v>Asset</v>
      </c>
      <c r="G985" s="12" t="n">
        <v>0</v>
      </c>
      <c r="H985" s="12" t="n">
        <v>1390.23</v>
      </c>
      <c r="I985" s="10" t="s">
        <v>103</v>
      </c>
      <c r="J985" s="10" t="s">
        <v>1636</v>
      </c>
      <c r="K985" s="10" t="s">
        <v>1637</v>
      </c>
    </row>
    <row r="986" customFormat="false" ht="15" hidden="false" customHeight="false" outlineLevel="0" collapsed="false">
      <c r="A986" s="10" t="s">
        <v>2651</v>
      </c>
      <c r="B986" s="10" t="n">
        <v>1457</v>
      </c>
      <c r="C986" s="8" t="n">
        <v>45855</v>
      </c>
      <c r="D986" s="8" t="n">
        <v>45854</v>
      </c>
      <c r="E986" s="10" t="n">
        <v>6200</v>
      </c>
      <c r="F986" s="0" t="str">
        <f aca="false">INDEX(COA!$C$5:$C$19,MATCH(E986,COA!$A$5:$A$19,0))</f>
        <v>Expense</v>
      </c>
      <c r="G986" s="12" t="n">
        <v>15034.41</v>
      </c>
      <c r="H986" s="12" t="n">
        <v>0</v>
      </c>
      <c r="I986" s="10" t="s">
        <v>102</v>
      </c>
      <c r="J986" s="10" t="s">
        <v>1636</v>
      </c>
      <c r="K986" s="10" t="s">
        <v>1689</v>
      </c>
    </row>
    <row r="987" customFormat="false" ht="15" hidden="false" customHeight="false" outlineLevel="0" collapsed="false">
      <c r="A987" s="10" t="s">
        <v>2652</v>
      </c>
      <c r="B987" s="10" t="n">
        <v>1457</v>
      </c>
      <c r="C987" s="8" t="n">
        <v>45855</v>
      </c>
      <c r="D987" s="8" t="n">
        <v>45854</v>
      </c>
      <c r="E987" s="10" t="n">
        <v>2000</v>
      </c>
      <c r="F987" s="0" t="str">
        <f aca="false">INDEX(COA!$C$5:$C$19,MATCH(E987,COA!$A$5:$A$19,0))</f>
        <v>Liability</v>
      </c>
      <c r="G987" s="12" t="n">
        <v>0</v>
      </c>
      <c r="H987" s="12" t="n">
        <v>15034.41</v>
      </c>
      <c r="I987" s="10" t="s">
        <v>102</v>
      </c>
      <c r="J987" s="10" t="s">
        <v>1636</v>
      </c>
      <c r="K987" s="10" t="s">
        <v>1689</v>
      </c>
    </row>
    <row r="988" customFormat="false" ht="15" hidden="false" customHeight="false" outlineLevel="0" collapsed="false">
      <c r="A988" s="10" t="s">
        <v>2653</v>
      </c>
      <c r="B988" s="10" t="n">
        <v>1458</v>
      </c>
      <c r="C988" s="8" t="n">
        <v>45856</v>
      </c>
      <c r="D988" s="8" t="n">
        <v>45853</v>
      </c>
      <c r="E988" s="10" t="n">
        <v>1200</v>
      </c>
      <c r="F988" s="0" t="str">
        <f aca="false">INDEX(COA!$C$5:$C$19,MATCH(E988,COA!$A$5:$A$19,0))</f>
        <v>Asset</v>
      </c>
      <c r="G988" s="12" t="n">
        <v>31830.79</v>
      </c>
      <c r="H988" s="12" t="n">
        <v>0</v>
      </c>
      <c r="I988" s="10" t="s">
        <v>102</v>
      </c>
      <c r="J988" s="10" t="s">
        <v>1636</v>
      </c>
      <c r="K988" s="10" t="s">
        <v>1655</v>
      </c>
    </row>
    <row r="989" customFormat="false" ht="15" hidden="false" customHeight="false" outlineLevel="0" collapsed="false">
      <c r="A989" s="10" t="s">
        <v>2654</v>
      </c>
      <c r="B989" s="10" t="n">
        <v>1458</v>
      </c>
      <c r="C989" s="8" t="n">
        <v>45856</v>
      </c>
      <c r="D989" s="8" t="n">
        <v>45853</v>
      </c>
      <c r="E989" s="10" t="n">
        <v>1200</v>
      </c>
      <c r="F989" s="0" t="str">
        <f aca="false">INDEX(COA!$C$5:$C$19,MATCH(E989,COA!$A$5:$A$19,0))</f>
        <v>Asset</v>
      </c>
      <c r="G989" s="12" t="n">
        <v>13641.77</v>
      </c>
      <c r="H989" s="12" t="n">
        <v>0</v>
      </c>
      <c r="I989" s="10" t="s">
        <v>102</v>
      </c>
      <c r="J989" s="10" t="s">
        <v>1636</v>
      </c>
      <c r="K989" s="10" t="s">
        <v>1655</v>
      </c>
    </row>
    <row r="990" customFormat="false" ht="15" hidden="false" customHeight="false" outlineLevel="0" collapsed="false">
      <c r="A990" s="10" t="s">
        <v>2655</v>
      </c>
      <c r="B990" s="10" t="n">
        <v>1458</v>
      </c>
      <c r="C990" s="8" t="n">
        <v>45856</v>
      </c>
      <c r="D990" s="8" t="n">
        <v>45853</v>
      </c>
      <c r="E990" s="10" t="n">
        <v>2000</v>
      </c>
      <c r="F990" s="0" t="str">
        <f aca="false">INDEX(COA!$C$5:$C$19,MATCH(E990,COA!$A$5:$A$19,0))</f>
        <v>Liability</v>
      </c>
      <c r="G990" s="12" t="n">
        <v>0</v>
      </c>
      <c r="H990" s="12" t="n">
        <v>45472.56</v>
      </c>
      <c r="I990" s="10" t="s">
        <v>102</v>
      </c>
      <c r="J990" s="10" t="s">
        <v>1636</v>
      </c>
      <c r="K990" s="10" t="s">
        <v>1655</v>
      </c>
    </row>
    <row r="991" customFormat="false" ht="15" hidden="false" customHeight="false" outlineLevel="0" collapsed="false">
      <c r="A991" s="10" t="s">
        <v>2656</v>
      </c>
      <c r="B991" s="10" t="n">
        <v>1459</v>
      </c>
      <c r="C991" s="8" t="n">
        <v>45856</v>
      </c>
      <c r="D991" s="8" t="n">
        <v>45852</v>
      </c>
      <c r="E991" s="10" t="n">
        <v>1100</v>
      </c>
      <c r="F991" s="0" t="str">
        <f aca="false">INDEX(COA!$C$5:$C$19,MATCH(E991,COA!$A$5:$A$19,0))</f>
        <v>Asset</v>
      </c>
      <c r="G991" s="12" t="n">
        <v>216.96</v>
      </c>
      <c r="H991" s="12" t="n">
        <v>0</v>
      </c>
      <c r="I991" s="10" t="s">
        <v>103</v>
      </c>
      <c r="J991" s="10" t="s">
        <v>1636</v>
      </c>
      <c r="K991" s="10" t="s">
        <v>1640</v>
      </c>
    </row>
    <row r="992" customFormat="false" ht="15" hidden="false" customHeight="false" outlineLevel="0" collapsed="false">
      <c r="A992" s="10" t="s">
        <v>2657</v>
      </c>
      <c r="B992" s="10" t="n">
        <v>1459</v>
      </c>
      <c r="C992" s="8" t="n">
        <v>45856</v>
      </c>
      <c r="D992" s="8" t="n">
        <v>45852</v>
      </c>
      <c r="E992" s="10" t="n">
        <v>4000</v>
      </c>
      <c r="F992" s="0" t="str">
        <f aca="false">INDEX(COA!$C$5:$C$19,MATCH(E992,COA!$A$5:$A$19,0))</f>
        <v>Revenue</v>
      </c>
      <c r="G992" s="12" t="n">
        <v>0</v>
      </c>
      <c r="H992" s="12" t="n">
        <v>216.96</v>
      </c>
      <c r="I992" s="10" t="s">
        <v>103</v>
      </c>
      <c r="J992" s="10" t="s">
        <v>1636</v>
      </c>
      <c r="K992" s="10" t="s">
        <v>1640</v>
      </c>
    </row>
    <row r="993" customFormat="false" ht="15" hidden="false" customHeight="false" outlineLevel="0" collapsed="false">
      <c r="A993" s="10" t="s">
        <v>2658</v>
      </c>
      <c r="B993" s="10" t="n">
        <v>1460</v>
      </c>
      <c r="C993" s="8" t="n">
        <v>45856</v>
      </c>
      <c r="D993" s="8" t="n">
        <v>45854</v>
      </c>
      <c r="E993" s="10" t="n">
        <v>1000</v>
      </c>
      <c r="F993" s="0" t="str">
        <f aca="false">INDEX(COA!$C$5:$C$19,MATCH(E993,COA!$A$5:$A$19,0))</f>
        <v>Asset</v>
      </c>
      <c r="G993" s="12" t="n">
        <v>1127.31</v>
      </c>
      <c r="H993" s="12" t="n">
        <v>0</v>
      </c>
      <c r="I993" s="10" t="s">
        <v>103</v>
      </c>
      <c r="J993" s="10" t="s">
        <v>1636</v>
      </c>
      <c r="K993" s="10" t="s">
        <v>1637</v>
      </c>
    </row>
    <row r="994" customFormat="false" ht="15" hidden="false" customHeight="false" outlineLevel="0" collapsed="false">
      <c r="A994" s="10" t="s">
        <v>2659</v>
      </c>
      <c r="B994" s="10" t="n">
        <v>1460</v>
      </c>
      <c r="C994" s="8" t="n">
        <v>45856</v>
      </c>
      <c r="D994" s="8" t="n">
        <v>45854</v>
      </c>
      <c r="E994" s="10" t="n">
        <v>1000</v>
      </c>
      <c r="F994" s="0" t="str">
        <f aca="false">INDEX(COA!$C$5:$C$19,MATCH(E994,COA!$A$5:$A$19,0))</f>
        <v>Asset</v>
      </c>
      <c r="G994" s="12" t="n">
        <v>483.13</v>
      </c>
      <c r="H994" s="12" t="n">
        <v>0</v>
      </c>
      <c r="I994" s="10" t="s">
        <v>103</v>
      </c>
      <c r="J994" s="10" t="s">
        <v>1636</v>
      </c>
      <c r="K994" s="10" t="s">
        <v>1637</v>
      </c>
    </row>
    <row r="995" customFormat="false" ht="15" hidden="false" customHeight="false" outlineLevel="0" collapsed="false">
      <c r="A995" s="10" t="s">
        <v>2660</v>
      </c>
      <c r="B995" s="10" t="n">
        <v>1460</v>
      </c>
      <c r="C995" s="8" t="n">
        <v>45856</v>
      </c>
      <c r="D995" s="8" t="n">
        <v>45854</v>
      </c>
      <c r="E995" s="10" t="n">
        <v>1100</v>
      </c>
      <c r="F995" s="0" t="str">
        <f aca="false">INDEX(COA!$C$5:$C$19,MATCH(E995,COA!$A$5:$A$19,0))</f>
        <v>Asset</v>
      </c>
      <c r="G995" s="12" t="n">
        <v>0</v>
      </c>
      <c r="H995" s="12" t="n">
        <v>1610.44</v>
      </c>
      <c r="I995" s="10" t="s">
        <v>103</v>
      </c>
      <c r="J995" s="10" t="s">
        <v>1636</v>
      </c>
      <c r="K995" s="10" t="s">
        <v>1637</v>
      </c>
    </row>
    <row r="996" customFormat="false" ht="15" hidden="false" customHeight="false" outlineLevel="0" collapsed="false">
      <c r="A996" s="10" t="s">
        <v>2661</v>
      </c>
      <c r="B996" s="10" t="n">
        <v>1461</v>
      </c>
      <c r="C996" s="8" t="n">
        <v>45856</v>
      </c>
      <c r="D996" s="8" t="n">
        <v>45852</v>
      </c>
      <c r="E996" s="10" t="n">
        <v>2000</v>
      </c>
      <c r="F996" s="0" t="str">
        <f aca="false">INDEX(COA!$C$5:$C$19,MATCH(E996,COA!$A$5:$A$19,0))</f>
        <v>Liability</v>
      </c>
      <c r="G996" s="12" t="n">
        <v>142641.15</v>
      </c>
      <c r="H996" s="12" t="n">
        <v>0</v>
      </c>
      <c r="I996" s="10" t="s">
        <v>104</v>
      </c>
      <c r="J996" s="10" t="s">
        <v>1636</v>
      </c>
      <c r="K996" s="10" t="s">
        <v>1659</v>
      </c>
    </row>
    <row r="997" customFormat="false" ht="15" hidden="false" customHeight="false" outlineLevel="0" collapsed="false">
      <c r="A997" s="10" t="s">
        <v>2662</v>
      </c>
      <c r="B997" s="10" t="n">
        <v>1461</v>
      </c>
      <c r="C997" s="8" t="n">
        <v>45856</v>
      </c>
      <c r="D997" s="8" t="n">
        <v>45852</v>
      </c>
      <c r="E997" s="10" t="n">
        <v>1000</v>
      </c>
      <c r="F997" s="0" t="str">
        <f aca="false">INDEX(COA!$C$5:$C$19,MATCH(E997,COA!$A$5:$A$19,0))</f>
        <v>Asset</v>
      </c>
      <c r="G997" s="12" t="n">
        <v>0</v>
      </c>
      <c r="H997" s="12" t="n">
        <v>142641.15</v>
      </c>
      <c r="I997" s="10" t="s">
        <v>104</v>
      </c>
      <c r="J997" s="10" t="s">
        <v>1636</v>
      </c>
      <c r="K997" s="10" t="s">
        <v>1659</v>
      </c>
    </row>
    <row r="998" customFormat="false" ht="15" hidden="false" customHeight="false" outlineLevel="0" collapsed="false">
      <c r="A998" s="10" t="s">
        <v>2663</v>
      </c>
      <c r="B998" s="10" t="n">
        <v>1462</v>
      </c>
      <c r="C998" s="8" t="n">
        <v>45856</v>
      </c>
      <c r="D998" s="8" t="n">
        <v>45855</v>
      </c>
      <c r="E998" s="10" t="n">
        <v>5000</v>
      </c>
      <c r="F998" s="0" t="str">
        <f aca="false">INDEX(COA!$C$5:$C$19,MATCH(E998,COA!$A$5:$A$19,0))</f>
        <v>Expense</v>
      </c>
      <c r="G998" s="12" t="n">
        <v>1018.81</v>
      </c>
      <c r="H998" s="12" t="n">
        <v>0</v>
      </c>
      <c r="I998" s="10" t="s">
        <v>103</v>
      </c>
      <c r="J998" s="10" t="s">
        <v>1636</v>
      </c>
      <c r="K998" s="10" t="s">
        <v>1670</v>
      </c>
    </row>
    <row r="999" customFormat="false" ht="15" hidden="false" customHeight="false" outlineLevel="0" collapsed="false">
      <c r="A999" s="10" t="s">
        <v>2664</v>
      </c>
      <c r="B999" s="10" t="n">
        <v>1462</v>
      </c>
      <c r="C999" s="8" t="n">
        <v>45856</v>
      </c>
      <c r="D999" s="8" t="n">
        <v>45855</v>
      </c>
      <c r="E999" s="10" t="n">
        <v>5000</v>
      </c>
      <c r="F999" s="0" t="str">
        <f aca="false">INDEX(COA!$C$5:$C$19,MATCH(E999,COA!$A$5:$A$19,0))</f>
        <v>Expense</v>
      </c>
      <c r="G999" s="12" t="n">
        <v>436.63</v>
      </c>
      <c r="H999" s="12" t="n">
        <v>0</v>
      </c>
      <c r="I999" s="10" t="s">
        <v>103</v>
      </c>
      <c r="J999" s="10" t="s">
        <v>1636</v>
      </c>
      <c r="K999" s="10" t="s">
        <v>1670</v>
      </c>
    </row>
    <row r="1000" customFormat="false" ht="15" hidden="false" customHeight="false" outlineLevel="0" collapsed="false">
      <c r="A1000" s="10" t="s">
        <v>2665</v>
      </c>
      <c r="B1000" s="10" t="n">
        <v>1462</v>
      </c>
      <c r="C1000" s="8" t="n">
        <v>45856</v>
      </c>
      <c r="D1000" s="8" t="n">
        <v>45855</v>
      </c>
      <c r="E1000" s="10" t="n">
        <v>1200</v>
      </c>
      <c r="F1000" s="0" t="str">
        <f aca="false">INDEX(COA!$C$5:$C$19,MATCH(E1000,COA!$A$5:$A$19,0))</f>
        <v>Asset</v>
      </c>
      <c r="G1000" s="12" t="n">
        <v>0</v>
      </c>
      <c r="H1000" s="12" t="n">
        <v>1455.44</v>
      </c>
      <c r="I1000" s="10" t="s">
        <v>103</v>
      </c>
      <c r="J1000" s="10" t="s">
        <v>1636</v>
      </c>
      <c r="K1000" s="10" t="s">
        <v>1670</v>
      </c>
    </row>
    <row r="1001" customFormat="false" ht="15" hidden="false" customHeight="false" outlineLevel="0" collapsed="false">
      <c r="A1001" s="10" t="s">
        <v>2666</v>
      </c>
      <c r="B1001" s="10" t="n">
        <v>1463</v>
      </c>
      <c r="C1001" s="8" t="n">
        <v>45857</v>
      </c>
      <c r="D1001" s="8" t="n">
        <v>45853</v>
      </c>
      <c r="E1001" s="10" t="n">
        <v>1200</v>
      </c>
      <c r="F1001" s="0" t="str">
        <f aca="false">INDEX(COA!$C$5:$C$19,MATCH(E1001,COA!$A$5:$A$19,0))</f>
        <v>Asset</v>
      </c>
      <c r="G1001" s="12" t="n">
        <v>1002.64</v>
      </c>
      <c r="H1001" s="12" t="n">
        <v>0</v>
      </c>
      <c r="I1001" s="10" t="s">
        <v>102</v>
      </c>
      <c r="J1001" s="10" t="s">
        <v>1636</v>
      </c>
      <c r="K1001" s="10" t="s">
        <v>1655</v>
      </c>
    </row>
    <row r="1002" customFormat="false" ht="15" hidden="false" customHeight="false" outlineLevel="0" collapsed="false">
      <c r="A1002" s="10" t="s">
        <v>2667</v>
      </c>
      <c r="B1002" s="10" t="n">
        <v>1463</v>
      </c>
      <c r="C1002" s="8" t="n">
        <v>45857</v>
      </c>
      <c r="D1002" s="8" t="n">
        <v>45853</v>
      </c>
      <c r="E1002" s="10" t="n">
        <v>2000</v>
      </c>
      <c r="F1002" s="0" t="str">
        <f aca="false">INDEX(COA!$C$5:$C$19,MATCH(E1002,COA!$A$5:$A$19,0))</f>
        <v>Liability</v>
      </c>
      <c r="G1002" s="12" t="n">
        <v>0</v>
      </c>
      <c r="H1002" s="12" t="n">
        <v>1002.64</v>
      </c>
      <c r="I1002" s="10" t="s">
        <v>102</v>
      </c>
      <c r="J1002" s="10" t="s">
        <v>1636</v>
      </c>
      <c r="K1002" s="10" t="s">
        <v>1655</v>
      </c>
    </row>
    <row r="1003" customFormat="false" ht="15" hidden="false" customHeight="false" outlineLevel="0" collapsed="false">
      <c r="A1003" s="10" t="s">
        <v>2668</v>
      </c>
      <c r="B1003" s="10" t="n">
        <v>1464</v>
      </c>
      <c r="C1003" s="8" t="n">
        <v>45859</v>
      </c>
      <c r="D1003" s="8" t="n">
        <v>45859</v>
      </c>
      <c r="E1003" s="10" t="n">
        <v>6900</v>
      </c>
      <c r="F1003" s="0" t="str">
        <f aca="false">INDEX(COA!$C$5:$C$19,MATCH(E1003,COA!$A$5:$A$19,0))</f>
        <v>Expense</v>
      </c>
      <c r="G1003" s="12" t="n">
        <v>33161.32</v>
      </c>
      <c r="H1003" s="12" t="n">
        <v>0</v>
      </c>
      <c r="I1003" s="10" t="s">
        <v>101</v>
      </c>
      <c r="J1003" s="10" t="s">
        <v>1648</v>
      </c>
      <c r="K1003" s="10" t="s">
        <v>2669</v>
      </c>
    </row>
    <row r="1004" customFormat="false" ht="15" hidden="false" customHeight="false" outlineLevel="0" collapsed="false">
      <c r="A1004" s="10" t="s">
        <v>2670</v>
      </c>
      <c r="B1004" s="10" t="n">
        <v>1464</v>
      </c>
      <c r="C1004" s="8" t="n">
        <v>45859</v>
      </c>
      <c r="D1004" s="8" t="n">
        <v>45859</v>
      </c>
      <c r="E1004" s="10" t="n">
        <v>2100</v>
      </c>
      <c r="F1004" s="0" t="str">
        <f aca="false">INDEX(COA!$C$5:$C$19,MATCH(E1004,COA!$A$5:$A$19,0))</f>
        <v>Liability</v>
      </c>
      <c r="G1004" s="12" t="n">
        <v>0</v>
      </c>
      <c r="H1004" s="12" t="n">
        <v>33085.82</v>
      </c>
      <c r="I1004" s="10" t="s">
        <v>101</v>
      </c>
      <c r="J1004" s="10" t="s">
        <v>1648</v>
      </c>
      <c r="K1004" s="10" t="s">
        <v>2669</v>
      </c>
    </row>
    <row r="1005" customFormat="false" ht="15" hidden="false" customHeight="false" outlineLevel="0" collapsed="false">
      <c r="A1005" s="10" t="s">
        <v>2671</v>
      </c>
      <c r="B1005" s="10" t="n">
        <v>1465</v>
      </c>
      <c r="C1005" s="8" t="n">
        <v>45859</v>
      </c>
      <c r="D1005" s="8" t="n">
        <v>45855</v>
      </c>
      <c r="E1005" s="10" t="n">
        <v>1000</v>
      </c>
      <c r="F1005" s="0" t="str">
        <f aca="false">INDEX(COA!$C$5:$C$19,MATCH(E1005,COA!$A$5:$A$19,0))</f>
        <v>Asset</v>
      </c>
      <c r="G1005" s="12" t="n">
        <v>16843.11</v>
      </c>
      <c r="H1005" s="12" t="n">
        <v>0</v>
      </c>
      <c r="I1005" s="10" t="s">
        <v>103</v>
      </c>
      <c r="J1005" s="10" t="s">
        <v>1636</v>
      </c>
      <c r="K1005" s="10" t="s">
        <v>1637</v>
      </c>
    </row>
    <row r="1006" customFormat="false" ht="15" hidden="false" customHeight="false" outlineLevel="0" collapsed="false">
      <c r="A1006" s="10" t="s">
        <v>2672</v>
      </c>
      <c r="B1006" s="10" t="n">
        <v>1465</v>
      </c>
      <c r="C1006" s="8" t="n">
        <v>45859</v>
      </c>
      <c r="D1006" s="8" t="n">
        <v>45855</v>
      </c>
      <c r="E1006" s="10" t="n">
        <v>1100</v>
      </c>
      <c r="F1006" s="0" t="str">
        <f aca="false">INDEX(COA!$C$5:$C$19,MATCH(E1006,COA!$A$5:$A$19,0))</f>
        <v>Asset</v>
      </c>
      <c r="G1006" s="12" t="n">
        <v>0</v>
      </c>
      <c r="H1006" s="12" t="n">
        <v>16843.11</v>
      </c>
      <c r="I1006" s="10" t="s">
        <v>103</v>
      </c>
      <c r="J1006" s="10" t="s">
        <v>1636</v>
      </c>
      <c r="K1006" s="10" t="s">
        <v>1637</v>
      </c>
    </row>
    <row r="1007" customFormat="false" ht="15" hidden="false" customHeight="false" outlineLevel="0" collapsed="false">
      <c r="A1007" s="10" t="s">
        <v>2673</v>
      </c>
      <c r="B1007" s="10" t="n">
        <v>1466</v>
      </c>
      <c r="C1007" s="8" t="n">
        <v>45860</v>
      </c>
      <c r="D1007" s="8" t="n">
        <v>45860</v>
      </c>
      <c r="E1007" s="10" t="n">
        <v>2000</v>
      </c>
      <c r="F1007" s="0" t="str">
        <f aca="false">INDEX(COA!$C$5:$C$19,MATCH(E1007,COA!$A$5:$A$19,0))</f>
        <v>Liability</v>
      </c>
      <c r="G1007" s="12" t="n">
        <v>1818.45</v>
      </c>
      <c r="H1007" s="12" t="n">
        <v>0</v>
      </c>
      <c r="I1007" s="10" t="s">
        <v>104</v>
      </c>
      <c r="J1007" s="10" t="s">
        <v>1636</v>
      </c>
      <c r="K1007" s="10" t="s">
        <v>1659</v>
      </c>
    </row>
    <row r="1008" customFormat="false" ht="15" hidden="false" customHeight="false" outlineLevel="0" collapsed="false">
      <c r="A1008" s="10" t="s">
        <v>2674</v>
      </c>
      <c r="B1008" s="10" t="n">
        <v>1466</v>
      </c>
      <c r="C1008" s="8" t="n">
        <v>45860</v>
      </c>
      <c r="D1008" s="8" t="n">
        <v>45860</v>
      </c>
      <c r="E1008" s="10" t="n">
        <v>1000</v>
      </c>
      <c r="F1008" s="0" t="str">
        <f aca="false">INDEX(COA!$C$5:$C$19,MATCH(E1008,COA!$A$5:$A$19,0))</f>
        <v>Asset</v>
      </c>
      <c r="G1008" s="12" t="n">
        <v>0</v>
      </c>
      <c r="H1008" s="12" t="n">
        <v>1818.45</v>
      </c>
      <c r="I1008" s="10" t="s">
        <v>104</v>
      </c>
      <c r="J1008" s="10" t="s">
        <v>1636</v>
      </c>
      <c r="K1008" s="10" t="s">
        <v>1659</v>
      </c>
    </row>
    <row r="1009" customFormat="false" ht="15" hidden="false" customHeight="false" outlineLevel="0" collapsed="false">
      <c r="A1009" s="10" t="s">
        <v>2675</v>
      </c>
      <c r="B1009" s="10" t="n">
        <v>1467</v>
      </c>
      <c r="C1009" s="8" t="n">
        <v>45860</v>
      </c>
      <c r="D1009" s="8" t="n">
        <v>45857</v>
      </c>
      <c r="E1009" s="10" t="n">
        <v>1200</v>
      </c>
      <c r="F1009" s="0" t="str">
        <f aca="false">INDEX(COA!$C$5:$C$19,MATCH(E1009,COA!$A$5:$A$19,0))</f>
        <v>Asset</v>
      </c>
      <c r="G1009" s="12" t="n">
        <v>200.18</v>
      </c>
      <c r="H1009" s="12" t="n">
        <v>0</v>
      </c>
      <c r="I1009" s="10" t="s">
        <v>102</v>
      </c>
      <c r="J1009" s="10" t="s">
        <v>1636</v>
      </c>
      <c r="K1009" s="10" t="s">
        <v>1655</v>
      </c>
    </row>
    <row r="1010" customFormat="false" ht="15" hidden="false" customHeight="false" outlineLevel="0" collapsed="false">
      <c r="A1010" s="10" t="s">
        <v>2676</v>
      </c>
      <c r="B1010" s="10" t="n">
        <v>1467</v>
      </c>
      <c r="C1010" s="8" t="n">
        <v>45860</v>
      </c>
      <c r="D1010" s="8" t="n">
        <v>45857</v>
      </c>
      <c r="E1010" s="10" t="n">
        <v>2000</v>
      </c>
      <c r="F1010" s="0" t="str">
        <f aca="false">INDEX(COA!$C$5:$C$19,MATCH(E1010,COA!$A$5:$A$19,0))</f>
        <v>Liability</v>
      </c>
      <c r="G1010" s="12" t="n">
        <v>0</v>
      </c>
      <c r="H1010" s="12" t="n">
        <v>200.18</v>
      </c>
      <c r="I1010" s="10" t="s">
        <v>102</v>
      </c>
      <c r="J1010" s="10" t="s">
        <v>1636</v>
      </c>
      <c r="K1010" s="10" t="s">
        <v>1655</v>
      </c>
    </row>
    <row r="1011" customFormat="false" ht="15" hidden="false" customHeight="false" outlineLevel="0" collapsed="false">
      <c r="A1011" s="10" t="s">
        <v>2677</v>
      </c>
      <c r="B1011" s="10" t="n">
        <v>1468</v>
      </c>
      <c r="C1011" s="8" t="n">
        <v>45861</v>
      </c>
      <c r="D1011" s="8" t="n">
        <v>45861</v>
      </c>
      <c r="E1011" s="10" t="n">
        <v>2000</v>
      </c>
      <c r="F1011" s="0" t="str">
        <f aca="false">INDEX(COA!$C$5:$C$19,MATCH(E1011,COA!$A$5:$A$19,0))</f>
        <v>Liability</v>
      </c>
      <c r="G1011" s="12" t="n">
        <v>10666.43</v>
      </c>
      <c r="H1011" s="12" t="n">
        <v>0</v>
      </c>
      <c r="I1011" s="10" t="s">
        <v>104</v>
      </c>
      <c r="J1011" s="10" t="s">
        <v>1636</v>
      </c>
      <c r="K1011" s="10" t="s">
        <v>1659</v>
      </c>
    </row>
    <row r="1012" customFormat="false" ht="15" hidden="false" customHeight="false" outlineLevel="0" collapsed="false">
      <c r="A1012" s="10" t="s">
        <v>2678</v>
      </c>
      <c r="B1012" s="10" t="n">
        <v>1468</v>
      </c>
      <c r="C1012" s="8" t="n">
        <v>45861</v>
      </c>
      <c r="D1012" s="8" t="n">
        <v>45861</v>
      </c>
      <c r="E1012" s="10" t="n">
        <v>1000</v>
      </c>
      <c r="F1012" s="0" t="str">
        <f aca="false">INDEX(COA!$C$5:$C$19,MATCH(E1012,COA!$A$5:$A$19,0))</f>
        <v>Asset</v>
      </c>
      <c r="G1012" s="12" t="n">
        <v>0</v>
      </c>
      <c r="H1012" s="12" t="n">
        <v>10666.43</v>
      </c>
      <c r="I1012" s="10" t="s">
        <v>104</v>
      </c>
      <c r="J1012" s="10" t="s">
        <v>1636</v>
      </c>
      <c r="K1012" s="10" t="s">
        <v>1659</v>
      </c>
    </row>
    <row r="1013" customFormat="false" ht="15" hidden="false" customHeight="false" outlineLevel="0" collapsed="false">
      <c r="A1013" s="10" t="s">
        <v>2679</v>
      </c>
      <c r="B1013" s="10" t="n">
        <v>1469</v>
      </c>
      <c r="C1013" s="8" t="n">
        <v>45861</v>
      </c>
      <c r="D1013" s="8" t="n">
        <v>45858</v>
      </c>
      <c r="E1013" s="10" t="n">
        <v>1000</v>
      </c>
      <c r="F1013" s="0" t="str">
        <f aca="false">INDEX(COA!$C$5:$C$19,MATCH(E1013,COA!$A$5:$A$19,0))</f>
        <v>Asset</v>
      </c>
      <c r="G1013" s="12" t="n">
        <v>132344.71</v>
      </c>
      <c r="H1013" s="12" t="n">
        <v>0</v>
      </c>
      <c r="I1013" s="10" t="s">
        <v>103</v>
      </c>
      <c r="J1013" s="10" t="s">
        <v>1636</v>
      </c>
      <c r="K1013" s="10" t="s">
        <v>1637</v>
      </c>
    </row>
    <row r="1014" customFormat="false" ht="15" hidden="false" customHeight="false" outlineLevel="0" collapsed="false">
      <c r="A1014" s="10" t="s">
        <v>2680</v>
      </c>
      <c r="B1014" s="10" t="n">
        <v>1469</v>
      </c>
      <c r="C1014" s="8" t="n">
        <v>45861</v>
      </c>
      <c r="D1014" s="8" t="n">
        <v>45858</v>
      </c>
      <c r="E1014" s="10" t="n">
        <v>1100</v>
      </c>
      <c r="F1014" s="0" t="str">
        <f aca="false">INDEX(COA!$C$5:$C$19,MATCH(E1014,COA!$A$5:$A$19,0))</f>
        <v>Asset</v>
      </c>
      <c r="G1014" s="12" t="n">
        <v>0</v>
      </c>
      <c r="H1014" s="12" t="n">
        <v>132344.71</v>
      </c>
      <c r="I1014" s="10" t="s">
        <v>103</v>
      </c>
      <c r="J1014" s="10" t="s">
        <v>1636</v>
      </c>
      <c r="K1014" s="10" t="s">
        <v>1637</v>
      </c>
    </row>
    <row r="1015" customFormat="false" ht="15" hidden="false" customHeight="false" outlineLevel="0" collapsed="false">
      <c r="A1015" s="10" t="s">
        <v>2681</v>
      </c>
      <c r="B1015" s="10" t="n">
        <v>1470</v>
      </c>
      <c r="C1015" s="8" t="n">
        <v>45862</v>
      </c>
      <c r="D1015" s="8" t="n">
        <v>45860</v>
      </c>
      <c r="E1015" s="10" t="n">
        <v>1000</v>
      </c>
      <c r="F1015" s="0" t="str">
        <f aca="false">INDEX(COA!$C$5:$C$19,MATCH(E1015,COA!$A$5:$A$19,0))</f>
        <v>Asset</v>
      </c>
      <c r="G1015" s="12" t="n">
        <v>62300.42</v>
      </c>
      <c r="H1015" s="12" t="n">
        <v>0</v>
      </c>
      <c r="I1015" s="10" t="s">
        <v>103</v>
      </c>
      <c r="J1015" s="10" t="s">
        <v>1636</v>
      </c>
      <c r="K1015" s="10" t="s">
        <v>1637</v>
      </c>
    </row>
    <row r="1016" customFormat="false" ht="15" hidden="false" customHeight="false" outlineLevel="0" collapsed="false">
      <c r="A1016" s="10" t="s">
        <v>2682</v>
      </c>
      <c r="B1016" s="10" t="n">
        <v>1470</v>
      </c>
      <c r="C1016" s="8" t="n">
        <v>45862</v>
      </c>
      <c r="D1016" s="8" t="n">
        <v>45860</v>
      </c>
      <c r="E1016" s="10" t="n">
        <v>1100</v>
      </c>
      <c r="F1016" s="0" t="str">
        <f aca="false">INDEX(COA!$C$5:$C$19,MATCH(E1016,COA!$A$5:$A$19,0))</f>
        <v>Asset</v>
      </c>
      <c r="G1016" s="12" t="n">
        <v>0</v>
      </c>
      <c r="H1016" s="12" t="n">
        <v>62300.42</v>
      </c>
      <c r="I1016" s="10" t="s">
        <v>103</v>
      </c>
      <c r="J1016" s="10" t="s">
        <v>1636</v>
      </c>
      <c r="K1016" s="10" t="s">
        <v>1637</v>
      </c>
    </row>
    <row r="1017" customFormat="false" ht="15" hidden="false" customHeight="false" outlineLevel="0" collapsed="false">
      <c r="A1017" s="10" t="s">
        <v>2683</v>
      </c>
      <c r="B1017" s="10" t="n">
        <v>1471</v>
      </c>
      <c r="C1017" s="8" t="n">
        <v>45862</v>
      </c>
      <c r="D1017" s="8" t="n">
        <v>45860</v>
      </c>
      <c r="E1017" s="10" t="n">
        <v>1200</v>
      </c>
      <c r="F1017" s="0" t="str">
        <f aca="false">INDEX(COA!$C$5:$C$19,MATCH(E1017,COA!$A$5:$A$19,0))</f>
        <v>Asset</v>
      </c>
      <c r="G1017" s="12" t="n">
        <v>4486.9</v>
      </c>
      <c r="H1017" s="12" t="n">
        <v>0</v>
      </c>
      <c r="I1017" s="10" t="s">
        <v>102</v>
      </c>
      <c r="J1017" s="10" t="s">
        <v>1636</v>
      </c>
      <c r="K1017" s="10" t="s">
        <v>1655</v>
      </c>
    </row>
    <row r="1018" customFormat="false" ht="15" hidden="false" customHeight="false" outlineLevel="0" collapsed="false">
      <c r="A1018" s="10" t="s">
        <v>2684</v>
      </c>
      <c r="B1018" s="10" t="n">
        <v>1471</v>
      </c>
      <c r="C1018" s="8" t="n">
        <v>45862</v>
      </c>
      <c r="D1018" s="8" t="n">
        <v>45860</v>
      </c>
      <c r="E1018" s="10" t="n">
        <v>2000</v>
      </c>
      <c r="F1018" s="0" t="str">
        <f aca="false">INDEX(COA!$C$5:$C$19,MATCH(E1018,COA!$A$5:$A$19,0))</f>
        <v>Liability</v>
      </c>
      <c r="G1018" s="12" t="n">
        <v>0</v>
      </c>
      <c r="H1018" s="12" t="n">
        <v>4486.9</v>
      </c>
      <c r="I1018" s="10" t="s">
        <v>102</v>
      </c>
      <c r="J1018" s="10" t="s">
        <v>1636</v>
      </c>
      <c r="K1018" s="10" t="s">
        <v>1655</v>
      </c>
    </row>
    <row r="1019" customFormat="false" ht="15" hidden="false" customHeight="false" outlineLevel="0" collapsed="false">
      <c r="A1019" s="10" t="s">
        <v>2685</v>
      </c>
      <c r="B1019" s="10" t="n">
        <v>1472</v>
      </c>
      <c r="C1019" s="8" t="n">
        <v>45862</v>
      </c>
      <c r="D1019" s="8" t="n">
        <v>45861</v>
      </c>
      <c r="E1019" s="10" t="n">
        <v>1000</v>
      </c>
      <c r="F1019" s="0" t="str">
        <f aca="false">INDEX(COA!$C$5:$C$19,MATCH(E1019,COA!$A$5:$A$19,0))</f>
        <v>Asset</v>
      </c>
      <c r="G1019" s="12" t="n">
        <v>307.79</v>
      </c>
      <c r="H1019" s="12" t="n">
        <v>0</v>
      </c>
      <c r="I1019" s="10" t="s">
        <v>103</v>
      </c>
      <c r="J1019" s="10" t="s">
        <v>1636</v>
      </c>
      <c r="K1019" s="10" t="s">
        <v>1637</v>
      </c>
    </row>
    <row r="1020" customFormat="false" ht="15" hidden="false" customHeight="false" outlineLevel="0" collapsed="false">
      <c r="A1020" s="10" t="s">
        <v>2686</v>
      </c>
      <c r="B1020" s="10" t="n">
        <v>1472</v>
      </c>
      <c r="C1020" s="8" t="n">
        <v>45862</v>
      </c>
      <c r="D1020" s="8" t="n">
        <v>45861</v>
      </c>
      <c r="E1020" s="10" t="n">
        <v>1100</v>
      </c>
      <c r="F1020" s="0" t="str">
        <f aca="false">INDEX(COA!$C$5:$C$19,MATCH(E1020,COA!$A$5:$A$19,0))</f>
        <v>Asset</v>
      </c>
      <c r="G1020" s="12" t="n">
        <v>0</v>
      </c>
      <c r="H1020" s="12" t="n">
        <v>307.79</v>
      </c>
      <c r="I1020" s="10" t="s">
        <v>103</v>
      </c>
      <c r="J1020" s="10" t="s">
        <v>1636</v>
      </c>
      <c r="K1020" s="10" t="s">
        <v>1637</v>
      </c>
    </row>
    <row r="1021" customFormat="false" ht="15" hidden="false" customHeight="false" outlineLevel="0" collapsed="false">
      <c r="A1021" s="10" t="s">
        <v>2687</v>
      </c>
      <c r="B1021" s="10" t="n">
        <v>1473</v>
      </c>
      <c r="C1021" s="8" t="n">
        <v>45863</v>
      </c>
      <c r="D1021" s="8" t="n">
        <v>45863</v>
      </c>
      <c r="E1021" s="10" t="n">
        <v>6000</v>
      </c>
      <c r="F1021" s="0" t="str">
        <f aca="false">INDEX(COA!$C$5:$C$19,MATCH(E1021,COA!$A$5:$A$19,0))</f>
        <v>Expense</v>
      </c>
      <c r="G1021" s="12" t="n">
        <v>260000</v>
      </c>
      <c r="H1021" s="12" t="n">
        <v>0</v>
      </c>
      <c r="I1021" s="10" t="s">
        <v>104</v>
      </c>
      <c r="J1021" s="10" t="s">
        <v>1636</v>
      </c>
      <c r="K1021" s="10" t="s">
        <v>1776</v>
      </c>
    </row>
    <row r="1022" customFormat="false" ht="15" hidden="false" customHeight="false" outlineLevel="0" collapsed="false">
      <c r="A1022" s="10" t="s">
        <v>2688</v>
      </c>
      <c r="B1022" s="10" t="n">
        <v>1473</v>
      </c>
      <c r="C1022" s="8" t="n">
        <v>45863</v>
      </c>
      <c r="D1022" s="8" t="n">
        <v>45863</v>
      </c>
      <c r="E1022" s="10" t="n">
        <v>1000</v>
      </c>
      <c r="F1022" s="0" t="str">
        <f aca="false">INDEX(COA!$C$5:$C$19,MATCH(E1022,COA!$A$5:$A$19,0))</f>
        <v>Asset</v>
      </c>
      <c r="G1022" s="12" t="n">
        <v>0</v>
      </c>
      <c r="H1022" s="12" t="n">
        <v>260000</v>
      </c>
      <c r="I1022" s="10" t="s">
        <v>104</v>
      </c>
      <c r="J1022" s="10" t="s">
        <v>1636</v>
      </c>
      <c r="K1022" s="10" t="s">
        <v>1776</v>
      </c>
    </row>
    <row r="1023" customFormat="false" ht="15" hidden="false" customHeight="false" outlineLevel="0" collapsed="false">
      <c r="A1023" s="10" t="s">
        <v>2689</v>
      </c>
      <c r="B1023" s="10" t="n">
        <v>1474</v>
      </c>
      <c r="C1023" s="8" t="n">
        <v>45863</v>
      </c>
      <c r="D1023" s="8" t="n">
        <v>45860</v>
      </c>
      <c r="E1023" s="10" t="n">
        <v>1100</v>
      </c>
      <c r="F1023" s="0" t="str">
        <f aca="false">INDEX(COA!$C$5:$C$19,MATCH(E1023,COA!$A$5:$A$19,0))</f>
        <v>Asset</v>
      </c>
      <c r="G1023" s="12" t="n">
        <v>27696.5</v>
      </c>
      <c r="H1023" s="12" t="n">
        <v>0</v>
      </c>
      <c r="I1023" s="10" t="s">
        <v>103</v>
      </c>
      <c r="J1023" s="10" t="s">
        <v>1636</v>
      </c>
      <c r="K1023" s="10" t="s">
        <v>1640</v>
      </c>
    </row>
    <row r="1024" customFormat="false" ht="15" hidden="false" customHeight="false" outlineLevel="0" collapsed="false">
      <c r="A1024" s="10" t="s">
        <v>2690</v>
      </c>
      <c r="B1024" s="10" t="n">
        <v>1474</v>
      </c>
      <c r="C1024" s="8" t="n">
        <v>45863</v>
      </c>
      <c r="D1024" s="8" t="n">
        <v>45860</v>
      </c>
      <c r="E1024" s="10" t="n">
        <v>1100</v>
      </c>
      <c r="F1024" s="0" t="str">
        <f aca="false">INDEX(COA!$C$5:$C$19,MATCH(E1024,COA!$A$5:$A$19,0))</f>
        <v>Asset</v>
      </c>
      <c r="G1024" s="12" t="n">
        <v>11869.93</v>
      </c>
      <c r="H1024" s="12" t="n">
        <v>0</v>
      </c>
      <c r="I1024" s="10" t="s">
        <v>103</v>
      </c>
      <c r="J1024" s="10" t="s">
        <v>1636</v>
      </c>
      <c r="K1024" s="10" t="s">
        <v>1640</v>
      </c>
    </row>
    <row r="1025" customFormat="false" ht="15" hidden="false" customHeight="false" outlineLevel="0" collapsed="false">
      <c r="A1025" s="10" t="s">
        <v>2691</v>
      </c>
      <c r="B1025" s="10" t="n">
        <v>1474</v>
      </c>
      <c r="C1025" s="8" t="n">
        <v>45863</v>
      </c>
      <c r="D1025" s="8" t="n">
        <v>45860</v>
      </c>
      <c r="E1025" s="10" t="n">
        <v>4000</v>
      </c>
      <c r="F1025" s="0" t="str">
        <f aca="false">INDEX(COA!$C$5:$C$19,MATCH(E1025,COA!$A$5:$A$19,0))</f>
        <v>Revenue</v>
      </c>
      <c r="G1025" s="12" t="n">
        <v>0</v>
      </c>
      <c r="H1025" s="12" t="n">
        <v>39566.43</v>
      </c>
      <c r="I1025" s="10" t="s">
        <v>103</v>
      </c>
      <c r="J1025" s="10" t="s">
        <v>1636</v>
      </c>
      <c r="K1025" s="10" t="s">
        <v>1640</v>
      </c>
    </row>
    <row r="1026" customFormat="false" ht="15" hidden="false" customHeight="false" outlineLevel="0" collapsed="false">
      <c r="A1026" s="10" t="s">
        <v>2692</v>
      </c>
      <c r="B1026" s="10" t="n">
        <v>1475</v>
      </c>
      <c r="C1026" s="8" t="n">
        <v>45867</v>
      </c>
      <c r="D1026" s="8" t="n">
        <v>45866</v>
      </c>
      <c r="E1026" s="10" t="n">
        <v>1100</v>
      </c>
      <c r="F1026" s="0" t="str">
        <f aca="false">INDEX(COA!$C$5:$C$19,MATCH(E1026,COA!$A$5:$A$19,0))</f>
        <v>Asset</v>
      </c>
      <c r="G1026" s="12" t="n">
        <v>2195.76</v>
      </c>
      <c r="H1026" s="12" t="n">
        <v>0</v>
      </c>
      <c r="I1026" s="10" t="s">
        <v>103</v>
      </c>
      <c r="J1026" s="10" t="s">
        <v>1636</v>
      </c>
      <c r="K1026" s="10" t="s">
        <v>1640</v>
      </c>
    </row>
    <row r="1027" customFormat="false" ht="15" hidden="false" customHeight="false" outlineLevel="0" collapsed="false">
      <c r="A1027" s="10" t="s">
        <v>2693</v>
      </c>
      <c r="B1027" s="10" t="n">
        <v>1475</v>
      </c>
      <c r="C1027" s="8" t="n">
        <v>45867</v>
      </c>
      <c r="D1027" s="8" t="n">
        <v>45866</v>
      </c>
      <c r="E1027" s="10" t="n">
        <v>4000</v>
      </c>
      <c r="F1027" s="0" t="str">
        <f aca="false">INDEX(COA!$C$5:$C$19,MATCH(E1027,COA!$A$5:$A$19,0))</f>
        <v>Revenue</v>
      </c>
      <c r="G1027" s="12" t="n">
        <v>0</v>
      </c>
      <c r="H1027" s="12" t="n">
        <v>2195.76</v>
      </c>
      <c r="I1027" s="10" t="s">
        <v>103</v>
      </c>
      <c r="J1027" s="10" t="s">
        <v>1636</v>
      </c>
      <c r="K1027" s="10" t="s">
        <v>1640</v>
      </c>
    </row>
    <row r="1028" customFormat="false" ht="15" hidden="false" customHeight="false" outlineLevel="0" collapsed="false">
      <c r="A1028" s="10" t="s">
        <v>2694</v>
      </c>
      <c r="B1028" s="10" t="n">
        <v>1476</v>
      </c>
      <c r="C1028" s="8" t="n">
        <v>45867</v>
      </c>
      <c r="D1028" s="8" t="n">
        <v>45863</v>
      </c>
      <c r="E1028" s="10" t="n">
        <v>1100</v>
      </c>
      <c r="F1028" s="0" t="str">
        <f aca="false">INDEX(COA!$C$5:$C$19,MATCH(E1028,COA!$A$5:$A$19,0))</f>
        <v>Asset</v>
      </c>
      <c r="G1028" s="12" t="n">
        <v>1297.77</v>
      </c>
      <c r="H1028" s="12" t="n">
        <v>0</v>
      </c>
      <c r="I1028" s="10" t="s">
        <v>103</v>
      </c>
      <c r="J1028" s="10" t="s">
        <v>1636</v>
      </c>
      <c r="K1028" s="10" t="s">
        <v>1640</v>
      </c>
    </row>
    <row r="1029" customFormat="false" ht="15" hidden="false" customHeight="false" outlineLevel="0" collapsed="false">
      <c r="A1029" s="10" t="s">
        <v>2695</v>
      </c>
      <c r="B1029" s="10" t="n">
        <v>1476</v>
      </c>
      <c r="C1029" s="8" t="n">
        <v>45867</v>
      </c>
      <c r="D1029" s="8" t="n">
        <v>45863</v>
      </c>
      <c r="E1029" s="10" t="n">
        <v>4000</v>
      </c>
      <c r="F1029" s="0" t="str">
        <f aca="false">INDEX(COA!$C$5:$C$19,MATCH(E1029,COA!$A$5:$A$19,0))</f>
        <v>Revenue</v>
      </c>
      <c r="G1029" s="12" t="n">
        <v>0</v>
      </c>
      <c r="H1029" s="12" t="n">
        <v>1297.77</v>
      </c>
      <c r="I1029" s="10" t="s">
        <v>103</v>
      </c>
      <c r="J1029" s="10" t="s">
        <v>1636</v>
      </c>
      <c r="K1029" s="10" t="s">
        <v>1640</v>
      </c>
    </row>
    <row r="1030" customFormat="false" ht="15" hidden="false" customHeight="false" outlineLevel="0" collapsed="false">
      <c r="A1030" s="10" t="s">
        <v>2696</v>
      </c>
      <c r="B1030" s="10" t="n">
        <v>1477</v>
      </c>
      <c r="C1030" s="8" t="n">
        <v>45867</v>
      </c>
      <c r="D1030" s="8" t="n">
        <v>45863</v>
      </c>
      <c r="E1030" s="10" t="n">
        <v>2000</v>
      </c>
      <c r="F1030" s="0" t="str">
        <f aca="false">INDEX(COA!$C$5:$C$19,MATCH(E1030,COA!$A$5:$A$19,0))</f>
        <v>Liability</v>
      </c>
      <c r="G1030" s="12" t="n">
        <v>9672.78</v>
      </c>
      <c r="H1030" s="12" t="n">
        <v>0</v>
      </c>
      <c r="I1030" s="10" t="s">
        <v>104</v>
      </c>
      <c r="J1030" s="10" t="s">
        <v>1636</v>
      </c>
      <c r="K1030" s="10" t="s">
        <v>1659</v>
      </c>
    </row>
    <row r="1031" customFormat="false" ht="15" hidden="false" customHeight="false" outlineLevel="0" collapsed="false">
      <c r="A1031" s="10" t="s">
        <v>2697</v>
      </c>
      <c r="B1031" s="10" t="n">
        <v>1477</v>
      </c>
      <c r="C1031" s="8" t="n">
        <v>45867</v>
      </c>
      <c r="D1031" s="8" t="n">
        <v>45863</v>
      </c>
      <c r="E1031" s="10" t="n">
        <v>1000</v>
      </c>
      <c r="F1031" s="0" t="str">
        <f aca="false">INDEX(COA!$C$5:$C$19,MATCH(E1031,COA!$A$5:$A$19,0))</f>
        <v>Asset</v>
      </c>
      <c r="G1031" s="12" t="n">
        <v>0</v>
      </c>
      <c r="H1031" s="12" t="n">
        <v>9672.78</v>
      </c>
      <c r="I1031" s="10" t="s">
        <v>104</v>
      </c>
      <c r="J1031" s="10" t="s">
        <v>1636</v>
      </c>
      <c r="K1031" s="10" t="s">
        <v>1659</v>
      </c>
    </row>
    <row r="1032" customFormat="false" ht="15" hidden="false" customHeight="false" outlineLevel="0" collapsed="false">
      <c r="A1032" s="10" t="s">
        <v>2698</v>
      </c>
      <c r="B1032" s="10" t="n">
        <v>1478</v>
      </c>
      <c r="C1032" s="8" t="n">
        <v>45867</v>
      </c>
      <c r="D1032" s="8" t="n">
        <v>45863</v>
      </c>
      <c r="E1032" s="10" t="n">
        <v>5000</v>
      </c>
      <c r="F1032" s="0" t="str">
        <f aca="false">INDEX(COA!$C$5:$C$19,MATCH(E1032,COA!$A$5:$A$19,0))</f>
        <v>Expense</v>
      </c>
      <c r="G1032" s="12" t="n">
        <v>14360.86</v>
      </c>
      <c r="H1032" s="12" t="n">
        <v>0</v>
      </c>
      <c r="I1032" s="10" t="s">
        <v>103</v>
      </c>
      <c r="J1032" s="10" t="s">
        <v>1636</v>
      </c>
      <c r="K1032" s="10" t="s">
        <v>1670</v>
      </c>
    </row>
    <row r="1033" customFormat="false" ht="15" hidden="false" customHeight="false" outlineLevel="0" collapsed="false">
      <c r="A1033" s="10" t="s">
        <v>2699</v>
      </c>
      <c r="B1033" s="10" t="n">
        <v>1478</v>
      </c>
      <c r="C1033" s="8" t="n">
        <v>45867</v>
      </c>
      <c r="D1033" s="8" t="n">
        <v>45863</v>
      </c>
      <c r="E1033" s="10" t="n">
        <v>1200</v>
      </c>
      <c r="F1033" s="0" t="str">
        <f aca="false">INDEX(COA!$C$5:$C$19,MATCH(E1033,COA!$A$5:$A$19,0))</f>
        <v>Asset</v>
      </c>
      <c r="G1033" s="12" t="n">
        <v>0</v>
      </c>
      <c r="H1033" s="12" t="n">
        <v>14360.86</v>
      </c>
      <c r="I1033" s="10" t="s">
        <v>103</v>
      </c>
      <c r="J1033" s="10" t="s">
        <v>1636</v>
      </c>
      <c r="K1033" s="10" t="s">
        <v>1670</v>
      </c>
    </row>
    <row r="1034" customFormat="false" ht="15" hidden="false" customHeight="false" outlineLevel="0" collapsed="false">
      <c r="A1034" s="10" t="s">
        <v>2700</v>
      </c>
      <c r="B1034" s="10" t="n">
        <v>1479</v>
      </c>
      <c r="C1034" s="8" t="n">
        <v>45867</v>
      </c>
      <c r="D1034" s="8" t="n">
        <v>45865</v>
      </c>
      <c r="E1034" s="10" t="n">
        <v>1000</v>
      </c>
      <c r="F1034" s="0" t="str">
        <f aca="false">INDEX(COA!$C$5:$C$19,MATCH(E1034,COA!$A$5:$A$19,0))</f>
        <v>Asset</v>
      </c>
      <c r="G1034" s="12" t="n">
        <v>172.13</v>
      </c>
      <c r="H1034" s="12" t="n">
        <v>0</v>
      </c>
      <c r="I1034" s="10" t="s">
        <v>103</v>
      </c>
      <c r="J1034" s="10" t="s">
        <v>1636</v>
      </c>
      <c r="K1034" s="10" t="s">
        <v>1637</v>
      </c>
    </row>
    <row r="1035" customFormat="false" ht="15" hidden="false" customHeight="false" outlineLevel="0" collapsed="false">
      <c r="A1035" s="10" t="s">
        <v>2701</v>
      </c>
      <c r="B1035" s="10" t="n">
        <v>1479</v>
      </c>
      <c r="C1035" s="8" t="n">
        <v>45867</v>
      </c>
      <c r="D1035" s="8" t="n">
        <v>45865</v>
      </c>
      <c r="E1035" s="10" t="n">
        <v>1000</v>
      </c>
      <c r="F1035" s="0" t="str">
        <f aca="false">INDEX(COA!$C$5:$C$19,MATCH(E1035,COA!$A$5:$A$19,0))</f>
        <v>Asset</v>
      </c>
      <c r="G1035" s="12" t="n">
        <v>73.77</v>
      </c>
      <c r="H1035" s="12" t="n">
        <v>0</v>
      </c>
      <c r="I1035" s="10" t="s">
        <v>103</v>
      </c>
      <c r="J1035" s="10" t="s">
        <v>1636</v>
      </c>
      <c r="K1035" s="10" t="s">
        <v>1637</v>
      </c>
    </row>
    <row r="1036" customFormat="false" ht="15" hidden="false" customHeight="false" outlineLevel="0" collapsed="false">
      <c r="A1036" s="10" t="s">
        <v>2702</v>
      </c>
      <c r="B1036" s="10" t="n">
        <v>1479</v>
      </c>
      <c r="C1036" s="8" t="n">
        <v>45867</v>
      </c>
      <c r="D1036" s="8" t="n">
        <v>45865</v>
      </c>
      <c r="E1036" s="10" t="n">
        <v>1100</v>
      </c>
      <c r="F1036" s="0" t="str">
        <f aca="false">INDEX(COA!$C$5:$C$19,MATCH(E1036,COA!$A$5:$A$19,0))</f>
        <v>Asset</v>
      </c>
      <c r="G1036" s="12" t="n">
        <v>0</v>
      </c>
      <c r="H1036" s="12" t="n">
        <v>245.9</v>
      </c>
      <c r="I1036" s="10" t="s">
        <v>103</v>
      </c>
      <c r="J1036" s="10" t="s">
        <v>1636</v>
      </c>
      <c r="K1036" s="10" t="s">
        <v>1637</v>
      </c>
    </row>
    <row r="1037" customFormat="false" ht="15" hidden="false" customHeight="false" outlineLevel="0" collapsed="false">
      <c r="A1037" s="10" t="s">
        <v>2703</v>
      </c>
      <c r="B1037" s="10" t="n">
        <v>1480</v>
      </c>
      <c r="C1037" s="8" t="n">
        <v>45868</v>
      </c>
      <c r="D1037" s="8" t="n">
        <v>45866</v>
      </c>
      <c r="E1037" s="10" t="n">
        <v>2100</v>
      </c>
      <c r="F1037" s="0" t="str">
        <f aca="false">INDEX(COA!$C$5:$C$19,MATCH(E1037,COA!$A$5:$A$19,0))</f>
        <v>Liability</v>
      </c>
      <c r="G1037" s="12" t="n">
        <v>57800.4</v>
      </c>
      <c r="H1037" s="12" t="n">
        <v>0</v>
      </c>
      <c r="I1037" s="10" t="s">
        <v>100</v>
      </c>
      <c r="J1037" s="10" t="s">
        <v>1648</v>
      </c>
      <c r="K1037" s="10" t="s">
        <v>1677</v>
      </c>
    </row>
    <row r="1038" customFormat="false" ht="15" hidden="false" customHeight="false" outlineLevel="0" collapsed="false">
      <c r="A1038" s="10" t="s">
        <v>2704</v>
      </c>
      <c r="B1038" s="10" t="n">
        <v>1480</v>
      </c>
      <c r="C1038" s="8" t="n">
        <v>45868</v>
      </c>
      <c r="D1038" s="8" t="n">
        <v>45866</v>
      </c>
      <c r="E1038" s="10" t="n">
        <v>6900</v>
      </c>
      <c r="F1038" s="0" t="str">
        <f aca="false">INDEX(COA!$C$5:$C$19,MATCH(E1038,COA!$A$5:$A$19,0))</f>
        <v>Expense</v>
      </c>
      <c r="G1038" s="12" t="n">
        <v>0</v>
      </c>
      <c r="H1038" s="12" t="n">
        <v>57800.4</v>
      </c>
      <c r="I1038" s="10" t="s">
        <v>100</v>
      </c>
      <c r="J1038" s="10" t="s">
        <v>1648</v>
      </c>
      <c r="K1038" s="10" t="s">
        <v>1677</v>
      </c>
    </row>
    <row r="1039" customFormat="false" ht="15" hidden="false" customHeight="false" outlineLevel="0" collapsed="false">
      <c r="A1039" s="10" t="s">
        <v>2705</v>
      </c>
      <c r="B1039" s="10" t="n">
        <v>1481</v>
      </c>
      <c r="C1039" s="8" t="n">
        <v>45868</v>
      </c>
      <c r="D1039" s="8" t="n">
        <v>45864</v>
      </c>
      <c r="E1039" s="10" t="n">
        <v>1200</v>
      </c>
      <c r="F1039" s="0" t="str">
        <f aca="false">INDEX(COA!$C$5:$C$19,MATCH(E1039,COA!$A$5:$A$19,0))</f>
        <v>Asset</v>
      </c>
      <c r="G1039" s="12" t="n">
        <v>27007.67</v>
      </c>
      <c r="H1039" s="12" t="n">
        <v>0</v>
      </c>
      <c r="I1039" s="10" t="s">
        <v>102</v>
      </c>
      <c r="J1039" s="10" t="s">
        <v>1636</v>
      </c>
      <c r="K1039" s="10" t="s">
        <v>1655</v>
      </c>
    </row>
    <row r="1040" customFormat="false" ht="15" hidden="false" customHeight="false" outlineLevel="0" collapsed="false">
      <c r="A1040" s="10" t="s">
        <v>2706</v>
      </c>
      <c r="B1040" s="10" t="n">
        <v>1481</v>
      </c>
      <c r="C1040" s="8" t="n">
        <v>45868</v>
      </c>
      <c r="D1040" s="8" t="n">
        <v>45864</v>
      </c>
      <c r="E1040" s="10" t="n">
        <v>1200</v>
      </c>
      <c r="F1040" s="0" t="str">
        <f aca="false">INDEX(COA!$C$5:$C$19,MATCH(E1040,COA!$A$5:$A$19,0))</f>
        <v>Asset</v>
      </c>
      <c r="G1040" s="12" t="n">
        <v>11574.72</v>
      </c>
      <c r="H1040" s="12" t="n">
        <v>0</v>
      </c>
      <c r="I1040" s="10" t="s">
        <v>102</v>
      </c>
      <c r="J1040" s="10" t="s">
        <v>1636</v>
      </c>
      <c r="K1040" s="10" t="s">
        <v>1655</v>
      </c>
    </row>
    <row r="1041" customFormat="false" ht="15" hidden="false" customHeight="false" outlineLevel="0" collapsed="false">
      <c r="A1041" s="10" t="s">
        <v>2707</v>
      </c>
      <c r="B1041" s="10" t="n">
        <v>1481</v>
      </c>
      <c r="C1041" s="8" t="n">
        <v>45868</v>
      </c>
      <c r="D1041" s="8" t="n">
        <v>45864</v>
      </c>
      <c r="E1041" s="10" t="n">
        <v>2000</v>
      </c>
      <c r="F1041" s="0" t="str">
        <f aca="false">INDEX(COA!$C$5:$C$19,MATCH(E1041,COA!$A$5:$A$19,0))</f>
        <v>Liability</v>
      </c>
      <c r="G1041" s="12" t="n">
        <v>0</v>
      </c>
      <c r="H1041" s="12" t="n">
        <v>38582.39</v>
      </c>
      <c r="I1041" s="10" t="s">
        <v>102</v>
      </c>
      <c r="J1041" s="10" t="s">
        <v>1636</v>
      </c>
      <c r="K1041" s="10" t="s">
        <v>1655</v>
      </c>
    </row>
    <row r="1042" customFormat="false" ht="15" hidden="false" customHeight="false" outlineLevel="0" collapsed="false">
      <c r="A1042" s="10" t="s">
        <v>2708</v>
      </c>
      <c r="B1042" s="10" t="n">
        <v>1482</v>
      </c>
      <c r="C1042" s="8" t="n">
        <v>45868</v>
      </c>
      <c r="D1042" s="8" t="n">
        <v>45866</v>
      </c>
      <c r="E1042" s="10" t="n">
        <v>1100</v>
      </c>
      <c r="F1042" s="0" t="str">
        <f aca="false">INDEX(COA!$C$5:$C$19,MATCH(E1042,COA!$A$5:$A$19,0))</f>
        <v>Asset</v>
      </c>
      <c r="G1042" s="12" t="n">
        <v>332.9</v>
      </c>
      <c r="H1042" s="12" t="n">
        <v>0</v>
      </c>
      <c r="I1042" s="10" t="s">
        <v>103</v>
      </c>
      <c r="J1042" s="10" t="s">
        <v>1636</v>
      </c>
      <c r="K1042" s="10" t="s">
        <v>1640</v>
      </c>
    </row>
    <row r="1043" customFormat="false" ht="15" hidden="false" customHeight="false" outlineLevel="0" collapsed="false">
      <c r="A1043" s="10" t="s">
        <v>2709</v>
      </c>
      <c r="B1043" s="10" t="n">
        <v>1482</v>
      </c>
      <c r="C1043" s="8" t="n">
        <v>45868</v>
      </c>
      <c r="D1043" s="8" t="n">
        <v>45866</v>
      </c>
      <c r="E1043" s="10" t="n">
        <v>4000</v>
      </c>
      <c r="F1043" s="0" t="str">
        <f aca="false">INDEX(COA!$C$5:$C$19,MATCH(E1043,COA!$A$5:$A$19,0))</f>
        <v>Revenue</v>
      </c>
      <c r="G1043" s="12" t="n">
        <v>0</v>
      </c>
      <c r="H1043" s="12" t="n">
        <v>332.9</v>
      </c>
      <c r="I1043" s="10" t="s">
        <v>103</v>
      </c>
      <c r="J1043" s="10" t="s">
        <v>1636</v>
      </c>
      <c r="K1043" s="10" t="s">
        <v>1640</v>
      </c>
    </row>
    <row r="1044" customFormat="false" ht="15" hidden="false" customHeight="false" outlineLevel="0" collapsed="false">
      <c r="A1044" s="10" t="s">
        <v>2710</v>
      </c>
      <c r="B1044" s="10" t="n">
        <v>1483</v>
      </c>
      <c r="C1044" s="8" t="n">
        <v>45868</v>
      </c>
      <c r="D1044" s="8" t="n">
        <v>45865</v>
      </c>
      <c r="E1044" s="10" t="n">
        <v>1000</v>
      </c>
      <c r="F1044" s="0" t="str">
        <f aca="false">INDEX(COA!$C$5:$C$19,MATCH(E1044,COA!$A$5:$A$19,0))</f>
        <v>Asset</v>
      </c>
      <c r="G1044" s="12" t="n">
        <v>465.91</v>
      </c>
      <c r="H1044" s="12" t="n">
        <v>0</v>
      </c>
      <c r="I1044" s="10" t="s">
        <v>103</v>
      </c>
      <c r="J1044" s="10" t="s">
        <v>1636</v>
      </c>
      <c r="K1044" s="10" t="s">
        <v>1637</v>
      </c>
    </row>
    <row r="1045" customFormat="false" ht="15" hidden="false" customHeight="false" outlineLevel="0" collapsed="false">
      <c r="A1045" s="10" t="s">
        <v>2711</v>
      </c>
      <c r="B1045" s="10" t="n">
        <v>1483</v>
      </c>
      <c r="C1045" s="8" t="n">
        <v>45868</v>
      </c>
      <c r="D1045" s="8" t="n">
        <v>45865</v>
      </c>
      <c r="E1045" s="10" t="n">
        <v>1000</v>
      </c>
      <c r="F1045" s="0" t="str">
        <f aca="false">INDEX(COA!$C$5:$C$19,MATCH(E1045,COA!$A$5:$A$19,0))</f>
        <v>Asset</v>
      </c>
      <c r="G1045" s="12" t="n">
        <v>199.68</v>
      </c>
      <c r="H1045" s="12" t="n">
        <v>0</v>
      </c>
      <c r="I1045" s="10" t="s">
        <v>103</v>
      </c>
      <c r="J1045" s="10" t="s">
        <v>1636</v>
      </c>
      <c r="K1045" s="10" t="s">
        <v>1637</v>
      </c>
    </row>
    <row r="1046" customFormat="false" ht="15" hidden="false" customHeight="false" outlineLevel="0" collapsed="false">
      <c r="A1046" s="10" t="s">
        <v>2712</v>
      </c>
      <c r="B1046" s="10" t="n">
        <v>1483</v>
      </c>
      <c r="C1046" s="8" t="n">
        <v>45868</v>
      </c>
      <c r="D1046" s="8" t="n">
        <v>45865</v>
      </c>
      <c r="E1046" s="10" t="n">
        <v>1100</v>
      </c>
      <c r="F1046" s="0" t="str">
        <f aca="false">INDEX(COA!$C$5:$C$19,MATCH(E1046,COA!$A$5:$A$19,0))</f>
        <v>Asset</v>
      </c>
      <c r="G1046" s="12" t="n">
        <v>0</v>
      </c>
      <c r="H1046" s="12" t="n">
        <v>665.59</v>
      </c>
      <c r="I1046" s="10" t="s">
        <v>103</v>
      </c>
      <c r="J1046" s="10" t="s">
        <v>1636</v>
      </c>
      <c r="K1046" s="10" t="s">
        <v>1637</v>
      </c>
    </row>
    <row r="1047" customFormat="false" ht="15" hidden="false" customHeight="false" outlineLevel="0" collapsed="false">
      <c r="A1047" s="10" t="s">
        <v>2713</v>
      </c>
      <c r="B1047" s="10" t="n">
        <v>1484</v>
      </c>
      <c r="C1047" s="8" t="n">
        <v>45869</v>
      </c>
      <c r="D1047" s="8" t="n">
        <v>45867</v>
      </c>
      <c r="E1047" s="10" t="n">
        <v>1000</v>
      </c>
      <c r="F1047" s="0" t="str">
        <f aca="false">INDEX(COA!$C$5:$C$19,MATCH(E1047,COA!$A$5:$A$19,0))</f>
        <v>Asset</v>
      </c>
      <c r="G1047" s="12" t="n">
        <v>228.11</v>
      </c>
      <c r="H1047" s="12" t="n">
        <v>0</v>
      </c>
      <c r="I1047" s="10" t="s">
        <v>103</v>
      </c>
      <c r="J1047" s="10" t="s">
        <v>1636</v>
      </c>
      <c r="K1047" s="10" t="s">
        <v>1637</v>
      </c>
    </row>
    <row r="1048" customFormat="false" ht="15" hidden="false" customHeight="false" outlineLevel="0" collapsed="false">
      <c r="A1048" s="10" t="s">
        <v>2714</v>
      </c>
      <c r="B1048" s="10" t="n">
        <v>1484</v>
      </c>
      <c r="C1048" s="8" t="n">
        <v>45869</v>
      </c>
      <c r="D1048" s="8" t="n">
        <v>45867</v>
      </c>
      <c r="E1048" s="10" t="n">
        <v>1100</v>
      </c>
      <c r="F1048" s="0" t="str">
        <f aca="false">INDEX(COA!$C$5:$C$19,MATCH(E1048,COA!$A$5:$A$19,0))</f>
        <v>Asset</v>
      </c>
      <c r="G1048" s="12" t="n">
        <v>0</v>
      </c>
      <c r="H1048" s="12" t="n">
        <v>228.11</v>
      </c>
      <c r="I1048" s="10" t="s">
        <v>103</v>
      </c>
      <c r="J1048" s="10" t="s">
        <v>1636</v>
      </c>
      <c r="K1048" s="10" t="s">
        <v>1637</v>
      </c>
    </row>
    <row r="1049" customFormat="false" ht="15" hidden="false" customHeight="false" outlineLevel="0" collapsed="false">
      <c r="A1049" s="10" t="s">
        <v>2715</v>
      </c>
      <c r="B1049" s="10" t="n">
        <v>1485</v>
      </c>
      <c r="C1049" s="8" t="n">
        <v>45869</v>
      </c>
      <c r="D1049" s="8" t="n">
        <v>45868</v>
      </c>
      <c r="E1049" s="10" t="n">
        <v>6900</v>
      </c>
      <c r="F1049" s="0" t="str">
        <f aca="false">INDEX(COA!$C$5:$C$19,MATCH(E1049,COA!$A$5:$A$19,0))</f>
        <v>Expense</v>
      </c>
      <c r="G1049" s="12" t="n">
        <v>47330.31</v>
      </c>
      <c r="H1049" s="12" t="n">
        <v>0</v>
      </c>
      <c r="I1049" s="10" t="s">
        <v>99</v>
      </c>
      <c r="J1049" s="10" t="s">
        <v>1648</v>
      </c>
      <c r="K1049" s="10" t="s">
        <v>1649</v>
      </c>
    </row>
    <row r="1050" customFormat="false" ht="15" hidden="false" customHeight="false" outlineLevel="0" collapsed="false">
      <c r="A1050" s="10" t="s">
        <v>2716</v>
      </c>
      <c r="B1050" s="10" t="n">
        <v>1485</v>
      </c>
      <c r="C1050" s="8" t="n">
        <v>45869</v>
      </c>
      <c r="D1050" s="8" t="n">
        <v>45868</v>
      </c>
      <c r="E1050" s="10" t="n">
        <v>2100</v>
      </c>
      <c r="F1050" s="0" t="str">
        <f aca="false">INDEX(COA!$C$5:$C$19,MATCH(E1050,COA!$A$5:$A$19,0))</f>
        <v>Liability</v>
      </c>
      <c r="G1050" s="12" t="n">
        <v>0</v>
      </c>
      <c r="H1050" s="12" t="n">
        <v>47330.31</v>
      </c>
      <c r="I1050" s="10" t="s">
        <v>99</v>
      </c>
      <c r="J1050" s="10" t="s">
        <v>1648</v>
      </c>
      <c r="K1050" s="10" t="s">
        <v>1649</v>
      </c>
    </row>
    <row r="1051" customFormat="false" ht="15" hidden="false" customHeight="false" outlineLevel="0" collapsed="false">
      <c r="A1051" s="10" t="s">
        <v>2717</v>
      </c>
      <c r="B1051" s="10" t="n">
        <v>1486</v>
      </c>
      <c r="C1051" s="8" t="n">
        <v>45869</v>
      </c>
      <c r="D1051" s="8" t="n">
        <v>45867</v>
      </c>
      <c r="E1051" s="10" t="n">
        <v>1200</v>
      </c>
      <c r="F1051" s="0" t="str">
        <f aca="false">INDEX(COA!$C$5:$C$19,MATCH(E1051,COA!$A$5:$A$19,0))</f>
        <v>Asset</v>
      </c>
      <c r="G1051" s="12" t="n">
        <v>763.56</v>
      </c>
      <c r="H1051" s="12" t="n">
        <v>0</v>
      </c>
      <c r="I1051" s="10" t="s">
        <v>102</v>
      </c>
      <c r="J1051" s="10" t="s">
        <v>1636</v>
      </c>
      <c r="K1051" s="10" t="s">
        <v>1655</v>
      </c>
    </row>
    <row r="1052" customFormat="false" ht="15" hidden="false" customHeight="false" outlineLevel="0" collapsed="false">
      <c r="A1052" s="10" t="s">
        <v>2718</v>
      </c>
      <c r="B1052" s="10" t="n">
        <v>1486</v>
      </c>
      <c r="C1052" s="8" t="n">
        <v>45869</v>
      </c>
      <c r="D1052" s="8" t="n">
        <v>45867</v>
      </c>
      <c r="E1052" s="10" t="n">
        <v>2000</v>
      </c>
      <c r="F1052" s="0" t="str">
        <f aca="false">INDEX(COA!$C$5:$C$19,MATCH(E1052,COA!$A$5:$A$19,0))</f>
        <v>Liability</v>
      </c>
      <c r="G1052" s="12" t="n">
        <v>0</v>
      </c>
      <c r="H1052" s="12" t="n">
        <v>763.56</v>
      </c>
      <c r="I1052" s="10" t="s">
        <v>102</v>
      </c>
      <c r="J1052" s="10" t="s">
        <v>1636</v>
      </c>
      <c r="K1052" s="10" t="s">
        <v>1655</v>
      </c>
    </row>
    <row r="1053" customFormat="false" ht="15" hidden="false" customHeight="false" outlineLevel="0" collapsed="false">
      <c r="A1053" s="10" t="s">
        <v>2719</v>
      </c>
      <c r="B1053" s="10" t="n">
        <v>1487</v>
      </c>
      <c r="C1053" s="8" t="n">
        <v>45869</v>
      </c>
      <c r="D1053" s="8" t="n">
        <v>45869</v>
      </c>
      <c r="E1053" s="10" t="n">
        <v>6900</v>
      </c>
      <c r="F1053" s="0" t="str">
        <f aca="false">INDEX(COA!$C$5:$C$19,MATCH(E1053,COA!$A$5:$A$19,0))</f>
        <v>Expense</v>
      </c>
      <c r="G1053" s="12" t="n">
        <v>49816.84</v>
      </c>
      <c r="H1053" s="12" t="n">
        <v>0</v>
      </c>
      <c r="I1053" s="10" t="s">
        <v>100</v>
      </c>
      <c r="J1053" s="10" t="s">
        <v>1648</v>
      </c>
      <c r="K1053" s="10" t="s">
        <v>2720</v>
      </c>
    </row>
    <row r="1054" customFormat="false" ht="15" hidden="false" customHeight="false" outlineLevel="0" collapsed="false">
      <c r="A1054" s="10" t="s">
        <v>2721</v>
      </c>
      <c r="B1054" s="10" t="n">
        <v>1487</v>
      </c>
      <c r="C1054" s="8" t="n">
        <v>45869</v>
      </c>
      <c r="D1054" s="8" t="n">
        <v>45869</v>
      </c>
      <c r="E1054" s="10" t="n">
        <v>2100</v>
      </c>
      <c r="F1054" s="0" t="str">
        <f aca="false">INDEX(COA!$C$5:$C$19,MATCH(E1054,COA!$A$5:$A$19,0))</f>
        <v>Liability</v>
      </c>
      <c r="G1054" s="12" t="n">
        <v>0</v>
      </c>
      <c r="H1054" s="12" t="n">
        <v>49816.84</v>
      </c>
      <c r="I1054" s="10" t="s">
        <v>100</v>
      </c>
      <c r="J1054" s="10" t="s">
        <v>1648</v>
      </c>
      <c r="K1054" s="10" t="s">
        <v>2720</v>
      </c>
    </row>
    <row r="1055" customFormat="false" ht="15" hidden="false" customHeight="false" outlineLevel="0" collapsed="false">
      <c r="A1055" s="10" t="s">
        <v>2722</v>
      </c>
      <c r="B1055" s="10" t="n">
        <v>1488</v>
      </c>
      <c r="C1055" s="8" t="n">
        <v>45869</v>
      </c>
      <c r="D1055" s="8" t="n">
        <v>45869</v>
      </c>
      <c r="E1055" s="10" t="n">
        <v>1100</v>
      </c>
      <c r="F1055" s="0" t="str">
        <f aca="false">INDEX(COA!$C$5:$C$19,MATCH(E1055,COA!$A$5:$A$19,0))</f>
        <v>Asset</v>
      </c>
      <c r="G1055" s="12" t="n">
        <v>748.71</v>
      </c>
      <c r="H1055" s="12" t="n">
        <v>0</v>
      </c>
      <c r="I1055" s="10" t="s">
        <v>103</v>
      </c>
      <c r="J1055" s="10" t="s">
        <v>1636</v>
      </c>
      <c r="K1055" s="10" t="s">
        <v>1640</v>
      </c>
    </row>
    <row r="1056" customFormat="false" ht="15" hidden="false" customHeight="false" outlineLevel="0" collapsed="false">
      <c r="A1056" s="10" t="s">
        <v>2723</v>
      </c>
      <c r="B1056" s="10" t="n">
        <v>1488</v>
      </c>
      <c r="C1056" s="8" t="n">
        <v>45869</v>
      </c>
      <c r="D1056" s="8" t="n">
        <v>45869</v>
      </c>
      <c r="E1056" s="10" t="n">
        <v>1100</v>
      </c>
      <c r="F1056" s="0" t="str">
        <f aca="false">INDEX(COA!$C$5:$C$19,MATCH(E1056,COA!$A$5:$A$19,0))</f>
        <v>Asset</v>
      </c>
      <c r="G1056" s="12" t="n">
        <v>320.87</v>
      </c>
      <c r="H1056" s="12" t="n">
        <v>0</v>
      </c>
      <c r="I1056" s="10" t="s">
        <v>103</v>
      </c>
      <c r="J1056" s="10" t="s">
        <v>1636</v>
      </c>
      <c r="K1056" s="10" t="s">
        <v>1640</v>
      </c>
    </row>
    <row r="1057" customFormat="false" ht="15" hidden="false" customHeight="false" outlineLevel="0" collapsed="false">
      <c r="A1057" s="10" t="s">
        <v>2724</v>
      </c>
      <c r="B1057" s="10" t="n">
        <v>1488</v>
      </c>
      <c r="C1057" s="8" t="n">
        <v>45869</v>
      </c>
      <c r="D1057" s="8" t="n">
        <v>45869</v>
      </c>
      <c r="E1057" s="10" t="n">
        <v>4000</v>
      </c>
      <c r="F1057" s="0" t="str">
        <f aca="false">INDEX(COA!$C$5:$C$19,MATCH(E1057,COA!$A$5:$A$19,0))</f>
        <v>Revenue</v>
      </c>
      <c r="G1057" s="12" t="n">
        <v>0</v>
      </c>
      <c r="H1057" s="12" t="n">
        <v>1069.58</v>
      </c>
      <c r="I1057" s="10" t="s">
        <v>103</v>
      </c>
      <c r="J1057" s="10" t="s">
        <v>1636</v>
      </c>
      <c r="K1057" s="10" t="s">
        <v>1640</v>
      </c>
    </row>
    <row r="1058" customFormat="false" ht="15" hidden="false" customHeight="false" outlineLevel="0" collapsed="false">
      <c r="A1058" s="10" t="s">
        <v>2725</v>
      </c>
      <c r="B1058" s="10" t="n">
        <v>1489</v>
      </c>
      <c r="C1058" s="8" t="n">
        <v>45870</v>
      </c>
      <c r="D1058" s="8" t="n">
        <v>45868</v>
      </c>
      <c r="E1058" s="10" t="n">
        <v>2000</v>
      </c>
      <c r="F1058" s="0" t="str">
        <f aca="false">INDEX(COA!$C$5:$C$19,MATCH(E1058,COA!$A$5:$A$19,0))</f>
        <v>Liability</v>
      </c>
      <c r="G1058" s="12" t="n">
        <v>273.2</v>
      </c>
      <c r="H1058" s="12" t="n">
        <v>0</v>
      </c>
      <c r="I1058" s="10" t="s">
        <v>104</v>
      </c>
      <c r="J1058" s="10" t="s">
        <v>1636</v>
      </c>
      <c r="K1058" s="10" t="s">
        <v>1659</v>
      </c>
    </row>
    <row r="1059" customFormat="false" ht="15" hidden="false" customHeight="false" outlineLevel="0" collapsed="false">
      <c r="A1059" s="10" t="s">
        <v>2726</v>
      </c>
      <c r="B1059" s="10" t="n">
        <v>1489</v>
      </c>
      <c r="C1059" s="8" t="n">
        <v>45870</v>
      </c>
      <c r="D1059" s="8" t="n">
        <v>45868</v>
      </c>
      <c r="E1059" s="10" t="n">
        <v>2000</v>
      </c>
      <c r="F1059" s="0" t="str">
        <f aca="false">INDEX(COA!$C$5:$C$19,MATCH(E1059,COA!$A$5:$A$19,0))</f>
        <v>Liability</v>
      </c>
      <c r="G1059" s="12" t="n">
        <v>117.09</v>
      </c>
      <c r="H1059" s="12" t="n">
        <v>0</v>
      </c>
      <c r="I1059" s="10" t="s">
        <v>104</v>
      </c>
      <c r="J1059" s="10" t="s">
        <v>1636</v>
      </c>
      <c r="K1059" s="10" t="s">
        <v>1659</v>
      </c>
    </row>
    <row r="1060" customFormat="false" ht="15" hidden="false" customHeight="false" outlineLevel="0" collapsed="false">
      <c r="A1060" s="10" t="s">
        <v>2727</v>
      </c>
      <c r="B1060" s="10" t="n">
        <v>1489</v>
      </c>
      <c r="C1060" s="8" t="n">
        <v>45870</v>
      </c>
      <c r="D1060" s="8" t="n">
        <v>45868</v>
      </c>
      <c r="E1060" s="10" t="n">
        <v>1000</v>
      </c>
      <c r="F1060" s="0" t="str">
        <f aca="false">INDEX(COA!$C$5:$C$19,MATCH(E1060,COA!$A$5:$A$19,0))</f>
        <v>Asset</v>
      </c>
      <c r="G1060" s="12" t="n">
        <v>0</v>
      </c>
      <c r="H1060" s="12" t="n">
        <v>390.29</v>
      </c>
      <c r="I1060" s="10" t="s">
        <v>104</v>
      </c>
      <c r="J1060" s="10" t="s">
        <v>1636</v>
      </c>
      <c r="K1060" s="10" t="s">
        <v>1659</v>
      </c>
    </row>
    <row r="1061" customFormat="false" ht="15" hidden="false" customHeight="false" outlineLevel="0" collapsed="false">
      <c r="A1061" s="10" t="s">
        <v>2728</v>
      </c>
      <c r="B1061" s="10" t="n">
        <v>1490</v>
      </c>
      <c r="C1061" s="8" t="n">
        <v>45870</v>
      </c>
      <c r="D1061" s="8" t="n">
        <v>45866</v>
      </c>
      <c r="E1061" s="10" t="n">
        <v>1500</v>
      </c>
      <c r="F1061" s="0" t="str">
        <f aca="false">INDEX(COA!$C$5:$C$19,MATCH(E1061,COA!$A$5:$A$19,0))</f>
        <v>Asset</v>
      </c>
      <c r="G1061" s="12" t="n">
        <v>278.27</v>
      </c>
      <c r="H1061" s="12" t="n">
        <v>0</v>
      </c>
      <c r="I1061" s="10" t="s">
        <v>102</v>
      </c>
      <c r="J1061" s="10" t="s">
        <v>1636</v>
      </c>
      <c r="K1061" s="10" t="s">
        <v>1716</v>
      </c>
    </row>
    <row r="1062" customFormat="false" ht="15" hidden="false" customHeight="false" outlineLevel="0" collapsed="false">
      <c r="A1062" s="10" t="s">
        <v>2729</v>
      </c>
      <c r="B1062" s="10" t="n">
        <v>1490</v>
      </c>
      <c r="C1062" s="8" t="n">
        <v>45870</v>
      </c>
      <c r="D1062" s="8" t="n">
        <v>45866</v>
      </c>
      <c r="E1062" s="10" t="n">
        <v>1500</v>
      </c>
      <c r="F1062" s="0" t="str">
        <f aca="false">INDEX(COA!$C$5:$C$19,MATCH(E1062,COA!$A$5:$A$19,0))</f>
        <v>Asset</v>
      </c>
      <c r="G1062" s="12" t="n">
        <v>119.26</v>
      </c>
      <c r="H1062" s="12" t="n">
        <v>0</v>
      </c>
      <c r="I1062" s="10" t="s">
        <v>102</v>
      </c>
      <c r="J1062" s="10" t="s">
        <v>1636</v>
      </c>
      <c r="K1062" s="10" t="s">
        <v>1716</v>
      </c>
    </row>
    <row r="1063" customFormat="false" ht="15" hidden="false" customHeight="false" outlineLevel="0" collapsed="false">
      <c r="A1063" s="10" t="s">
        <v>2730</v>
      </c>
      <c r="B1063" s="10" t="n">
        <v>1490</v>
      </c>
      <c r="C1063" s="8" t="n">
        <v>45870</v>
      </c>
      <c r="D1063" s="8" t="n">
        <v>45866</v>
      </c>
      <c r="E1063" s="10" t="n">
        <v>2000</v>
      </c>
      <c r="F1063" s="0" t="str">
        <f aca="false">INDEX(COA!$C$5:$C$19,MATCH(E1063,COA!$A$5:$A$19,0))</f>
        <v>Liability</v>
      </c>
      <c r="G1063" s="12" t="n">
        <v>0</v>
      </c>
      <c r="H1063" s="12" t="n">
        <v>397.53</v>
      </c>
      <c r="I1063" s="10" t="s">
        <v>102</v>
      </c>
      <c r="J1063" s="10" t="s">
        <v>1636</v>
      </c>
      <c r="K1063" s="10" t="s">
        <v>1716</v>
      </c>
    </row>
    <row r="1064" customFormat="false" ht="15" hidden="false" customHeight="false" outlineLevel="0" collapsed="false">
      <c r="A1064" s="10" t="s">
        <v>2731</v>
      </c>
      <c r="B1064" s="10" t="n">
        <v>1491</v>
      </c>
      <c r="C1064" s="8" t="n">
        <v>45870</v>
      </c>
      <c r="D1064" s="8" t="n">
        <v>45870</v>
      </c>
      <c r="E1064" s="10" t="n">
        <v>2000</v>
      </c>
      <c r="F1064" s="0" t="str">
        <f aca="false">INDEX(COA!$C$5:$C$19,MATCH(E1064,COA!$A$5:$A$19,0))</f>
        <v>Liability</v>
      </c>
      <c r="G1064" s="12" t="n">
        <v>36423.94</v>
      </c>
      <c r="H1064" s="12" t="n">
        <v>0</v>
      </c>
      <c r="I1064" s="10" t="s">
        <v>104</v>
      </c>
      <c r="J1064" s="10" t="s">
        <v>1636</v>
      </c>
      <c r="K1064" s="10" t="s">
        <v>1659</v>
      </c>
    </row>
    <row r="1065" customFormat="false" ht="15" hidden="false" customHeight="false" outlineLevel="0" collapsed="false">
      <c r="A1065" s="10" t="s">
        <v>2732</v>
      </c>
      <c r="B1065" s="10" t="n">
        <v>1491</v>
      </c>
      <c r="C1065" s="8" t="n">
        <v>45870</v>
      </c>
      <c r="D1065" s="8" t="n">
        <v>45870</v>
      </c>
      <c r="E1065" s="10" t="n">
        <v>1000</v>
      </c>
      <c r="F1065" s="0" t="str">
        <f aca="false">INDEX(COA!$C$5:$C$19,MATCH(E1065,COA!$A$5:$A$19,0))</f>
        <v>Asset</v>
      </c>
      <c r="G1065" s="12" t="n">
        <v>0</v>
      </c>
      <c r="H1065" s="12" t="n">
        <v>36423.94</v>
      </c>
      <c r="I1065" s="10" t="s">
        <v>104</v>
      </c>
      <c r="J1065" s="10" t="s">
        <v>1636</v>
      </c>
      <c r="K1065" s="10" t="s">
        <v>1659</v>
      </c>
    </row>
    <row r="1066" customFormat="false" ht="15" hidden="false" customHeight="false" outlineLevel="0" collapsed="false">
      <c r="A1066" s="10" t="s">
        <v>2733</v>
      </c>
      <c r="B1066" s="10" t="n">
        <v>1492</v>
      </c>
      <c r="C1066" s="8" t="n">
        <v>45870</v>
      </c>
      <c r="D1066" s="8" t="n">
        <v>45868</v>
      </c>
      <c r="E1066" s="10" t="n">
        <v>1200</v>
      </c>
      <c r="F1066" s="0" t="str">
        <f aca="false">INDEX(COA!$C$5:$C$19,MATCH(E1066,COA!$A$5:$A$19,0))</f>
        <v>Asset</v>
      </c>
      <c r="G1066" s="12" t="n">
        <v>11274.26</v>
      </c>
      <c r="H1066" s="12" t="n">
        <v>0</v>
      </c>
      <c r="I1066" s="10" t="s">
        <v>102</v>
      </c>
      <c r="J1066" s="10" t="s">
        <v>1636</v>
      </c>
      <c r="K1066" s="10" t="s">
        <v>1655</v>
      </c>
    </row>
    <row r="1067" customFormat="false" ht="15" hidden="false" customHeight="false" outlineLevel="0" collapsed="false">
      <c r="A1067" s="10" t="s">
        <v>2734</v>
      </c>
      <c r="B1067" s="10" t="n">
        <v>1492</v>
      </c>
      <c r="C1067" s="8" t="n">
        <v>45870</v>
      </c>
      <c r="D1067" s="8" t="n">
        <v>45868</v>
      </c>
      <c r="E1067" s="10" t="n">
        <v>2000</v>
      </c>
      <c r="F1067" s="0" t="str">
        <f aca="false">INDEX(COA!$C$5:$C$19,MATCH(E1067,COA!$A$5:$A$19,0))</f>
        <v>Liability</v>
      </c>
      <c r="G1067" s="12" t="n">
        <v>0</v>
      </c>
      <c r="H1067" s="12" t="n">
        <v>11274.26</v>
      </c>
      <c r="I1067" s="10" t="s">
        <v>102</v>
      </c>
      <c r="J1067" s="10" t="s">
        <v>1636</v>
      </c>
      <c r="K1067" s="10" t="s">
        <v>1655</v>
      </c>
    </row>
    <row r="1068" customFormat="false" ht="15" hidden="false" customHeight="false" outlineLevel="0" collapsed="false">
      <c r="A1068" s="10" t="s">
        <v>2735</v>
      </c>
      <c r="B1068" s="10" t="n">
        <v>1493</v>
      </c>
      <c r="C1068" s="8" t="n">
        <v>45871</v>
      </c>
      <c r="D1068" s="8" t="n">
        <v>45869</v>
      </c>
      <c r="E1068" s="10" t="n">
        <v>1200</v>
      </c>
      <c r="F1068" s="0" t="str">
        <f aca="false">INDEX(COA!$C$5:$C$19,MATCH(E1068,COA!$A$5:$A$19,0))</f>
        <v>Asset</v>
      </c>
      <c r="G1068" s="12" t="n">
        <v>28363.55</v>
      </c>
      <c r="H1068" s="12" t="n">
        <v>0</v>
      </c>
      <c r="I1068" s="10" t="s">
        <v>102</v>
      </c>
      <c r="J1068" s="10" t="s">
        <v>1636</v>
      </c>
      <c r="K1068" s="10" t="s">
        <v>1655</v>
      </c>
    </row>
    <row r="1069" customFormat="false" ht="15" hidden="false" customHeight="false" outlineLevel="0" collapsed="false">
      <c r="A1069" s="10" t="s">
        <v>2736</v>
      </c>
      <c r="B1069" s="10" t="n">
        <v>1493</v>
      </c>
      <c r="C1069" s="8" t="n">
        <v>45871</v>
      </c>
      <c r="D1069" s="8" t="n">
        <v>45869</v>
      </c>
      <c r="E1069" s="10" t="n">
        <v>2000</v>
      </c>
      <c r="F1069" s="0" t="str">
        <f aca="false">INDEX(COA!$C$5:$C$19,MATCH(E1069,COA!$A$5:$A$19,0))</f>
        <v>Liability</v>
      </c>
      <c r="G1069" s="12" t="n">
        <v>0</v>
      </c>
      <c r="H1069" s="12" t="n">
        <v>28363.55</v>
      </c>
      <c r="I1069" s="10" t="s">
        <v>102</v>
      </c>
      <c r="J1069" s="10" t="s">
        <v>1636</v>
      </c>
      <c r="K1069" s="10" t="s">
        <v>1655</v>
      </c>
    </row>
    <row r="1070" customFormat="false" ht="15" hidden="false" customHeight="false" outlineLevel="0" collapsed="false">
      <c r="A1070" s="10" t="s">
        <v>2737</v>
      </c>
      <c r="B1070" s="10" t="n">
        <v>1494</v>
      </c>
      <c r="C1070" s="8" t="n">
        <v>45873</v>
      </c>
      <c r="D1070" s="8" t="n">
        <v>45873</v>
      </c>
      <c r="E1070" s="10" t="n">
        <v>5000</v>
      </c>
      <c r="F1070" s="0" t="str">
        <f aca="false">INDEX(COA!$C$5:$C$19,MATCH(E1070,COA!$A$5:$A$19,0))</f>
        <v>Expense</v>
      </c>
      <c r="G1070" s="12" t="n">
        <v>9557.27</v>
      </c>
      <c r="H1070" s="12" t="n">
        <v>0</v>
      </c>
      <c r="I1070" s="10" t="s">
        <v>103</v>
      </c>
      <c r="J1070" s="10" t="s">
        <v>1636</v>
      </c>
      <c r="K1070" s="10" t="s">
        <v>1670</v>
      </c>
    </row>
    <row r="1071" customFormat="false" ht="15" hidden="false" customHeight="false" outlineLevel="0" collapsed="false">
      <c r="A1071" s="10" t="s">
        <v>2738</v>
      </c>
      <c r="B1071" s="10" t="n">
        <v>1494</v>
      </c>
      <c r="C1071" s="8" t="n">
        <v>45873</v>
      </c>
      <c r="D1071" s="8" t="n">
        <v>45873</v>
      </c>
      <c r="E1071" s="10" t="n">
        <v>1200</v>
      </c>
      <c r="F1071" s="0" t="str">
        <f aca="false">INDEX(COA!$C$5:$C$19,MATCH(E1071,COA!$A$5:$A$19,0))</f>
        <v>Asset</v>
      </c>
      <c r="G1071" s="12" t="n">
        <v>0</v>
      </c>
      <c r="H1071" s="12" t="n">
        <v>9557.27</v>
      </c>
      <c r="I1071" s="10" t="s">
        <v>103</v>
      </c>
      <c r="J1071" s="10" t="s">
        <v>1636</v>
      </c>
      <c r="K1071" s="10" t="s">
        <v>1670</v>
      </c>
    </row>
    <row r="1072" customFormat="false" ht="15" hidden="false" customHeight="false" outlineLevel="0" collapsed="false">
      <c r="A1072" s="10" t="s">
        <v>2739</v>
      </c>
      <c r="B1072" s="10" t="n">
        <v>1495</v>
      </c>
      <c r="C1072" s="8" t="n">
        <v>45874</v>
      </c>
      <c r="D1072" s="8" t="n">
        <v>45874</v>
      </c>
      <c r="E1072" s="10" t="n">
        <v>1000</v>
      </c>
      <c r="F1072" s="0" t="str">
        <f aca="false">INDEX(COA!$C$5:$C$19,MATCH(E1072,COA!$A$5:$A$19,0))</f>
        <v>Asset</v>
      </c>
      <c r="G1072" s="12" t="n">
        <v>37182.68</v>
      </c>
      <c r="H1072" s="12" t="n">
        <v>0</v>
      </c>
      <c r="I1072" s="10" t="s">
        <v>103</v>
      </c>
      <c r="J1072" s="10" t="s">
        <v>1636</v>
      </c>
      <c r="K1072" s="10" t="s">
        <v>1637</v>
      </c>
    </row>
    <row r="1073" customFormat="false" ht="15" hidden="false" customHeight="false" outlineLevel="0" collapsed="false">
      <c r="A1073" s="10" t="s">
        <v>2740</v>
      </c>
      <c r="B1073" s="10" t="n">
        <v>1495</v>
      </c>
      <c r="C1073" s="8" t="n">
        <v>45874</v>
      </c>
      <c r="D1073" s="8" t="n">
        <v>45874</v>
      </c>
      <c r="E1073" s="10" t="n">
        <v>1100</v>
      </c>
      <c r="F1073" s="0" t="str">
        <f aca="false">INDEX(COA!$C$5:$C$19,MATCH(E1073,COA!$A$5:$A$19,0))</f>
        <v>Asset</v>
      </c>
      <c r="G1073" s="12" t="n">
        <v>0</v>
      </c>
      <c r="H1073" s="12" t="n">
        <v>37182.68</v>
      </c>
      <c r="I1073" s="10" t="s">
        <v>103</v>
      </c>
      <c r="J1073" s="10" t="s">
        <v>1636</v>
      </c>
      <c r="K1073" s="10" t="s">
        <v>1637</v>
      </c>
    </row>
    <row r="1074" customFormat="false" ht="15" hidden="false" customHeight="false" outlineLevel="0" collapsed="false">
      <c r="A1074" s="10" t="s">
        <v>2741</v>
      </c>
      <c r="B1074" s="10" t="n">
        <v>1496</v>
      </c>
      <c r="C1074" s="8" t="n">
        <v>45874</v>
      </c>
      <c r="D1074" s="8" t="n">
        <v>45872</v>
      </c>
      <c r="E1074" s="10" t="n">
        <v>1100</v>
      </c>
      <c r="F1074" s="0" t="str">
        <f aca="false">INDEX(COA!$C$5:$C$19,MATCH(E1074,COA!$A$5:$A$19,0))</f>
        <v>Asset</v>
      </c>
      <c r="G1074" s="12" t="n">
        <v>1225.6</v>
      </c>
      <c r="H1074" s="12" t="n">
        <v>0</v>
      </c>
      <c r="I1074" s="10" t="s">
        <v>103</v>
      </c>
      <c r="J1074" s="10" t="s">
        <v>1636</v>
      </c>
      <c r="K1074" s="10" t="s">
        <v>1640</v>
      </c>
    </row>
    <row r="1075" customFormat="false" ht="15" hidden="false" customHeight="false" outlineLevel="0" collapsed="false">
      <c r="A1075" s="10" t="s">
        <v>2742</v>
      </c>
      <c r="B1075" s="10" t="n">
        <v>1496</v>
      </c>
      <c r="C1075" s="8" t="n">
        <v>45874</v>
      </c>
      <c r="D1075" s="8" t="n">
        <v>45872</v>
      </c>
      <c r="E1075" s="10" t="n">
        <v>4000</v>
      </c>
      <c r="F1075" s="0" t="str">
        <f aca="false">INDEX(COA!$C$5:$C$19,MATCH(E1075,COA!$A$5:$A$19,0))</f>
        <v>Revenue</v>
      </c>
      <c r="G1075" s="12" t="n">
        <v>0</v>
      </c>
      <c r="H1075" s="12" t="n">
        <v>1225.6</v>
      </c>
      <c r="I1075" s="10" t="s">
        <v>103</v>
      </c>
      <c r="J1075" s="10" t="s">
        <v>1636</v>
      </c>
      <c r="K1075" s="10" t="s">
        <v>1640</v>
      </c>
    </row>
    <row r="1076" customFormat="false" ht="15" hidden="false" customHeight="false" outlineLevel="0" collapsed="false">
      <c r="A1076" s="10" t="s">
        <v>2743</v>
      </c>
      <c r="B1076" s="10" t="n">
        <v>1497</v>
      </c>
      <c r="C1076" s="8" t="n">
        <v>45874</v>
      </c>
      <c r="D1076" s="8" t="n">
        <v>45871</v>
      </c>
      <c r="E1076" s="10" t="n">
        <v>2000</v>
      </c>
      <c r="F1076" s="0" t="str">
        <f aca="false">INDEX(COA!$C$5:$C$19,MATCH(E1076,COA!$A$5:$A$19,0))</f>
        <v>Liability</v>
      </c>
      <c r="G1076" s="12" t="n">
        <v>1840.03</v>
      </c>
      <c r="H1076" s="12" t="n">
        <v>0</v>
      </c>
      <c r="I1076" s="10" t="s">
        <v>104</v>
      </c>
      <c r="J1076" s="10" t="s">
        <v>1636</v>
      </c>
      <c r="K1076" s="10" t="s">
        <v>1659</v>
      </c>
    </row>
    <row r="1077" customFormat="false" ht="15" hidden="false" customHeight="false" outlineLevel="0" collapsed="false">
      <c r="A1077" s="10" t="s">
        <v>2744</v>
      </c>
      <c r="B1077" s="10" t="n">
        <v>1497</v>
      </c>
      <c r="C1077" s="8" t="n">
        <v>45874</v>
      </c>
      <c r="D1077" s="8" t="n">
        <v>45871</v>
      </c>
      <c r="E1077" s="10" t="n">
        <v>1000</v>
      </c>
      <c r="F1077" s="0" t="str">
        <f aca="false">INDEX(COA!$C$5:$C$19,MATCH(E1077,COA!$A$5:$A$19,0))</f>
        <v>Asset</v>
      </c>
      <c r="G1077" s="12" t="n">
        <v>0</v>
      </c>
      <c r="H1077" s="12" t="n">
        <v>1840.03</v>
      </c>
      <c r="I1077" s="10" t="s">
        <v>104</v>
      </c>
      <c r="J1077" s="10" t="s">
        <v>1636</v>
      </c>
      <c r="K1077" s="10" t="s">
        <v>1659</v>
      </c>
    </row>
    <row r="1078" customFormat="false" ht="15" hidden="false" customHeight="false" outlineLevel="0" collapsed="false">
      <c r="A1078" s="10" t="s">
        <v>2745</v>
      </c>
      <c r="B1078" s="10" t="n">
        <v>1498</v>
      </c>
      <c r="C1078" s="8" t="n">
        <v>45874</v>
      </c>
      <c r="D1078" s="8" t="n">
        <v>45874</v>
      </c>
      <c r="E1078" s="10" t="n">
        <v>1100</v>
      </c>
      <c r="F1078" s="0" t="str">
        <f aca="false">INDEX(COA!$C$5:$C$19,MATCH(E1078,COA!$A$5:$A$19,0))</f>
        <v>Asset</v>
      </c>
      <c r="G1078" s="12" t="n">
        <v>559.99</v>
      </c>
      <c r="H1078" s="12" t="n">
        <v>0</v>
      </c>
      <c r="I1078" s="10" t="s">
        <v>103</v>
      </c>
      <c r="J1078" s="10" t="s">
        <v>1636</v>
      </c>
      <c r="K1078" s="10" t="s">
        <v>1640</v>
      </c>
    </row>
    <row r="1079" customFormat="false" ht="15" hidden="false" customHeight="false" outlineLevel="0" collapsed="false">
      <c r="A1079" s="10" t="s">
        <v>2746</v>
      </c>
      <c r="B1079" s="10" t="n">
        <v>1498</v>
      </c>
      <c r="C1079" s="8" t="n">
        <v>45874</v>
      </c>
      <c r="D1079" s="8" t="n">
        <v>45874</v>
      </c>
      <c r="E1079" s="10" t="n">
        <v>4000</v>
      </c>
      <c r="F1079" s="0" t="str">
        <f aca="false">INDEX(COA!$C$5:$C$19,MATCH(E1079,COA!$A$5:$A$19,0))</f>
        <v>Revenue</v>
      </c>
      <c r="G1079" s="12" t="n">
        <v>0</v>
      </c>
      <c r="H1079" s="12" t="n">
        <v>559.99</v>
      </c>
      <c r="I1079" s="10" t="s">
        <v>103</v>
      </c>
      <c r="J1079" s="10" t="s">
        <v>1636</v>
      </c>
      <c r="K1079" s="10" t="s">
        <v>1640</v>
      </c>
    </row>
    <row r="1080" customFormat="false" ht="15" hidden="false" customHeight="false" outlineLevel="0" collapsed="false">
      <c r="A1080" s="10" t="s">
        <v>2747</v>
      </c>
      <c r="B1080" s="10" t="n">
        <v>1499</v>
      </c>
      <c r="C1080" s="8" t="n">
        <v>45874</v>
      </c>
      <c r="D1080" s="8" t="n">
        <v>45874</v>
      </c>
      <c r="E1080" s="10" t="n">
        <v>1200</v>
      </c>
      <c r="F1080" s="0" t="str">
        <f aca="false">INDEX(COA!$C$5:$C$19,MATCH(E1080,COA!$A$5:$A$19,0))</f>
        <v>Asset</v>
      </c>
      <c r="G1080" s="12" t="n">
        <v>7194.06</v>
      </c>
      <c r="H1080" s="12" t="n">
        <v>0</v>
      </c>
      <c r="I1080" s="10" t="s">
        <v>102</v>
      </c>
      <c r="J1080" s="10" t="s">
        <v>1636</v>
      </c>
      <c r="K1080" s="10" t="s">
        <v>1655</v>
      </c>
    </row>
    <row r="1081" customFormat="false" ht="15" hidden="false" customHeight="false" outlineLevel="0" collapsed="false">
      <c r="A1081" s="10" t="s">
        <v>2748</v>
      </c>
      <c r="B1081" s="10" t="n">
        <v>1499</v>
      </c>
      <c r="C1081" s="8" t="n">
        <v>45874</v>
      </c>
      <c r="D1081" s="8" t="n">
        <v>45874</v>
      </c>
      <c r="E1081" s="10" t="n">
        <v>2000</v>
      </c>
      <c r="F1081" s="0" t="str">
        <f aca="false">INDEX(COA!$C$5:$C$19,MATCH(E1081,COA!$A$5:$A$19,0))</f>
        <v>Liability</v>
      </c>
      <c r="G1081" s="12" t="n">
        <v>0</v>
      </c>
      <c r="H1081" s="12" t="n">
        <v>7194.06</v>
      </c>
      <c r="I1081" s="10" t="s">
        <v>102</v>
      </c>
      <c r="J1081" s="10" t="s">
        <v>1636</v>
      </c>
      <c r="K1081" s="10" t="s">
        <v>1655</v>
      </c>
    </row>
    <row r="1082" customFormat="false" ht="15" hidden="false" customHeight="false" outlineLevel="0" collapsed="false">
      <c r="A1082" s="10" t="s">
        <v>2749</v>
      </c>
      <c r="B1082" s="10" t="n">
        <v>1500</v>
      </c>
      <c r="C1082" s="8" t="n">
        <v>45875</v>
      </c>
      <c r="D1082" s="8" t="n">
        <v>45874</v>
      </c>
      <c r="E1082" s="10" t="n">
        <v>1100</v>
      </c>
      <c r="F1082" s="0" t="str">
        <f aca="false">INDEX(COA!$C$5:$C$19,MATCH(E1082,COA!$A$5:$A$19,0))</f>
        <v>Asset</v>
      </c>
      <c r="G1082" s="12" t="n">
        <v>2079.44</v>
      </c>
      <c r="H1082" s="12" t="n">
        <v>0</v>
      </c>
      <c r="I1082" s="10" t="s">
        <v>103</v>
      </c>
      <c r="J1082" s="10" t="s">
        <v>1636</v>
      </c>
      <c r="K1082" s="10" t="s">
        <v>1640</v>
      </c>
    </row>
    <row r="1083" customFormat="false" ht="15" hidden="false" customHeight="false" outlineLevel="0" collapsed="false">
      <c r="A1083" s="10" t="s">
        <v>2750</v>
      </c>
      <c r="B1083" s="10" t="n">
        <v>1500</v>
      </c>
      <c r="C1083" s="8" t="n">
        <v>45875</v>
      </c>
      <c r="D1083" s="8" t="n">
        <v>45874</v>
      </c>
      <c r="E1083" s="10" t="n">
        <v>4000</v>
      </c>
      <c r="F1083" s="0" t="str">
        <f aca="false">INDEX(COA!$C$5:$C$19,MATCH(E1083,COA!$A$5:$A$19,0))</f>
        <v>Revenue</v>
      </c>
      <c r="G1083" s="12" t="n">
        <v>0</v>
      </c>
      <c r="H1083" s="12" t="n">
        <v>2079.44</v>
      </c>
      <c r="I1083" s="10" t="s">
        <v>103</v>
      </c>
      <c r="J1083" s="10" t="s">
        <v>1636</v>
      </c>
      <c r="K1083" s="10" t="s">
        <v>1640</v>
      </c>
    </row>
    <row r="1084" customFormat="false" ht="15" hidden="false" customHeight="false" outlineLevel="0" collapsed="false">
      <c r="A1084" s="10" t="s">
        <v>2751</v>
      </c>
      <c r="B1084" s="10" t="n">
        <v>1501</v>
      </c>
      <c r="C1084" s="8" t="n">
        <v>45875</v>
      </c>
      <c r="D1084" s="8" t="n">
        <v>45875</v>
      </c>
      <c r="E1084" s="10" t="n">
        <v>1100</v>
      </c>
      <c r="F1084" s="0" t="str">
        <f aca="false">INDEX(COA!$C$5:$C$19,MATCH(E1084,COA!$A$5:$A$19,0))</f>
        <v>Asset</v>
      </c>
      <c r="G1084" s="12" t="n">
        <v>341.11</v>
      </c>
      <c r="H1084" s="12" t="n">
        <v>0</v>
      </c>
      <c r="I1084" s="10" t="s">
        <v>103</v>
      </c>
      <c r="J1084" s="10" t="s">
        <v>1636</v>
      </c>
      <c r="K1084" s="10" t="s">
        <v>1640</v>
      </c>
    </row>
    <row r="1085" customFormat="false" ht="15" hidden="false" customHeight="false" outlineLevel="0" collapsed="false">
      <c r="A1085" s="10" t="s">
        <v>2752</v>
      </c>
      <c r="B1085" s="10" t="n">
        <v>1501</v>
      </c>
      <c r="C1085" s="8" t="n">
        <v>45875</v>
      </c>
      <c r="D1085" s="8" t="n">
        <v>45875</v>
      </c>
      <c r="E1085" s="10" t="n">
        <v>4000</v>
      </c>
      <c r="F1085" s="0" t="str">
        <f aca="false">INDEX(COA!$C$5:$C$19,MATCH(E1085,COA!$A$5:$A$19,0))</f>
        <v>Revenue</v>
      </c>
      <c r="G1085" s="12" t="n">
        <v>0</v>
      </c>
      <c r="H1085" s="12" t="n">
        <v>341.11</v>
      </c>
      <c r="I1085" s="10" t="s">
        <v>103</v>
      </c>
      <c r="J1085" s="10" t="s">
        <v>1636</v>
      </c>
      <c r="K1085" s="10" t="s">
        <v>1640</v>
      </c>
    </row>
    <row r="1086" customFormat="false" ht="15" hidden="false" customHeight="false" outlineLevel="0" collapsed="false">
      <c r="A1086" s="10" t="s">
        <v>2753</v>
      </c>
      <c r="B1086" s="10" t="n">
        <v>1502</v>
      </c>
      <c r="C1086" s="8" t="n">
        <v>45876</v>
      </c>
      <c r="D1086" s="8" t="n">
        <v>45874</v>
      </c>
      <c r="E1086" s="10" t="n">
        <v>1200</v>
      </c>
      <c r="F1086" s="0" t="str">
        <f aca="false">INDEX(COA!$C$5:$C$19,MATCH(E1086,COA!$A$5:$A$19,0))</f>
        <v>Asset</v>
      </c>
      <c r="G1086" s="12" t="n">
        <v>608.14</v>
      </c>
      <c r="H1086" s="12" t="n">
        <v>0</v>
      </c>
      <c r="I1086" s="10" t="s">
        <v>102</v>
      </c>
      <c r="J1086" s="10" t="s">
        <v>1636</v>
      </c>
      <c r="K1086" s="10" t="s">
        <v>1655</v>
      </c>
    </row>
    <row r="1087" customFormat="false" ht="15" hidden="false" customHeight="false" outlineLevel="0" collapsed="false">
      <c r="A1087" s="10" t="s">
        <v>2754</v>
      </c>
      <c r="B1087" s="10" t="n">
        <v>1502</v>
      </c>
      <c r="C1087" s="8" t="n">
        <v>45876</v>
      </c>
      <c r="D1087" s="8" t="n">
        <v>45874</v>
      </c>
      <c r="E1087" s="10" t="n">
        <v>2000</v>
      </c>
      <c r="F1087" s="0" t="str">
        <f aca="false">INDEX(COA!$C$5:$C$19,MATCH(E1087,COA!$A$5:$A$19,0))</f>
        <v>Liability</v>
      </c>
      <c r="G1087" s="12" t="n">
        <v>0</v>
      </c>
      <c r="H1087" s="12" t="n">
        <v>608.14</v>
      </c>
      <c r="I1087" s="10" t="s">
        <v>102</v>
      </c>
      <c r="J1087" s="10" t="s">
        <v>1636</v>
      </c>
      <c r="K1087" s="10" t="s">
        <v>1655</v>
      </c>
    </row>
    <row r="1088" customFormat="false" ht="15" hidden="false" customHeight="false" outlineLevel="0" collapsed="false">
      <c r="A1088" s="10" t="s">
        <v>2755</v>
      </c>
      <c r="B1088" s="10" t="n">
        <v>1503</v>
      </c>
      <c r="C1088" s="8" t="n">
        <v>45877</v>
      </c>
      <c r="D1088" s="8" t="n">
        <v>45876</v>
      </c>
      <c r="E1088" s="10" t="n">
        <v>1100</v>
      </c>
      <c r="F1088" s="0" t="str">
        <f aca="false">INDEX(COA!$C$5:$C$19,MATCH(E1088,COA!$A$5:$A$19,0))</f>
        <v>Asset</v>
      </c>
      <c r="G1088" s="12" t="n">
        <v>25634.63</v>
      </c>
      <c r="H1088" s="12" t="n">
        <v>0</v>
      </c>
      <c r="I1088" s="10" t="s">
        <v>103</v>
      </c>
      <c r="J1088" s="10" t="s">
        <v>1636</v>
      </c>
      <c r="K1088" s="10" t="s">
        <v>1640</v>
      </c>
    </row>
    <row r="1089" customFormat="false" ht="15" hidden="false" customHeight="false" outlineLevel="0" collapsed="false">
      <c r="A1089" s="10" t="s">
        <v>2756</v>
      </c>
      <c r="B1089" s="10" t="n">
        <v>1503</v>
      </c>
      <c r="C1089" s="8" t="n">
        <v>45877</v>
      </c>
      <c r="D1089" s="8" t="n">
        <v>45876</v>
      </c>
      <c r="E1089" s="10" t="n">
        <v>4000</v>
      </c>
      <c r="F1089" s="0" t="str">
        <f aca="false">INDEX(COA!$C$5:$C$19,MATCH(E1089,COA!$A$5:$A$19,0))</f>
        <v>Revenue</v>
      </c>
      <c r="G1089" s="12" t="n">
        <v>0</v>
      </c>
      <c r="H1089" s="12" t="n">
        <v>25634.63</v>
      </c>
      <c r="I1089" s="10" t="s">
        <v>103</v>
      </c>
      <c r="J1089" s="10" t="s">
        <v>1636</v>
      </c>
      <c r="K1089" s="10" t="s">
        <v>1640</v>
      </c>
    </row>
    <row r="1090" customFormat="false" ht="15" hidden="false" customHeight="false" outlineLevel="0" collapsed="false">
      <c r="A1090" s="10" t="s">
        <v>2757</v>
      </c>
      <c r="B1090" s="10" t="n">
        <v>1504</v>
      </c>
      <c r="C1090" s="8" t="n">
        <v>45877</v>
      </c>
      <c r="D1090" s="8" t="n">
        <v>45875</v>
      </c>
      <c r="E1090" s="10" t="n">
        <v>2000</v>
      </c>
      <c r="F1090" s="0" t="str">
        <f aca="false">INDEX(COA!$C$5:$C$19,MATCH(E1090,COA!$A$5:$A$19,0))</f>
        <v>Liability</v>
      </c>
      <c r="G1090" s="12" t="n">
        <v>703.02</v>
      </c>
      <c r="H1090" s="12" t="n">
        <v>0</v>
      </c>
      <c r="I1090" s="10" t="s">
        <v>104</v>
      </c>
      <c r="J1090" s="10" t="s">
        <v>1636</v>
      </c>
      <c r="K1090" s="10" t="s">
        <v>1659</v>
      </c>
    </row>
    <row r="1091" customFormat="false" ht="15" hidden="false" customHeight="false" outlineLevel="0" collapsed="false">
      <c r="A1091" s="10" t="s">
        <v>2758</v>
      </c>
      <c r="B1091" s="10" t="n">
        <v>1504</v>
      </c>
      <c r="C1091" s="8" t="n">
        <v>45877</v>
      </c>
      <c r="D1091" s="8" t="n">
        <v>45875</v>
      </c>
      <c r="E1091" s="10" t="n">
        <v>1000</v>
      </c>
      <c r="F1091" s="0" t="str">
        <f aca="false">INDEX(COA!$C$5:$C$19,MATCH(E1091,COA!$A$5:$A$19,0))</f>
        <v>Asset</v>
      </c>
      <c r="G1091" s="12" t="n">
        <v>0</v>
      </c>
      <c r="H1091" s="12" t="n">
        <v>703.02</v>
      </c>
      <c r="I1091" s="10" t="s">
        <v>104</v>
      </c>
      <c r="J1091" s="10" t="s">
        <v>1636</v>
      </c>
      <c r="K1091" s="10" t="s">
        <v>1659</v>
      </c>
    </row>
    <row r="1092" customFormat="false" ht="15" hidden="false" customHeight="false" outlineLevel="0" collapsed="false">
      <c r="A1092" s="10" t="s">
        <v>2759</v>
      </c>
      <c r="B1092" s="10" t="n">
        <v>1505</v>
      </c>
      <c r="C1092" s="8" t="n">
        <v>45880</v>
      </c>
      <c r="D1092" s="8" t="n">
        <v>45877</v>
      </c>
      <c r="E1092" s="10" t="n">
        <v>1100</v>
      </c>
      <c r="F1092" s="0" t="str">
        <f aca="false">INDEX(COA!$C$5:$C$19,MATCH(E1092,COA!$A$5:$A$19,0))</f>
        <v>Asset</v>
      </c>
      <c r="G1092" s="12" t="n">
        <v>250.72</v>
      </c>
      <c r="H1092" s="12" t="n">
        <v>0</v>
      </c>
      <c r="I1092" s="10" t="s">
        <v>103</v>
      </c>
      <c r="J1092" s="10" t="s">
        <v>1636</v>
      </c>
      <c r="K1092" s="10" t="s">
        <v>1640</v>
      </c>
    </row>
    <row r="1093" customFormat="false" ht="15" hidden="false" customHeight="false" outlineLevel="0" collapsed="false">
      <c r="A1093" s="10" t="s">
        <v>2760</v>
      </c>
      <c r="B1093" s="10" t="n">
        <v>1505</v>
      </c>
      <c r="C1093" s="8" t="n">
        <v>45880</v>
      </c>
      <c r="D1093" s="8" t="n">
        <v>45877</v>
      </c>
      <c r="E1093" s="10" t="n">
        <v>4000</v>
      </c>
      <c r="F1093" s="0" t="str">
        <f aca="false">INDEX(COA!$C$5:$C$19,MATCH(E1093,COA!$A$5:$A$19,0))</f>
        <v>Revenue</v>
      </c>
      <c r="G1093" s="12" t="n">
        <v>0</v>
      </c>
      <c r="H1093" s="12" t="n">
        <v>250.72</v>
      </c>
      <c r="I1093" s="10" t="s">
        <v>103</v>
      </c>
      <c r="J1093" s="10" t="s">
        <v>1636</v>
      </c>
      <c r="K1093" s="10" t="s">
        <v>1640</v>
      </c>
    </row>
    <row r="1094" customFormat="false" ht="15" hidden="false" customHeight="false" outlineLevel="0" collapsed="false">
      <c r="A1094" s="10" t="s">
        <v>2761</v>
      </c>
      <c r="B1094" s="10" t="n">
        <v>1506</v>
      </c>
      <c r="C1094" s="8" t="n">
        <v>45880</v>
      </c>
      <c r="D1094" s="8" t="n">
        <v>45878</v>
      </c>
      <c r="E1094" s="10" t="n">
        <v>6200</v>
      </c>
      <c r="F1094" s="0" t="str">
        <f aca="false">INDEX(COA!$C$5:$C$19,MATCH(E1094,COA!$A$5:$A$19,0))</f>
        <v>Expense</v>
      </c>
      <c r="G1094" s="12" t="n">
        <v>273.42</v>
      </c>
      <c r="H1094" s="12" t="n">
        <v>0</v>
      </c>
      <c r="I1094" s="10" t="s">
        <v>102</v>
      </c>
      <c r="J1094" s="10" t="s">
        <v>1636</v>
      </c>
      <c r="K1094" s="10" t="s">
        <v>1689</v>
      </c>
    </row>
    <row r="1095" customFormat="false" ht="15" hidden="false" customHeight="false" outlineLevel="0" collapsed="false">
      <c r="A1095" s="10" t="s">
        <v>2762</v>
      </c>
      <c r="B1095" s="10" t="n">
        <v>1506</v>
      </c>
      <c r="C1095" s="8" t="n">
        <v>45880</v>
      </c>
      <c r="D1095" s="8" t="n">
        <v>45878</v>
      </c>
      <c r="E1095" s="10" t="n">
        <v>2000</v>
      </c>
      <c r="F1095" s="0" t="str">
        <f aca="false">INDEX(COA!$C$5:$C$19,MATCH(E1095,COA!$A$5:$A$19,0))</f>
        <v>Liability</v>
      </c>
      <c r="G1095" s="12" t="n">
        <v>0</v>
      </c>
      <c r="H1095" s="12" t="n">
        <v>273.42</v>
      </c>
      <c r="I1095" s="10" t="s">
        <v>102</v>
      </c>
      <c r="J1095" s="10" t="s">
        <v>1636</v>
      </c>
      <c r="K1095" s="10" t="s">
        <v>1689</v>
      </c>
    </row>
    <row r="1096" customFormat="false" ht="15" hidden="false" customHeight="false" outlineLevel="0" collapsed="false">
      <c r="A1096" s="10" t="s">
        <v>2763</v>
      </c>
      <c r="B1096" s="10" t="n">
        <v>1507</v>
      </c>
      <c r="C1096" s="8" t="n">
        <v>45881</v>
      </c>
      <c r="D1096" s="8" t="n">
        <v>45877</v>
      </c>
      <c r="E1096" s="10" t="n">
        <v>1200</v>
      </c>
      <c r="F1096" s="0" t="str">
        <f aca="false">INDEX(COA!$C$5:$C$19,MATCH(E1096,COA!$A$5:$A$19,0))</f>
        <v>Asset</v>
      </c>
      <c r="G1096" s="12" t="n">
        <v>451.77</v>
      </c>
      <c r="H1096" s="12" t="n">
        <v>0</v>
      </c>
      <c r="I1096" s="10" t="s">
        <v>102</v>
      </c>
      <c r="J1096" s="10" t="s">
        <v>1636</v>
      </c>
      <c r="K1096" s="10" t="s">
        <v>1655</v>
      </c>
    </row>
    <row r="1097" customFormat="false" ht="15" hidden="false" customHeight="false" outlineLevel="0" collapsed="false">
      <c r="A1097" s="10" t="s">
        <v>2764</v>
      </c>
      <c r="B1097" s="10" t="n">
        <v>1507</v>
      </c>
      <c r="C1097" s="8" t="n">
        <v>45881</v>
      </c>
      <c r="D1097" s="8" t="n">
        <v>45877</v>
      </c>
      <c r="E1097" s="10" t="n">
        <v>1200</v>
      </c>
      <c r="F1097" s="0" t="str">
        <f aca="false">INDEX(COA!$C$5:$C$19,MATCH(E1097,COA!$A$5:$A$19,0))</f>
        <v>Asset</v>
      </c>
      <c r="G1097" s="12" t="n">
        <v>193.61</v>
      </c>
      <c r="H1097" s="12" t="n">
        <v>0</v>
      </c>
      <c r="I1097" s="10" t="s">
        <v>102</v>
      </c>
      <c r="J1097" s="10" t="s">
        <v>1636</v>
      </c>
      <c r="K1097" s="10" t="s">
        <v>1655</v>
      </c>
    </row>
    <row r="1098" customFormat="false" ht="15" hidden="false" customHeight="false" outlineLevel="0" collapsed="false">
      <c r="A1098" s="10" t="s">
        <v>2765</v>
      </c>
      <c r="B1098" s="10" t="n">
        <v>1507</v>
      </c>
      <c r="C1098" s="8" t="n">
        <v>45881</v>
      </c>
      <c r="D1098" s="8" t="n">
        <v>45877</v>
      </c>
      <c r="E1098" s="10" t="n">
        <v>2000</v>
      </c>
      <c r="F1098" s="0" t="str">
        <f aca="false">INDEX(COA!$C$5:$C$19,MATCH(E1098,COA!$A$5:$A$19,0))</f>
        <v>Liability</v>
      </c>
      <c r="G1098" s="12" t="n">
        <v>0</v>
      </c>
      <c r="H1098" s="12" t="n">
        <v>645.38</v>
      </c>
      <c r="I1098" s="10" t="s">
        <v>102</v>
      </c>
      <c r="J1098" s="10" t="s">
        <v>1636</v>
      </c>
      <c r="K1098" s="10" t="s">
        <v>1655</v>
      </c>
    </row>
    <row r="1099" customFormat="false" ht="15" hidden="false" customHeight="false" outlineLevel="0" collapsed="false">
      <c r="A1099" s="10" t="s">
        <v>2766</v>
      </c>
      <c r="B1099" s="10" t="n">
        <v>1508</v>
      </c>
      <c r="C1099" s="8" t="n">
        <v>45881</v>
      </c>
      <c r="D1099" s="8" t="n">
        <v>45879</v>
      </c>
      <c r="E1099" s="10" t="n">
        <v>1100</v>
      </c>
      <c r="F1099" s="0" t="str">
        <f aca="false">INDEX(COA!$C$5:$C$19,MATCH(E1099,COA!$A$5:$A$19,0))</f>
        <v>Asset</v>
      </c>
      <c r="G1099" s="12" t="n">
        <v>2209.56</v>
      </c>
      <c r="H1099" s="12" t="n">
        <v>0</v>
      </c>
      <c r="I1099" s="10" t="s">
        <v>103</v>
      </c>
      <c r="J1099" s="10" t="s">
        <v>1636</v>
      </c>
    </row>
    <row r="1100" customFormat="false" ht="15" hidden="false" customHeight="false" outlineLevel="0" collapsed="false">
      <c r="A1100" s="10" t="s">
        <v>2767</v>
      </c>
      <c r="B1100" s="10" t="n">
        <v>1508</v>
      </c>
      <c r="C1100" s="8" t="n">
        <v>45881</v>
      </c>
      <c r="D1100" s="8" t="n">
        <v>45879</v>
      </c>
      <c r="E1100" s="10" t="n">
        <v>4000</v>
      </c>
      <c r="F1100" s="0" t="str">
        <f aca="false">INDEX(COA!$C$5:$C$19,MATCH(E1100,COA!$A$5:$A$19,0))</f>
        <v>Revenue</v>
      </c>
      <c r="G1100" s="12" t="n">
        <v>0</v>
      </c>
      <c r="H1100" s="12" t="n">
        <v>2209.56</v>
      </c>
      <c r="I1100" s="10" t="s">
        <v>103</v>
      </c>
      <c r="J1100" s="10" t="s">
        <v>1636</v>
      </c>
    </row>
    <row r="1101" customFormat="false" ht="15" hidden="false" customHeight="false" outlineLevel="0" collapsed="false">
      <c r="A1101" s="10" t="s">
        <v>2768</v>
      </c>
      <c r="B1101" s="10" t="n">
        <v>1509</v>
      </c>
      <c r="C1101" s="8" t="n">
        <v>45881</v>
      </c>
      <c r="D1101" s="8" t="n">
        <v>45879</v>
      </c>
      <c r="E1101" s="10" t="n">
        <v>1200</v>
      </c>
      <c r="F1101" s="0" t="str">
        <f aca="false">INDEX(COA!$C$5:$C$19,MATCH(E1101,COA!$A$5:$A$19,0))</f>
        <v>Asset</v>
      </c>
      <c r="G1101" s="12" t="n">
        <v>147620.21</v>
      </c>
      <c r="H1101" s="12" t="n">
        <v>0</v>
      </c>
      <c r="I1101" s="10" t="s">
        <v>102</v>
      </c>
      <c r="J1101" s="10" t="s">
        <v>1636</v>
      </c>
      <c r="K1101" s="10" t="s">
        <v>1655</v>
      </c>
    </row>
    <row r="1102" customFormat="false" ht="15" hidden="false" customHeight="false" outlineLevel="0" collapsed="false">
      <c r="A1102" s="10" t="s">
        <v>2769</v>
      </c>
      <c r="B1102" s="10" t="n">
        <v>1509</v>
      </c>
      <c r="C1102" s="8" t="n">
        <v>45881</v>
      </c>
      <c r="D1102" s="8" t="n">
        <v>45879</v>
      </c>
      <c r="E1102" s="10" t="n">
        <v>2000</v>
      </c>
      <c r="F1102" s="0" t="str">
        <f aca="false">INDEX(COA!$C$5:$C$19,MATCH(E1102,COA!$A$5:$A$19,0))</f>
        <v>Liability</v>
      </c>
      <c r="G1102" s="12" t="n">
        <v>0</v>
      </c>
      <c r="H1102" s="12" t="n">
        <v>147620.21</v>
      </c>
      <c r="I1102" s="10" t="s">
        <v>102</v>
      </c>
      <c r="J1102" s="10" t="s">
        <v>1636</v>
      </c>
      <c r="K1102" s="10" t="s">
        <v>1655</v>
      </c>
    </row>
    <row r="1103" customFormat="false" ht="15" hidden="false" customHeight="false" outlineLevel="0" collapsed="false">
      <c r="A1103" s="10" t="s">
        <v>2770</v>
      </c>
      <c r="B1103" s="10" t="n">
        <v>1510</v>
      </c>
      <c r="C1103" s="8" t="n">
        <v>45882</v>
      </c>
      <c r="D1103" s="8" t="n">
        <v>45878</v>
      </c>
      <c r="E1103" s="10" t="n">
        <v>1100</v>
      </c>
      <c r="F1103" s="0" t="str">
        <f aca="false">INDEX(COA!$C$5:$C$19,MATCH(E1103,COA!$A$5:$A$19,0))</f>
        <v>Asset</v>
      </c>
      <c r="G1103" s="12" t="n">
        <v>85646.36</v>
      </c>
      <c r="H1103" s="12" t="n">
        <v>0</v>
      </c>
      <c r="I1103" s="10" t="s">
        <v>103</v>
      </c>
      <c r="J1103" s="10" t="s">
        <v>1636</v>
      </c>
      <c r="K1103" s="10" t="s">
        <v>1640</v>
      </c>
    </row>
    <row r="1104" customFormat="false" ht="15" hidden="false" customHeight="false" outlineLevel="0" collapsed="false">
      <c r="A1104" s="10" t="s">
        <v>2771</v>
      </c>
      <c r="B1104" s="10" t="n">
        <v>1510</v>
      </c>
      <c r="C1104" s="8" t="n">
        <v>45882</v>
      </c>
      <c r="D1104" s="8" t="n">
        <v>45878</v>
      </c>
      <c r="E1104" s="10" t="n">
        <v>4000</v>
      </c>
      <c r="F1104" s="0" t="str">
        <f aca="false">INDEX(COA!$C$5:$C$19,MATCH(E1104,COA!$A$5:$A$19,0))</f>
        <v>Revenue</v>
      </c>
      <c r="G1104" s="12" t="n">
        <v>0</v>
      </c>
      <c r="H1104" s="12" t="n">
        <v>85646.36</v>
      </c>
      <c r="I1104" s="10" t="s">
        <v>103</v>
      </c>
      <c r="J1104" s="10" t="s">
        <v>1636</v>
      </c>
      <c r="K1104" s="10" t="s">
        <v>1640</v>
      </c>
    </row>
    <row r="1105" customFormat="false" ht="15" hidden="false" customHeight="false" outlineLevel="0" collapsed="false">
      <c r="A1105" s="10" t="s">
        <v>2772</v>
      </c>
      <c r="B1105" s="10" t="n">
        <v>1511</v>
      </c>
      <c r="C1105" s="8" t="n">
        <v>45883</v>
      </c>
      <c r="D1105" s="8" t="n">
        <v>45879</v>
      </c>
      <c r="E1105" s="10" t="n">
        <v>1100</v>
      </c>
      <c r="F1105" s="0" t="str">
        <f aca="false">INDEX(COA!$C$5:$C$19,MATCH(E1105,COA!$A$5:$A$19,0))</f>
        <v>Asset</v>
      </c>
      <c r="G1105" s="12" t="n">
        <v>33590.29</v>
      </c>
      <c r="H1105" s="12" t="n">
        <v>0</v>
      </c>
      <c r="I1105" s="10" t="s">
        <v>103</v>
      </c>
      <c r="J1105" s="10" t="s">
        <v>1636</v>
      </c>
      <c r="K1105" s="10" t="s">
        <v>1640</v>
      </c>
    </row>
    <row r="1106" customFormat="false" ht="15" hidden="false" customHeight="false" outlineLevel="0" collapsed="false">
      <c r="A1106" s="10" t="s">
        <v>2773</v>
      </c>
      <c r="B1106" s="10" t="n">
        <v>1511</v>
      </c>
      <c r="C1106" s="8" t="n">
        <v>45883</v>
      </c>
      <c r="D1106" s="8" t="n">
        <v>45879</v>
      </c>
      <c r="E1106" s="10" t="n">
        <v>4000</v>
      </c>
      <c r="F1106" s="0" t="str">
        <f aca="false">INDEX(COA!$C$5:$C$19,MATCH(E1106,COA!$A$5:$A$19,0))</f>
        <v>Revenue</v>
      </c>
      <c r="G1106" s="12" t="n">
        <v>0</v>
      </c>
      <c r="H1106" s="12" t="n">
        <v>33590.29</v>
      </c>
      <c r="I1106" s="10" t="s">
        <v>103</v>
      </c>
      <c r="J1106" s="10" t="s">
        <v>1636</v>
      </c>
      <c r="K1106" s="10" t="s">
        <v>1640</v>
      </c>
    </row>
    <row r="1107" customFormat="false" ht="15" hidden="false" customHeight="false" outlineLevel="0" collapsed="false">
      <c r="A1107" s="10" t="s">
        <v>2774</v>
      </c>
      <c r="B1107" s="10" t="n">
        <v>1512</v>
      </c>
      <c r="C1107" s="8" t="n">
        <v>45883</v>
      </c>
      <c r="D1107" s="8" t="n">
        <v>45879</v>
      </c>
      <c r="E1107" s="10" t="n">
        <v>1100</v>
      </c>
      <c r="F1107" s="0" t="str">
        <f aca="false">INDEX(COA!$C$5:$C$19,MATCH(E1107,COA!$A$5:$A$19,0))</f>
        <v>Asset</v>
      </c>
      <c r="G1107" s="12" t="n">
        <v>1826.13</v>
      </c>
      <c r="H1107" s="12" t="n">
        <v>0</v>
      </c>
      <c r="I1107" s="10" t="s">
        <v>103</v>
      </c>
      <c r="J1107" s="10" t="s">
        <v>1636</v>
      </c>
      <c r="K1107" s="10" t="s">
        <v>1640</v>
      </c>
    </row>
    <row r="1108" customFormat="false" ht="15" hidden="false" customHeight="false" outlineLevel="0" collapsed="false">
      <c r="A1108" s="10" t="s">
        <v>2775</v>
      </c>
      <c r="B1108" s="10" t="n">
        <v>1512</v>
      </c>
      <c r="C1108" s="8" t="n">
        <v>45883</v>
      </c>
      <c r="D1108" s="8" t="n">
        <v>45879</v>
      </c>
      <c r="E1108" s="10" t="n">
        <v>4000</v>
      </c>
      <c r="F1108" s="0" t="str">
        <f aca="false">INDEX(COA!$C$5:$C$19,MATCH(E1108,COA!$A$5:$A$19,0))</f>
        <v>Revenue</v>
      </c>
      <c r="G1108" s="12" t="n">
        <v>0</v>
      </c>
      <c r="H1108" s="12" t="n">
        <v>1826.13</v>
      </c>
      <c r="I1108" s="10" t="s">
        <v>103</v>
      </c>
      <c r="J1108" s="10" t="s">
        <v>1636</v>
      </c>
      <c r="K1108" s="10" t="s">
        <v>1640</v>
      </c>
    </row>
    <row r="1109" customFormat="false" ht="15" hidden="false" customHeight="false" outlineLevel="0" collapsed="false">
      <c r="A1109" s="10" t="s">
        <v>2776</v>
      </c>
      <c r="B1109" s="10" t="n">
        <v>1513</v>
      </c>
      <c r="C1109" s="8" t="n">
        <v>45884</v>
      </c>
      <c r="D1109" s="8" t="n">
        <v>45884</v>
      </c>
      <c r="E1109" s="10" t="n">
        <v>2100</v>
      </c>
      <c r="F1109" s="0" t="str">
        <f aca="false">INDEX(COA!$C$5:$C$19,MATCH(E1109,COA!$A$5:$A$19,0))</f>
        <v>Liability</v>
      </c>
      <c r="G1109" s="12" t="n">
        <v>6251.57</v>
      </c>
      <c r="H1109" s="12" t="n">
        <v>0</v>
      </c>
      <c r="I1109" s="10" t="s">
        <v>97</v>
      </c>
      <c r="J1109" s="10" t="s">
        <v>1648</v>
      </c>
      <c r="K1109" s="10" t="s">
        <v>1677</v>
      </c>
    </row>
    <row r="1110" customFormat="false" ht="15" hidden="false" customHeight="false" outlineLevel="0" collapsed="false">
      <c r="A1110" s="10" t="s">
        <v>2777</v>
      </c>
      <c r="B1110" s="10" t="n">
        <v>1513</v>
      </c>
      <c r="C1110" s="8" t="n">
        <v>45884</v>
      </c>
      <c r="D1110" s="8" t="n">
        <v>45884</v>
      </c>
      <c r="E1110" s="10" t="n">
        <v>6900</v>
      </c>
      <c r="F1110" s="0" t="str">
        <f aca="false">INDEX(COA!$C$5:$C$19,MATCH(E1110,COA!$A$5:$A$19,0))</f>
        <v>Expense</v>
      </c>
      <c r="G1110" s="12" t="n">
        <v>0</v>
      </c>
      <c r="H1110" s="12" t="n">
        <v>6251.57</v>
      </c>
      <c r="I1110" s="10" t="s">
        <v>97</v>
      </c>
      <c r="J1110" s="10" t="s">
        <v>1648</v>
      </c>
      <c r="K1110" s="10" t="s">
        <v>1677</v>
      </c>
    </row>
    <row r="1111" customFormat="false" ht="15" hidden="false" customHeight="false" outlineLevel="0" collapsed="false">
      <c r="A1111" s="10" t="s">
        <v>2778</v>
      </c>
      <c r="B1111" s="10" t="n">
        <v>1514</v>
      </c>
      <c r="C1111" s="8" t="n">
        <v>45884</v>
      </c>
      <c r="D1111" s="8" t="n">
        <v>45881</v>
      </c>
      <c r="E1111" s="10" t="n">
        <v>2000</v>
      </c>
      <c r="F1111" s="0" t="str">
        <f aca="false">INDEX(COA!$C$5:$C$19,MATCH(E1111,COA!$A$5:$A$19,0))</f>
        <v>Liability</v>
      </c>
      <c r="G1111" s="12" t="n">
        <v>170.78</v>
      </c>
      <c r="H1111" s="12" t="n">
        <v>0</v>
      </c>
      <c r="I1111" s="10" t="s">
        <v>104</v>
      </c>
      <c r="J1111" s="10" t="s">
        <v>1636</v>
      </c>
      <c r="K1111" s="10" t="s">
        <v>1659</v>
      </c>
    </row>
    <row r="1112" customFormat="false" ht="15" hidden="false" customHeight="false" outlineLevel="0" collapsed="false">
      <c r="A1112" s="10" t="s">
        <v>2779</v>
      </c>
      <c r="B1112" s="10" t="n">
        <v>1514</v>
      </c>
      <c r="C1112" s="8" t="n">
        <v>45884</v>
      </c>
      <c r="D1112" s="8" t="n">
        <v>45881</v>
      </c>
      <c r="E1112" s="10" t="n">
        <v>2000</v>
      </c>
      <c r="F1112" s="0" t="str">
        <f aca="false">INDEX(COA!$C$5:$C$19,MATCH(E1112,COA!$A$5:$A$19,0))</f>
        <v>Liability</v>
      </c>
      <c r="G1112" s="12" t="n">
        <v>73.19</v>
      </c>
      <c r="H1112" s="12" t="n">
        <v>0</v>
      </c>
      <c r="I1112" s="10" t="s">
        <v>104</v>
      </c>
      <c r="J1112" s="10" t="s">
        <v>1636</v>
      </c>
      <c r="K1112" s="10" t="s">
        <v>1659</v>
      </c>
    </row>
    <row r="1113" customFormat="false" ht="15" hidden="false" customHeight="false" outlineLevel="0" collapsed="false">
      <c r="A1113" s="10" t="s">
        <v>2780</v>
      </c>
      <c r="B1113" s="10" t="n">
        <v>1514</v>
      </c>
      <c r="C1113" s="8" t="n">
        <v>45884</v>
      </c>
      <c r="D1113" s="8" t="n">
        <v>45881</v>
      </c>
      <c r="E1113" s="10" t="n">
        <v>1000</v>
      </c>
      <c r="F1113" s="0" t="str">
        <f aca="false">INDEX(COA!$C$5:$C$19,MATCH(E1113,COA!$A$5:$A$19,0))</f>
        <v>Asset</v>
      </c>
      <c r="G1113" s="12" t="n">
        <v>0</v>
      </c>
      <c r="H1113" s="12" t="n">
        <v>243.97</v>
      </c>
      <c r="I1113" s="10" t="s">
        <v>104</v>
      </c>
      <c r="J1113" s="10" t="s">
        <v>1636</v>
      </c>
      <c r="K1113" s="10" t="s">
        <v>1659</v>
      </c>
    </row>
    <row r="1114" customFormat="false" ht="15" hidden="false" customHeight="false" outlineLevel="0" collapsed="false">
      <c r="A1114" s="10" t="s">
        <v>2781</v>
      </c>
      <c r="B1114" s="10" t="n">
        <v>1515</v>
      </c>
      <c r="C1114" s="8" t="n">
        <v>45885</v>
      </c>
      <c r="D1114" s="8" t="n">
        <v>45882</v>
      </c>
      <c r="E1114" s="10" t="n">
        <v>2000</v>
      </c>
      <c r="F1114" s="0" t="str">
        <f aca="false">INDEX(COA!$C$5:$C$19,MATCH(E1114,COA!$A$5:$A$19,0))</f>
        <v>Liability</v>
      </c>
      <c r="G1114" s="12" t="n">
        <v>398.7</v>
      </c>
      <c r="H1114" s="12" t="n">
        <v>0</v>
      </c>
      <c r="I1114" s="10" t="s">
        <v>104</v>
      </c>
      <c r="J1114" s="10" t="s">
        <v>1636</v>
      </c>
      <c r="K1114" s="10" t="s">
        <v>1659</v>
      </c>
    </row>
    <row r="1115" customFormat="false" ht="15" hidden="false" customHeight="false" outlineLevel="0" collapsed="false">
      <c r="A1115" s="10" t="s">
        <v>2782</v>
      </c>
      <c r="B1115" s="10" t="n">
        <v>1515</v>
      </c>
      <c r="C1115" s="8" t="n">
        <v>45885</v>
      </c>
      <c r="D1115" s="8" t="n">
        <v>45882</v>
      </c>
      <c r="E1115" s="10" t="n">
        <v>1000</v>
      </c>
      <c r="F1115" s="0" t="str">
        <f aca="false">INDEX(COA!$C$5:$C$19,MATCH(E1115,COA!$A$5:$A$19,0))</f>
        <v>Asset</v>
      </c>
      <c r="G1115" s="12" t="n">
        <v>0</v>
      </c>
      <c r="H1115" s="12" t="n">
        <v>398.7</v>
      </c>
      <c r="I1115" s="10" t="s">
        <v>104</v>
      </c>
      <c r="J1115" s="10" t="s">
        <v>1636</v>
      </c>
      <c r="K1115" s="10" t="s">
        <v>1659</v>
      </c>
    </row>
    <row r="1116" customFormat="false" ht="15" hidden="false" customHeight="false" outlineLevel="0" collapsed="false">
      <c r="A1116" s="10" t="s">
        <v>2783</v>
      </c>
      <c r="B1116" s="10" t="n">
        <v>1516</v>
      </c>
      <c r="C1116" s="8" t="n">
        <v>45887</v>
      </c>
      <c r="D1116" s="8" t="n">
        <v>45884</v>
      </c>
      <c r="E1116" s="10" t="n">
        <v>2000</v>
      </c>
      <c r="F1116" s="0" t="str">
        <f aca="false">INDEX(COA!$C$5:$C$19,MATCH(E1116,COA!$A$5:$A$19,0))</f>
        <v>Liability</v>
      </c>
      <c r="G1116" s="12" t="n">
        <v>75091.67</v>
      </c>
      <c r="H1116" s="12" t="n">
        <v>0</v>
      </c>
      <c r="I1116" s="10" t="s">
        <v>104</v>
      </c>
      <c r="J1116" s="10" t="s">
        <v>1636</v>
      </c>
      <c r="K1116" s="10" t="s">
        <v>1659</v>
      </c>
    </row>
    <row r="1117" customFormat="false" ht="15" hidden="false" customHeight="false" outlineLevel="0" collapsed="false">
      <c r="A1117" s="10" t="s">
        <v>2784</v>
      </c>
      <c r="B1117" s="10" t="n">
        <v>1516</v>
      </c>
      <c r="C1117" s="8" t="n">
        <v>45887</v>
      </c>
      <c r="D1117" s="8" t="n">
        <v>45884</v>
      </c>
      <c r="E1117" s="10" t="n">
        <v>1000</v>
      </c>
      <c r="F1117" s="0" t="str">
        <f aca="false">INDEX(COA!$C$5:$C$19,MATCH(E1117,COA!$A$5:$A$19,0))</f>
        <v>Asset</v>
      </c>
      <c r="G1117" s="12" t="n">
        <v>0</v>
      </c>
      <c r="H1117" s="12" t="n">
        <v>75091.67</v>
      </c>
      <c r="I1117" s="10" t="s">
        <v>104</v>
      </c>
      <c r="J1117" s="10" t="s">
        <v>1636</v>
      </c>
      <c r="K1117" s="10" t="s">
        <v>1659</v>
      </c>
    </row>
    <row r="1118" customFormat="false" ht="15" hidden="false" customHeight="false" outlineLevel="0" collapsed="false">
      <c r="A1118" s="10" t="s">
        <v>2785</v>
      </c>
      <c r="B1118" s="10" t="n">
        <v>1517</v>
      </c>
      <c r="C1118" s="8" t="n">
        <v>45887</v>
      </c>
      <c r="D1118" s="8" t="n">
        <v>45884</v>
      </c>
      <c r="E1118" s="10" t="n">
        <v>2000</v>
      </c>
      <c r="F1118" s="0" t="str">
        <f aca="false">INDEX(COA!$C$5:$C$19,MATCH(E1118,COA!$A$5:$A$19,0))</f>
        <v>Liability</v>
      </c>
      <c r="G1118" s="12" t="n">
        <v>497.75</v>
      </c>
      <c r="H1118" s="12" t="n">
        <v>0</v>
      </c>
      <c r="I1118" s="10" t="s">
        <v>104</v>
      </c>
      <c r="J1118" s="10" t="s">
        <v>1636</v>
      </c>
      <c r="K1118" s="10" t="s">
        <v>1659</v>
      </c>
    </row>
    <row r="1119" customFormat="false" ht="15" hidden="false" customHeight="false" outlineLevel="0" collapsed="false">
      <c r="A1119" s="10" t="s">
        <v>2786</v>
      </c>
      <c r="B1119" s="10" t="n">
        <v>1517</v>
      </c>
      <c r="C1119" s="8" t="n">
        <v>45887</v>
      </c>
      <c r="D1119" s="8" t="n">
        <v>45884</v>
      </c>
      <c r="E1119" s="10" t="n">
        <v>2000</v>
      </c>
      <c r="F1119" s="0" t="str">
        <f aca="false">INDEX(COA!$C$5:$C$19,MATCH(E1119,COA!$A$5:$A$19,0))</f>
        <v>Liability</v>
      </c>
      <c r="G1119" s="12" t="n">
        <v>213.32</v>
      </c>
      <c r="H1119" s="12" t="n">
        <v>0</v>
      </c>
      <c r="I1119" s="10" t="s">
        <v>104</v>
      </c>
      <c r="J1119" s="10" t="s">
        <v>1636</v>
      </c>
      <c r="K1119" s="10" t="s">
        <v>1659</v>
      </c>
    </row>
    <row r="1120" customFormat="false" ht="15" hidden="false" customHeight="false" outlineLevel="0" collapsed="false">
      <c r="A1120" s="10" t="s">
        <v>2787</v>
      </c>
      <c r="B1120" s="10" t="n">
        <v>1517</v>
      </c>
      <c r="C1120" s="8" t="n">
        <v>45887</v>
      </c>
      <c r="D1120" s="8" t="n">
        <v>45884</v>
      </c>
      <c r="E1120" s="10" t="n">
        <v>1000</v>
      </c>
      <c r="F1120" s="0" t="str">
        <f aca="false">INDEX(COA!$C$5:$C$19,MATCH(E1120,COA!$A$5:$A$19,0))</f>
        <v>Asset</v>
      </c>
      <c r="G1120" s="12" t="n">
        <v>0</v>
      </c>
      <c r="H1120" s="12" t="n">
        <v>711.07</v>
      </c>
      <c r="I1120" s="10" t="s">
        <v>104</v>
      </c>
      <c r="J1120" s="10" t="s">
        <v>1636</v>
      </c>
      <c r="K1120" s="10" t="s">
        <v>1659</v>
      </c>
    </row>
    <row r="1121" customFormat="false" ht="15" hidden="false" customHeight="false" outlineLevel="0" collapsed="false">
      <c r="A1121" s="10" t="s">
        <v>2788</v>
      </c>
      <c r="B1121" s="10" t="n">
        <v>1518</v>
      </c>
      <c r="C1121" s="8" t="n">
        <v>45887</v>
      </c>
      <c r="D1121" s="8" t="n">
        <v>45887</v>
      </c>
      <c r="E1121" s="10" t="n">
        <v>1100</v>
      </c>
      <c r="F1121" s="0" t="str">
        <f aca="false">INDEX(COA!$C$5:$C$19,MATCH(E1121,COA!$A$5:$A$19,0))</f>
        <v>Asset</v>
      </c>
      <c r="G1121" s="12" t="n">
        <v>2145.32</v>
      </c>
      <c r="H1121" s="12" t="n">
        <v>0</v>
      </c>
      <c r="I1121" s="10" t="s">
        <v>103</v>
      </c>
      <c r="J1121" s="10" t="s">
        <v>1636</v>
      </c>
      <c r="K1121" s="10" t="s">
        <v>1640</v>
      </c>
    </row>
    <row r="1122" customFormat="false" ht="15" hidden="false" customHeight="false" outlineLevel="0" collapsed="false">
      <c r="A1122" s="10" t="s">
        <v>2789</v>
      </c>
      <c r="B1122" s="10" t="n">
        <v>1518</v>
      </c>
      <c r="C1122" s="8" t="n">
        <v>45887</v>
      </c>
      <c r="D1122" s="8" t="n">
        <v>45887</v>
      </c>
      <c r="E1122" s="10" t="n">
        <v>4000</v>
      </c>
      <c r="F1122" s="0" t="str">
        <f aca="false">INDEX(COA!$C$5:$C$19,MATCH(E1122,COA!$A$5:$A$19,0))</f>
        <v>Revenue</v>
      </c>
      <c r="G1122" s="12" t="n">
        <v>0</v>
      </c>
      <c r="H1122" s="12" t="n">
        <v>2145.32</v>
      </c>
      <c r="I1122" s="10" t="s">
        <v>103</v>
      </c>
      <c r="J1122" s="10" t="s">
        <v>1636</v>
      </c>
      <c r="K1122" s="10" t="s">
        <v>1640</v>
      </c>
    </row>
    <row r="1123" customFormat="false" ht="15" hidden="false" customHeight="false" outlineLevel="0" collapsed="false">
      <c r="A1123" s="10" t="s">
        <v>2790</v>
      </c>
      <c r="B1123" s="10" t="n">
        <v>1519</v>
      </c>
      <c r="C1123" s="8" t="n">
        <v>45887</v>
      </c>
      <c r="D1123" s="8" t="n">
        <v>45883</v>
      </c>
      <c r="E1123" s="10" t="n">
        <v>1000</v>
      </c>
      <c r="F1123" s="0" t="str">
        <f aca="false">INDEX(COA!$C$5:$C$19,MATCH(E1123,COA!$A$5:$A$19,0))</f>
        <v>Asset</v>
      </c>
      <c r="G1123" s="12" t="n">
        <v>8996.86</v>
      </c>
      <c r="H1123" s="12" t="n">
        <v>0</v>
      </c>
      <c r="I1123" s="10" t="s">
        <v>103</v>
      </c>
      <c r="J1123" s="10" t="s">
        <v>1636</v>
      </c>
      <c r="K1123" s="10" t="s">
        <v>1637</v>
      </c>
    </row>
    <row r="1124" customFormat="false" ht="15" hidden="false" customHeight="false" outlineLevel="0" collapsed="false">
      <c r="A1124" s="10" t="s">
        <v>2791</v>
      </c>
      <c r="B1124" s="10" t="n">
        <v>1519</v>
      </c>
      <c r="C1124" s="8" t="n">
        <v>45887</v>
      </c>
      <c r="D1124" s="8" t="n">
        <v>45883</v>
      </c>
      <c r="E1124" s="10" t="n">
        <v>1100</v>
      </c>
      <c r="F1124" s="0" t="str">
        <f aca="false">INDEX(COA!$C$5:$C$19,MATCH(E1124,COA!$A$5:$A$19,0))</f>
        <v>Asset</v>
      </c>
      <c r="G1124" s="12" t="n">
        <v>0</v>
      </c>
      <c r="H1124" s="12" t="n">
        <v>8996.86</v>
      </c>
      <c r="I1124" s="10" t="s">
        <v>103</v>
      </c>
      <c r="J1124" s="10" t="s">
        <v>1636</v>
      </c>
      <c r="K1124" s="10" t="s">
        <v>1637</v>
      </c>
    </row>
    <row r="1125" customFormat="false" ht="15" hidden="false" customHeight="false" outlineLevel="0" collapsed="false">
      <c r="A1125" s="10" t="s">
        <v>2792</v>
      </c>
      <c r="B1125" s="10" t="n">
        <v>1520</v>
      </c>
      <c r="C1125" s="8" t="n">
        <v>45888</v>
      </c>
      <c r="D1125" s="8" t="n">
        <v>45884</v>
      </c>
      <c r="E1125" s="10" t="n">
        <v>5000</v>
      </c>
      <c r="F1125" s="0" t="str">
        <f aca="false">INDEX(COA!$C$5:$C$19,MATCH(E1125,COA!$A$5:$A$19,0))</f>
        <v>Expense</v>
      </c>
      <c r="G1125" s="12" t="n">
        <v>57417.27</v>
      </c>
      <c r="H1125" s="12" t="n">
        <v>0</v>
      </c>
      <c r="I1125" s="10" t="s">
        <v>103</v>
      </c>
      <c r="J1125" s="10" t="s">
        <v>1636</v>
      </c>
      <c r="K1125" s="10" t="s">
        <v>1670</v>
      </c>
    </row>
    <row r="1126" customFormat="false" ht="15" hidden="false" customHeight="false" outlineLevel="0" collapsed="false">
      <c r="A1126" s="10" t="s">
        <v>2793</v>
      </c>
      <c r="B1126" s="10" t="n">
        <v>1520</v>
      </c>
      <c r="C1126" s="8" t="n">
        <v>45888</v>
      </c>
      <c r="D1126" s="8" t="n">
        <v>45884</v>
      </c>
      <c r="E1126" s="10" t="n">
        <v>5000</v>
      </c>
      <c r="F1126" s="0" t="str">
        <f aca="false">INDEX(COA!$C$5:$C$19,MATCH(E1126,COA!$A$5:$A$19,0))</f>
        <v>Expense</v>
      </c>
      <c r="G1126" s="12" t="n">
        <v>24607.4</v>
      </c>
      <c r="H1126" s="12" t="n">
        <v>0</v>
      </c>
      <c r="I1126" s="10" t="s">
        <v>103</v>
      </c>
      <c r="J1126" s="10" t="s">
        <v>1636</v>
      </c>
      <c r="K1126" s="10" t="s">
        <v>1670</v>
      </c>
    </row>
    <row r="1127" customFormat="false" ht="15" hidden="false" customHeight="false" outlineLevel="0" collapsed="false">
      <c r="A1127" s="10" t="s">
        <v>2794</v>
      </c>
      <c r="B1127" s="10" t="n">
        <v>1520</v>
      </c>
      <c r="C1127" s="8" t="n">
        <v>45888</v>
      </c>
      <c r="D1127" s="8" t="n">
        <v>45884</v>
      </c>
      <c r="E1127" s="10" t="n">
        <v>1200</v>
      </c>
      <c r="F1127" s="0" t="str">
        <f aca="false">INDEX(COA!$C$5:$C$19,MATCH(E1127,COA!$A$5:$A$19,0))</f>
        <v>Asset</v>
      </c>
      <c r="G1127" s="12" t="n">
        <v>0</v>
      </c>
      <c r="H1127" s="12" t="n">
        <v>82024.67</v>
      </c>
      <c r="I1127" s="10" t="s">
        <v>103</v>
      </c>
      <c r="J1127" s="10" t="s">
        <v>1636</v>
      </c>
      <c r="K1127" s="10" t="s">
        <v>1670</v>
      </c>
    </row>
    <row r="1128" customFormat="false" ht="15" hidden="false" customHeight="false" outlineLevel="0" collapsed="false">
      <c r="A1128" s="10" t="s">
        <v>2795</v>
      </c>
      <c r="B1128" s="10" t="n">
        <v>1521</v>
      </c>
      <c r="C1128" s="8" t="n">
        <v>45888</v>
      </c>
      <c r="D1128" s="8" t="n">
        <v>45886</v>
      </c>
      <c r="E1128" s="10" t="n">
        <v>5000</v>
      </c>
      <c r="F1128" s="0" t="str">
        <f aca="false">INDEX(COA!$C$5:$C$19,MATCH(E1128,COA!$A$5:$A$19,0))</f>
        <v>Expense</v>
      </c>
      <c r="G1128" s="12" t="n">
        <v>141110.17</v>
      </c>
      <c r="H1128" s="12" t="n">
        <v>0</v>
      </c>
      <c r="I1128" s="10" t="s">
        <v>103</v>
      </c>
      <c r="J1128" s="10" t="s">
        <v>1636</v>
      </c>
      <c r="K1128" s="10" t="s">
        <v>1670</v>
      </c>
    </row>
    <row r="1129" customFormat="false" ht="15" hidden="false" customHeight="false" outlineLevel="0" collapsed="false">
      <c r="A1129" s="10" t="s">
        <v>2796</v>
      </c>
      <c r="B1129" s="10" t="n">
        <v>1521</v>
      </c>
      <c r="C1129" s="8" t="n">
        <v>45888</v>
      </c>
      <c r="D1129" s="8" t="n">
        <v>45886</v>
      </c>
      <c r="E1129" s="10" t="n">
        <v>1200</v>
      </c>
      <c r="F1129" s="0" t="str">
        <f aca="false">INDEX(COA!$C$5:$C$19,MATCH(E1129,COA!$A$5:$A$19,0))</f>
        <v>Asset</v>
      </c>
      <c r="G1129" s="12" t="n">
        <v>0</v>
      </c>
      <c r="H1129" s="12" t="n">
        <v>141110.17</v>
      </c>
      <c r="I1129" s="10" t="s">
        <v>103</v>
      </c>
      <c r="J1129" s="10" t="s">
        <v>1636</v>
      </c>
      <c r="K1129" s="10" t="s">
        <v>1670</v>
      </c>
    </row>
    <row r="1130" customFormat="false" ht="15" hidden="false" customHeight="false" outlineLevel="0" collapsed="false">
      <c r="A1130" s="10" t="s">
        <v>2797</v>
      </c>
      <c r="B1130" s="10" t="n">
        <v>1522</v>
      </c>
      <c r="C1130" s="8" t="n">
        <v>45888</v>
      </c>
      <c r="D1130" s="8" t="n">
        <v>45887</v>
      </c>
      <c r="E1130" s="10" t="n">
        <v>6900</v>
      </c>
      <c r="F1130" s="0" t="str">
        <f aca="false">INDEX(COA!$C$5:$C$19,MATCH(E1130,COA!$A$5:$A$19,0))</f>
        <v>Expense</v>
      </c>
      <c r="G1130" s="12" t="n">
        <v>268.82</v>
      </c>
      <c r="H1130" s="12" t="n">
        <v>0</v>
      </c>
      <c r="I1130" s="10" t="s">
        <v>99</v>
      </c>
      <c r="J1130" s="10" t="s">
        <v>1648</v>
      </c>
      <c r="K1130" s="10" t="s">
        <v>1649</v>
      </c>
    </row>
    <row r="1131" customFormat="false" ht="15" hidden="false" customHeight="false" outlineLevel="0" collapsed="false">
      <c r="A1131" s="10" t="s">
        <v>2798</v>
      </c>
      <c r="B1131" s="10" t="n">
        <v>1522</v>
      </c>
      <c r="C1131" s="8" t="n">
        <v>45888</v>
      </c>
      <c r="D1131" s="8" t="n">
        <v>45887</v>
      </c>
      <c r="E1131" s="10" t="n">
        <v>6900</v>
      </c>
      <c r="F1131" s="0" t="str">
        <f aca="false">INDEX(COA!$C$5:$C$19,MATCH(E1131,COA!$A$5:$A$19,0))</f>
        <v>Expense</v>
      </c>
      <c r="G1131" s="12" t="n">
        <v>115.21</v>
      </c>
      <c r="H1131" s="12" t="n">
        <v>0</v>
      </c>
      <c r="I1131" s="10" t="s">
        <v>99</v>
      </c>
      <c r="J1131" s="10" t="s">
        <v>1648</v>
      </c>
      <c r="K1131" s="10" t="s">
        <v>1649</v>
      </c>
    </row>
    <row r="1132" customFormat="false" ht="15" hidden="false" customHeight="false" outlineLevel="0" collapsed="false">
      <c r="A1132" s="10" t="s">
        <v>2799</v>
      </c>
      <c r="B1132" s="10" t="n">
        <v>1522</v>
      </c>
      <c r="C1132" s="8" t="n">
        <v>45888</v>
      </c>
      <c r="D1132" s="8" t="n">
        <v>45887</v>
      </c>
      <c r="E1132" s="10" t="n">
        <v>2100</v>
      </c>
      <c r="F1132" s="0" t="str">
        <f aca="false">INDEX(COA!$C$5:$C$19,MATCH(E1132,COA!$A$5:$A$19,0))</f>
        <v>Liability</v>
      </c>
      <c r="G1132" s="12" t="n">
        <v>0</v>
      </c>
      <c r="H1132" s="12" t="n">
        <v>384.03</v>
      </c>
      <c r="I1132" s="10" t="s">
        <v>99</v>
      </c>
      <c r="J1132" s="10" t="s">
        <v>1648</v>
      </c>
      <c r="K1132" s="10" t="s">
        <v>1649</v>
      </c>
    </row>
    <row r="1133" customFormat="false" ht="15" hidden="false" customHeight="false" outlineLevel="0" collapsed="false">
      <c r="A1133" s="10" t="s">
        <v>2800</v>
      </c>
      <c r="B1133" s="10" t="n">
        <v>1523</v>
      </c>
      <c r="C1133" s="8" t="n">
        <v>45889</v>
      </c>
      <c r="D1133" s="8" t="n">
        <v>45889</v>
      </c>
      <c r="E1133" s="10" t="n">
        <v>6900</v>
      </c>
      <c r="F1133" s="0" t="str">
        <f aca="false">INDEX(COA!$C$5:$C$19,MATCH(E1133,COA!$A$5:$A$19,0))</f>
        <v>Expense</v>
      </c>
      <c r="G1133" s="12" t="n">
        <v>49207.29</v>
      </c>
      <c r="H1133" s="12" t="n">
        <v>0</v>
      </c>
      <c r="I1133" s="10" t="s">
        <v>101</v>
      </c>
      <c r="J1133" s="10" t="s">
        <v>1648</v>
      </c>
      <c r="K1133" s="10" t="s">
        <v>2801</v>
      </c>
    </row>
    <row r="1134" customFormat="false" ht="15" hidden="false" customHeight="false" outlineLevel="0" collapsed="false">
      <c r="A1134" s="10" t="s">
        <v>2802</v>
      </c>
      <c r="B1134" s="10" t="n">
        <v>1523</v>
      </c>
      <c r="C1134" s="8" t="n">
        <v>45889</v>
      </c>
      <c r="D1134" s="8" t="n">
        <v>45889</v>
      </c>
      <c r="E1134" s="10" t="n">
        <v>2100</v>
      </c>
      <c r="F1134" s="0" t="str">
        <f aca="false">INDEX(COA!$C$5:$C$19,MATCH(E1134,COA!$A$5:$A$19,0))</f>
        <v>Liability</v>
      </c>
      <c r="G1134" s="12" t="n">
        <v>0</v>
      </c>
      <c r="H1134" s="12" t="n">
        <v>49207.29</v>
      </c>
      <c r="I1134" s="10" t="s">
        <v>101</v>
      </c>
      <c r="J1134" s="10" t="s">
        <v>1648</v>
      </c>
      <c r="K1134" s="10" t="s">
        <v>2801</v>
      </c>
    </row>
    <row r="1135" customFormat="false" ht="15" hidden="false" customHeight="false" outlineLevel="0" collapsed="false">
      <c r="A1135" s="10" t="s">
        <v>2803</v>
      </c>
      <c r="B1135" s="10" t="n">
        <v>1524</v>
      </c>
      <c r="C1135" s="8" t="n">
        <v>45889</v>
      </c>
      <c r="D1135" s="8" t="n">
        <v>45887</v>
      </c>
      <c r="E1135" s="10" t="n">
        <v>2100</v>
      </c>
      <c r="F1135" s="0" t="str">
        <f aca="false">INDEX(COA!$C$5:$C$19,MATCH(E1135,COA!$A$5:$A$19,0))</f>
        <v>Liability</v>
      </c>
      <c r="G1135" s="12" t="n">
        <v>7457.31</v>
      </c>
      <c r="H1135" s="12" t="n">
        <v>0</v>
      </c>
      <c r="I1135" s="10" t="s">
        <v>99</v>
      </c>
      <c r="J1135" s="10" t="s">
        <v>1648</v>
      </c>
      <c r="K1135" s="10" t="s">
        <v>1677</v>
      </c>
    </row>
    <row r="1136" customFormat="false" ht="15" hidden="false" customHeight="false" outlineLevel="0" collapsed="false">
      <c r="A1136" s="10" t="s">
        <v>2804</v>
      </c>
      <c r="B1136" s="10" t="n">
        <v>1524</v>
      </c>
      <c r="C1136" s="8" t="n">
        <v>45889</v>
      </c>
      <c r="D1136" s="8" t="n">
        <v>45887</v>
      </c>
      <c r="E1136" s="10" t="n">
        <v>2100</v>
      </c>
      <c r="F1136" s="0" t="str">
        <f aca="false">INDEX(COA!$C$5:$C$19,MATCH(E1136,COA!$A$5:$A$19,0))</f>
        <v>Liability</v>
      </c>
      <c r="G1136" s="12" t="n">
        <v>3195.99</v>
      </c>
      <c r="H1136" s="12" t="n">
        <v>0</v>
      </c>
      <c r="I1136" s="10" t="s">
        <v>99</v>
      </c>
      <c r="J1136" s="10" t="s">
        <v>1648</v>
      </c>
      <c r="K1136" s="10" t="s">
        <v>1677</v>
      </c>
    </row>
    <row r="1137" customFormat="false" ht="15" hidden="false" customHeight="false" outlineLevel="0" collapsed="false">
      <c r="A1137" s="10" t="s">
        <v>2805</v>
      </c>
      <c r="B1137" s="10" t="n">
        <v>1524</v>
      </c>
      <c r="C1137" s="8" t="n">
        <v>45889</v>
      </c>
      <c r="D1137" s="8" t="n">
        <v>45887</v>
      </c>
      <c r="E1137" s="10" t="n">
        <v>6900</v>
      </c>
      <c r="F1137" s="0" t="str">
        <f aca="false">INDEX(COA!$C$5:$C$19,MATCH(E1137,COA!$A$5:$A$19,0))</f>
        <v>Expense</v>
      </c>
      <c r="G1137" s="12" t="n">
        <v>0</v>
      </c>
      <c r="H1137" s="12" t="n">
        <v>10653.3</v>
      </c>
      <c r="I1137" s="10" t="s">
        <v>99</v>
      </c>
      <c r="J1137" s="10" t="s">
        <v>1648</v>
      </c>
      <c r="K1137" s="10" t="s">
        <v>1677</v>
      </c>
    </row>
    <row r="1138" customFormat="false" ht="15" hidden="false" customHeight="false" outlineLevel="0" collapsed="false">
      <c r="A1138" s="10" t="s">
        <v>2806</v>
      </c>
      <c r="B1138" s="10" t="n">
        <v>1525</v>
      </c>
      <c r="C1138" s="8" t="n">
        <v>45889</v>
      </c>
      <c r="D1138" s="8" t="n">
        <v>45885</v>
      </c>
      <c r="E1138" s="10" t="n">
        <v>2000</v>
      </c>
      <c r="F1138" s="0" t="str">
        <f aca="false">INDEX(COA!$C$5:$C$19,MATCH(E1138,COA!$A$5:$A$19,0))</f>
        <v>Liability</v>
      </c>
      <c r="G1138" s="12" t="n">
        <v>88198.44</v>
      </c>
      <c r="H1138" s="12" t="n">
        <v>0</v>
      </c>
      <c r="I1138" s="10" t="s">
        <v>104</v>
      </c>
      <c r="J1138" s="10" t="s">
        <v>1636</v>
      </c>
      <c r="K1138" s="10" t="s">
        <v>1659</v>
      </c>
    </row>
    <row r="1139" customFormat="false" ht="15" hidden="false" customHeight="false" outlineLevel="0" collapsed="false">
      <c r="A1139" s="10" t="s">
        <v>2807</v>
      </c>
      <c r="B1139" s="10" t="n">
        <v>1525</v>
      </c>
      <c r="C1139" s="8" t="n">
        <v>45889</v>
      </c>
      <c r="D1139" s="8" t="n">
        <v>45885</v>
      </c>
      <c r="E1139" s="10" t="n">
        <v>2000</v>
      </c>
      <c r="F1139" s="0" t="str">
        <f aca="false">INDEX(COA!$C$5:$C$19,MATCH(E1139,COA!$A$5:$A$19,0))</f>
        <v>Liability</v>
      </c>
      <c r="G1139" s="12" t="n">
        <v>37799.33</v>
      </c>
      <c r="H1139" s="12" t="n">
        <v>0</v>
      </c>
      <c r="I1139" s="10" t="s">
        <v>104</v>
      </c>
      <c r="J1139" s="10" t="s">
        <v>1636</v>
      </c>
      <c r="K1139" s="10" t="s">
        <v>1659</v>
      </c>
    </row>
    <row r="1140" customFormat="false" ht="15" hidden="false" customHeight="false" outlineLevel="0" collapsed="false">
      <c r="A1140" s="10" t="s">
        <v>2808</v>
      </c>
      <c r="B1140" s="10" t="n">
        <v>1525</v>
      </c>
      <c r="C1140" s="8" t="n">
        <v>45889</v>
      </c>
      <c r="D1140" s="8" t="n">
        <v>45885</v>
      </c>
      <c r="E1140" s="10" t="n">
        <v>1000</v>
      </c>
      <c r="F1140" s="0" t="str">
        <f aca="false">INDEX(COA!$C$5:$C$19,MATCH(E1140,COA!$A$5:$A$19,0))</f>
        <v>Asset</v>
      </c>
      <c r="G1140" s="12" t="n">
        <v>0</v>
      </c>
      <c r="H1140" s="12" t="n">
        <v>125997.77</v>
      </c>
      <c r="I1140" s="10" t="s">
        <v>104</v>
      </c>
      <c r="J1140" s="10" t="s">
        <v>1636</v>
      </c>
      <c r="K1140" s="10" t="s">
        <v>1659</v>
      </c>
    </row>
    <row r="1141" customFormat="false" ht="15" hidden="false" customHeight="false" outlineLevel="0" collapsed="false">
      <c r="A1141" s="10" t="s">
        <v>2809</v>
      </c>
      <c r="B1141" s="10" t="n">
        <v>1526</v>
      </c>
      <c r="C1141" s="8" t="n">
        <v>45889</v>
      </c>
      <c r="D1141" s="8" t="n">
        <v>45889</v>
      </c>
      <c r="E1141" s="10" t="n">
        <v>1200</v>
      </c>
      <c r="F1141" s="0" t="str">
        <f aca="false">INDEX(COA!$C$5:$C$19,MATCH(E1141,COA!$A$5:$A$19,0))</f>
        <v>Asset</v>
      </c>
      <c r="G1141" s="12" t="n">
        <v>4805.48</v>
      </c>
      <c r="H1141" s="12" t="n">
        <v>0</v>
      </c>
      <c r="I1141" s="10" t="s">
        <v>102</v>
      </c>
      <c r="J1141" s="10" t="s">
        <v>1636</v>
      </c>
      <c r="K1141" s="10" t="s">
        <v>1655</v>
      </c>
    </row>
    <row r="1142" customFormat="false" ht="15" hidden="false" customHeight="false" outlineLevel="0" collapsed="false">
      <c r="A1142" s="10" t="s">
        <v>2810</v>
      </c>
      <c r="B1142" s="10" t="n">
        <v>1526</v>
      </c>
      <c r="C1142" s="8" t="n">
        <v>45889</v>
      </c>
      <c r="D1142" s="8" t="n">
        <v>45889</v>
      </c>
      <c r="E1142" s="10" t="n">
        <v>2000</v>
      </c>
      <c r="F1142" s="0" t="str">
        <f aca="false">INDEX(COA!$C$5:$C$19,MATCH(E1142,COA!$A$5:$A$19,0))</f>
        <v>Liability</v>
      </c>
      <c r="G1142" s="12" t="n">
        <v>0</v>
      </c>
      <c r="H1142" s="12" t="n">
        <v>4805.48</v>
      </c>
      <c r="I1142" s="10" t="s">
        <v>102</v>
      </c>
      <c r="J1142" s="10" t="s">
        <v>1636</v>
      </c>
      <c r="K1142" s="10" t="s">
        <v>1655</v>
      </c>
    </row>
    <row r="1143" customFormat="false" ht="15" hidden="false" customHeight="false" outlineLevel="0" collapsed="false">
      <c r="A1143" s="10" t="s">
        <v>2811</v>
      </c>
      <c r="B1143" s="10" t="n">
        <v>1527</v>
      </c>
      <c r="C1143" s="8" t="n">
        <v>45889</v>
      </c>
      <c r="D1143" s="8" t="n">
        <v>45888</v>
      </c>
      <c r="E1143" s="10" t="n">
        <v>2000</v>
      </c>
      <c r="F1143" s="0" t="str">
        <f aca="false">INDEX(COA!$C$5:$C$19,MATCH(E1143,COA!$A$5:$A$19,0))</f>
        <v>Liability</v>
      </c>
      <c r="G1143" s="12" t="n">
        <v>263.58</v>
      </c>
      <c r="H1143" s="12" t="n">
        <v>0</v>
      </c>
      <c r="I1143" s="10" t="s">
        <v>104</v>
      </c>
      <c r="J1143" s="10" t="s">
        <v>1636</v>
      </c>
      <c r="K1143" s="10" t="s">
        <v>1659</v>
      </c>
    </row>
    <row r="1144" customFormat="false" ht="15" hidden="false" customHeight="false" outlineLevel="0" collapsed="false">
      <c r="A1144" s="10" t="s">
        <v>2812</v>
      </c>
      <c r="B1144" s="10" t="n">
        <v>1527</v>
      </c>
      <c r="C1144" s="8" t="n">
        <v>45889</v>
      </c>
      <c r="D1144" s="8" t="n">
        <v>45888</v>
      </c>
      <c r="E1144" s="10" t="n">
        <v>2000</v>
      </c>
      <c r="F1144" s="0" t="str">
        <f aca="false">INDEX(COA!$C$5:$C$19,MATCH(E1144,COA!$A$5:$A$19,0))</f>
        <v>Liability</v>
      </c>
      <c r="G1144" s="12" t="n">
        <v>112.96</v>
      </c>
      <c r="H1144" s="12" t="n">
        <v>0</v>
      </c>
      <c r="I1144" s="10" t="s">
        <v>104</v>
      </c>
      <c r="J1144" s="10" t="s">
        <v>1636</v>
      </c>
      <c r="K1144" s="10" t="s">
        <v>1659</v>
      </c>
    </row>
    <row r="1145" customFormat="false" ht="15" hidden="false" customHeight="false" outlineLevel="0" collapsed="false">
      <c r="A1145" s="10" t="s">
        <v>2813</v>
      </c>
      <c r="B1145" s="10" t="n">
        <v>1527</v>
      </c>
      <c r="C1145" s="8" t="n">
        <v>45889</v>
      </c>
      <c r="D1145" s="8" t="n">
        <v>45888</v>
      </c>
      <c r="E1145" s="10" t="n">
        <v>1000</v>
      </c>
      <c r="F1145" s="0" t="str">
        <f aca="false">INDEX(COA!$C$5:$C$19,MATCH(E1145,COA!$A$5:$A$19,0))</f>
        <v>Asset</v>
      </c>
      <c r="G1145" s="12" t="n">
        <v>0</v>
      </c>
      <c r="H1145" s="12" t="n">
        <v>376.54</v>
      </c>
      <c r="I1145" s="10" t="s">
        <v>104</v>
      </c>
      <c r="J1145" s="10" t="s">
        <v>1636</v>
      </c>
      <c r="K1145" s="10" t="s">
        <v>1659</v>
      </c>
    </row>
    <row r="1146" customFormat="false" ht="15" hidden="false" customHeight="false" outlineLevel="0" collapsed="false">
      <c r="A1146" s="10" t="s">
        <v>2814</v>
      </c>
      <c r="B1146" s="10" t="n">
        <v>1528</v>
      </c>
      <c r="C1146" s="8" t="n">
        <v>45891</v>
      </c>
      <c r="D1146" s="8" t="n">
        <v>45890</v>
      </c>
      <c r="E1146" s="10" t="n">
        <v>2000</v>
      </c>
      <c r="F1146" s="0" t="str">
        <f aca="false">INDEX(COA!$C$5:$C$19,MATCH(E1146,COA!$A$5:$A$19,0))</f>
        <v>Liability</v>
      </c>
      <c r="G1146" s="12" t="n">
        <v>1106.81</v>
      </c>
      <c r="H1146" s="12" t="n">
        <v>0</v>
      </c>
      <c r="I1146" s="10" t="s">
        <v>104</v>
      </c>
      <c r="J1146" s="10" t="s">
        <v>1636</v>
      </c>
      <c r="K1146" s="10" t="s">
        <v>1659</v>
      </c>
    </row>
    <row r="1147" customFormat="false" ht="15" hidden="false" customHeight="false" outlineLevel="0" collapsed="false">
      <c r="A1147" s="10" t="s">
        <v>2815</v>
      </c>
      <c r="B1147" s="10" t="n">
        <v>1528</v>
      </c>
      <c r="C1147" s="8" t="n">
        <v>45891</v>
      </c>
      <c r="D1147" s="8" t="n">
        <v>45890</v>
      </c>
      <c r="E1147" s="10" t="n">
        <v>1000</v>
      </c>
      <c r="F1147" s="0" t="str">
        <f aca="false">INDEX(COA!$C$5:$C$19,MATCH(E1147,COA!$A$5:$A$19,0))</f>
        <v>Asset</v>
      </c>
      <c r="G1147" s="12" t="n">
        <v>0</v>
      </c>
      <c r="H1147" s="12" t="n">
        <v>1106.81</v>
      </c>
      <c r="I1147" s="10" t="s">
        <v>104</v>
      </c>
      <c r="J1147" s="10" t="s">
        <v>1636</v>
      </c>
      <c r="K1147" s="10" t="s">
        <v>1659</v>
      </c>
    </row>
    <row r="1148" customFormat="false" ht="15" hidden="false" customHeight="false" outlineLevel="0" collapsed="false">
      <c r="A1148" s="10" t="s">
        <v>2816</v>
      </c>
      <c r="B1148" s="10" t="n">
        <v>1529</v>
      </c>
      <c r="C1148" s="8" t="n">
        <v>45891</v>
      </c>
      <c r="D1148" s="8" t="n">
        <v>45887</v>
      </c>
      <c r="E1148" s="10" t="n">
        <v>5000</v>
      </c>
      <c r="F1148" s="0" t="str">
        <f aca="false">INDEX(COA!$C$5:$C$19,MATCH(E1148,COA!$A$5:$A$19,0))</f>
        <v>Expense</v>
      </c>
      <c r="G1148" s="12" t="n">
        <v>14522.4</v>
      </c>
      <c r="H1148" s="12" t="n">
        <v>0</v>
      </c>
      <c r="I1148" s="10" t="s">
        <v>103</v>
      </c>
      <c r="J1148" s="10" t="s">
        <v>1636</v>
      </c>
      <c r="K1148" s="10" t="s">
        <v>1670</v>
      </c>
    </row>
    <row r="1149" customFormat="false" ht="15" hidden="false" customHeight="false" outlineLevel="0" collapsed="false">
      <c r="A1149" s="10" t="s">
        <v>2817</v>
      </c>
      <c r="B1149" s="10" t="n">
        <v>1529</v>
      </c>
      <c r="C1149" s="8" t="n">
        <v>45891</v>
      </c>
      <c r="D1149" s="8" t="n">
        <v>45887</v>
      </c>
      <c r="E1149" s="10" t="n">
        <v>1200</v>
      </c>
      <c r="F1149" s="0" t="str">
        <f aca="false">INDEX(COA!$C$5:$C$19,MATCH(E1149,COA!$A$5:$A$19,0))</f>
        <v>Asset</v>
      </c>
      <c r="G1149" s="12" t="n">
        <v>0</v>
      </c>
      <c r="H1149" s="12" t="n">
        <v>14522.4</v>
      </c>
      <c r="I1149" s="10" t="s">
        <v>103</v>
      </c>
      <c r="J1149" s="10" t="s">
        <v>1636</v>
      </c>
      <c r="K1149" s="10" t="s">
        <v>1670</v>
      </c>
    </row>
    <row r="1150" customFormat="false" ht="15" hidden="false" customHeight="false" outlineLevel="0" collapsed="false">
      <c r="A1150" s="10" t="s">
        <v>2818</v>
      </c>
      <c r="B1150" s="10" t="n">
        <v>1530</v>
      </c>
      <c r="C1150" s="8" t="n">
        <v>45894</v>
      </c>
      <c r="D1150" s="8" t="n">
        <v>45892</v>
      </c>
      <c r="E1150" s="10" t="n">
        <v>1200</v>
      </c>
      <c r="F1150" s="0" t="str">
        <f aca="false">INDEX(COA!$C$5:$C$19,MATCH(E1150,COA!$A$5:$A$19,0))</f>
        <v>Asset</v>
      </c>
      <c r="G1150" s="12" t="n">
        <v>228.65</v>
      </c>
      <c r="H1150" s="12" t="n">
        <v>0</v>
      </c>
      <c r="I1150" s="10" t="s">
        <v>102</v>
      </c>
      <c r="J1150" s="10" t="s">
        <v>1636</v>
      </c>
      <c r="K1150" s="10" t="s">
        <v>1655</v>
      </c>
    </row>
    <row r="1151" customFormat="false" ht="15" hidden="false" customHeight="false" outlineLevel="0" collapsed="false">
      <c r="A1151" s="10" t="s">
        <v>2819</v>
      </c>
      <c r="B1151" s="10" t="n">
        <v>1530</v>
      </c>
      <c r="C1151" s="8" t="n">
        <v>45894</v>
      </c>
      <c r="D1151" s="8" t="n">
        <v>45892</v>
      </c>
      <c r="E1151" s="10" t="n">
        <v>1200</v>
      </c>
      <c r="F1151" s="0" t="str">
        <f aca="false">INDEX(COA!$C$5:$C$19,MATCH(E1151,COA!$A$5:$A$19,0))</f>
        <v>Asset</v>
      </c>
      <c r="G1151" s="12" t="n">
        <v>98</v>
      </c>
      <c r="H1151" s="12" t="n">
        <v>0</v>
      </c>
      <c r="I1151" s="10" t="s">
        <v>102</v>
      </c>
      <c r="J1151" s="10" t="s">
        <v>1636</v>
      </c>
      <c r="K1151" s="10" t="s">
        <v>1655</v>
      </c>
    </row>
    <row r="1152" customFormat="false" ht="15" hidden="false" customHeight="false" outlineLevel="0" collapsed="false">
      <c r="A1152" s="10" t="s">
        <v>2820</v>
      </c>
      <c r="B1152" s="10" t="n">
        <v>1530</v>
      </c>
      <c r="C1152" s="8" t="n">
        <v>45894</v>
      </c>
      <c r="D1152" s="8" t="n">
        <v>45892</v>
      </c>
      <c r="E1152" s="10" t="n">
        <v>2000</v>
      </c>
      <c r="F1152" s="0" t="str">
        <f aca="false">INDEX(COA!$C$5:$C$19,MATCH(E1152,COA!$A$5:$A$19,0))</f>
        <v>Liability</v>
      </c>
      <c r="G1152" s="12" t="n">
        <v>0</v>
      </c>
      <c r="H1152" s="12" t="n">
        <v>326.65</v>
      </c>
      <c r="I1152" s="10" t="s">
        <v>102</v>
      </c>
      <c r="J1152" s="10" t="s">
        <v>1636</v>
      </c>
      <c r="K1152" s="10" t="s">
        <v>1655</v>
      </c>
    </row>
    <row r="1153" customFormat="false" ht="15" hidden="false" customHeight="false" outlineLevel="0" collapsed="false">
      <c r="A1153" s="10" t="s">
        <v>2821</v>
      </c>
      <c r="B1153" s="10" t="n">
        <v>1531</v>
      </c>
      <c r="C1153" s="8" t="n">
        <v>45894</v>
      </c>
      <c r="D1153" s="8" t="n">
        <v>45892</v>
      </c>
      <c r="E1153" s="10" t="n">
        <v>1000</v>
      </c>
      <c r="F1153" s="0" t="str">
        <f aca="false">INDEX(COA!$C$5:$C$19,MATCH(E1153,COA!$A$5:$A$19,0))</f>
        <v>Asset</v>
      </c>
      <c r="G1153" s="12" t="n">
        <v>123863.7</v>
      </c>
      <c r="H1153" s="12" t="n">
        <v>0</v>
      </c>
      <c r="I1153" s="10" t="s">
        <v>103</v>
      </c>
      <c r="J1153" s="10" t="s">
        <v>1636</v>
      </c>
      <c r="K1153" s="10" t="s">
        <v>1637</v>
      </c>
    </row>
    <row r="1154" customFormat="false" ht="15" hidden="false" customHeight="false" outlineLevel="0" collapsed="false">
      <c r="A1154" s="10" t="s">
        <v>2822</v>
      </c>
      <c r="B1154" s="10" t="n">
        <v>1531</v>
      </c>
      <c r="C1154" s="8" t="n">
        <v>45894</v>
      </c>
      <c r="D1154" s="8" t="n">
        <v>45892</v>
      </c>
      <c r="E1154" s="10" t="n">
        <v>1100</v>
      </c>
      <c r="F1154" s="0" t="str">
        <f aca="false">INDEX(COA!$C$5:$C$19,MATCH(E1154,COA!$A$5:$A$19,0))</f>
        <v>Asset</v>
      </c>
      <c r="G1154" s="12" t="n">
        <v>0</v>
      </c>
      <c r="H1154" s="12" t="n">
        <v>123863.7</v>
      </c>
      <c r="I1154" s="10" t="s">
        <v>103</v>
      </c>
      <c r="J1154" s="10" t="s">
        <v>1636</v>
      </c>
      <c r="K1154" s="10" t="s">
        <v>1637</v>
      </c>
    </row>
    <row r="1155" customFormat="false" ht="15" hidden="false" customHeight="false" outlineLevel="0" collapsed="false">
      <c r="A1155" s="10" t="s">
        <v>2823</v>
      </c>
      <c r="B1155" s="10" t="n">
        <v>1532</v>
      </c>
      <c r="C1155" s="8" t="n">
        <v>45894</v>
      </c>
      <c r="D1155" s="8" t="n">
        <v>45894</v>
      </c>
      <c r="E1155" s="10" t="n">
        <v>6900</v>
      </c>
      <c r="F1155" s="0" t="str">
        <f aca="false">INDEX(COA!$C$5:$C$19,MATCH(E1155,COA!$A$5:$A$19,0))</f>
        <v>Expense</v>
      </c>
      <c r="G1155" s="12" t="n">
        <v>25000</v>
      </c>
      <c r="H1155" s="12" t="n">
        <v>0</v>
      </c>
      <c r="I1155" s="10" t="s">
        <v>100</v>
      </c>
      <c r="J1155" s="10" t="s">
        <v>1648</v>
      </c>
      <c r="K1155" s="10" t="s">
        <v>2824</v>
      </c>
    </row>
    <row r="1156" customFormat="false" ht="15" hidden="false" customHeight="false" outlineLevel="0" collapsed="false">
      <c r="A1156" s="10" t="s">
        <v>2825</v>
      </c>
      <c r="B1156" s="10" t="n">
        <v>1532</v>
      </c>
      <c r="C1156" s="8" t="n">
        <v>45894</v>
      </c>
      <c r="D1156" s="8" t="n">
        <v>45894</v>
      </c>
      <c r="E1156" s="10" t="n">
        <v>2100</v>
      </c>
      <c r="F1156" s="0" t="str">
        <f aca="false">INDEX(COA!$C$5:$C$19,MATCH(E1156,COA!$A$5:$A$19,0))</f>
        <v>Liability</v>
      </c>
      <c r="G1156" s="12" t="n">
        <v>0</v>
      </c>
      <c r="H1156" s="12" t="n">
        <v>25000</v>
      </c>
      <c r="I1156" s="10" t="s">
        <v>100</v>
      </c>
      <c r="J1156" s="10" t="s">
        <v>1648</v>
      </c>
      <c r="K1156" s="10" t="s">
        <v>2824</v>
      </c>
    </row>
    <row r="1157" customFormat="false" ht="15" hidden="false" customHeight="false" outlineLevel="0" collapsed="false">
      <c r="A1157" s="10" t="s">
        <v>2826</v>
      </c>
      <c r="B1157" s="10" t="n">
        <v>1533</v>
      </c>
      <c r="C1157" s="8" t="n">
        <v>45894</v>
      </c>
      <c r="D1157" s="8" t="n">
        <v>45894</v>
      </c>
      <c r="E1157" s="10" t="n">
        <v>6000</v>
      </c>
      <c r="F1157" s="0" t="str">
        <f aca="false">INDEX(COA!$C$5:$C$19,MATCH(E1157,COA!$A$5:$A$19,0))</f>
        <v>Expense</v>
      </c>
      <c r="G1157" s="12" t="n">
        <v>256000</v>
      </c>
      <c r="H1157" s="12" t="n">
        <v>0</v>
      </c>
      <c r="I1157" s="10" t="s">
        <v>104</v>
      </c>
      <c r="J1157" s="10" t="s">
        <v>1636</v>
      </c>
      <c r="K1157" s="10" t="s">
        <v>1776</v>
      </c>
    </row>
    <row r="1158" customFormat="false" ht="15" hidden="false" customHeight="false" outlineLevel="0" collapsed="false">
      <c r="A1158" s="10" t="s">
        <v>2827</v>
      </c>
      <c r="B1158" s="10" t="n">
        <v>1533</v>
      </c>
      <c r="C1158" s="8" t="n">
        <v>45894</v>
      </c>
      <c r="D1158" s="8" t="n">
        <v>45894</v>
      </c>
      <c r="E1158" s="10" t="n">
        <v>1000</v>
      </c>
      <c r="F1158" s="0" t="str">
        <f aca="false">INDEX(COA!$C$5:$C$19,MATCH(E1158,COA!$A$5:$A$19,0))</f>
        <v>Asset</v>
      </c>
      <c r="G1158" s="12" t="n">
        <v>0</v>
      </c>
      <c r="H1158" s="12" t="n">
        <v>256000</v>
      </c>
      <c r="I1158" s="10" t="s">
        <v>104</v>
      </c>
      <c r="J1158" s="10" t="s">
        <v>1636</v>
      </c>
      <c r="K1158" s="10" t="s">
        <v>1776</v>
      </c>
    </row>
    <row r="1159" customFormat="false" ht="15" hidden="false" customHeight="false" outlineLevel="0" collapsed="false">
      <c r="A1159" s="10" t="s">
        <v>2828</v>
      </c>
      <c r="B1159" s="10" t="n">
        <v>1534</v>
      </c>
      <c r="C1159" s="8" t="n">
        <v>45895</v>
      </c>
      <c r="D1159" s="8" t="n">
        <v>45893</v>
      </c>
      <c r="E1159" s="10" t="n">
        <v>1100</v>
      </c>
      <c r="F1159" s="0" t="str">
        <f aca="false">INDEX(COA!$C$5:$C$19,MATCH(E1159,COA!$A$5:$A$19,0))</f>
        <v>Asset</v>
      </c>
      <c r="G1159" s="12" t="n">
        <v>305.17</v>
      </c>
      <c r="H1159" s="12" t="n">
        <v>0</v>
      </c>
      <c r="I1159" s="10" t="s">
        <v>103</v>
      </c>
      <c r="J1159" s="10" t="s">
        <v>1636</v>
      </c>
      <c r="K1159" s="10" t="s">
        <v>1640</v>
      </c>
    </row>
    <row r="1160" customFormat="false" ht="15" hidden="false" customHeight="false" outlineLevel="0" collapsed="false">
      <c r="A1160" s="10" t="s">
        <v>2829</v>
      </c>
      <c r="B1160" s="10" t="n">
        <v>1534</v>
      </c>
      <c r="C1160" s="8" t="n">
        <v>45895</v>
      </c>
      <c r="D1160" s="8" t="n">
        <v>45893</v>
      </c>
      <c r="E1160" s="10" t="n">
        <v>4000</v>
      </c>
      <c r="F1160" s="0" t="str">
        <f aca="false">INDEX(COA!$C$5:$C$19,MATCH(E1160,COA!$A$5:$A$19,0))</f>
        <v>Revenue</v>
      </c>
      <c r="G1160" s="12" t="n">
        <v>0</v>
      </c>
      <c r="H1160" s="12" t="n">
        <v>305.17</v>
      </c>
      <c r="I1160" s="10" t="s">
        <v>103</v>
      </c>
      <c r="J1160" s="10" t="s">
        <v>1636</v>
      </c>
      <c r="K1160" s="10" t="s">
        <v>1640</v>
      </c>
    </row>
    <row r="1161" customFormat="false" ht="15" hidden="false" customHeight="false" outlineLevel="0" collapsed="false">
      <c r="A1161" s="10" t="s">
        <v>2830</v>
      </c>
      <c r="B1161" s="10" t="n">
        <v>1535</v>
      </c>
      <c r="C1161" s="8" t="n">
        <v>45896</v>
      </c>
      <c r="D1161" s="8" t="n">
        <v>45892</v>
      </c>
      <c r="E1161" s="10" t="n">
        <v>1100</v>
      </c>
      <c r="F1161" s="0" t="str">
        <f aca="false">INDEX(COA!$C$5:$C$19,MATCH(E1161,COA!$A$5:$A$19,0))</f>
        <v>Asset</v>
      </c>
      <c r="G1161" s="12" t="n">
        <v>73870.7</v>
      </c>
      <c r="H1161" s="12" t="n">
        <v>0</v>
      </c>
      <c r="I1161" s="10" t="s">
        <v>103</v>
      </c>
      <c r="J1161" s="10" t="s">
        <v>1636</v>
      </c>
      <c r="K1161" s="10" t="s">
        <v>1640</v>
      </c>
    </row>
    <row r="1162" customFormat="false" ht="15" hidden="false" customHeight="false" outlineLevel="0" collapsed="false">
      <c r="A1162" s="10" t="s">
        <v>2831</v>
      </c>
      <c r="B1162" s="10" t="n">
        <v>1535</v>
      </c>
      <c r="C1162" s="8" t="n">
        <v>45896</v>
      </c>
      <c r="D1162" s="8" t="n">
        <v>45892</v>
      </c>
      <c r="E1162" s="10" t="n">
        <v>1100</v>
      </c>
      <c r="F1162" s="0" t="str">
        <f aca="false">INDEX(COA!$C$5:$C$19,MATCH(E1162,COA!$A$5:$A$19,0))</f>
        <v>Asset</v>
      </c>
      <c r="G1162" s="12" t="n">
        <v>31658.87</v>
      </c>
      <c r="H1162" s="12" t="n">
        <v>0</v>
      </c>
      <c r="I1162" s="10" t="s">
        <v>103</v>
      </c>
      <c r="J1162" s="10" t="s">
        <v>1636</v>
      </c>
      <c r="K1162" s="10" t="s">
        <v>1640</v>
      </c>
    </row>
    <row r="1163" customFormat="false" ht="15" hidden="false" customHeight="false" outlineLevel="0" collapsed="false">
      <c r="A1163" s="10" t="s">
        <v>2832</v>
      </c>
      <c r="B1163" s="10" t="n">
        <v>1535</v>
      </c>
      <c r="C1163" s="8" t="n">
        <v>45896</v>
      </c>
      <c r="D1163" s="8" t="n">
        <v>45892</v>
      </c>
      <c r="E1163" s="10" t="n">
        <v>4000</v>
      </c>
      <c r="F1163" s="0" t="str">
        <f aca="false">INDEX(COA!$C$5:$C$19,MATCH(E1163,COA!$A$5:$A$19,0))</f>
        <v>Revenue</v>
      </c>
      <c r="G1163" s="12" t="n">
        <v>0</v>
      </c>
      <c r="H1163" s="12" t="n">
        <v>105529.57</v>
      </c>
      <c r="I1163" s="10" t="s">
        <v>103</v>
      </c>
      <c r="J1163" s="10" t="s">
        <v>1636</v>
      </c>
      <c r="K1163" s="10" t="s">
        <v>1640</v>
      </c>
    </row>
    <row r="1164" customFormat="false" ht="15" hidden="false" customHeight="false" outlineLevel="0" collapsed="false">
      <c r="A1164" s="10" t="s">
        <v>2833</v>
      </c>
      <c r="B1164" s="10" t="n">
        <v>1536</v>
      </c>
      <c r="C1164" s="8" t="n">
        <v>45897</v>
      </c>
      <c r="D1164" s="8" t="n">
        <v>45894</v>
      </c>
      <c r="E1164" s="10" t="n">
        <v>5000</v>
      </c>
      <c r="F1164" s="0" t="str">
        <f aca="false">INDEX(COA!$C$5:$C$19,MATCH(E1164,COA!$A$5:$A$19,0))</f>
        <v>Expense</v>
      </c>
      <c r="G1164" s="12" t="n">
        <v>108375.18</v>
      </c>
      <c r="H1164" s="12" t="n">
        <v>0</v>
      </c>
      <c r="I1164" s="10" t="s">
        <v>103</v>
      </c>
      <c r="J1164" s="10" t="s">
        <v>1636</v>
      </c>
      <c r="K1164" s="10" t="s">
        <v>1670</v>
      </c>
    </row>
    <row r="1165" customFormat="false" ht="15" hidden="false" customHeight="false" outlineLevel="0" collapsed="false">
      <c r="A1165" s="10" t="s">
        <v>2834</v>
      </c>
      <c r="B1165" s="10" t="n">
        <v>1536</v>
      </c>
      <c r="C1165" s="8" t="n">
        <v>45897</v>
      </c>
      <c r="D1165" s="8" t="n">
        <v>45894</v>
      </c>
      <c r="E1165" s="10" t="n">
        <v>1200</v>
      </c>
      <c r="F1165" s="0" t="str">
        <f aca="false">INDEX(COA!$C$5:$C$19,MATCH(E1165,COA!$A$5:$A$19,0))</f>
        <v>Asset</v>
      </c>
      <c r="G1165" s="12" t="n">
        <v>0</v>
      </c>
      <c r="H1165" s="12" t="n">
        <v>108375.18</v>
      </c>
      <c r="I1165" s="10" t="s">
        <v>103</v>
      </c>
      <c r="J1165" s="10" t="s">
        <v>1636</v>
      </c>
      <c r="K1165" s="10" t="s">
        <v>1670</v>
      </c>
    </row>
    <row r="1166" customFormat="false" ht="15" hidden="false" customHeight="false" outlineLevel="0" collapsed="false">
      <c r="A1166" s="10" t="s">
        <v>2835</v>
      </c>
      <c r="B1166" s="10" t="n">
        <v>1537</v>
      </c>
      <c r="C1166" s="8" t="n">
        <v>45897</v>
      </c>
      <c r="D1166" s="8" t="n">
        <v>45897</v>
      </c>
      <c r="E1166" s="10" t="n">
        <v>2000</v>
      </c>
      <c r="F1166" s="0" t="str">
        <f aca="false">INDEX(COA!$C$5:$C$19,MATCH(E1166,COA!$A$5:$A$19,0))</f>
        <v>Liability</v>
      </c>
      <c r="G1166" s="12" t="n">
        <v>29320.53</v>
      </c>
      <c r="H1166" s="12" t="n">
        <v>0</v>
      </c>
      <c r="I1166" s="10" t="s">
        <v>104</v>
      </c>
      <c r="J1166" s="10" t="s">
        <v>1636</v>
      </c>
      <c r="K1166" s="10" t="s">
        <v>1659</v>
      </c>
    </row>
    <row r="1167" customFormat="false" ht="15" hidden="false" customHeight="false" outlineLevel="0" collapsed="false">
      <c r="A1167" s="10" t="s">
        <v>2836</v>
      </c>
      <c r="B1167" s="10" t="n">
        <v>1537</v>
      </c>
      <c r="C1167" s="8" t="n">
        <v>45897</v>
      </c>
      <c r="D1167" s="8" t="n">
        <v>45897</v>
      </c>
      <c r="E1167" s="10" t="n">
        <v>1000</v>
      </c>
      <c r="F1167" s="0" t="str">
        <f aca="false">INDEX(COA!$C$5:$C$19,MATCH(E1167,COA!$A$5:$A$19,0))</f>
        <v>Asset</v>
      </c>
      <c r="G1167" s="12" t="n">
        <v>0</v>
      </c>
      <c r="H1167" s="12" t="n">
        <v>29320.53</v>
      </c>
      <c r="I1167" s="10" t="s">
        <v>104</v>
      </c>
      <c r="J1167" s="10" t="s">
        <v>1636</v>
      </c>
      <c r="K1167" s="10" t="s">
        <v>1659</v>
      </c>
    </row>
    <row r="1168" customFormat="false" ht="15" hidden="false" customHeight="false" outlineLevel="0" collapsed="false">
      <c r="A1168" s="10" t="s">
        <v>2837</v>
      </c>
      <c r="B1168" s="10" t="n">
        <v>1538</v>
      </c>
      <c r="C1168" s="8" t="n">
        <v>45898</v>
      </c>
      <c r="D1168" s="8" t="n">
        <v>45896</v>
      </c>
      <c r="E1168" s="10" t="n">
        <v>5000</v>
      </c>
      <c r="F1168" s="0" t="str">
        <f aca="false">INDEX(COA!$C$5:$C$19,MATCH(E1168,COA!$A$5:$A$19,0))</f>
        <v>Expense</v>
      </c>
      <c r="G1168" s="12" t="n">
        <v>66741.23</v>
      </c>
      <c r="H1168" s="12" t="n">
        <v>0</v>
      </c>
      <c r="I1168" s="10" t="s">
        <v>103</v>
      </c>
      <c r="J1168" s="10" t="s">
        <v>1636</v>
      </c>
      <c r="K1168" s="10" t="s">
        <v>1670</v>
      </c>
    </row>
    <row r="1169" customFormat="false" ht="15" hidden="false" customHeight="false" outlineLevel="0" collapsed="false">
      <c r="A1169" s="10" t="s">
        <v>2838</v>
      </c>
      <c r="B1169" s="10" t="n">
        <v>1538</v>
      </c>
      <c r="C1169" s="8" t="n">
        <v>45898</v>
      </c>
      <c r="D1169" s="8" t="n">
        <v>45896</v>
      </c>
      <c r="E1169" s="10" t="n">
        <v>1200</v>
      </c>
      <c r="F1169" s="0" t="str">
        <f aca="false">INDEX(COA!$C$5:$C$19,MATCH(E1169,COA!$A$5:$A$19,0))</f>
        <v>Asset</v>
      </c>
      <c r="G1169" s="12" t="n">
        <v>0</v>
      </c>
      <c r="H1169" s="12" t="n">
        <v>66741.23</v>
      </c>
      <c r="I1169" s="10" t="s">
        <v>103</v>
      </c>
      <c r="J1169" s="10" t="s">
        <v>1636</v>
      </c>
      <c r="K1169" s="10" t="s">
        <v>1670</v>
      </c>
    </row>
    <row r="1170" customFormat="false" ht="15" hidden="false" customHeight="false" outlineLevel="0" collapsed="false">
      <c r="A1170" s="10" t="s">
        <v>2839</v>
      </c>
      <c r="B1170" s="10" t="n">
        <v>1539</v>
      </c>
      <c r="C1170" s="8" t="n">
        <v>45898</v>
      </c>
      <c r="D1170" s="8" t="n">
        <v>45894</v>
      </c>
      <c r="E1170" s="10" t="n">
        <v>1000</v>
      </c>
      <c r="F1170" s="0" t="str">
        <f aca="false">INDEX(COA!$C$5:$C$19,MATCH(E1170,COA!$A$5:$A$19,0))</f>
        <v>Asset</v>
      </c>
      <c r="G1170" s="12" t="n">
        <v>2170.15</v>
      </c>
      <c r="H1170" s="12" t="n">
        <v>0</v>
      </c>
      <c r="I1170" s="10" t="s">
        <v>103</v>
      </c>
      <c r="J1170" s="10" t="s">
        <v>1636</v>
      </c>
      <c r="K1170" s="10" t="s">
        <v>1637</v>
      </c>
    </row>
    <row r="1171" customFormat="false" ht="15" hidden="false" customHeight="false" outlineLevel="0" collapsed="false">
      <c r="A1171" s="10" t="s">
        <v>2840</v>
      </c>
      <c r="B1171" s="10" t="n">
        <v>1539</v>
      </c>
      <c r="C1171" s="8" t="n">
        <v>45898</v>
      </c>
      <c r="D1171" s="8" t="n">
        <v>45894</v>
      </c>
      <c r="E1171" s="10" t="n">
        <v>1100</v>
      </c>
      <c r="F1171" s="0" t="str">
        <f aca="false">INDEX(COA!$C$5:$C$19,MATCH(E1171,COA!$A$5:$A$19,0))</f>
        <v>Asset</v>
      </c>
      <c r="G1171" s="12" t="n">
        <v>0</v>
      </c>
      <c r="H1171" s="12" t="n">
        <v>2170.15</v>
      </c>
      <c r="I1171" s="10" t="s">
        <v>103</v>
      </c>
      <c r="J1171" s="10" t="s">
        <v>1636</v>
      </c>
      <c r="K1171" s="10" t="s">
        <v>1637</v>
      </c>
    </row>
    <row r="1172" customFormat="false" ht="15" hidden="false" customHeight="false" outlineLevel="0" collapsed="false">
      <c r="A1172" s="10" t="s">
        <v>2841</v>
      </c>
      <c r="B1172" s="10" t="n">
        <v>1540</v>
      </c>
      <c r="C1172" s="8" t="n">
        <v>45898</v>
      </c>
      <c r="D1172" s="8" t="n">
        <v>45894</v>
      </c>
      <c r="E1172" s="10" t="n">
        <v>2000</v>
      </c>
      <c r="F1172" s="0" t="str">
        <f aca="false">INDEX(COA!$C$5:$C$19,MATCH(E1172,COA!$A$5:$A$19,0))</f>
        <v>Liability</v>
      </c>
      <c r="G1172" s="12" t="n">
        <v>236.7</v>
      </c>
      <c r="H1172" s="12" t="n">
        <v>0</v>
      </c>
      <c r="I1172" s="10" t="s">
        <v>104</v>
      </c>
      <c r="J1172" s="10" t="s">
        <v>1636</v>
      </c>
      <c r="K1172" s="10" t="s">
        <v>1659</v>
      </c>
    </row>
    <row r="1173" customFormat="false" ht="15" hidden="false" customHeight="false" outlineLevel="0" collapsed="false">
      <c r="A1173" s="10" t="s">
        <v>2842</v>
      </c>
      <c r="B1173" s="10" t="n">
        <v>1540</v>
      </c>
      <c r="C1173" s="8" t="n">
        <v>45898</v>
      </c>
      <c r="D1173" s="8" t="n">
        <v>45894</v>
      </c>
      <c r="E1173" s="10" t="n">
        <v>1000</v>
      </c>
      <c r="F1173" s="0" t="str">
        <f aca="false">INDEX(COA!$C$5:$C$19,MATCH(E1173,COA!$A$5:$A$19,0))</f>
        <v>Asset</v>
      </c>
      <c r="G1173" s="12" t="n">
        <v>0</v>
      </c>
      <c r="H1173" s="12" t="n">
        <v>236.7</v>
      </c>
      <c r="I1173" s="10" t="s">
        <v>104</v>
      </c>
      <c r="J1173" s="10" t="s">
        <v>1636</v>
      </c>
      <c r="K1173" s="10" t="s">
        <v>1659</v>
      </c>
    </row>
    <row r="1174" customFormat="false" ht="15" hidden="false" customHeight="false" outlineLevel="0" collapsed="false">
      <c r="A1174" s="10" t="s">
        <v>2843</v>
      </c>
      <c r="B1174" s="10" t="n">
        <v>1541</v>
      </c>
      <c r="C1174" s="8" t="n">
        <v>45900</v>
      </c>
      <c r="D1174" s="8" t="n">
        <v>45897</v>
      </c>
      <c r="E1174" s="10" t="n">
        <v>6200</v>
      </c>
      <c r="F1174" s="0" t="str">
        <f aca="false">INDEX(COA!$C$5:$C$19,MATCH(E1174,COA!$A$5:$A$19,0))</f>
        <v>Expense</v>
      </c>
      <c r="G1174" s="12" t="n">
        <v>334.8</v>
      </c>
      <c r="H1174" s="12" t="n">
        <v>0</v>
      </c>
      <c r="I1174" s="10" t="s">
        <v>102</v>
      </c>
      <c r="J1174" s="10" t="s">
        <v>1636</v>
      </c>
      <c r="K1174" s="10" t="s">
        <v>1689</v>
      </c>
    </row>
    <row r="1175" customFormat="false" ht="15" hidden="false" customHeight="false" outlineLevel="0" collapsed="false">
      <c r="A1175" s="10" t="s">
        <v>2844</v>
      </c>
      <c r="B1175" s="10" t="n">
        <v>1541</v>
      </c>
      <c r="C1175" s="8" t="n">
        <v>45900</v>
      </c>
      <c r="D1175" s="8" t="n">
        <v>45897</v>
      </c>
      <c r="E1175" s="10" t="n">
        <v>2000</v>
      </c>
      <c r="F1175" s="0" t="str">
        <f aca="false">INDEX(COA!$C$5:$C$19,MATCH(E1175,COA!$A$5:$A$19,0))</f>
        <v>Liability</v>
      </c>
      <c r="G1175" s="12" t="n">
        <v>0</v>
      </c>
      <c r="H1175" s="12" t="n">
        <v>334.8</v>
      </c>
      <c r="I1175" s="10" t="s">
        <v>102</v>
      </c>
      <c r="J1175" s="10" t="s">
        <v>1636</v>
      </c>
      <c r="K1175" s="10" t="s">
        <v>1689</v>
      </c>
    </row>
    <row r="1176" customFormat="false" ht="15" hidden="false" customHeight="false" outlineLevel="0" collapsed="false">
      <c r="A1176" s="10" t="s">
        <v>2845</v>
      </c>
      <c r="B1176" s="10" t="n">
        <v>1542</v>
      </c>
      <c r="C1176" s="8" t="n">
        <v>45900</v>
      </c>
      <c r="D1176" s="8" t="n">
        <v>45900</v>
      </c>
      <c r="E1176" s="10" t="n">
        <v>6900</v>
      </c>
      <c r="F1176" s="0" t="str">
        <f aca="false">INDEX(COA!$C$5:$C$19,MATCH(E1176,COA!$A$5:$A$19,0))</f>
        <v>Expense</v>
      </c>
      <c r="G1176" s="12" t="n">
        <v>7059.04</v>
      </c>
      <c r="H1176" s="12" t="n">
        <v>0</v>
      </c>
      <c r="I1176" s="10" t="s">
        <v>97</v>
      </c>
      <c r="J1176" s="10" t="s">
        <v>1648</v>
      </c>
      <c r="K1176" s="10" t="s">
        <v>2846</v>
      </c>
    </row>
    <row r="1177" customFormat="false" ht="15" hidden="false" customHeight="false" outlineLevel="0" collapsed="false">
      <c r="A1177" s="10" t="s">
        <v>2847</v>
      </c>
      <c r="B1177" s="10" t="n">
        <v>1542</v>
      </c>
      <c r="C1177" s="8" t="n">
        <v>45900</v>
      </c>
      <c r="D1177" s="8" t="n">
        <v>45900</v>
      </c>
      <c r="E1177" s="10" t="n">
        <v>2100</v>
      </c>
      <c r="F1177" s="0" t="str">
        <f aca="false">INDEX(COA!$C$5:$C$19,MATCH(E1177,COA!$A$5:$A$19,0))</f>
        <v>Liability</v>
      </c>
      <c r="G1177" s="12" t="n">
        <v>0</v>
      </c>
      <c r="H1177" s="12" t="n">
        <v>7059.04</v>
      </c>
      <c r="I1177" s="10" t="s">
        <v>97</v>
      </c>
      <c r="J1177" s="10" t="s">
        <v>1648</v>
      </c>
      <c r="K1177" s="10" t="s">
        <v>2846</v>
      </c>
    </row>
    <row r="1178" customFormat="false" ht="15" hidden="false" customHeight="false" outlineLevel="0" collapsed="false">
      <c r="A1178" s="10" t="s">
        <v>2848</v>
      </c>
      <c r="B1178" s="10" t="n">
        <v>1543</v>
      </c>
      <c r="C1178" s="8" t="n">
        <v>45901</v>
      </c>
      <c r="D1178" s="8" t="n">
        <v>45899</v>
      </c>
      <c r="E1178" s="10" t="n">
        <v>1200</v>
      </c>
      <c r="F1178" s="0" t="str">
        <f aca="false">INDEX(COA!$C$5:$C$19,MATCH(E1178,COA!$A$5:$A$19,0))</f>
        <v>Asset</v>
      </c>
      <c r="G1178" s="12" t="n">
        <v>686.47</v>
      </c>
      <c r="H1178" s="12" t="n">
        <v>0</v>
      </c>
      <c r="I1178" s="10" t="s">
        <v>102</v>
      </c>
      <c r="J1178" s="10" t="s">
        <v>1636</v>
      </c>
      <c r="K1178" s="10" t="s">
        <v>1655</v>
      </c>
    </row>
    <row r="1179" customFormat="false" ht="15" hidden="false" customHeight="false" outlineLevel="0" collapsed="false">
      <c r="A1179" s="10" t="s">
        <v>2849</v>
      </c>
      <c r="B1179" s="10" t="n">
        <v>1543</v>
      </c>
      <c r="C1179" s="8" t="n">
        <v>45901</v>
      </c>
      <c r="D1179" s="8" t="n">
        <v>45899</v>
      </c>
      <c r="E1179" s="10" t="n">
        <v>2000</v>
      </c>
      <c r="F1179" s="0" t="str">
        <f aca="false">INDEX(COA!$C$5:$C$19,MATCH(E1179,COA!$A$5:$A$19,0))</f>
        <v>Liability</v>
      </c>
      <c r="G1179" s="12" t="n">
        <v>0</v>
      </c>
      <c r="H1179" s="12" t="n">
        <v>686.47</v>
      </c>
      <c r="I1179" s="10" t="s">
        <v>102</v>
      </c>
      <c r="J1179" s="10" t="s">
        <v>1636</v>
      </c>
      <c r="K1179" s="10" t="s">
        <v>1655</v>
      </c>
    </row>
    <row r="1180" customFormat="false" ht="15" hidden="false" customHeight="false" outlineLevel="0" collapsed="false">
      <c r="A1180" s="10" t="s">
        <v>2850</v>
      </c>
      <c r="B1180" s="10" t="n">
        <v>1544</v>
      </c>
      <c r="C1180" s="8" t="n">
        <v>45901</v>
      </c>
      <c r="D1180" s="8" t="n">
        <v>45900</v>
      </c>
      <c r="E1180" s="10" t="n">
        <v>1200</v>
      </c>
      <c r="F1180" s="0" t="str">
        <f aca="false">INDEX(COA!$C$5:$C$19,MATCH(E1180,COA!$A$5:$A$19,0))</f>
        <v>Asset</v>
      </c>
      <c r="G1180" s="12" t="n">
        <v>315.77</v>
      </c>
      <c r="H1180" s="12" t="n">
        <v>0</v>
      </c>
      <c r="I1180" s="10" t="s">
        <v>102</v>
      </c>
      <c r="J1180" s="10" t="s">
        <v>1636</v>
      </c>
      <c r="K1180" s="10" t="s">
        <v>1655</v>
      </c>
    </row>
    <row r="1181" customFormat="false" ht="15" hidden="false" customHeight="false" outlineLevel="0" collapsed="false">
      <c r="A1181" s="10" t="s">
        <v>2851</v>
      </c>
      <c r="B1181" s="10" t="n">
        <v>1544</v>
      </c>
      <c r="C1181" s="8" t="n">
        <v>45901</v>
      </c>
      <c r="D1181" s="8" t="n">
        <v>45900</v>
      </c>
      <c r="E1181" s="10" t="n">
        <v>2000</v>
      </c>
      <c r="F1181" s="0" t="str">
        <f aca="false">INDEX(COA!$C$5:$C$19,MATCH(E1181,COA!$A$5:$A$19,0))</f>
        <v>Liability</v>
      </c>
      <c r="G1181" s="12" t="n">
        <v>0</v>
      </c>
      <c r="H1181" s="12" t="n">
        <v>315.77</v>
      </c>
      <c r="I1181" s="10" t="s">
        <v>102</v>
      </c>
      <c r="J1181" s="10" t="s">
        <v>1636</v>
      </c>
      <c r="K1181" s="10" t="s">
        <v>1655</v>
      </c>
    </row>
    <row r="1182" customFormat="false" ht="15" hidden="false" customHeight="false" outlineLevel="0" collapsed="false">
      <c r="A1182" s="10" t="s">
        <v>2852</v>
      </c>
      <c r="B1182" s="10" t="n">
        <v>1545</v>
      </c>
      <c r="C1182" s="8" t="n">
        <v>45901</v>
      </c>
      <c r="D1182" s="8" t="n">
        <v>45897</v>
      </c>
      <c r="E1182" s="10" t="n">
        <v>1100</v>
      </c>
      <c r="F1182" s="0" t="str">
        <f aca="false">INDEX(COA!$C$5:$C$19,MATCH(E1182,COA!$A$5:$A$19,0))</f>
        <v>Asset</v>
      </c>
      <c r="G1182" s="12" t="n">
        <v>3739.69</v>
      </c>
      <c r="H1182" s="12" t="n">
        <v>0</v>
      </c>
      <c r="I1182" s="10" t="s">
        <v>103</v>
      </c>
      <c r="J1182" s="10" t="s">
        <v>1636</v>
      </c>
      <c r="K1182" s="10" t="s">
        <v>1640</v>
      </c>
    </row>
    <row r="1183" customFormat="false" ht="15" hidden="false" customHeight="false" outlineLevel="0" collapsed="false">
      <c r="A1183" s="10" t="s">
        <v>2853</v>
      </c>
      <c r="B1183" s="10" t="n">
        <v>1545</v>
      </c>
      <c r="C1183" s="8" t="n">
        <v>45901</v>
      </c>
      <c r="D1183" s="8" t="n">
        <v>45897</v>
      </c>
      <c r="E1183" s="10" t="n">
        <v>4000</v>
      </c>
      <c r="F1183" s="0" t="str">
        <f aca="false">INDEX(COA!$C$5:$C$19,MATCH(E1183,COA!$A$5:$A$19,0))</f>
        <v>Revenue</v>
      </c>
      <c r="G1183" s="12" t="n">
        <v>0</v>
      </c>
      <c r="H1183" s="12" t="n">
        <v>3739.69</v>
      </c>
      <c r="I1183" s="10" t="s">
        <v>103</v>
      </c>
      <c r="J1183" s="10" t="s">
        <v>1636</v>
      </c>
      <c r="K1183" s="10" t="s">
        <v>1640</v>
      </c>
    </row>
    <row r="1184" customFormat="false" ht="15" hidden="false" customHeight="false" outlineLevel="0" collapsed="false">
      <c r="A1184" s="10" t="s">
        <v>2854</v>
      </c>
      <c r="B1184" s="10" t="n">
        <v>1546</v>
      </c>
      <c r="C1184" s="8" t="n">
        <v>45902</v>
      </c>
      <c r="D1184" s="8" t="n">
        <v>45900</v>
      </c>
      <c r="E1184" s="10" t="n">
        <v>5000</v>
      </c>
      <c r="F1184" s="0" t="str">
        <f aca="false">INDEX(COA!$C$5:$C$19,MATCH(E1184,COA!$A$5:$A$19,0))</f>
        <v>Expense</v>
      </c>
      <c r="G1184" s="12" t="n">
        <v>248.48</v>
      </c>
      <c r="H1184" s="12" t="n">
        <v>0</v>
      </c>
      <c r="I1184" s="10" t="s">
        <v>103</v>
      </c>
      <c r="J1184" s="10" t="s">
        <v>1636</v>
      </c>
      <c r="K1184" s="10" t="s">
        <v>1670</v>
      </c>
    </row>
    <row r="1185" customFormat="false" ht="15" hidden="false" customHeight="false" outlineLevel="0" collapsed="false">
      <c r="A1185" s="10" t="s">
        <v>2855</v>
      </c>
      <c r="B1185" s="10" t="n">
        <v>1546</v>
      </c>
      <c r="C1185" s="8" t="n">
        <v>45902</v>
      </c>
      <c r="D1185" s="8" t="n">
        <v>45900</v>
      </c>
      <c r="E1185" s="10" t="n">
        <v>5000</v>
      </c>
      <c r="F1185" s="0" t="str">
        <f aca="false">INDEX(COA!$C$5:$C$19,MATCH(E1185,COA!$A$5:$A$19,0))</f>
        <v>Expense</v>
      </c>
      <c r="G1185" s="12" t="n">
        <v>106.49</v>
      </c>
      <c r="H1185" s="12" t="n">
        <v>0</v>
      </c>
      <c r="I1185" s="10" t="s">
        <v>103</v>
      </c>
      <c r="J1185" s="10" t="s">
        <v>1636</v>
      </c>
      <c r="K1185" s="10" t="s">
        <v>1670</v>
      </c>
    </row>
    <row r="1186" customFormat="false" ht="15" hidden="false" customHeight="false" outlineLevel="0" collapsed="false">
      <c r="A1186" s="10" t="s">
        <v>2856</v>
      </c>
      <c r="B1186" s="10" t="n">
        <v>1546</v>
      </c>
      <c r="C1186" s="8" t="n">
        <v>45902</v>
      </c>
      <c r="D1186" s="8" t="n">
        <v>45900</v>
      </c>
      <c r="E1186" s="10" t="n">
        <v>1200</v>
      </c>
      <c r="F1186" s="0" t="str">
        <f aca="false">INDEX(COA!$C$5:$C$19,MATCH(E1186,COA!$A$5:$A$19,0))</f>
        <v>Asset</v>
      </c>
      <c r="G1186" s="12" t="n">
        <v>0</v>
      </c>
      <c r="H1186" s="12" t="n">
        <v>354.97</v>
      </c>
      <c r="I1186" s="10" t="s">
        <v>103</v>
      </c>
      <c r="J1186" s="10" t="s">
        <v>1636</v>
      </c>
      <c r="K1186" s="10" t="s">
        <v>1670</v>
      </c>
    </row>
    <row r="1187" customFormat="false" ht="15" hidden="false" customHeight="false" outlineLevel="0" collapsed="false">
      <c r="A1187" s="10" t="s">
        <v>2857</v>
      </c>
      <c r="B1187" s="10" t="n">
        <v>1547</v>
      </c>
      <c r="C1187" s="8" t="n">
        <v>45903</v>
      </c>
      <c r="D1187" s="8" t="n">
        <v>45901</v>
      </c>
      <c r="E1187" s="10" t="n">
        <v>5000</v>
      </c>
      <c r="F1187" s="0" t="str">
        <f aca="false">INDEX(COA!$C$5:$C$19,MATCH(E1187,COA!$A$5:$A$19,0))</f>
        <v>Expense</v>
      </c>
      <c r="G1187" s="12" t="n">
        <v>19294.15</v>
      </c>
      <c r="H1187" s="12" t="n">
        <v>0</v>
      </c>
      <c r="I1187" s="10" t="s">
        <v>103</v>
      </c>
      <c r="J1187" s="10" t="s">
        <v>1636</v>
      </c>
      <c r="K1187" s="10" t="s">
        <v>1670</v>
      </c>
    </row>
    <row r="1188" customFormat="false" ht="15" hidden="false" customHeight="false" outlineLevel="0" collapsed="false">
      <c r="A1188" s="10" t="s">
        <v>2858</v>
      </c>
      <c r="B1188" s="10" t="n">
        <v>1547</v>
      </c>
      <c r="C1188" s="8" t="n">
        <v>45903</v>
      </c>
      <c r="D1188" s="8" t="n">
        <v>45901</v>
      </c>
      <c r="E1188" s="10" t="n">
        <v>1200</v>
      </c>
      <c r="F1188" s="0" t="str">
        <f aca="false">INDEX(COA!$C$5:$C$19,MATCH(E1188,COA!$A$5:$A$19,0))</f>
        <v>Asset</v>
      </c>
      <c r="G1188" s="12" t="n">
        <v>0</v>
      </c>
      <c r="H1188" s="12" t="n">
        <v>19294.15</v>
      </c>
      <c r="I1188" s="10" t="s">
        <v>103</v>
      </c>
      <c r="J1188" s="10" t="s">
        <v>1636</v>
      </c>
      <c r="K1188" s="10" t="s">
        <v>1670</v>
      </c>
    </row>
    <row r="1189" customFormat="false" ht="15" hidden="false" customHeight="false" outlineLevel="0" collapsed="false">
      <c r="A1189" s="10" t="s">
        <v>2859</v>
      </c>
      <c r="B1189" s="10" t="n">
        <v>1548</v>
      </c>
      <c r="C1189" s="8" t="n">
        <v>45903</v>
      </c>
      <c r="D1189" s="8" t="n">
        <v>45900</v>
      </c>
      <c r="E1189" s="10" t="n">
        <v>2000</v>
      </c>
      <c r="F1189" s="0" t="str">
        <f aca="false">INDEX(COA!$C$5:$C$19,MATCH(E1189,COA!$A$5:$A$19,0))</f>
        <v>Liability</v>
      </c>
      <c r="G1189" s="12" t="n">
        <v>4913.61</v>
      </c>
      <c r="H1189" s="12" t="n">
        <v>0</v>
      </c>
      <c r="I1189" s="10" t="s">
        <v>104</v>
      </c>
      <c r="J1189" s="10" t="s">
        <v>1636</v>
      </c>
      <c r="K1189" s="10" t="s">
        <v>1659</v>
      </c>
    </row>
    <row r="1190" customFormat="false" ht="15" hidden="false" customHeight="false" outlineLevel="0" collapsed="false">
      <c r="A1190" s="10" t="s">
        <v>2860</v>
      </c>
      <c r="B1190" s="10" t="n">
        <v>1548</v>
      </c>
      <c r="C1190" s="8" t="n">
        <v>45903</v>
      </c>
      <c r="D1190" s="8" t="n">
        <v>45900</v>
      </c>
      <c r="E1190" s="10" t="n">
        <v>1000</v>
      </c>
      <c r="F1190" s="0" t="str">
        <f aca="false">INDEX(COA!$C$5:$C$19,MATCH(E1190,COA!$A$5:$A$19,0))</f>
        <v>Asset</v>
      </c>
      <c r="G1190" s="12" t="n">
        <v>0</v>
      </c>
      <c r="H1190" s="12" t="n">
        <v>4913.61</v>
      </c>
      <c r="I1190" s="10" t="s">
        <v>104</v>
      </c>
      <c r="J1190" s="10" t="s">
        <v>1636</v>
      </c>
      <c r="K1190" s="10" t="s">
        <v>1659</v>
      </c>
    </row>
    <row r="1191" customFormat="false" ht="15" hidden="false" customHeight="false" outlineLevel="0" collapsed="false">
      <c r="A1191" s="10" t="s">
        <v>2861</v>
      </c>
      <c r="B1191" s="10" t="n">
        <v>1549</v>
      </c>
      <c r="C1191" s="8" t="n">
        <v>45904</v>
      </c>
      <c r="D1191" s="8" t="n">
        <v>45902</v>
      </c>
      <c r="E1191" s="10" t="n">
        <v>6200</v>
      </c>
      <c r="F1191" s="0" t="str">
        <f aca="false">INDEX(COA!$C$5:$C$19,MATCH(E1191,COA!$A$5:$A$19,0))</f>
        <v>Expense</v>
      </c>
      <c r="G1191" s="12" t="n">
        <v>3151.18</v>
      </c>
      <c r="H1191" s="12" t="n">
        <v>0</v>
      </c>
      <c r="I1191" s="10" t="s">
        <v>102</v>
      </c>
      <c r="J1191" s="10" t="s">
        <v>1636</v>
      </c>
      <c r="K1191" s="10" t="s">
        <v>1689</v>
      </c>
    </row>
    <row r="1192" customFormat="false" ht="15" hidden="false" customHeight="false" outlineLevel="0" collapsed="false">
      <c r="A1192" s="10" t="s">
        <v>2862</v>
      </c>
      <c r="B1192" s="10" t="n">
        <v>1549</v>
      </c>
      <c r="C1192" s="8" t="n">
        <v>45904</v>
      </c>
      <c r="D1192" s="8" t="n">
        <v>45902</v>
      </c>
      <c r="E1192" s="10" t="n">
        <v>2000</v>
      </c>
      <c r="F1192" s="0" t="str">
        <f aca="false">INDEX(COA!$C$5:$C$19,MATCH(E1192,COA!$A$5:$A$19,0))</f>
        <v>Liability</v>
      </c>
      <c r="G1192" s="12" t="n">
        <v>0</v>
      </c>
      <c r="H1192" s="12" t="n">
        <v>3151.18</v>
      </c>
      <c r="I1192" s="10" t="s">
        <v>102</v>
      </c>
      <c r="J1192" s="10" t="s">
        <v>1636</v>
      </c>
      <c r="K1192" s="10" t="s">
        <v>1689</v>
      </c>
    </row>
    <row r="1193" customFormat="false" ht="15" hidden="false" customHeight="false" outlineLevel="0" collapsed="false">
      <c r="A1193" s="10" t="s">
        <v>2863</v>
      </c>
      <c r="B1193" s="10" t="n">
        <v>1550</v>
      </c>
      <c r="C1193" s="8" t="n">
        <v>45904</v>
      </c>
      <c r="D1193" s="8" t="n">
        <v>45902</v>
      </c>
      <c r="E1193" s="10" t="n">
        <v>1100</v>
      </c>
      <c r="F1193" s="0" t="str">
        <f aca="false">INDEX(COA!$C$5:$C$19,MATCH(E1193,COA!$A$5:$A$19,0))</f>
        <v>Asset</v>
      </c>
      <c r="G1193" s="12" t="n">
        <v>51548.39</v>
      </c>
      <c r="H1193" s="12" t="n">
        <v>0</v>
      </c>
      <c r="I1193" s="10" t="s">
        <v>103</v>
      </c>
      <c r="J1193" s="10" t="s">
        <v>1636</v>
      </c>
      <c r="K1193" s="10" t="s">
        <v>1640</v>
      </c>
    </row>
    <row r="1194" customFormat="false" ht="15" hidden="false" customHeight="false" outlineLevel="0" collapsed="false">
      <c r="A1194" s="10" t="s">
        <v>2864</v>
      </c>
      <c r="B1194" s="10" t="n">
        <v>1550</v>
      </c>
      <c r="C1194" s="8" t="n">
        <v>45904</v>
      </c>
      <c r="D1194" s="8" t="n">
        <v>45902</v>
      </c>
      <c r="E1194" s="10" t="n">
        <v>4000</v>
      </c>
      <c r="F1194" s="0" t="str">
        <f aca="false">INDEX(COA!$C$5:$C$19,MATCH(E1194,COA!$A$5:$A$19,0))</f>
        <v>Revenue</v>
      </c>
      <c r="G1194" s="12" t="n">
        <v>0</v>
      </c>
      <c r="H1194" s="12" t="n">
        <v>51548.39</v>
      </c>
      <c r="I1194" s="10" t="s">
        <v>103</v>
      </c>
      <c r="J1194" s="10" t="s">
        <v>1636</v>
      </c>
      <c r="K1194" s="10" t="s">
        <v>1640</v>
      </c>
    </row>
    <row r="1195" customFormat="false" ht="15" hidden="false" customHeight="false" outlineLevel="0" collapsed="false">
      <c r="A1195" s="10" t="s">
        <v>2865</v>
      </c>
      <c r="B1195" s="10" t="n">
        <v>1551</v>
      </c>
      <c r="C1195" s="8" t="n">
        <v>45904</v>
      </c>
      <c r="D1195" s="8" t="n">
        <v>45903</v>
      </c>
      <c r="E1195" s="10" t="n">
        <v>1000</v>
      </c>
      <c r="F1195" s="0" t="str">
        <f aca="false">INDEX(COA!$C$5:$C$19,MATCH(E1195,COA!$A$5:$A$19,0))</f>
        <v>Asset</v>
      </c>
      <c r="G1195" s="12" t="n">
        <v>932.65</v>
      </c>
      <c r="H1195" s="12" t="n">
        <v>0</v>
      </c>
      <c r="I1195" s="10" t="s">
        <v>103</v>
      </c>
      <c r="J1195" s="10" t="s">
        <v>1636</v>
      </c>
      <c r="K1195" s="10" t="s">
        <v>1637</v>
      </c>
    </row>
    <row r="1196" customFormat="false" ht="15" hidden="false" customHeight="false" outlineLevel="0" collapsed="false">
      <c r="A1196" s="10" t="s">
        <v>2866</v>
      </c>
      <c r="B1196" s="10" t="n">
        <v>1551</v>
      </c>
      <c r="C1196" s="8" t="n">
        <v>45904</v>
      </c>
      <c r="D1196" s="8" t="n">
        <v>45903</v>
      </c>
      <c r="E1196" s="10" t="n">
        <v>1100</v>
      </c>
      <c r="F1196" s="0" t="str">
        <f aca="false">INDEX(COA!$C$5:$C$19,MATCH(E1196,COA!$A$5:$A$19,0))</f>
        <v>Asset</v>
      </c>
      <c r="G1196" s="12" t="n">
        <v>0</v>
      </c>
      <c r="H1196" s="12" t="n">
        <v>932.65</v>
      </c>
      <c r="I1196" s="10" t="s">
        <v>103</v>
      </c>
      <c r="J1196" s="10" t="s">
        <v>1636</v>
      </c>
      <c r="K1196" s="10" t="s">
        <v>1637</v>
      </c>
    </row>
    <row r="1197" customFormat="false" ht="15" hidden="false" customHeight="false" outlineLevel="0" collapsed="false">
      <c r="A1197" s="10" t="s">
        <v>2867</v>
      </c>
      <c r="B1197" s="10" t="n">
        <v>1552</v>
      </c>
      <c r="C1197" s="8" t="n">
        <v>45904</v>
      </c>
      <c r="D1197" s="8" t="n">
        <v>45902</v>
      </c>
      <c r="E1197" s="10" t="n">
        <v>6200</v>
      </c>
      <c r="F1197" s="0" t="str">
        <f aca="false">INDEX(COA!$C$5:$C$19,MATCH(E1197,COA!$A$5:$A$19,0))</f>
        <v>Expense</v>
      </c>
      <c r="G1197" s="12" t="n">
        <v>18704.09</v>
      </c>
      <c r="H1197" s="12" t="n">
        <v>0</v>
      </c>
      <c r="I1197" s="10" t="s">
        <v>102</v>
      </c>
      <c r="J1197" s="10" t="s">
        <v>1636</v>
      </c>
      <c r="K1197" s="10" t="s">
        <v>1689</v>
      </c>
    </row>
    <row r="1198" customFormat="false" ht="15" hidden="false" customHeight="false" outlineLevel="0" collapsed="false">
      <c r="A1198" s="10" t="s">
        <v>2868</v>
      </c>
      <c r="B1198" s="10" t="n">
        <v>1552</v>
      </c>
      <c r="C1198" s="8" t="n">
        <v>45904</v>
      </c>
      <c r="D1198" s="8" t="n">
        <v>45902</v>
      </c>
      <c r="E1198" s="10" t="n">
        <v>2000</v>
      </c>
      <c r="F1198" s="0" t="str">
        <f aca="false">INDEX(COA!$C$5:$C$19,MATCH(E1198,COA!$A$5:$A$19,0))</f>
        <v>Liability</v>
      </c>
      <c r="G1198" s="12" t="n">
        <v>0</v>
      </c>
      <c r="H1198" s="12" t="n">
        <v>18704.09</v>
      </c>
      <c r="I1198" s="10" t="s">
        <v>102</v>
      </c>
      <c r="J1198" s="10" t="s">
        <v>1636</v>
      </c>
      <c r="K1198" s="10" t="s">
        <v>1689</v>
      </c>
    </row>
    <row r="1199" customFormat="false" ht="15" hidden="false" customHeight="false" outlineLevel="0" collapsed="false">
      <c r="A1199" s="10" t="s">
        <v>2869</v>
      </c>
      <c r="B1199" s="10" t="n">
        <v>1553</v>
      </c>
      <c r="C1199" s="8" t="n">
        <v>45904</v>
      </c>
      <c r="D1199" s="8" t="n">
        <v>45902</v>
      </c>
      <c r="E1199" s="10" t="n">
        <v>1500</v>
      </c>
      <c r="F1199" s="0" t="str">
        <f aca="false">INDEX(COA!$C$5:$C$19,MATCH(E1199,COA!$A$5:$A$19,0))</f>
        <v>Asset</v>
      </c>
      <c r="G1199" s="12" t="n">
        <v>36605.51</v>
      </c>
      <c r="H1199" s="12" t="n">
        <v>0</v>
      </c>
      <c r="I1199" s="10" t="s">
        <v>102</v>
      </c>
      <c r="J1199" s="10" t="s">
        <v>1636</v>
      </c>
      <c r="K1199" s="10" t="s">
        <v>1716</v>
      </c>
    </row>
    <row r="1200" customFormat="false" ht="15" hidden="false" customHeight="false" outlineLevel="0" collapsed="false">
      <c r="A1200" s="10" t="s">
        <v>2870</v>
      </c>
      <c r="B1200" s="10" t="n">
        <v>1553</v>
      </c>
      <c r="C1200" s="8" t="n">
        <v>45904</v>
      </c>
      <c r="D1200" s="8" t="n">
        <v>45902</v>
      </c>
      <c r="E1200" s="10" t="n">
        <v>2000</v>
      </c>
      <c r="F1200" s="0" t="str">
        <f aca="false">INDEX(COA!$C$5:$C$19,MATCH(E1200,COA!$A$5:$A$19,0))</f>
        <v>Liability</v>
      </c>
      <c r="G1200" s="12" t="n">
        <v>0</v>
      </c>
      <c r="H1200" s="12" t="n">
        <v>36605.51</v>
      </c>
      <c r="I1200" s="10" t="s">
        <v>102</v>
      </c>
      <c r="J1200" s="10" t="s">
        <v>1636</v>
      </c>
      <c r="K1200" s="10" t="s">
        <v>1716</v>
      </c>
    </row>
    <row r="1201" customFormat="false" ht="15" hidden="false" customHeight="false" outlineLevel="0" collapsed="false">
      <c r="A1201" s="10" t="s">
        <v>2871</v>
      </c>
      <c r="B1201" s="10" t="n">
        <v>1554</v>
      </c>
      <c r="C1201" s="8" t="n">
        <v>45904</v>
      </c>
      <c r="D1201" s="8" t="n">
        <v>45904</v>
      </c>
      <c r="E1201" s="10" t="n">
        <v>1200</v>
      </c>
      <c r="F1201" s="0" t="str">
        <f aca="false">INDEX(COA!$C$5:$C$19,MATCH(E1201,COA!$A$5:$A$19,0))</f>
        <v>Asset</v>
      </c>
      <c r="G1201" s="12" t="n">
        <v>6549.49</v>
      </c>
      <c r="H1201" s="12" t="n">
        <v>0</v>
      </c>
      <c r="I1201" s="10" t="s">
        <v>102</v>
      </c>
      <c r="J1201" s="10" t="s">
        <v>1636</v>
      </c>
      <c r="K1201" s="10" t="s">
        <v>1655</v>
      </c>
    </row>
    <row r="1202" customFormat="false" ht="15" hidden="false" customHeight="false" outlineLevel="0" collapsed="false">
      <c r="A1202" s="10" t="s">
        <v>2872</v>
      </c>
      <c r="B1202" s="10" t="n">
        <v>1554</v>
      </c>
      <c r="C1202" s="8" t="n">
        <v>45904</v>
      </c>
      <c r="D1202" s="8" t="n">
        <v>45904</v>
      </c>
      <c r="E1202" s="10" t="n">
        <v>2000</v>
      </c>
      <c r="F1202" s="0" t="str">
        <f aca="false">INDEX(COA!$C$5:$C$19,MATCH(E1202,COA!$A$5:$A$19,0))</f>
        <v>Liability</v>
      </c>
      <c r="G1202" s="12" t="n">
        <v>0</v>
      </c>
      <c r="H1202" s="12" t="n">
        <v>6549.49</v>
      </c>
      <c r="I1202" s="10" t="s">
        <v>102</v>
      </c>
      <c r="J1202" s="10" t="s">
        <v>1636</v>
      </c>
      <c r="K1202" s="10" t="s">
        <v>1655</v>
      </c>
    </row>
    <row r="1203" customFormat="false" ht="15" hidden="false" customHeight="false" outlineLevel="0" collapsed="false">
      <c r="A1203" s="10" t="s">
        <v>2873</v>
      </c>
      <c r="B1203" s="10" t="n">
        <v>1555</v>
      </c>
      <c r="C1203" s="8" t="n">
        <v>45905</v>
      </c>
      <c r="D1203" s="8" t="n">
        <v>45902</v>
      </c>
      <c r="E1203" s="10" t="n">
        <v>1000</v>
      </c>
      <c r="F1203" s="0" t="str">
        <f aca="false">INDEX(COA!$C$5:$C$19,MATCH(E1203,COA!$A$5:$A$19,0))</f>
        <v>Asset</v>
      </c>
      <c r="G1203" s="12" t="n">
        <v>32537.92</v>
      </c>
      <c r="H1203" s="12" t="n">
        <v>0</v>
      </c>
      <c r="I1203" s="10" t="s">
        <v>103</v>
      </c>
      <c r="J1203" s="10" t="s">
        <v>1636</v>
      </c>
      <c r="K1203" s="10" t="s">
        <v>1637</v>
      </c>
    </row>
    <row r="1204" customFormat="false" ht="15" hidden="false" customHeight="false" outlineLevel="0" collapsed="false">
      <c r="A1204" s="10" t="s">
        <v>2874</v>
      </c>
      <c r="B1204" s="10" t="n">
        <v>1555</v>
      </c>
      <c r="C1204" s="8" t="n">
        <v>45905</v>
      </c>
      <c r="D1204" s="8" t="n">
        <v>45902</v>
      </c>
      <c r="E1204" s="10" t="n">
        <v>1100</v>
      </c>
      <c r="F1204" s="0" t="str">
        <f aca="false">INDEX(COA!$C$5:$C$19,MATCH(E1204,COA!$A$5:$A$19,0))</f>
        <v>Asset</v>
      </c>
      <c r="G1204" s="12" t="n">
        <v>0</v>
      </c>
      <c r="H1204" s="12" t="n">
        <v>32537.92</v>
      </c>
      <c r="I1204" s="10" t="s">
        <v>103</v>
      </c>
      <c r="J1204" s="10" t="s">
        <v>1636</v>
      </c>
      <c r="K1204" s="10" t="s">
        <v>1637</v>
      </c>
    </row>
    <row r="1205" customFormat="false" ht="15" hidden="false" customHeight="false" outlineLevel="0" collapsed="false">
      <c r="A1205" s="10" t="s">
        <v>2875</v>
      </c>
      <c r="B1205" s="10" t="n">
        <v>1556</v>
      </c>
      <c r="C1205" s="8" t="n">
        <v>45905</v>
      </c>
      <c r="D1205" s="8" t="n">
        <v>45905</v>
      </c>
      <c r="E1205" s="10" t="n">
        <v>1200</v>
      </c>
      <c r="F1205" s="0" t="str">
        <f aca="false">INDEX(COA!$C$5:$C$19,MATCH(E1205,COA!$A$5:$A$19,0))</f>
        <v>Asset</v>
      </c>
      <c r="G1205" s="12" t="n">
        <v>14668.6</v>
      </c>
      <c r="H1205" s="12" t="n">
        <v>0</v>
      </c>
      <c r="I1205" s="10" t="s">
        <v>102</v>
      </c>
      <c r="J1205" s="10" t="s">
        <v>1636</v>
      </c>
      <c r="K1205" s="10" t="s">
        <v>1655</v>
      </c>
    </row>
    <row r="1206" customFormat="false" ht="15" hidden="false" customHeight="false" outlineLevel="0" collapsed="false">
      <c r="A1206" s="10" t="s">
        <v>2876</v>
      </c>
      <c r="B1206" s="10" t="n">
        <v>1556</v>
      </c>
      <c r="C1206" s="8" t="n">
        <v>45905</v>
      </c>
      <c r="D1206" s="8" t="n">
        <v>45905</v>
      </c>
      <c r="E1206" s="10" t="n">
        <v>2000</v>
      </c>
      <c r="F1206" s="0" t="str">
        <f aca="false">INDEX(COA!$C$5:$C$19,MATCH(E1206,COA!$A$5:$A$19,0))</f>
        <v>Liability</v>
      </c>
      <c r="G1206" s="12" t="n">
        <v>0</v>
      </c>
      <c r="H1206" s="12" t="n">
        <v>14668.6</v>
      </c>
      <c r="I1206" s="10" t="s">
        <v>102</v>
      </c>
      <c r="J1206" s="10" t="s">
        <v>1636</v>
      </c>
      <c r="K1206" s="10" t="s">
        <v>1655</v>
      </c>
    </row>
    <row r="1207" customFormat="false" ht="15" hidden="false" customHeight="false" outlineLevel="0" collapsed="false">
      <c r="A1207" s="10" t="s">
        <v>2877</v>
      </c>
      <c r="B1207" s="10" t="n">
        <v>1557</v>
      </c>
      <c r="C1207" s="8" t="n">
        <v>45905</v>
      </c>
      <c r="D1207" s="8" t="n">
        <v>45902</v>
      </c>
      <c r="E1207" s="10" t="n">
        <v>1000</v>
      </c>
      <c r="F1207" s="0" t="str">
        <f aca="false">INDEX(COA!$C$5:$C$19,MATCH(E1207,COA!$A$5:$A$19,0))</f>
        <v>Asset</v>
      </c>
      <c r="G1207" s="12" t="n">
        <v>3845.61</v>
      </c>
      <c r="H1207" s="12" t="n">
        <v>0</v>
      </c>
      <c r="I1207" s="10" t="s">
        <v>103</v>
      </c>
      <c r="J1207" s="10" t="s">
        <v>1636</v>
      </c>
      <c r="K1207" s="10" t="s">
        <v>1637</v>
      </c>
    </row>
    <row r="1208" customFormat="false" ht="15" hidden="false" customHeight="false" outlineLevel="0" collapsed="false">
      <c r="A1208" s="10" t="s">
        <v>2878</v>
      </c>
      <c r="B1208" s="10" t="n">
        <v>1557</v>
      </c>
      <c r="C1208" s="8" t="n">
        <v>45905</v>
      </c>
      <c r="D1208" s="8" t="n">
        <v>45902</v>
      </c>
      <c r="E1208" s="10" t="n">
        <v>1100</v>
      </c>
      <c r="F1208" s="0" t="str">
        <f aca="false">INDEX(COA!$C$5:$C$19,MATCH(E1208,COA!$A$5:$A$19,0))</f>
        <v>Asset</v>
      </c>
      <c r="G1208" s="12" t="n">
        <v>0</v>
      </c>
      <c r="H1208" s="12" t="n">
        <v>3845.61</v>
      </c>
      <c r="I1208" s="10" t="s">
        <v>103</v>
      </c>
      <c r="J1208" s="10" t="s">
        <v>1636</v>
      </c>
      <c r="K1208" s="10" t="s">
        <v>1637</v>
      </c>
    </row>
    <row r="1209" customFormat="false" ht="15" hidden="false" customHeight="false" outlineLevel="0" collapsed="false">
      <c r="A1209" s="10" t="s">
        <v>2879</v>
      </c>
      <c r="B1209" s="10" t="n">
        <v>1558</v>
      </c>
      <c r="C1209" s="8" t="n">
        <v>45906</v>
      </c>
      <c r="D1209" s="8" t="n">
        <v>45906</v>
      </c>
      <c r="E1209" s="10" t="n">
        <v>6900</v>
      </c>
      <c r="F1209" s="0" t="str">
        <f aca="false">INDEX(COA!$C$5:$C$19,MATCH(E1209,COA!$A$5:$A$19,0))</f>
        <v>Expense</v>
      </c>
      <c r="G1209" s="12" t="n">
        <v>478.89</v>
      </c>
      <c r="H1209" s="12" t="n">
        <v>0</v>
      </c>
      <c r="I1209" s="10" t="s">
        <v>100</v>
      </c>
      <c r="J1209" s="10" t="s">
        <v>1648</v>
      </c>
      <c r="K1209" s="10" t="s">
        <v>2880</v>
      </c>
    </row>
    <row r="1210" customFormat="false" ht="15" hidden="false" customHeight="false" outlineLevel="0" collapsed="false">
      <c r="A1210" s="10" t="s">
        <v>2881</v>
      </c>
      <c r="B1210" s="10" t="n">
        <v>1558</v>
      </c>
      <c r="C1210" s="8" t="n">
        <v>45906</v>
      </c>
      <c r="D1210" s="8" t="n">
        <v>45906</v>
      </c>
      <c r="E1210" s="10" t="n">
        <v>2100</v>
      </c>
      <c r="F1210" s="0" t="str">
        <f aca="false">INDEX(COA!$C$5:$C$19,MATCH(E1210,COA!$A$5:$A$19,0))</f>
        <v>Liability</v>
      </c>
      <c r="G1210" s="12" t="n">
        <v>0</v>
      </c>
      <c r="H1210" s="12" t="n">
        <v>478.89</v>
      </c>
      <c r="I1210" s="10" t="s">
        <v>100</v>
      </c>
      <c r="J1210" s="10" t="s">
        <v>1648</v>
      </c>
      <c r="K1210" s="10" t="s">
        <v>2880</v>
      </c>
    </row>
    <row r="1211" customFormat="false" ht="15" hidden="false" customHeight="false" outlineLevel="0" collapsed="false">
      <c r="A1211" s="10" t="s">
        <v>2882</v>
      </c>
      <c r="B1211" s="10" t="n">
        <v>1559</v>
      </c>
      <c r="C1211" s="8" t="n">
        <v>45908</v>
      </c>
      <c r="D1211" s="8" t="n">
        <v>45904</v>
      </c>
      <c r="E1211" s="10" t="n">
        <v>2000</v>
      </c>
      <c r="F1211" s="0" t="str">
        <f aca="false">INDEX(COA!$C$5:$C$19,MATCH(E1211,COA!$A$5:$A$19,0))</f>
        <v>Liability</v>
      </c>
      <c r="G1211" s="12" t="n">
        <v>3764.48</v>
      </c>
      <c r="H1211" s="12" t="n">
        <v>0</v>
      </c>
      <c r="I1211" s="10" t="s">
        <v>104</v>
      </c>
      <c r="J1211" s="10" t="s">
        <v>1636</v>
      </c>
      <c r="K1211" s="10" t="s">
        <v>1659</v>
      </c>
    </row>
    <row r="1212" customFormat="false" ht="15" hidden="false" customHeight="false" outlineLevel="0" collapsed="false">
      <c r="A1212" s="10" t="s">
        <v>2883</v>
      </c>
      <c r="B1212" s="10" t="n">
        <v>1559</v>
      </c>
      <c r="C1212" s="8" t="n">
        <v>45908</v>
      </c>
      <c r="D1212" s="8" t="n">
        <v>45904</v>
      </c>
      <c r="E1212" s="10" t="n">
        <v>1000</v>
      </c>
      <c r="F1212" s="0" t="str">
        <f aca="false">INDEX(COA!$C$5:$C$19,MATCH(E1212,COA!$A$5:$A$19,0))</f>
        <v>Asset</v>
      </c>
      <c r="G1212" s="12" t="n">
        <v>0</v>
      </c>
      <c r="H1212" s="12" t="n">
        <v>3764.48</v>
      </c>
      <c r="I1212" s="10" t="s">
        <v>104</v>
      </c>
      <c r="J1212" s="10" t="s">
        <v>1636</v>
      </c>
      <c r="K1212" s="10" t="s">
        <v>1659</v>
      </c>
    </row>
    <row r="1213" customFormat="false" ht="15" hidden="false" customHeight="false" outlineLevel="0" collapsed="false">
      <c r="A1213" s="10" t="s">
        <v>2884</v>
      </c>
      <c r="B1213" s="10" t="n">
        <v>1560</v>
      </c>
      <c r="C1213" s="8" t="n">
        <v>45908</v>
      </c>
      <c r="D1213" s="8" t="n">
        <v>45905</v>
      </c>
      <c r="E1213" s="10" t="n">
        <v>2000</v>
      </c>
      <c r="F1213" s="0" t="str">
        <f aca="false">INDEX(COA!$C$5:$C$19,MATCH(E1213,COA!$A$5:$A$19,0))</f>
        <v>Liability</v>
      </c>
      <c r="G1213" s="12" t="n">
        <v>74425</v>
      </c>
      <c r="H1213" s="12" t="n">
        <v>0</v>
      </c>
      <c r="I1213" s="10" t="s">
        <v>104</v>
      </c>
      <c r="J1213" s="10" t="s">
        <v>1636</v>
      </c>
      <c r="K1213" s="10" t="s">
        <v>1659</v>
      </c>
    </row>
    <row r="1214" customFormat="false" ht="15" hidden="false" customHeight="false" outlineLevel="0" collapsed="false">
      <c r="A1214" s="10" t="s">
        <v>2885</v>
      </c>
      <c r="B1214" s="10" t="n">
        <v>1560</v>
      </c>
      <c r="C1214" s="8" t="n">
        <v>45908</v>
      </c>
      <c r="D1214" s="8" t="n">
        <v>45905</v>
      </c>
      <c r="E1214" s="10" t="n">
        <v>1000</v>
      </c>
      <c r="F1214" s="0" t="str">
        <f aca="false">INDEX(COA!$C$5:$C$19,MATCH(E1214,COA!$A$5:$A$19,0))</f>
        <v>Asset</v>
      </c>
      <c r="G1214" s="12" t="n">
        <v>0</v>
      </c>
      <c r="H1214" s="12" t="n">
        <v>74425</v>
      </c>
      <c r="I1214" s="10" t="s">
        <v>104</v>
      </c>
      <c r="J1214" s="10" t="s">
        <v>1636</v>
      </c>
      <c r="K1214" s="10" t="s">
        <v>1659</v>
      </c>
    </row>
    <row r="1215" customFormat="false" ht="15" hidden="false" customHeight="false" outlineLevel="0" collapsed="false">
      <c r="A1215" s="10" t="s">
        <v>2886</v>
      </c>
      <c r="B1215" s="10" t="n">
        <v>1561</v>
      </c>
      <c r="C1215" s="8" t="n">
        <v>45908</v>
      </c>
      <c r="D1215" s="8" t="n">
        <v>45905</v>
      </c>
      <c r="E1215" s="10" t="n">
        <v>1100</v>
      </c>
      <c r="F1215" s="0" t="str">
        <f aca="false">INDEX(COA!$C$5:$C$19,MATCH(E1215,COA!$A$5:$A$19,0))</f>
        <v>Asset</v>
      </c>
      <c r="G1215" s="12" t="n">
        <v>10468.05</v>
      </c>
      <c r="H1215" s="12" t="n">
        <v>0</v>
      </c>
      <c r="I1215" s="10" t="s">
        <v>103</v>
      </c>
      <c r="J1215" s="10" t="s">
        <v>1636</v>
      </c>
      <c r="K1215" s="10" t="s">
        <v>1640</v>
      </c>
    </row>
    <row r="1216" customFormat="false" ht="15" hidden="false" customHeight="false" outlineLevel="0" collapsed="false">
      <c r="A1216" s="10" t="s">
        <v>2887</v>
      </c>
      <c r="B1216" s="10" t="n">
        <v>1561</v>
      </c>
      <c r="C1216" s="8" t="n">
        <v>45908</v>
      </c>
      <c r="D1216" s="8" t="n">
        <v>45905</v>
      </c>
      <c r="E1216" s="10" t="n">
        <v>4000</v>
      </c>
      <c r="F1216" s="0" t="str">
        <f aca="false">INDEX(COA!$C$5:$C$19,MATCH(E1216,COA!$A$5:$A$19,0))</f>
        <v>Revenue</v>
      </c>
      <c r="G1216" s="12" t="n">
        <v>0</v>
      </c>
      <c r="H1216" s="12" t="n">
        <v>10468.05</v>
      </c>
      <c r="I1216" s="10" t="s">
        <v>103</v>
      </c>
      <c r="J1216" s="10" t="s">
        <v>1636</v>
      </c>
      <c r="K1216" s="10" t="s">
        <v>1640</v>
      </c>
    </row>
    <row r="1217" customFormat="false" ht="15" hidden="false" customHeight="false" outlineLevel="0" collapsed="false">
      <c r="A1217" s="10" t="s">
        <v>2888</v>
      </c>
      <c r="B1217" s="10" t="n">
        <v>1562</v>
      </c>
      <c r="C1217" s="8" t="n">
        <v>45908</v>
      </c>
      <c r="D1217" s="8" t="n">
        <v>45904</v>
      </c>
      <c r="E1217" s="10" t="n">
        <v>6200</v>
      </c>
      <c r="F1217" s="0" t="str">
        <f aca="false">INDEX(COA!$C$5:$C$19,MATCH(E1217,COA!$A$5:$A$19,0))</f>
        <v>Expense</v>
      </c>
      <c r="G1217" s="12" t="n">
        <v>2056.79</v>
      </c>
      <c r="H1217" s="12" t="n">
        <v>0</v>
      </c>
      <c r="I1217" s="10" t="s">
        <v>102</v>
      </c>
      <c r="J1217" s="10" t="s">
        <v>1636</v>
      </c>
      <c r="K1217" s="10" t="s">
        <v>1689</v>
      </c>
    </row>
    <row r="1218" customFormat="false" ht="15" hidden="false" customHeight="false" outlineLevel="0" collapsed="false">
      <c r="A1218" s="10" t="s">
        <v>2889</v>
      </c>
      <c r="B1218" s="10" t="n">
        <v>1562</v>
      </c>
      <c r="C1218" s="8" t="n">
        <v>45908</v>
      </c>
      <c r="D1218" s="8" t="n">
        <v>45904</v>
      </c>
      <c r="E1218" s="10" t="n">
        <v>2000</v>
      </c>
      <c r="F1218" s="0" t="str">
        <f aca="false">INDEX(COA!$C$5:$C$19,MATCH(E1218,COA!$A$5:$A$19,0))</f>
        <v>Liability</v>
      </c>
      <c r="G1218" s="12" t="n">
        <v>0</v>
      </c>
      <c r="H1218" s="12" t="n">
        <v>2056.79</v>
      </c>
      <c r="I1218" s="10" t="s">
        <v>102</v>
      </c>
      <c r="J1218" s="10" t="s">
        <v>1636</v>
      </c>
      <c r="K1218" s="10" t="s">
        <v>1689</v>
      </c>
    </row>
    <row r="1219" customFormat="false" ht="15" hidden="false" customHeight="false" outlineLevel="0" collapsed="false">
      <c r="A1219" s="10" t="s">
        <v>2890</v>
      </c>
      <c r="B1219" s="10" t="n">
        <v>1563</v>
      </c>
      <c r="C1219" s="8" t="n">
        <v>45909</v>
      </c>
      <c r="D1219" s="8" t="n">
        <v>45907</v>
      </c>
      <c r="E1219" s="10" t="n">
        <v>1100</v>
      </c>
      <c r="F1219" s="0" t="str">
        <f aca="false">INDEX(COA!$C$5:$C$19,MATCH(E1219,COA!$A$5:$A$19,0))</f>
        <v>Asset</v>
      </c>
      <c r="G1219" s="12" t="n">
        <v>66129.46</v>
      </c>
      <c r="H1219" s="12" t="n">
        <v>0</v>
      </c>
      <c r="I1219" s="10" t="s">
        <v>103</v>
      </c>
      <c r="J1219" s="10" t="s">
        <v>1636</v>
      </c>
      <c r="K1219" s="10" t="s">
        <v>1640</v>
      </c>
    </row>
    <row r="1220" customFormat="false" ht="15" hidden="false" customHeight="false" outlineLevel="0" collapsed="false">
      <c r="A1220" s="10" t="s">
        <v>2891</v>
      </c>
      <c r="B1220" s="10" t="n">
        <v>1563</v>
      </c>
      <c r="C1220" s="8" t="n">
        <v>45909</v>
      </c>
      <c r="D1220" s="8" t="n">
        <v>45907</v>
      </c>
      <c r="E1220" s="10" t="n">
        <v>4000</v>
      </c>
      <c r="F1220" s="0" t="str">
        <f aca="false">INDEX(COA!$C$5:$C$19,MATCH(E1220,COA!$A$5:$A$19,0))</f>
        <v>Revenue</v>
      </c>
      <c r="G1220" s="12" t="n">
        <v>0</v>
      </c>
      <c r="H1220" s="12" t="n">
        <v>66129.46</v>
      </c>
      <c r="I1220" s="10" t="s">
        <v>103</v>
      </c>
      <c r="J1220" s="10" t="s">
        <v>1636</v>
      </c>
      <c r="K1220" s="10" t="s">
        <v>1640</v>
      </c>
    </row>
    <row r="1221" customFormat="false" ht="15" hidden="false" customHeight="false" outlineLevel="0" collapsed="false">
      <c r="A1221" s="10" t="s">
        <v>2892</v>
      </c>
      <c r="B1221" s="10" t="n">
        <v>1564</v>
      </c>
      <c r="C1221" s="8" t="n">
        <v>45909</v>
      </c>
      <c r="D1221" s="8" t="n">
        <v>45905</v>
      </c>
      <c r="E1221" s="10" t="n">
        <v>1100</v>
      </c>
      <c r="F1221" s="0" t="str">
        <f aca="false">INDEX(COA!$C$5:$C$19,MATCH(E1221,COA!$A$5:$A$19,0))</f>
        <v>Asset</v>
      </c>
      <c r="G1221" s="12" t="n">
        <v>1200.7</v>
      </c>
      <c r="H1221" s="12" t="n">
        <v>0</v>
      </c>
      <c r="I1221" s="10" t="s">
        <v>103</v>
      </c>
      <c r="J1221" s="10" t="s">
        <v>1636</v>
      </c>
      <c r="K1221" s="10" t="s">
        <v>1640</v>
      </c>
    </row>
    <row r="1222" customFormat="false" ht="15" hidden="false" customHeight="false" outlineLevel="0" collapsed="false">
      <c r="A1222" s="10" t="s">
        <v>2893</v>
      </c>
      <c r="B1222" s="10" t="n">
        <v>1564</v>
      </c>
      <c r="C1222" s="8" t="n">
        <v>45909</v>
      </c>
      <c r="D1222" s="8" t="n">
        <v>45905</v>
      </c>
      <c r="E1222" s="10" t="n">
        <v>4000</v>
      </c>
      <c r="F1222" s="0" t="str">
        <f aca="false">INDEX(COA!$C$5:$C$19,MATCH(E1222,COA!$A$5:$A$19,0))</f>
        <v>Revenue</v>
      </c>
      <c r="G1222" s="12" t="n">
        <v>0</v>
      </c>
      <c r="H1222" s="12" t="n">
        <v>1200.7</v>
      </c>
      <c r="I1222" s="10" t="s">
        <v>103</v>
      </c>
      <c r="J1222" s="10" t="s">
        <v>1636</v>
      </c>
      <c r="K1222" s="10" t="s">
        <v>1640</v>
      </c>
    </row>
    <row r="1223" customFormat="false" ht="15" hidden="false" customHeight="false" outlineLevel="0" collapsed="false">
      <c r="A1223" s="10" t="s">
        <v>2894</v>
      </c>
      <c r="B1223" s="10" t="n">
        <v>1565</v>
      </c>
      <c r="C1223" s="8" t="n">
        <v>45909</v>
      </c>
      <c r="D1223" s="8" t="n">
        <v>45905</v>
      </c>
      <c r="E1223" s="10" t="n">
        <v>6900</v>
      </c>
      <c r="F1223" s="0" t="str">
        <f aca="false">INDEX(COA!$C$5:$C$19,MATCH(E1223,COA!$A$5:$A$19,0))</f>
        <v>Expense</v>
      </c>
      <c r="G1223" s="12" t="n">
        <v>18545.18</v>
      </c>
      <c r="H1223" s="12" t="n">
        <v>0</v>
      </c>
      <c r="I1223" s="10" t="s">
        <v>99</v>
      </c>
      <c r="J1223" s="10" t="s">
        <v>1648</v>
      </c>
      <c r="K1223" s="10" t="s">
        <v>1649</v>
      </c>
    </row>
    <row r="1224" customFormat="false" ht="15" hidden="false" customHeight="false" outlineLevel="0" collapsed="false">
      <c r="A1224" s="10" t="s">
        <v>2895</v>
      </c>
      <c r="B1224" s="10" t="n">
        <v>1565</v>
      </c>
      <c r="C1224" s="8" t="n">
        <v>45909</v>
      </c>
      <c r="D1224" s="8" t="n">
        <v>45905</v>
      </c>
      <c r="E1224" s="10" t="n">
        <v>2100</v>
      </c>
      <c r="F1224" s="0" t="str">
        <f aca="false">INDEX(COA!$C$5:$C$19,MATCH(E1224,COA!$A$5:$A$19,0))</f>
        <v>Liability</v>
      </c>
      <c r="G1224" s="12" t="n">
        <v>0</v>
      </c>
      <c r="H1224" s="12" t="n">
        <v>18545.18</v>
      </c>
      <c r="I1224" s="10" t="s">
        <v>99</v>
      </c>
      <c r="J1224" s="10" t="s">
        <v>1648</v>
      </c>
      <c r="K1224" s="10" t="s">
        <v>1649</v>
      </c>
    </row>
    <row r="1225" customFormat="false" ht="15" hidden="false" customHeight="false" outlineLevel="0" collapsed="false">
      <c r="A1225" s="10" t="s">
        <v>2896</v>
      </c>
      <c r="B1225" s="10" t="n">
        <v>1566</v>
      </c>
      <c r="C1225" s="8" t="n">
        <v>45909</v>
      </c>
      <c r="D1225" s="8" t="n">
        <v>45909</v>
      </c>
      <c r="E1225" s="10" t="n">
        <v>1100</v>
      </c>
      <c r="F1225" s="0" t="str">
        <f aca="false">INDEX(COA!$C$5:$C$19,MATCH(E1225,COA!$A$5:$A$19,0))</f>
        <v>Asset</v>
      </c>
      <c r="G1225" s="12" t="n">
        <v>2306.51</v>
      </c>
      <c r="H1225" s="12" t="n">
        <v>0</v>
      </c>
      <c r="I1225" s="10" t="s">
        <v>103</v>
      </c>
      <c r="J1225" s="10" t="s">
        <v>1636</v>
      </c>
      <c r="K1225" s="10" t="s">
        <v>1640</v>
      </c>
    </row>
    <row r="1226" customFormat="false" ht="15" hidden="false" customHeight="false" outlineLevel="0" collapsed="false">
      <c r="A1226" s="10" t="s">
        <v>2897</v>
      </c>
      <c r="B1226" s="10" t="n">
        <v>1566</v>
      </c>
      <c r="C1226" s="8" t="n">
        <v>45909</v>
      </c>
      <c r="D1226" s="8" t="n">
        <v>45909</v>
      </c>
      <c r="E1226" s="10" t="n">
        <v>1100</v>
      </c>
      <c r="F1226" s="0" t="str">
        <f aca="false">INDEX(COA!$C$5:$C$19,MATCH(E1226,COA!$A$5:$A$19,0))</f>
        <v>Asset</v>
      </c>
      <c r="G1226" s="12" t="n">
        <v>988.5</v>
      </c>
      <c r="H1226" s="12" t="n">
        <v>0</v>
      </c>
      <c r="I1226" s="10" t="s">
        <v>103</v>
      </c>
      <c r="J1226" s="10" t="s">
        <v>1636</v>
      </c>
      <c r="K1226" s="10" t="s">
        <v>1640</v>
      </c>
    </row>
    <row r="1227" customFormat="false" ht="15" hidden="false" customHeight="false" outlineLevel="0" collapsed="false">
      <c r="A1227" s="10" t="s">
        <v>2898</v>
      </c>
      <c r="B1227" s="10" t="n">
        <v>1566</v>
      </c>
      <c r="C1227" s="8" t="n">
        <v>45909</v>
      </c>
      <c r="D1227" s="8" t="n">
        <v>45909</v>
      </c>
      <c r="E1227" s="10" t="n">
        <v>4000</v>
      </c>
      <c r="F1227" s="0" t="str">
        <f aca="false">INDEX(COA!$C$5:$C$19,MATCH(E1227,COA!$A$5:$A$19,0))</f>
        <v>Revenue</v>
      </c>
      <c r="G1227" s="12" t="n">
        <v>0</v>
      </c>
      <c r="H1227" s="12" t="n">
        <v>3295.01</v>
      </c>
      <c r="I1227" s="10" t="s">
        <v>103</v>
      </c>
      <c r="J1227" s="10" t="s">
        <v>1636</v>
      </c>
      <c r="K1227" s="10" t="s">
        <v>1640</v>
      </c>
    </row>
    <row r="1228" customFormat="false" ht="15" hidden="false" customHeight="false" outlineLevel="0" collapsed="false">
      <c r="A1228" s="10" t="s">
        <v>2899</v>
      </c>
      <c r="B1228" s="10" t="n">
        <v>1567</v>
      </c>
      <c r="C1228" s="8" t="n">
        <v>45909</v>
      </c>
      <c r="D1228" s="8" t="n">
        <v>45906</v>
      </c>
      <c r="E1228" s="10" t="n">
        <v>1000</v>
      </c>
      <c r="F1228" s="0" t="str">
        <f aca="false">INDEX(COA!$C$5:$C$19,MATCH(E1228,COA!$A$5:$A$19,0))</f>
        <v>Asset</v>
      </c>
      <c r="G1228" s="12" t="n">
        <v>551.19</v>
      </c>
      <c r="H1228" s="12" t="n">
        <v>0</v>
      </c>
      <c r="I1228" s="10" t="s">
        <v>103</v>
      </c>
      <c r="J1228" s="10" t="s">
        <v>1636</v>
      </c>
      <c r="K1228" s="10" t="s">
        <v>1637</v>
      </c>
    </row>
    <row r="1229" customFormat="false" ht="15" hidden="false" customHeight="false" outlineLevel="0" collapsed="false">
      <c r="A1229" s="10" t="s">
        <v>2900</v>
      </c>
      <c r="B1229" s="10" t="n">
        <v>1567</v>
      </c>
      <c r="C1229" s="8" t="n">
        <v>45909</v>
      </c>
      <c r="D1229" s="8" t="n">
        <v>45906</v>
      </c>
      <c r="E1229" s="10" t="n">
        <v>1000</v>
      </c>
      <c r="F1229" s="0" t="str">
        <f aca="false">INDEX(COA!$C$5:$C$19,MATCH(E1229,COA!$A$5:$A$19,0))</f>
        <v>Asset</v>
      </c>
      <c r="G1229" s="12" t="n">
        <v>236.22</v>
      </c>
      <c r="H1229" s="12" t="n">
        <v>0</v>
      </c>
      <c r="I1229" s="10" t="s">
        <v>103</v>
      </c>
      <c r="J1229" s="10" t="s">
        <v>1636</v>
      </c>
      <c r="K1229" s="10" t="s">
        <v>1637</v>
      </c>
    </row>
    <row r="1230" customFormat="false" ht="15" hidden="false" customHeight="false" outlineLevel="0" collapsed="false">
      <c r="A1230" s="10" t="s">
        <v>2901</v>
      </c>
      <c r="B1230" s="10" t="n">
        <v>1567</v>
      </c>
      <c r="C1230" s="8" t="n">
        <v>45909</v>
      </c>
      <c r="D1230" s="8" t="n">
        <v>45906</v>
      </c>
      <c r="E1230" s="10" t="n">
        <v>1100</v>
      </c>
      <c r="F1230" s="0" t="str">
        <f aca="false">INDEX(COA!$C$5:$C$19,MATCH(E1230,COA!$A$5:$A$19,0))</f>
        <v>Asset</v>
      </c>
      <c r="G1230" s="12" t="n">
        <v>0</v>
      </c>
      <c r="H1230" s="12" t="n">
        <v>787.41</v>
      </c>
      <c r="I1230" s="10" t="s">
        <v>103</v>
      </c>
      <c r="J1230" s="10" t="s">
        <v>1636</v>
      </c>
      <c r="K1230" s="10" t="s">
        <v>1637</v>
      </c>
    </row>
    <row r="1231" customFormat="false" ht="15" hidden="false" customHeight="false" outlineLevel="0" collapsed="false">
      <c r="A1231" s="10" t="s">
        <v>2902</v>
      </c>
      <c r="B1231" s="10" t="n">
        <v>1568</v>
      </c>
      <c r="C1231" s="8" t="n">
        <v>45909</v>
      </c>
      <c r="D1231" s="8" t="n">
        <v>45905</v>
      </c>
      <c r="E1231" s="10" t="n">
        <v>2000</v>
      </c>
      <c r="F1231" s="0" t="str">
        <f aca="false">INDEX(COA!$C$5:$C$19,MATCH(E1231,COA!$A$5:$A$19,0))</f>
        <v>Liability</v>
      </c>
      <c r="G1231" s="12" t="n">
        <v>854.68</v>
      </c>
      <c r="H1231" s="12" t="n">
        <v>0</v>
      </c>
      <c r="I1231" s="10" t="s">
        <v>104</v>
      </c>
      <c r="J1231" s="10" t="s">
        <v>1636</v>
      </c>
      <c r="K1231" s="10" t="s">
        <v>1659</v>
      </c>
    </row>
    <row r="1232" customFormat="false" ht="15" hidden="false" customHeight="false" outlineLevel="0" collapsed="false">
      <c r="A1232" s="10" t="s">
        <v>2903</v>
      </c>
      <c r="B1232" s="10" t="n">
        <v>1568</v>
      </c>
      <c r="C1232" s="8" t="n">
        <v>45909</v>
      </c>
      <c r="D1232" s="8" t="n">
        <v>45905</v>
      </c>
      <c r="E1232" s="10" t="n">
        <v>2000</v>
      </c>
      <c r="F1232" s="0" t="str">
        <f aca="false">INDEX(COA!$C$5:$C$19,MATCH(E1232,COA!$A$5:$A$19,0))</f>
        <v>Liability</v>
      </c>
      <c r="G1232" s="12" t="n">
        <v>366.29</v>
      </c>
      <c r="H1232" s="12" t="n">
        <v>0</v>
      </c>
      <c r="I1232" s="10" t="s">
        <v>104</v>
      </c>
      <c r="J1232" s="10" t="s">
        <v>1636</v>
      </c>
      <c r="K1232" s="10" t="s">
        <v>1659</v>
      </c>
    </row>
    <row r="1233" customFormat="false" ht="15" hidden="false" customHeight="false" outlineLevel="0" collapsed="false">
      <c r="A1233" s="10" t="s">
        <v>2904</v>
      </c>
      <c r="B1233" s="10" t="n">
        <v>1568</v>
      </c>
      <c r="C1233" s="8" t="n">
        <v>45909</v>
      </c>
      <c r="D1233" s="8" t="n">
        <v>45905</v>
      </c>
      <c r="E1233" s="10" t="n">
        <v>1000</v>
      </c>
      <c r="F1233" s="0" t="str">
        <f aca="false">INDEX(COA!$C$5:$C$19,MATCH(E1233,COA!$A$5:$A$19,0))</f>
        <v>Asset</v>
      </c>
      <c r="G1233" s="12" t="n">
        <v>0</v>
      </c>
      <c r="H1233" s="12" t="n">
        <v>1220.97</v>
      </c>
      <c r="I1233" s="10" t="s">
        <v>104</v>
      </c>
      <c r="J1233" s="10" t="s">
        <v>1636</v>
      </c>
      <c r="K1233" s="10" t="s">
        <v>1659</v>
      </c>
    </row>
    <row r="1234" customFormat="false" ht="15" hidden="false" customHeight="false" outlineLevel="0" collapsed="false">
      <c r="A1234" s="10" t="s">
        <v>2905</v>
      </c>
      <c r="B1234" s="10" t="n">
        <v>1569</v>
      </c>
      <c r="C1234" s="8" t="n">
        <v>45911</v>
      </c>
      <c r="D1234" s="8" t="n">
        <v>45909</v>
      </c>
      <c r="E1234" s="10" t="n">
        <v>1000</v>
      </c>
      <c r="F1234" s="0" t="str">
        <f aca="false">INDEX(COA!$C$5:$C$19,MATCH(E1234,COA!$A$5:$A$19,0))</f>
        <v>Asset</v>
      </c>
      <c r="G1234" s="12" t="n">
        <v>9761.28</v>
      </c>
      <c r="H1234" s="12" t="n">
        <v>0</v>
      </c>
      <c r="I1234" s="10" t="s">
        <v>103</v>
      </c>
      <c r="J1234" s="10" t="s">
        <v>1636</v>
      </c>
      <c r="K1234" s="10" t="s">
        <v>1637</v>
      </c>
    </row>
    <row r="1235" customFormat="false" ht="15" hidden="false" customHeight="false" outlineLevel="0" collapsed="false">
      <c r="A1235" s="10" t="s">
        <v>2906</v>
      </c>
      <c r="B1235" s="10" t="n">
        <v>1569</v>
      </c>
      <c r="C1235" s="8" t="n">
        <v>45911</v>
      </c>
      <c r="D1235" s="8" t="n">
        <v>45909</v>
      </c>
      <c r="E1235" s="10" t="n">
        <v>1100</v>
      </c>
      <c r="F1235" s="0" t="str">
        <f aca="false">INDEX(COA!$C$5:$C$19,MATCH(E1235,COA!$A$5:$A$19,0))</f>
        <v>Asset</v>
      </c>
      <c r="G1235" s="12" t="n">
        <v>0</v>
      </c>
      <c r="H1235" s="12" t="n">
        <v>9761.28</v>
      </c>
      <c r="I1235" s="10" t="s">
        <v>103</v>
      </c>
      <c r="J1235" s="10" t="s">
        <v>1636</v>
      </c>
      <c r="K1235" s="10" t="s">
        <v>1637</v>
      </c>
    </row>
    <row r="1236" customFormat="false" ht="15" hidden="false" customHeight="false" outlineLevel="0" collapsed="false">
      <c r="A1236" s="10" t="s">
        <v>2907</v>
      </c>
      <c r="B1236" s="10" t="n">
        <v>1570</v>
      </c>
      <c r="C1236" s="8" t="n">
        <v>45911</v>
      </c>
      <c r="D1236" s="8" t="n">
        <v>45907</v>
      </c>
      <c r="E1236" s="10" t="n">
        <v>2000</v>
      </c>
      <c r="F1236" s="0" t="str">
        <f aca="false">INDEX(COA!$C$5:$C$19,MATCH(E1236,COA!$A$5:$A$19,0))</f>
        <v>Liability</v>
      </c>
      <c r="G1236" s="12" t="n">
        <v>931.89</v>
      </c>
      <c r="H1236" s="12" t="n">
        <v>0</v>
      </c>
      <c r="I1236" s="10" t="s">
        <v>104</v>
      </c>
      <c r="J1236" s="10" t="s">
        <v>1636</v>
      </c>
      <c r="K1236" s="10" t="s">
        <v>1659</v>
      </c>
    </row>
    <row r="1237" customFormat="false" ht="15" hidden="false" customHeight="false" outlineLevel="0" collapsed="false">
      <c r="A1237" s="10" t="s">
        <v>2908</v>
      </c>
      <c r="B1237" s="10" t="n">
        <v>1570</v>
      </c>
      <c r="C1237" s="8" t="n">
        <v>45911</v>
      </c>
      <c r="D1237" s="8" t="n">
        <v>45907</v>
      </c>
      <c r="E1237" s="10" t="n">
        <v>2000</v>
      </c>
      <c r="F1237" s="0" t="str">
        <f aca="false">INDEX(COA!$C$5:$C$19,MATCH(E1237,COA!$A$5:$A$19,0))</f>
        <v>Liability</v>
      </c>
      <c r="G1237" s="12" t="n">
        <v>399.38</v>
      </c>
      <c r="H1237" s="12" t="n">
        <v>0</v>
      </c>
      <c r="I1237" s="10" t="s">
        <v>104</v>
      </c>
      <c r="J1237" s="10" t="s">
        <v>1636</v>
      </c>
      <c r="K1237" s="10" t="s">
        <v>1659</v>
      </c>
    </row>
    <row r="1238" customFormat="false" ht="15" hidden="false" customHeight="false" outlineLevel="0" collapsed="false">
      <c r="A1238" s="10" t="s">
        <v>2909</v>
      </c>
      <c r="B1238" s="10" t="n">
        <v>1570</v>
      </c>
      <c r="C1238" s="8" t="n">
        <v>45911</v>
      </c>
      <c r="D1238" s="8" t="n">
        <v>45907</v>
      </c>
      <c r="E1238" s="10" t="n">
        <v>1000</v>
      </c>
      <c r="F1238" s="0" t="str">
        <f aca="false">INDEX(COA!$C$5:$C$19,MATCH(E1238,COA!$A$5:$A$19,0))</f>
        <v>Asset</v>
      </c>
      <c r="G1238" s="12" t="n">
        <v>0</v>
      </c>
      <c r="H1238" s="12" t="n">
        <v>1331.27</v>
      </c>
      <c r="I1238" s="10" t="s">
        <v>104</v>
      </c>
      <c r="J1238" s="10" t="s">
        <v>1636</v>
      </c>
      <c r="K1238" s="10" t="s">
        <v>1659</v>
      </c>
    </row>
    <row r="1239" customFormat="false" ht="15" hidden="false" customHeight="false" outlineLevel="0" collapsed="false">
      <c r="A1239" s="10" t="s">
        <v>2910</v>
      </c>
      <c r="B1239" s="10" t="n">
        <v>1571</v>
      </c>
      <c r="C1239" s="8" t="n">
        <v>45912</v>
      </c>
      <c r="D1239" s="8" t="n">
        <v>45911</v>
      </c>
      <c r="E1239" s="10" t="n">
        <v>1000</v>
      </c>
      <c r="F1239" s="0" t="str">
        <f aca="false">INDEX(COA!$C$5:$C$19,MATCH(E1239,COA!$A$5:$A$19,0))</f>
        <v>Asset</v>
      </c>
      <c r="G1239" s="12" t="n">
        <v>2813.09</v>
      </c>
      <c r="H1239" s="12" t="n">
        <v>0</v>
      </c>
      <c r="I1239" s="10" t="s">
        <v>103</v>
      </c>
      <c r="J1239" s="10" t="s">
        <v>1636</v>
      </c>
      <c r="K1239" s="10" t="s">
        <v>1637</v>
      </c>
    </row>
    <row r="1240" customFormat="false" ht="15" hidden="false" customHeight="false" outlineLevel="0" collapsed="false">
      <c r="A1240" s="10" t="s">
        <v>2911</v>
      </c>
      <c r="B1240" s="10" t="n">
        <v>1571</v>
      </c>
      <c r="C1240" s="8" t="n">
        <v>45912</v>
      </c>
      <c r="D1240" s="8" t="n">
        <v>45911</v>
      </c>
      <c r="E1240" s="10" t="n">
        <v>1100</v>
      </c>
      <c r="F1240" s="0" t="str">
        <f aca="false">INDEX(COA!$C$5:$C$19,MATCH(E1240,COA!$A$5:$A$19,0))</f>
        <v>Asset</v>
      </c>
      <c r="G1240" s="12" t="n">
        <v>0</v>
      </c>
      <c r="H1240" s="12" t="n">
        <v>2813.09</v>
      </c>
      <c r="I1240" s="10" t="s">
        <v>103</v>
      </c>
      <c r="J1240" s="10" t="s">
        <v>1636</v>
      </c>
      <c r="K1240" s="10" t="s">
        <v>1637</v>
      </c>
    </row>
    <row r="1241" customFormat="false" ht="15" hidden="false" customHeight="false" outlineLevel="0" collapsed="false">
      <c r="A1241" s="10" t="s">
        <v>2912</v>
      </c>
      <c r="B1241" s="10" t="n">
        <v>1572</v>
      </c>
      <c r="C1241" s="8" t="n">
        <v>45912</v>
      </c>
      <c r="D1241" s="8" t="n">
        <v>45911</v>
      </c>
      <c r="E1241" s="10" t="n">
        <v>1100</v>
      </c>
      <c r="F1241" s="0" t="str">
        <f aca="false">INDEX(COA!$C$5:$C$19,MATCH(E1241,COA!$A$5:$A$19,0))</f>
        <v>Asset</v>
      </c>
      <c r="G1241" s="12" t="n">
        <v>49628.45</v>
      </c>
      <c r="H1241" s="12" t="n">
        <v>0</v>
      </c>
      <c r="I1241" s="10" t="s">
        <v>103</v>
      </c>
      <c r="J1241" s="10" t="s">
        <v>1636</v>
      </c>
      <c r="K1241" s="10" t="s">
        <v>1640</v>
      </c>
    </row>
    <row r="1242" customFormat="false" ht="15" hidden="false" customHeight="false" outlineLevel="0" collapsed="false">
      <c r="A1242" s="10" t="s">
        <v>2913</v>
      </c>
      <c r="B1242" s="10" t="n">
        <v>1572</v>
      </c>
      <c r="C1242" s="8" t="n">
        <v>45912</v>
      </c>
      <c r="D1242" s="8" t="n">
        <v>45911</v>
      </c>
      <c r="E1242" s="10" t="n">
        <v>4000</v>
      </c>
      <c r="F1242" s="0" t="str">
        <f aca="false">INDEX(COA!$C$5:$C$19,MATCH(E1242,COA!$A$5:$A$19,0))</f>
        <v>Revenue</v>
      </c>
      <c r="G1242" s="12" t="n">
        <v>0</v>
      </c>
      <c r="H1242" s="12" t="n">
        <v>49628.45</v>
      </c>
      <c r="I1242" s="10" t="s">
        <v>103</v>
      </c>
      <c r="J1242" s="10" t="s">
        <v>1636</v>
      </c>
      <c r="K1242" s="10" t="s">
        <v>1640</v>
      </c>
    </row>
    <row r="1243" customFormat="false" ht="15" hidden="false" customHeight="false" outlineLevel="0" collapsed="false">
      <c r="A1243" s="10" t="s">
        <v>2914</v>
      </c>
      <c r="B1243" s="10" t="n">
        <v>1573</v>
      </c>
      <c r="C1243" s="8" t="n">
        <v>45914</v>
      </c>
      <c r="D1243" s="8" t="n">
        <v>45913</v>
      </c>
      <c r="E1243" s="10" t="n">
        <v>5000</v>
      </c>
      <c r="F1243" s="0" t="str">
        <f aca="false">INDEX(COA!$C$5:$C$19,MATCH(E1243,COA!$A$5:$A$19,0))</f>
        <v>Expense</v>
      </c>
      <c r="G1243" s="12" t="n">
        <v>984.28</v>
      </c>
      <c r="H1243" s="12" t="n">
        <v>0</v>
      </c>
      <c r="I1243" s="10" t="s">
        <v>103</v>
      </c>
      <c r="J1243" s="10" t="s">
        <v>1636</v>
      </c>
      <c r="K1243" s="10" t="s">
        <v>1670</v>
      </c>
    </row>
    <row r="1244" customFormat="false" ht="15" hidden="false" customHeight="false" outlineLevel="0" collapsed="false">
      <c r="A1244" s="10" t="s">
        <v>2915</v>
      </c>
      <c r="B1244" s="10" t="n">
        <v>1573</v>
      </c>
      <c r="C1244" s="8" t="n">
        <v>45914</v>
      </c>
      <c r="D1244" s="8" t="n">
        <v>45913</v>
      </c>
      <c r="E1244" s="10" t="n">
        <v>1200</v>
      </c>
      <c r="F1244" s="0" t="str">
        <f aca="false">INDEX(COA!$C$5:$C$19,MATCH(E1244,COA!$A$5:$A$19,0))</f>
        <v>Asset</v>
      </c>
      <c r="G1244" s="12" t="n">
        <v>0</v>
      </c>
      <c r="H1244" s="12" t="n">
        <v>984.28</v>
      </c>
      <c r="I1244" s="10" t="s">
        <v>103</v>
      </c>
      <c r="J1244" s="10" t="s">
        <v>1636</v>
      </c>
      <c r="K1244" s="10" t="s">
        <v>1670</v>
      </c>
    </row>
    <row r="1245" customFormat="false" ht="15" hidden="false" customHeight="false" outlineLevel="0" collapsed="false">
      <c r="A1245" s="10" t="s">
        <v>2916</v>
      </c>
      <c r="B1245" s="10" t="n">
        <v>1574</v>
      </c>
      <c r="C1245" s="8" t="n">
        <v>45915</v>
      </c>
      <c r="D1245" s="8" t="n">
        <v>45915</v>
      </c>
      <c r="E1245" s="10" t="n">
        <v>9999</v>
      </c>
      <c r="F1245" s="0" t="str">
        <f aca="false">INDEX(COA!$C$5:$C$19,MATCH(E1245,COA!$A$5:$A$19,0))</f>
        <v>Suspense</v>
      </c>
      <c r="G1245" s="12" t="n">
        <v>233.51</v>
      </c>
      <c r="H1245" s="12" t="n">
        <v>0</v>
      </c>
      <c r="I1245" s="10" t="s">
        <v>99</v>
      </c>
      <c r="J1245" s="10" t="s">
        <v>1648</v>
      </c>
      <c r="K1245" s="10" t="s">
        <v>2917</v>
      </c>
    </row>
    <row r="1246" customFormat="false" ht="15" hidden="false" customHeight="false" outlineLevel="0" collapsed="false">
      <c r="A1246" s="10" t="s">
        <v>2918</v>
      </c>
      <c r="B1246" s="10" t="n">
        <v>1574</v>
      </c>
      <c r="C1246" s="8" t="n">
        <v>45915</v>
      </c>
      <c r="D1246" s="8" t="n">
        <v>45915</v>
      </c>
      <c r="E1246" s="10" t="n">
        <v>1000</v>
      </c>
      <c r="F1246" s="0" t="str">
        <f aca="false">INDEX(COA!$C$5:$C$19,MATCH(E1246,COA!$A$5:$A$19,0))</f>
        <v>Asset</v>
      </c>
      <c r="G1246" s="12" t="n">
        <v>0</v>
      </c>
      <c r="H1246" s="12" t="n">
        <v>233.51</v>
      </c>
      <c r="I1246" s="10" t="s">
        <v>99</v>
      </c>
      <c r="J1246" s="10" t="s">
        <v>1648</v>
      </c>
      <c r="K1246" s="10" t="s">
        <v>2917</v>
      </c>
    </row>
    <row r="1247" customFormat="false" ht="15" hidden="false" customHeight="false" outlineLevel="0" collapsed="false">
      <c r="A1247" s="10" t="s">
        <v>2919</v>
      </c>
      <c r="B1247" s="10" t="n">
        <v>1575</v>
      </c>
      <c r="C1247" s="8" t="n">
        <v>45915</v>
      </c>
      <c r="D1247" s="8" t="n">
        <v>45915</v>
      </c>
      <c r="E1247" s="10" t="n">
        <v>2000</v>
      </c>
      <c r="F1247" s="0" t="str">
        <f aca="false">INDEX(COA!$C$5:$C$19,MATCH(E1247,COA!$A$5:$A$19,0))</f>
        <v>Liability</v>
      </c>
      <c r="G1247" s="12" t="n">
        <v>1585.33</v>
      </c>
      <c r="H1247" s="12" t="n">
        <v>0</v>
      </c>
      <c r="I1247" s="10" t="s">
        <v>104</v>
      </c>
      <c r="J1247" s="10" t="s">
        <v>1636</v>
      </c>
      <c r="K1247" s="10" t="s">
        <v>1659</v>
      </c>
    </row>
    <row r="1248" customFormat="false" ht="15" hidden="false" customHeight="false" outlineLevel="0" collapsed="false">
      <c r="A1248" s="10" t="s">
        <v>2920</v>
      </c>
      <c r="B1248" s="10" t="n">
        <v>1575</v>
      </c>
      <c r="C1248" s="8" t="n">
        <v>45915</v>
      </c>
      <c r="D1248" s="8" t="n">
        <v>45915</v>
      </c>
      <c r="E1248" s="10" t="n">
        <v>1000</v>
      </c>
      <c r="F1248" s="0" t="str">
        <f aca="false">INDEX(COA!$C$5:$C$19,MATCH(E1248,COA!$A$5:$A$19,0))</f>
        <v>Asset</v>
      </c>
      <c r="G1248" s="12" t="n">
        <v>0</v>
      </c>
      <c r="H1248" s="12" t="n">
        <v>1585.33</v>
      </c>
      <c r="I1248" s="10" t="s">
        <v>104</v>
      </c>
      <c r="J1248" s="10" t="s">
        <v>1636</v>
      </c>
      <c r="K1248" s="10" t="s">
        <v>1659</v>
      </c>
    </row>
    <row r="1249" customFormat="false" ht="15" hidden="false" customHeight="false" outlineLevel="0" collapsed="false">
      <c r="A1249" s="10" t="s">
        <v>2921</v>
      </c>
      <c r="B1249" s="10" t="n">
        <v>1576</v>
      </c>
      <c r="C1249" s="8" t="n">
        <v>45916</v>
      </c>
      <c r="D1249" s="8" t="n">
        <v>45913</v>
      </c>
      <c r="E1249" s="10" t="n">
        <v>1000</v>
      </c>
      <c r="F1249" s="0" t="str">
        <f aca="false">INDEX(COA!$C$5:$C$19,MATCH(E1249,COA!$A$5:$A$19,0))</f>
        <v>Asset</v>
      </c>
      <c r="G1249" s="12" t="n">
        <v>1561.27</v>
      </c>
      <c r="H1249" s="12" t="n">
        <v>0</v>
      </c>
      <c r="I1249" s="10" t="s">
        <v>103</v>
      </c>
      <c r="J1249" s="10" t="s">
        <v>1636</v>
      </c>
      <c r="K1249" s="10" t="s">
        <v>1637</v>
      </c>
    </row>
    <row r="1250" customFormat="false" ht="15" hidden="false" customHeight="false" outlineLevel="0" collapsed="false">
      <c r="A1250" s="10" t="s">
        <v>2922</v>
      </c>
      <c r="B1250" s="10" t="n">
        <v>1576</v>
      </c>
      <c r="C1250" s="8" t="n">
        <v>45916</v>
      </c>
      <c r="D1250" s="8" t="n">
        <v>45913</v>
      </c>
      <c r="E1250" s="10" t="n">
        <v>1100</v>
      </c>
      <c r="F1250" s="0" t="str">
        <f aca="false">INDEX(COA!$C$5:$C$19,MATCH(E1250,COA!$A$5:$A$19,0))</f>
        <v>Asset</v>
      </c>
      <c r="G1250" s="12" t="n">
        <v>0</v>
      </c>
      <c r="H1250" s="12" t="n">
        <v>1561.27</v>
      </c>
      <c r="I1250" s="10" t="s">
        <v>103</v>
      </c>
      <c r="J1250" s="10" t="s">
        <v>1636</v>
      </c>
      <c r="K1250" s="10" t="s">
        <v>1637</v>
      </c>
    </row>
    <row r="1251" customFormat="false" ht="15" hidden="false" customHeight="false" outlineLevel="0" collapsed="false">
      <c r="A1251" s="10" t="s">
        <v>2923</v>
      </c>
      <c r="B1251" s="10" t="n">
        <v>1577</v>
      </c>
      <c r="C1251" s="8" t="n">
        <v>45916</v>
      </c>
      <c r="D1251" s="8" t="n">
        <v>45914</v>
      </c>
      <c r="E1251" s="10" t="n">
        <v>1100</v>
      </c>
      <c r="F1251" s="0" t="str">
        <f aca="false">INDEX(COA!$C$5:$C$19,MATCH(E1251,COA!$A$5:$A$19,0))</f>
        <v>Asset</v>
      </c>
      <c r="G1251" s="12" t="n">
        <v>85842.49</v>
      </c>
      <c r="H1251" s="12" t="n">
        <v>0</v>
      </c>
      <c r="I1251" s="10" t="s">
        <v>103</v>
      </c>
      <c r="J1251" s="10" t="s">
        <v>1636</v>
      </c>
      <c r="K1251" s="10" t="s">
        <v>1640</v>
      </c>
    </row>
    <row r="1252" customFormat="false" ht="15" hidden="false" customHeight="false" outlineLevel="0" collapsed="false">
      <c r="A1252" s="10" t="s">
        <v>2924</v>
      </c>
      <c r="B1252" s="10" t="n">
        <v>1577</v>
      </c>
      <c r="C1252" s="8" t="n">
        <v>45916</v>
      </c>
      <c r="D1252" s="8" t="n">
        <v>45914</v>
      </c>
      <c r="E1252" s="10" t="n">
        <v>4000</v>
      </c>
      <c r="F1252" s="0" t="str">
        <f aca="false">INDEX(COA!$C$5:$C$19,MATCH(E1252,COA!$A$5:$A$19,0))</f>
        <v>Revenue</v>
      </c>
      <c r="G1252" s="12" t="n">
        <v>0</v>
      </c>
      <c r="H1252" s="12" t="n">
        <v>85842.49</v>
      </c>
      <c r="I1252" s="10" t="s">
        <v>103</v>
      </c>
      <c r="J1252" s="10" t="s">
        <v>1636</v>
      </c>
      <c r="K1252" s="10" t="s">
        <v>1640</v>
      </c>
    </row>
    <row r="1253" customFormat="false" ht="15" hidden="false" customHeight="false" outlineLevel="0" collapsed="false">
      <c r="A1253" s="10" t="s">
        <v>2925</v>
      </c>
      <c r="B1253" s="10" t="n">
        <v>1578</v>
      </c>
      <c r="C1253" s="8" t="n">
        <v>45916</v>
      </c>
      <c r="D1253" s="8" t="n">
        <v>45915</v>
      </c>
      <c r="E1253" s="10" t="n">
        <v>1200</v>
      </c>
      <c r="F1253" s="0" t="str">
        <f aca="false">INDEX(COA!$C$5:$C$19,MATCH(E1253,COA!$A$5:$A$19,0))</f>
        <v>Asset</v>
      </c>
      <c r="G1253" s="12" t="n">
        <v>1629.59</v>
      </c>
      <c r="H1253" s="12" t="n">
        <v>0</v>
      </c>
      <c r="I1253" s="10" t="s">
        <v>102</v>
      </c>
      <c r="J1253" s="10" t="s">
        <v>1636</v>
      </c>
      <c r="K1253" s="10" t="s">
        <v>1655</v>
      </c>
    </row>
    <row r="1254" customFormat="false" ht="15" hidden="false" customHeight="false" outlineLevel="0" collapsed="false">
      <c r="A1254" s="10" t="s">
        <v>2926</v>
      </c>
      <c r="B1254" s="10" t="n">
        <v>1578</v>
      </c>
      <c r="C1254" s="8" t="n">
        <v>45916</v>
      </c>
      <c r="D1254" s="8" t="n">
        <v>45915</v>
      </c>
      <c r="E1254" s="10" t="n">
        <v>2000</v>
      </c>
      <c r="F1254" s="0" t="str">
        <f aca="false">INDEX(COA!$C$5:$C$19,MATCH(E1254,COA!$A$5:$A$19,0))</f>
        <v>Liability</v>
      </c>
      <c r="G1254" s="12" t="n">
        <v>0</v>
      </c>
      <c r="H1254" s="12" t="n">
        <v>1629.59</v>
      </c>
      <c r="I1254" s="10" t="s">
        <v>102</v>
      </c>
      <c r="J1254" s="10" t="s">
        <v>1636</v>
      </c>
      <c r="K1254" s="10" t="s">
        <v>1655</v>
      </c>
    </row>
    <row r="1255" customFormat="false" ht="15" hidden="false" customHeight="false" outlineLevel="0" collapsed="false">
      <c r="A1255" s="10" t="s">
        <v>2927</v>
      </c>
      <c r="B1255" s="10" t="n">
        <v>1579</v>
      </c>
      <c r="C1255" s="8" t="n">
        <v>45917</v>
      </c>
      <c r="D1255" s="8" t="n">
        <v>45915</v>
      </c>
      <c r="E1255" s="10" t="n">
        <v>1100</v>
      </c>
      <c r="F1255" s="0" t="str">
        <f aca="false">INDEX(COA!$C$5:$C$19,MATCH(E1255,COA!$A$5:$A$19,0))</f>
        <v>Asset</v>
      </c>
      <c r="G1255" s="12" t="n">
        <v>23276.2</v>
      </c>
      <c r="H1255" s="12" t="n">
        <v>0</v>
      </c>
      <c r="I1255" s="10" t="s">
        <v>103</v>
      </c>
      <c r="J1255" s="10" t="s">
        <v>1636</v>
      </c>
      <c r="K1255" s="10" t="s">
        <v>1640</v>
      </c>
    </row>
    <row r="1256" customFormat="false" ht="15" hidden="false" customHeight="false" outlineLevel="0" collapsed="false">
      <c r="A1256" s="10" t="s">
        <v>2928</v>
      </c>
      <c r="B1256" s="10" t="n">
        <v>1579</v>
      </c>
      <c r="C1256" s="8" t="n">
        <v>45917</v>
      </c>
      <c r="D1256" s="8" t="n">
        <v>45915</v>
      </c>
      <c r="E1256" s="10" t="n">
        <v>4000</v>
      </c>
      <c r="F1256" s="0" t="str">
        <f aca="false">INDEX(COA!$C$5:$C$19,MATCH(E1256,COA!$A$5:$A$19,0))</f>
        <v>Revenue</v>
      </c>
      <c r="G1256" s="12" t="n">
        <v>0</v>
      </c>
      <c r="H1256" s="12" t="n">
        <v>23276.2</v>
      </c>
      <c r="I1256" s="10" t="s">
        <v>103</v>
      </c>
      <c r="J1256" s="10" t="s">
        <v>1636</v>
      </c>
      <c r="K1256" s="10" t="s">
        <v>1640</v>
      </c>
    </row>
    <row r="1257" customFormat="false" ht="15" hidden="false" customHeight="false" outlineLevel="0" collapsed="false">
      <c r="A1257" s="10" t="s">
        <v>2929</v>
      </c>
      <c r="B1257" s="10" t="n">
        <v>1580</v>
      </c>
      <c r="C1257" s="8" t="n">
        <v>45917</v>
      </c>
      <c r="D1257" s="8" t="n">
        <v>45916</v>
      </c>
      <c r="E1257" s="10" t="n">
        <v>1200</v>
      </c>
      <c r="F1257" s="0" t="str">
        <f aca="false">INDEX(COA!$C$5:$C$19,MATCH(E1257,COA!$A$5:$A$19,0))</f>
        <v>Asset</v>
      </c>
      <c r="G1257" s="12" t="n">
        <v>58967.94</v>
      </c>
      <c r="H1257" s="12" t="n">
        <v>0</v>
      </c>
      <c r="I1257" s="10" t="s">
        <v>102</v>
      </c>
      <c r="J1257" s="10" t="s">
        <v>1636</v>
      </c>
      <c r="K1257" s="10" t="s">
        <v>1655</v>
      </c>
    </row>
    <row r="1258" customFormat="false" ht="15" hidden="false" customHeight="false" outlineLevel="0" collapsed="false">
      <c r="A1258" s="10" t="s">
        <v>2930</v>
      </c>
      <c r="B1258" s="10" t="n">
        <v>1580</v>
      </c>
      <c r="C1258" s="8" t="n">
        <v>45917</v>
      </c>
      <c r="D1258" s="8" t="n">
        <v>45916</v>
      </c>
      <c r="E1258" s="10" t="n">
        <v>2000</v>
      </c>
      <c r="F1258" s="0" t="str">
        <f aca="false">INDEX(COA!$C$5:$C$19,MATCH(E1258,COA!$A$5:$A$19,0))</f>
        <v>Liability</v>
      </c>
      <c r="G1258" s="12" t="n">
        <v>0</v>
      </c>
      <c r="H1258" s="12" t="n">
        <v>58967.94</v>
      </c>
      <c r="I1258" s="10" t="s">
        <v>102</v>
      </c>
      <c r="J1258" s="10" t="s">
        <v>1636</v>
      </c>
      <c r="K1258" s="10" t="s">
        <v>1655</v>
      </c>
    </row>
    <row r="1259" customFormat="false" ht="15" hidden="false" customHeight="false" outlineLevel="0" collapsed="false">
      <c r="A1259" s="10" t="s">
        <v>2931</v>
      </c>
      <c r="B1259" s="10" t="n">
        <v>1581</v>
      </c>
      <c r="C1259" s="8" t="n">
        <v>45917</v>
      </c>
      <c r="D1259" s="8" t="n">
        <v>45914</v>
      </c>
      <c r="E1259" s="10" t="n">
        <v>2000</v>
      </c>
      <c r="F1259" s="0" t="str">
        <f aca="false">INDEX(COA!$C$5:$C$19,MATCH(E1259,COA!$A$5:$A$19,0))</f>
        <v>Liability</v>
      </c>
      <c r="G1259" s="12" t="n">
        <v>5835.53</v>
      </c>
      <c r="H1259" s="12" t="n">
        <v>0</v>
      </c>
      <c r="I1259" s="10" t="s">
        <v>104</v>
      </c>
      <c r="J1259" s="10" t="s">
        <v>1636</v>
      </c>
      <c r="K1259" s="10" t="s">
        <v>1659</v>
      </c>
    </row>
    <row r="1260" customFormat="false" ht="15" hidden="false" customHeight="false" outlineLevel="0" collapsed="false">
      <c r="A1260" s="10" t="s">
        <v>2932</v>
      </c>
      <c r="B1260" s="10" t="n">
        <v>1581</v>
      </c>
      <c r="C1260" s="8" t="n">
        <v>45917</v>
      </c>
      <c r="D1260" s="8" t="n">
        <v>45914</v>
      </c>
      <c r="E1260" s="10" t="n">
        <v>1000</v>
      </c>
      <c r="F1260" s="0" t="str">
        <f aca="false">INDEX(COA!$C$5:$C$19,MATCH(E1260,COA!$A$5:$A$19,0))</f>
        <v>Asset</v>
      </c>
      <c r="G1260" s="12" t="n">
        <v>0</v>
      </c>
      <c r="H1260" s="12" t="n">
        <v>5835.53</v>
      </c>
      <c r="I1260" s="10" t="s">
        <v>104</v>
      </c>
      <c r="J1260" s="10" t="s">
        <v>1636</v>
      </c>
      <c r="K1260" s="10" t="s">
        <v>1659</v>
      </c>
    </row>
    <row r="1261" customFormat="false" ht="15" hidden="false" customHeight="false" outlineLevel="0" collapsed="false">
      <c r="A1261" s="10" t="s">
        <v>2933</v>
      </c>
      <c r="B1261" s="10" t="n">
        <v>1582</v>
      </c>
      <c r="C1261" s="8" t="n">
        <v>45919</v>
      </c>
      <c r="D1261" s="8" t="n">
        <v>45915</v>
      </c>
      <c r="E1261" s="10" t="n">
        <v>2000</v>
      </c>
      <c r="F1261" s="0" t="str">
        <f aca="false">INDEX(COA!$C$5:$C$19,MATCH(E1261,COA!$A$5:$A$19,0))</f>
        <v>Liability</v>
      </c>
      <c r="G1261" s="12" t="n">
        <v>393.19</v>
      </c>
      <c r="H1261" s="12" t="n">
        <v>0</v>
      </c>
      <c r="I1261" s="10" t="s">
        <v>104</v>
      </c>
      <c r="J1261" s="10" t="s">
        <v>1636</v>
      </c>
      <c r="K1261" s="10" t="s">
        <v>1659</v>
      </c>
    </row>
    <row r="1262" customFormat="false" ht="15" hidden="false" customHeight="false" outlineLevel="0" collapsed="false">
      <c r="A1262" s="10" t="s">
        <v>2934</v>
      </c>
      <c r="B1262" s="10" t="n">
        <v>1582</v>
      </c>
      <c r="C1262" s="8" t="n">
        <v>45919</v>
      </c>
      <c r="D1262" s="8" t="n">
        <v>45915</v>
      </c>
      <c r="E1262" s="10" t="n">
        <v>1000</v>
      </c>
      <c r="F1262" s="0" t="str">
        <f aca="false">INDEX(COA!$C$5:$C$19,MATCH(E1262,COA!$A$5:$A$19,0))</f>
        <v>Asset</v>
      </c>
      <c r="G1262" s="12" t="n">
        <v>0</v>
      </c>
      <c r="H1262" s="12" t="n">
        <v>393.19</v>
      </c>
      <c r="I1262" s="10" t="s">
        <v>104</v>
      </c>
      <c r="J1262" s="10" t="s">
        <v>1636</v>
      </c>
      <c r="K1262" s="10" t="s">
        <v>1659</v>
      </c>
    </row>
    <row r="1263" customFormat="false" ht="15" hidden="false" customHeight="false" outlineLevel="0" collapsed="false">
      <c r="A1263" s="10" t="s">
        <v>2935</v>
      </c>
      <c r="B1263" s="10" t="n">
        <v>1583</v>
      </c>
      <c r="C1263" s="8" t="n">
        <v>45922</v>
      </c>
      <c r="D1263" s="8" t="n">
        <v>45919</v>
      </c>
      <c r="E1263" s="10" t="n">
        <v>2100</v>
      </c>
      <c r="F1263" s="0" t="str">
        <f aca="false">INDEX(COA!$C$5:$C$19,MATCH(E1263,COA!$A$5:$A$19,0))</f>
        <v>Liability</v>
      </c>
      <c r="G1263" s="12" t="n">
        <v>18670.07</v>
      </c>
      <c r="H1263" s="12" t="n">
        <v>0</v>
      </c>
      <c r="I1263" s="10" t="s">
        <v>99</v>
      </c>
      <c r="J1263" s="10" t="s">
        <v>1648</v>
      </c>
      <c r="K1263" s="10" t="s">
        <v>1677</v>
      </c>
    </row>
    <row r="1264" customFormat="false" ht="15" hidden="false" customHeight="false" outlineLevel="0" collapsed="false">
      <c r="A1264" s="10" t="s">
        <v>2936</v>
      </c>
      <c r="B1264" s="10" t="n">
        <v>1583</v>
      </c>
      <c r="C1264" s="8" t="n">
        <v>45922</v>
      </c>
      <c r="D1264" s="8" t="n">
        <v>45919</v>
      </c>
      <c r="E1264" s="10" t="n">
        <v>2100</v>
      </c>
      <c r="F1264" s="0" t="str">
        <f aca="false">INDEX(COA!$C$5:$C$19,MATCH(E1264,COA!$A$5:$A$19,0))</f>
        <v>Liability</v>
      </c>
      <c r="G1264" s="12" t="n">
        <v>8001.46</v>
      </c>
      <c r="H1264" s="12" t="n">
        <v>0</v>
      </c>
      <c r="I1264" s="10" t="s">
        <v>99</v>
      </c>
      <c r="J1264" s="10" t="s">
        <v>1648</v>
      </c>
      <c r="K1264" s="10" t="s">
        <v>1677</v>
      </c>
    </row>
    <row r="1265" customFormat="false" ht="15" hidden="false" customHeight="false" outlineLevel="0" collapsed="false">
      <c r="A1265" s="10" t="s">
        <v>2937</v>
      </c>
      <c r="B1265" s="10" t="n">
        <v>1583</v>
      </c>
      <c r="C1265" s="8" t="n">
        <v>45922</v>
      </c>
      <c r="D1265" s="8" t="n">
        <v>45919</v>
      </c>
      <c r="E1265" s="10" t="n">
        <v>6900</v>
      </c>
      <c r="F1265" s="0" t="str">
        <f aca="false">INDEX(COA!$C$5:$C$19,MATCH(E1265,COA!$A$5:$A$19,0))</f>
        <v>Expense</v>
      </c>
      <c r="G1265" s="12" t="n">
        <v>0</v>
      </c>
      <c r="H1265" s="12" t="n">
        <v>26671.53</v>
      </c>
      <c r="I1265" s="10" t="s">
        <v>99</v>
      </c>
      <c r="J1265" s="10" t="s">
        <v>1648</v>
      </c>
      <c r="K1265" s="10" t="s">
        <v>1677</v>
      </c>
    </row>
    <row r="1266" customFormat="false" ht="15" hidden="false" customHeight="false" outlineLevel="0" collapsed="false">
      <c r="A1266" s="10" t="s">
        <v>2938</v>
      </c>
      <c r="B1266" s="10" t="n">
        <v>1584</v>
      </c>
      <c r="C1266" s="8" t="n">
        <v>45924</v>
      </c>
      <c r="D1266" s="8" t="n">
        <v>45920</v>
      </c>
      <c r="E1266" s="10" t="n">
        <v>1000</v>
      </c>
      <c r="F1266" s="0" t="str">
        <f aca="false">INDEX(COA!$C$5:$C$19,MATCH(E1266,COA!$A$5:$A$19,0))</f>
        <v>Asset</v>
      </c>
      <c r="G1266" s="12" t="n">
        <v>464.05</v>
      </c>
      <c r="H1266" s="12" t="n">
        <v>0</v>
      </c>
      <c r="I1266" s="10" t="s">
        <v>103</v>
      </c>
      <c r="J1266" s="10" t="s">
        <v>1636</v>
      </c>
      <c r="K1266" s="10" t="s">
        <v>1637</v>
      </c>
    </row>
    <row r="1267" customFormat="false" ht="15" hidden="false" customHeight="false" outlineLevel="0" collapsed="false">
      <c r="A1267" s="10" t="s">
        <v>2939</v>
      </c>
      <c r="B1267" s="10" t="n">
        <v>1584</v>
      </c>
      <c r="C1267" s="8" t="n">
        <v>45924</v>
      </c>
      <c r="D1267" s="8" t="n">
        <v>45920</v>
      </c>
      <c r="E1267" s="10" t="n">
        <v>1100</v>
      </c>
      <c r="F1267" s="0" t="str">
        <f aca="false">INDEX(COA!$C$5:$C$19,MATCH(E1267,COA!$A$5:$A$19,0))</f>
        <v>Asset</v>
      </c>
      <c r="G1267" s="12" t="n">
        <v>0</v>
      </c>
      <c r="H1267" s="12" t="n">
        <v>464.05</v>
      </c>
      <c r="I1267" s="10" t="s">
        <v>103</v>
      </c>
      <c r="J1267" s="10" t="s">
        <v>1636</v>
      </c>
      <c r="K1267" s="10" t="s">
        <v>1637</v>
      </c>
    </row>
    <row r="1268" customFormat="false" ht="15" hidden="false" customHeight="false" outlineLevel="0" collapsed="false">
      <c r="A1268" s="10" t="s">
        <v>2940</v>
      </c>
      <c r="B1268" s="10" t="n">
        <v>1585</v>
      </c>
      <c r="C1268" s="8" t="n">
        <v>45924</v>
      </c>
      <c r="D1268" s="8" t="n">
        <v>45924</v>
      </c>
      <c r="E1268" s="10" t="n">
        <v>2100</v>
      </c>
      <c r="F1268" s="0" t="str">
        <f aca="false">INDEX(COA!$C$5:$C$19,MATCH(E1268,COA!$A$5:$A$19,0))</f>
        <v>Liability</v>
      </c>
      <c r="G1268" s="12" t="n">
        <v>56416.58</v>
      </c>
      <c r="H1268" s="12" t="n">
        <v>0</v>
      </c>
      <c r="I1268" s="10" t="s">
        <v>97</v>
      </c>
      <c r="J1268" s="10" t="s">
        <v>1648</v>
      </c>
      <c r="K1268" s="10" t="s">
        <v>1677</v>
      </c>
    </row>
    <row r="1269" customFormat="false" ht="15" hidden="false" customHeight="false" outlineLevel="0" collapsed="false">
      <c r="A1269" s="10" t="s">
        <v>2941</v>
      </c>
      <c r="B1269" s="10" t="n">
        <v>1585</v>
      </c>
      <c r="C1269" s="8" t="n">
        <v>45924</v>
      </c>
      <c r="D1269" s="8" t="n">
        <v>45924</v>
      </c>
      <c r="E1269" s="10" t="n">
        <v>6900</v>
      </c>
      <c r="F1269" s="0" t="str">
        <f aca="false">INDEX(COA!$C$5:$C$19,MATCH(E1269,COA!$A$5:$A$19,0))</f>
        <v>Expense</v>
      </c>
      <c r="G1269" s="12" t="n">
        <v>0</v>
      </c>
      <c r="H1269" s="12" t="n">
        <v>56416.58</v>
      </c>
      <c r="I1269" s="10" t="s">
        <v>97</v>
      </c>
      <c r="J1269" s="10" t="s">
        <v>1648</v>
      </c>
      <c r="K1269" s="10" t="s">
        <v>1677</v>
      </c>
    </row>
    <row r="1270" customFormat="false" ht="15" hidden="false" customHeight="false" outlineLevel="0" collapsed="false">
      <c r="A1270" s="10" t="s">
        <v>2942</v>
      </c>
      <c r="B1270" s="10" t="n">
        <v>1586</v>
      </c>
      <c r="C1270" s="8" t="n">
        <v>45925</v>
      </c>
      <c r="D1270" s="8" t="n">
        <v>45925</v>
      </c>
      <c r="E1270" s="10" t="n">
        <v>6000</v>
      </c>
      <c r="F1270" s="0" t="str">
        <f aca="false">INDEX(COA!$C$5:$C$19,MATCH(E1270,COA!$A$5:$A$19,0))</f>
        <v>Expense</v>
      </c>
      <c r="G1270" s="12" t="n">
        <v>263000</v>
      </c>
      <c r="H1270" s="12" t="n">
        <v>0</v>
      </c>
      <c r="I1270" s="10" t="s">
        <v>104</v>
      </c>
      <c r="J1270" s="10" t="s">
        <v>1636</v>
      </c>
      <c r="K1270" s="10" t="s">
        <v>1776</v>
      </c>
    </row>
    <row r="1271" customFormat="false" ht="15" hidden="false" customHeight="false" outlineLevel="0" collapsed="false">
      <c r="A1271" s="10" t="s">
        <v>2943</v>
      </c>
      <c r="B1271" s="10" t="n">
        <v>1586</v>
      </c>
      <c r="C1271" s="8" t="n">
        <v>45925</v>
      </c>
      <c r="D1271" s="8" t="n">
        <v>45925</v>
      </c>
      <c r="E1271" s="10" t="n">
        <v>1000</v>
      </c>
      <c r="F1271" s="0" t="str">
        <f aca="false">INDEX(COA!$C$5:$C$19,MATCH(E1271,COA!$A$5:$A$19,0))</f>
        <v>Asset</v>
      </c>
      <c r="G1271" s="12" t="n">
        <v>0</v>
      </c>
      <c r="H1271" s="12" t="n">
        <v>263000</v>
      </c>
      <c r="I1271" s="10" t="s">
        <v>104</v>
      </c>
      <c r="J1271" s="10" t="s">
        <v>1636</v>
      </c>
      <c r="K1271" s="10" t="s">
        <v>1776</v>
      </c>
    </row>
    <row r="1272" customFormat="false" ht="15" hidden="false" customHeight="false" outlineLevel="0" collapsed="false">
      <c r="A1272" s="10" t="s">
        <v>2944</v>
      </c>
      <c r="B1272" s="10" t="n">
        <v>1587</v>
      </c>
      <c r="C1272" s="8" t="n">
        <v>45926</v>
      </c>
      <c r="D1272" s="8" t="n">
        <v>45926</v>
      </c>
      <c r="E1272" s="10" t="n">
        <v>2000</v>
      </c>
      <c r="F1272" s="0" t="str">
        <f aca="false">INDEX(COA!$C$5:$C$19,MATCH(E1272,COA!$A$5:$A$19,0))</f>
        <v>Liability</v>
      </c>
      <c r="G1272" s="12" t="n">
        <v>37525.71</v>
      </c>
      <c r="H1272" s="12" t="n">
        <v>0</v>
      </c>
      <c r="I1272" s="10" t="s">
        <v>104</v>
      </c>
      <c r="J1272" s="10" t="s">
        <v>1636</v>
      </c>
      <c r="K1272" s="10" t="s">
        <v>1659</v>
      </c>
    </row>
    <row r="1273" customFormat="false" ht="15" hidden="false" customHeight="false" outlineLevel="0" collapsed="false">
      <c r="A1273" s="10" t="s">
        <v>2945</v>
      </c>
      <c r="B1273" s="10" t="n">
        <v>1587</v>
      </c>
      <c r="C1273" s="8" t="n">
        <v>45926</v>
      </c>
      <c r="D1273" s="8" t="n">
        <v>45926</v>
      </c>
      <c r="E1273" s="10" t="n">
        <v>1000</v>
      </c>
      <c r="F1273" s="0" t="str">
        <f aca="false">INDEX(COA!$C$5:$C$19,MATCH(E1273,COA!$A$5:$A$19,0))</f>
        <v>Asset</v>
      </c>
      <c r="G1273" s="12" t="n">
        <v>0</v>
      </c>
      <c r="H1273" s="12" t="n">
        <v>37525.71</v>
      </c>
      <c r="I1273" s="10" t="s">
        <v>104</v>
      </c>
      <c r="J1273" s="10" t="s">
        <v>1636</v>
      </c>
      <c r="K1273" s="10" t="s">
        <v>1659</v>
      </c>
    </row>
    <row r="1274" customFormat="false" ht="15" hidden="false" customHeight="false" outlineLevel="0" collapsed="false">
      <c r="A1274" s="10" t="s">
        <v>2946</v>
      </c>
      <c r="B1274" s="10" t="n">
        <v>1588</v>
      </c>
      <c r="C1274" s="8" t="n">
        <v>45926</v>
      </c>
      <c r="D1274" s="8" t="n">
        <v>45923</v>
      </c>
      <c r="E1274" s="10" t="n">
        <v>2000</v>
      </c>
      <c r="F1274" s="0" t="str">
        <f aca="false">INDEX(COA!$C$5:$C$19,MATCH(E1274,COA!$A$5:$A$19,0))</f>
        <v>Liability</v>
      </c>
      <c r="G1274" s="12" t="n">
        <v>1010.23</v>
      </c>
      <c r="H1274" s="12" t="n">
        <v>0</v>
      </c>
      <c r="I1274" s="10" t="s">
        <v>104</v>
      </c>
      <c r="J1274" s="10" t="s">
        <v>1636</v>
      </c>
      <c r="K1274" s="10" t="s">
        <v>1659</v>
      </c>
    </row>
    <row r="1275" customFormat="false" ht="15" hidden="false" customHeight="false" outlineLevel="0" collapsed="false">
      <c r="A1275" s="10" t="s">
        <v>2947</v>
      </c>
      <c r="B1275" s="10" t="n">
        <v>1588</v>
      </c>
      <c r="C1275" s="8" t="n">
        <v>45926</v>
      </c>
      <c r="D1275" s="8" t="n">
        <v>45923</v>
      </c>
      <c r="E1275" s="10" t="n">
        <v>1000</v>
      </c>
      <c r="F1275" s="0" t="str">
        <f aca="false">INDEX(COA!$C$5:$C$19,MATCH(E1275,COA!$A$5:$A$19,0))</f>
        <v>Asset</v>
      </c>
      <c r="G1275" s="12" t="n">
        <v>0</v>
      </c>
      <c r="H1275" s="12" t="n">
        <v>1010.23</v>
      </c>
      <c r="I1275" s="10" t="s">
        <v>104</v>
      </c>
      <c r="J1275" s="10" t="s">
        <v>1636</v>
      </c>
      <c r="K1275" s="10" t="s">
        <v>1659</v>
      </c>
    </row>
    <row r="1276" customFormat="false" ht="15" hidden="false" customHeight="false" outlineLevel="0" collapsed="false">
      <c r="A1276" s="10" t="s">
        <v>2948</v>
      </c>
      <c r="B1276" s="10" t="n">
        <v>1589</v>
      </c>
      <c r="C1276" s="8" t="n">
        <v>45926</v>
      </c>
      <c r="D1276" s="8" t="n">
        <v>45922</v>
      </c>
      <c r="E1276" s="10" t="n">
        <v>1100</v>
      </c>
      <c r="F1276" s="0" t="str">
        <f aca="false">INDEX(COA!$C$5:$C$19,MATCH(E1276,COA!$A$5:$A$19,0))</f>
        <v>Asset</v>
      </c>
      <c r="G1276" s="12" t="n">
        <v>3183.47</v>
      </c>
      <c r="H1276" s="12" t="n">
        <v>0</v>
      </c>
      <c r="I1276" s="10" t="s">
        <v>103</v>
      </c>
      <c r="J1276" s="10" t="s">
        <v>1636</v>
      </c>
      <c r="K1276" s="10" t="s">
        <v>1640</v>
      </c>
    </row>
    <row r="1277" customFormat="false" ht="15" hidden="false" customHeight="false" outlineLevel="0" collapsed="false">
      <c r="A1277" s="10" t="s">
        <v>2949</v>
      </c>
      <c r="B1277" s="10" t="n">
        <v>1589</v>
      </c>
      <c r="C1277" s="8" t="n">
        <v>45926</v>
      </c>
      <c r="D1277" s="8" t="n">
        <v>45922</v>
      </c>
      <c r="E1277" s="10" t="n">
        <v>4000</v>
      </c>
      <c r="F1277" s="0" t="str">
        <f aca="false">INDEX(COA!$C$5:$C$19,MATCH(E1277,COA!$A$5:$A$19,0))</f>
        <v>Revenue</v>
      </c>
      <c r="G1277" s="12" t="n">
        <v>0</v>
      </c>
      <c r="H1277" s="12" t="n">
        <v>3183.47</v>
      </c>
      <c r="I1277" s="10" t="s">
        <v>103</v>
      </c>
      <c r="J1277" s="10" t="s">
        <v>1636</v>
      </c>
      <c r="K1277" s="10" t="s">
        <v>1640</v>
      </c>
    </row>
    <row r="1278" customFormat="false" ht="15" hidden="false" customHeight="false" outlineLevel="0" collapsed="false">
      <c r="A1278" s="10" t="s">
        <v>2950</v>
      </c>
      <c r="B1278" s="10" t="n">
        <v>1590</v>
      </c>
      <c r="C1278" s="8" t="n">
        <v>45929</v>
      </c>
      <c r="D1278" s="8" t="n">
        <v>45926</v>
      </c>
      <c r="E1278" s="10" t="n">
        <v>2000</v>
      </c>
      <c r="F1278" s="0" t="str">
        <f aca="false">INDEX(COA!$C$5:$C$19,MATCH(E1278,COA!$A$5:$A$19,0))</f>
        <v>Liability</v>
      </c>
      <c r="G1278" s="12" t="n">
        <v>2541.64</v>
      </c>
      <c r="H1278" s="12" t="n">
        <v>0</v>
      </c>
      <c r="I1278" s="10" t="s">
        <v>104</v>
      </c>
      <c r="J1278" s="10" t="s">
        <v>1636</v>
      </c>
      <c r="K1278" s="10" t="s">
        <v>1659</v>
      </c>
    </row>
    <row r="1279" customFormat="false" ht="15" hidden="false" customHeight="false" outlineLevel="0" collapsed="false">
      <c r="A1279" s="10" t="s">
        <v>2951</v>
      </c>
      <c r="B1279" s="10" t="n">
        <v>1590</v>
      </c>
      <c r="C1279" s="8" t="n">
        <v>45929</v>
      </c>
      <c r="D1279" s="8" t="n">
        <v>45926</v>
      </c>
      <c r="E1279" s="10" t="n">
        <v>1000</v>
      </c>
      <c r="F1279" s="0" t="str">
        <f aca="false">INDEX(COA!$C$5:$C$19,MATCH(E1279,COA!$A$5:$A$19,0))</f>
        <v>Asset</v>
      </c>
      <c r="G1279" s="12" t="n">
        <v>0</v>
      </c>
      <c r="H1279" s="12" t="n">
        <v>2541.64</v>
      </c>
      <c r="I1279" s="10" t="s">
        <v>104</v>
      </c>
      <c r="J1279" s="10" t="s">
        <v>1636</v>
      </c>
      <c r="K1279" s="10" t="s">
        <v>1659</v>
      </c>
    </row>
    <row r="1280" customFormat="false" ht="15" hidden="false" customHeight="false" outlineLevel="0" collapsed="false">
      <c r="A1280" s="10" t="s">
        <v>2952</v>
      </c>
      <c r="B1280" s="10" t="n">
        <v>1591</v>
      </c>
      <c r="C1280" s="8" t="n">
        <v>45929</v>
      </c>
      <c r="D1280" s="8" t="n">
        <v>45929</v>
      </c>
      <c r="E1280" s="10" t="n">
        <v>1000</v>
      </c>
      <c r="F1280" s="0" t="str">
        <f aca="false">INDEX(COA!$C$5:$C$19,MATCH(E1280,COA!$A$5:$A$19,0))</f>
        <v>Asset</v>
      </c>
      <c r="G1280" s="12" t="n">
        <v>375.84</v>
      </c>
      <c r="H1280" s="12" t="n">
        <v>0</v>
      </c>
      <c r="I1280" s="10" t="s">
        <v>103</v>
      </c>
      <c r="J1280" s="10" t="s">
        <v>1636</v>
      </c>
      <c r="K1280" s="10" t="s">
        <v>1637</v>
      </c>
    </row>
    <row r="1281" customFormat="false" ht="15" hidden="false" customHeight="false" outlineLevel="0" collapsed="false">
      <c r="A1281" s="10" t="s">
        <v>2953</v>
      </c>
      <c r="B1281" s="10" t="n">
        <v>1591</v>
      </c>
      <c r="C1281" s="8" t="n">
        <v>45929</v>
      </c>
      <c r="D1281" s="8" t="n">
        <v>45929</v>
      </c>
      <c r="E1281" s="10" t="n">
        <v>1100</v>
      </c>
      <c r="F1281" s="0" t="str">
        <f aca="false">INDEX(COA!$C$5:$C$19,MATCH(E1281,COA!$A$5:$A$19,0))</f>
        <v>Asset</v>
      </c>
      <c r="G1281" s="12" t="n">
        <v>0</v>
      </c>
      <c r="H1281" s="12" t="n">
        <v>375.84</v>
      </c>
      <c r="I1281" s="10" t="s">
        <v>103</v>
      </c>
      <c r="J1281" s="10" t="s">
        <v>1636</v>
      </c>
      <c r="K1281" s="10" t="s">
        <v>1637</v>
      </c>
    </row>
    <row r="1282" customFormat="false" ht="15" hidden="false" customHeight="false" outlineLevel="0" collapsed="false">
      <c r="A1282" s="10" t="s">
        <v>2954</v>
      </c>
      <c r="B1282" s="10" t="n">
        <v>1592</v>
      </c>
      <c r="C1282" s="8" t="n">
        <v>45929</v>
      </c>
      <c r="D1282" s="8" t="n">
        <v>45927</v>
      </c>
      <c r="E1282" s="10" t="n">
        <v>6900</v>
      </c>
      <c r="F1282" s="0" t="str">
        <f aca="false">INDEX(COA!$C$5:$C$19,MATCH(E1282,COA!$A$5:$A$19,0))</f>
        <v>Expense</v>
      </c>
      <c r="G1282" s="12" t="n">
        <v>22918.38</v>
      </c>
      <c r="H1282" s="12" t="n">
        <v>0</v>
      </c>
      <c r="I1282" s="10" t="s">
        <v>97</v>
      </c>
      <c r="J1282" s="10" t="s">
        <v>1648</v>
      </c>
      <c r="K1282" s="10" t="s">
        <v>1649</v>
      </c>
    </row>
    <row r="1283" customFormat="false" ht="15" hidden="false" customHeight="false" outlineLevel="0" collapsed="false">
      <c r="A1283" s="10" t="s">
        <v>2955</v>
      </c>
      <c r="B1283" s="10" t="n">
        <v>1592</v>
      </c>
      <c r="C1283" s="8" t="n">
        <v>45929</v>
      </c>
      <c r="D1283" s="8" t="n">
        <v>45927</v>
      </c>
      <c r="E1283" s="10" t="n">
        <v>6900</v>
      </c>
      <c r="F1283" s="0" t="str">
        <f aca="false">INDEX(COA!$C$5:$C$19,MATCH(E1283,COA!$A$5:$A$19,0))</f>
        <v>Expense</v>
      </c>
      <c r="G1283" s="12" t="n">
        <v>9822.17</v>
      </c>
      <c r="H1283" s="12" t="n">
        <v>0</v>
      </c>
      <c r="I1283" s="10" t="s">
        <v>97</v>
      </c>
      <c r="J1283" s="10" t="s">
        <v>1648</v>
      </c>
      <c r="K1283" s="10" t="s">
        <v>1649</v>
      </c>
    </row>
    <row r="1284" customFormat="false" ht="15" hidden="false" customHeight="false" outlineLevel="0" collapsed="false">
      <c r="A1284" s="10" t="s">
        <v>2956</v>
      </c>
      <c r="B1284" s="10" t="n">
        <v>1592</v>
      </c>
      <c r="C1284" s="8" t="n">
        <v>45929</v>
      </c>
      <c r="D1284" s="8" t="n">
        <v>45927</v>
      </c>
      <c r="E1284" s="10" t="n">
        <v>2100</v>
      </c>
      <c r="F1284" s="0" t="str">
        <f aca="false">INDEX(COA!$C$5:$C$19,MATCH(E1284,COA!$A$5:$A$19,0))</f>
        <v>Liability</v>
      </c>
      <c r="G1284" s="12" t="n">
        <v>0</v>
      </c>
      <c r="H1284" s="12" t="n">
        <v>32740.55</v>
      </c>
      <c r="I1284" s="10" t="s">
        <v>97</v>
      </c>
      <c r="J1284" s="10" t="s">
        <v>1648</v>
      </c>
      <c r="K1284" s="10" t="s">
        <v>1649</v>
      </c>
    </row>
    <row r="1285" customFormat="false" ht="15" hidden="false" customHeight="false" outlineLevel="0" collapsed="false">
      <c r="A1285" s="10" t="s">
        <v>2957</v>
      </c>
      <c r="B1285" s="10" t="n">
        <v>1593</v>
      </c>
      <c r="C1285" s="8" t="n">
        <v>45929</v>
      </c>
      <c r="D1285" s="8" t="n">
        <v>45927</v>
      </c>
      <c r="E1285" s="10" t="n">
        <v>1000</v>
      </c>
      <c r="F1285" s="0" t="str">
        <f aca="false">INDEX(COA!$C$5:$C$19,MATCH(E1285,COA!$A$5:$A$19,0))</f>
        <v>Asset</v>
      </c>
      <c r="G1285" s="12" t="n">
        <v>67258.58</v>
      </c>
      <c r="H1285" s="12" t="n">
        <v>0</v>
      </c>
      <c r="I1285" s="10" t="s">
        <v>103</v>
      </c>
      <c r="J1285" s="10" t="s">
        <v>1636</v>
      </c>
      <c r="K1285" s="10" t="s">
        <v>1637</v>
      </c>
    </row>
    <row r="1286" customFormat="false" ht="15" hidden="false" customHeight="false" outlineLevel="0" collapsed="false">
      <c r="A1286" s="10" t="s">
        <v>2958</v>
      </c>
      <c r="B1286" s="10" t="n">
        <v>1593</v>
      </c>
      <c r="C1286" s="8" t="n">
        <v>45929</v>
      </c>
      <c r="D1286" s="8" t="n">
        <v>45927</v>
      </c>
      <c r="E1286" s="10" t="n">
        <v>1000</v>
      </c>
      <c r="F1286" s="0" t="str">
        <f aca="false">INDEX(COA!$C$5:$C$19,MATCH(E1286,COA!$A$5:$A$19,0))</f>
        <v>Asset</v>
      </c>
      <c r="G1286" s="12" t="n">
        <v>28825.1</v>
      </c>
      <c r="H1286" s="12" t="n">
        <v>0</v>
      </c>
      <c r="I1286" s="10" t="s">
        <v>103</v>
      </c>
      <c r="J1286" s="10" t="s">
        <v>1636</v>
      </c>
      <c r="K1286" s="10" t="s">
        <v>1637</v>
      </c>
    </row>
    <row r="1287" customFormat="false" ht="15" hidden="false" customHeight="false" outlineLevel="0" collapsed="false">
      <c r="A1287" s="10" t="s">
        <v>2959</v>
      </c>
      <c r="B1287" s="10" t="n">
        <v>1593</v>
      </c>
      <c r="C1287" s="8" t="n">
        <v>45929</v>
      </c>
      <c r="D1287" s="8" t="n">
        <v>45927</v>
      </c>
      <c r="E1287" s="10" t="n">
        <v>1100</v>
      </c>
      <c r="F1287" s="0" t="str">
        <f aca="false">INDEX(COA!$C$5:$C$19,MATCH(E1287,COA!$A$5:$A$19,0))</f>
        <v>Asset</v>
      </c>
      <c r="G1287" s="12" t="n">
        <v>0</v>
      </c>
      <c r="H1287" s="12" t="n">
        <v>96083.68</v>
      </c>
      <c r="I1287" s="10" t="s">
        <v>103</v>
      </c>
      <c r="J1287" s="10" t="s">
        <v>1636</v>
      </c>
      <c r="K1287" s="10" t="s">
        <v>1637</v>
      </c>
    </row>
    <row r="1288" customFormat="false" ht="15" hidden="false" customHeight="false" outlineLevel="0" collapsed="false">
      <c r="A1288" s="10" t="s">
        <v>2960</v>
      </c>
      <c r="B1288" s="10" t="n">
        <v>1594</v>
      </c>
      <c r="C1288" s="8" t="n">
        <v>45930</v>
      </c>
      <c r="D1288" s="8" t="n">
        <v>45928</v>
      </c>
      <c r="E1288" s="10" t="n">
        <v>1000</v>
      </c>
      <c r="F1288" s="0" t="str">
        <f aca="false">INDEX(COA!$C$5:$C$19,MATCH(E1288,COA!$A$5:$A$19,0))</f>
        <v>Asset</v>
      </c>
      <c r="G1288" s="12" t="n">
        <v>52710.76</v>
      </c>
      <c r="H1288" s="12" t="n">
        <v>0</v>
      </c>
      <c r="I1288" s="10" t="s">
        <v>103</v>
      </c>
      <c r="J1288" s="10" t="s">
        <v>1636</v>
      </c>
      <c r="K1288" s="10" t="s">
        <v>1637</v>
      </c>
    </row>
    <row r="1289" customFormat="false" ht="15" hidden="false" customHeight="false" outlineLevel="0" collapsed="false">
      <c r="A1289" s="10" t="s">
        <v>2961</v>
      </c>
      <c r="B1289" s="10" t="n">
        <v>1594</v>
      </c>
      <c r="C1289" s="8" t="n">
        <v>45930</v>
      </c>
      <c r="D1289" s="8" t="n">
        <v>45928</v>
      </c>
      <c r="E1289" s="10" t="n">
        <v>1100</v>
      </c>
      <c r="F1289" s="0" t="str">
        <f aca="false">INDEX(COA!$C$5:$C$19,MATCH(E1289,COA!$A$5:$A$19,0))</f>
        <v>Asset</v>
      </c>
      <c r="G1289" s="12" t="n">
        <v>0</v>
      </c>
      <c r="H1289" s="12" t="n">
        <v>52710.76</v>
      </c>
      <c r="I1289" s="10" t="s">
        <v>103</v>
      </c>
      <c r="J1289" s="10" t="s">
        <v>1636</v>
      </c>
      <c r="K1289" s="10" t="s">
        <v>1637</v>
      </c>
    </row>
    <row r="1290" customFormat="false" ht="15" hidden="false" customHeight="false" outlineLevel="0" collapsed="false">
      <c r="A1290" s="10" t="s">
        <v>2962</v>
      </c>
      <c r="B1290" s="10" t="n">
        <v>1595</v>
      </c>
      <c r="C1290" s="8" t="n">
        <v>45930</v>
      </c>
      <c r="D1290" s="8" t="n">
        <v>45930</v>
      </c>
      <c r="E1290" s="10" t="n">
        <v>6200</v>
      </c>
      <c r="F1290" s="0" t="str">
        <f aca="false">INDEX(COA!$C$5:$C$19,MATCH(E1290,COA!$A$5:$A$19,0))</f>
        <v>Expense</v>
      </c>
      <c r="G1290" s="12" t="n">
        <v>4545.79</v>
      </c>
      <c r="H1290" s="12" t="n">
        <v>0</v>
      </c>
      <c r="I1290" s="10" t="s">
        <v>102</v>
      </c>
      <c r="J1290" s="10" t="s">
        <v>1636</v>
      </c>
      <c r="K1290" s="10" t="s">
        <v>1689</v>
      </c>
    </row>
    <row r="1291" customFormat="false" ht="15" hidden="false" customHeight="false" outlineLevel="0" collapsed="false">
      <c r="A1291" s="10" t="s">
        <v>2963</v>
      </c>
      <c r="B1291" s="10" t="n">
        <v>1595</v>
      </c>
      <c r="C1291" s="8" t="n">
        <v>45930</v>
      </c>
      <c r="D1291" s="8" t="n">
        <v>45930</v>
      </c>
      <c r="E1291" s="10" t="n">
        <v>2000</v>
      </c>
      <c r="F1291" s="0" t="str">
        <f aca="false">INDEX(COA!$C$5:$C$19,MATCH(E1291,COA!$A$5:$A$19,0))</f>
        <v>Liability</v>
      </c>
      <c r="G1291" s="12" t="n">
        <v>0</v>
      </c>
      <c r="H1291" s="12" t="n">
        <v>4545.79</v>
      </c>
      <c r="I1291" s="10" t="s">
        <v>102</v>
      </c>
      <c r="J1291" s="10" t="s">
        <v>1636</v>
      </c>
      <c r="K1291" s="10" t="s">
        <v>1689</v>
      </c>
    </row>
    <row r="1292" customFormat="false" ht="15" hidden="false" customHeight="false" outlineLevel="0" collapsed="false">
      <c r="A1292" s="10" t="s">
        <v>2964</v>
      </c>
      <c r="B1292" s="10" t="n">
        <v>1596</v>
      </c>
      <c r="C1292" s="8" t="n">
        <v>45930</v>
      </c>
      <c r="D1292" s="8" t="n">
        <v>45930</v>
      </c>
      <c r="E1292" s="10" t="n">
        <v>6900</v>
      </c>
      <c r="F1292" s="0" t="str">
        <f aca="false">INDEX(COA!$C$5:$C$19,MATCH(E1292,COA!$A$5:$A$19,0))</f>
        <v>Expense</v>
      </c>
      <c r="G1292" s="12" t="n">
        <v>1848.85</v>
      </c>
      <c r="H1292" s="12" t="n">
        <v>0</v>
      </c>
      <c r="I1292" s="10" t="s">
        <v>97</v>
      </c>
      <c r="J1292" s="10" t="s">
        <v>1648</v>
      </c>
      <c r="K1292" s="10" t="s">
        <v>1649</v>
      </c>
    </row>
    <row r="1293" customFormat="false" ht="15" hidden="false" customHeight="false" outlineLevel="0" collapsed="false">
      <c r="A1293" s="10" t="s">
        <v>2965</v>
      </c>
      <c r="B1293" s="10" t="n">
        <v>1596</v>
      </c>
      <c r="C1293" s="8" t="n">
        <v>45930</v>
      </c>
      <c r="D1293" s="8" t="n">
        <v>45930</v>
      </c>
      <c r="E1293" s="10" t="n">
        <v>2100</v>
      </c>
      <c r="F1293" s="0" t="str">
        <f aca="false">INDEX(COA!$C$5:$C$19,MATCH(E1293,COA!$A$5:$A$19,0))</f>
        <v>Liability</v>
      </c>
      <c r="G1293" s="12" t="n">
        <v>0</v>
      </c>
      <c r="H1293" s="12" t="n">
        <v>1848.85</v>
      </c>
      <c r="I1293" s="10" t="s">
        <v>97</v>
      </c>
      <c r="J1293" s="10" t="s">
        <v>1648</v>
      </c>
      <c r="K1293" s="10" t="s">
        <v>1649</v>
      </c>
    </row>
    <row r="1294" customFormat="false" ht="15" hidden="false" customHeight="false" outlineLevel="0" collapsed="false">
      <c r="A1294" s="10" t="s">
        <v>2966</v>
      </c>
      <c r="B1294" s="10" t="n">
        <v>1597</v>
      </c>
      <c r="C1294" s="8" t="n">
        <v>45931</v>
      </c>
      <c r="D1294" s="8" t="n">
        <v>45931</v>
      </c>
      <c r="E1294" s="10" t="n">
        <v>2000</v>
      </c>
      <c r="F1294" s="0" t="str">
        <f aca="false">INDEX(COA!$C$5:$C$19,MATCH(E1294,COA!$A$5:$A$19,0))</f>
        <v>Liability</v>
      </c>
      <c r="G1294" s="12" t="n">
        <v>361.39</v>
      </c>
      <c r="H1294" s="12" t="n">
        <v>0</v>
      </c>
      <c r="I1294" s="10" t="s">
        <v>104</v>
      </c>
      <c r="J1294" s="10" t="s">
        <v>1636</v>
      </c>
      <c r="K1294" s="10" t="s">
        <v>1659</v>
      </c>
    </row>
    <row r="1295" customFormat="false" ht="15" hidden="false" customHeight="false" outlineLevel="0" collapsed="false">
      <c r="A1295" s="10" t="s">
        <v>2967</v>
      </c>
      <c r="B1295" s="10" t="n">
        <v>1597</v>
      </c>
      <c r="C1295" s="8" t="n">
        <v>45931</v>
      </c>
      <c r="D1295" s="8" t="n">
        <v>45931</v>
      </c>
      <c r="E1295" s="10" t="n">
        <v>1000</v>
      </c>
      <c r="F1295" s="0" t="str">
        <f aca="false">INDEX(COA!$C$5:$C$19,MATCH(E1295,COA!$A$5:$A$19,0))</f>
        <v>Asset</v>
      </c>
      <c r="G1295" s="12" t="n">
        <v>0</v>
      </c>
      <c r="H1295" s="12" t="n">
        <v>361.39</v>
      </c>
      <c r="I1295" s="10" t="s">
        <v>104</v>
      </c>
      <c r="J1295" s="10" t="s">
        <v>1636</v>
      </c>
      <c r="K1295" s="10" t="s">
        <v>1659</v>
      </c>
    </row>
    <row r="1296" customFormat="false" ht="15" hidden="false" customHeight="false" outlineLevel="0" collapsed="false">
      <c r="A1296" s="10" t="s">
        <v>2968</v>
      </c>
      <c r="B1296" s="10" t="n">
        <v>1598</v>
      </c>
      <c r="C1296" s="8" t="n">
        <v>45932</v>
      </c>
      <c r="D1296" s="8" t="n">
        <v>45928</v>
      </c>
      <c r="E1296" s="10" t="n">
        <v>1500</v>
      </c>
      <c r="F1296" s="0" t="str">
        <f aca="false">INDEX(COA!$C$5:$C$19,MATCH(E1296,COA!$A$5:$A$19,0))</f>
        <v>Asset</v>
      </c>
      <c r="G1296" s="12" t="n">
        <v>2725.78</v>
      </c>
      <c r="H1296" s="12" t="n">
        <v>0</v>
      </c>
      <c r="I1296" s="10" t="s">
        <v>102</v>
      </c>
      <c r="J1296" s="10" t="s">
        <v>1636</v>
      </c>
      <c r="K1296" s="10" t="s">
        <v>1716</v>
      </c>
    </row>
    <row r="1297" customFormat="false" ht="15" hidden="false" customHeight="false" outlineLevel="0" collapsed="false">
      <c r="A1297" s="10" t="s">
        <v>2969</v>
      </c>
      <c r="B1297" s="10" t="n">
        <v>1598</v>
      </c>
      <c r="C1297" s="8" t="n">
        <v>45932</v>
      </c>
      <c r="D1297" s="8" t="n">
        <v>45928</v>
      </c>
      <c r="E1297" s="10" t="n">
        <v>2000</v>
      </c>
      <c r="F1297" s="0" t="str">
        <f aca="false">INDEX(COA!$C$5:$C$19,MATCH(E1297,COA!$A$5:$A$19,0))</f>
        <v>Liability</v>
      </c>
      <c r="G1297" s="12" t="n">
        <v>0</v>
      </c>
      <c r="H1297" s="12" t="n">
        <v>2725.78</v>
      </c>
      <c r="I1297" s="10" t="s">
        <v>102</v>
      </c>
      <c r="J1297" s="10" t="s">
        <v>1636</v>
      </c>
      <c r="K1297" s="10" t="s">
        <v>1716</v>
      </c>
    </row>
    <row r="1298" customFormat="false" ht="15" hidden="false" customHeight="false" outlineLevel="0" collapsed="false">
      <c r="A1298" s="10" t="s">
        <v>2970</v>
      </c>
      <c r="B1298" s="10" t="n">
        <v>1599</v>
      </c>
      <c r="C1298" s="8" t="n">
        <v>45932</v>
      </c>
      <c r="D1298" s="8" t="n">
        <v>45931</v>
      </c>
      <c r="E1298" s="10" t="n">
        <v>2000</v>
      </c>
      <c r="F1298" s="0" t="str">
        <f aca="false">INDEX(COA!$C$5:$C$19,MATCH(E1298,COA!$A$5:$A$19,0))</f>
        <v>Liability</v>
      </c>
      <c r="G1298" s="12" t="n">
        <v>7051.89</v>
      </c>
      <c r="H1298" s="12" t="n">
        <v>0</v>
      </c>
      <c r="I1298" s="10" t="s">
        <v>104</v>
      </c>
      <c r="J1298" s="10" t="s">
        <v>1636</v>
      </c>
      <c r="K1298" s="10" t="s">
        <v>1659</v>
      </c>
    </row>
    <row r="1299" customFormat="false" ht="15" hidden="false" customHeight="false" outlineLevel="0" collapsed="false">
      <c r="A1299" s="10" t="s">
        <v>2971</v>
      </c>
      <c r="B1299" s="10" t="n">
        <v>1599</v>
      </c>
      <c r="C1299" s="8" t="n">
        <v>45932</v>
      </c>
      <c r="D1299" s="8" t="n">
        <v>45931</v>
      </c>
      <c r="E1299" s="10" t="n">
        <v>1000</v>
      </c>
      <c r="F1299" s="0" t="str">
        <f aca="false">INDEX(COA!$C$5:$C$19,MATCH(E1299,COA!$A$5:$A$19,0))</f>
        <v>Asset</v>
      </c>
      <c r="G1299" s="12" t="n">
        <v>0</v>
      </c>
      <c r="H1299" s="12" t="n">
        <v>7051.89</v>
      </c>
      <c r="I1299" s="10" t="s">
        <v>104</v>
      </c>
      <c r="J1299" s="10" t="s">
        <v>1636</v>
      </c>
      <c r="K1299" s="10" t="s">
        <v>1659</v>
      </c>
    </row>
    <row r="1300" customFormat="false" ht="15" hidden="false" customHeight="false" outlineLevel="0" collapsed="false">
      <c r="A1300" s="10" t="s">
        <v>2972</v>
      </c>
      <c r="B1300" s="10" t="n">
        <v>1600</v>
      </c>
      <c r="C1300" s="8" t="n">
        <v>45932</v>
      </c>
      <c r="D1300" s="8" t="n">
        <v>45928</v>
      </c>
      <c r="E1300" s="10" t="n">
        <v>5000</v>
      </c>
      <c r="F1300" s="0" t="str">
        <f aca="false">INDEX(COA!$C$5:$C$19,MATCH(E1300,COA!$A$5:$A$19,0))</f>
        <v>Expense</v>
      </c>
      <c r="G1300" s="12" t="n">
        <v>1061.24</v>
      </c>
      <c r="H1300" s="12" t="n">
        <v>0</v>
      </c>
      <c r="I1300" s="10" t="s">
        <v>103</v>
      </c>
      <c r="J1300" s="10" t="s">
        <v>1636</v>
      </c>
      <c r="K1300" s="10" t="s">
        <v>1670</v>
      </c>
    </row>
    <row r="1301" customFormat="false" ht="15" hidden="false" customHeight="false" outlineLevel="0" collapsed="false">
      <c r="A1301" s="10" t="s">
        <v>2973</v>
      </c>
      <c r="B1301" s="10" t="n">
        <v>1600</v>
      </c>
      <c r="C1301" s="8" t="n">
        <v>45932</v>
      </c>
      <c r="D1301" s="8" t="n">
        <v>45928</v>
      </c>
      <c r="E1301" s="10" t="n">
        <v>1200</v>
      </c>
      <c r="F1301" s="0" t="str">
        <f aca="false">INDEX(COA!$C$5:$C$19,MATCH(E1301,COA!$A$5:$A$19,0))</f>
        <v>Asset</v>
      </c>
      <c r="G1301" s="12" t="n">
        <v>0</v>
      </c>
      <c r="H1301" s="12" t="n">
        <v>1061.24</v>
      </c>
      <c r="I1301" s="10" t="s">
        <v>103</v>
      </c>
      <c r="J1301" s="10" t="s">
        <v>1636</v>
      </c>
      <c r="K1301" s="10" t="s">
        <v>1670</v>
      </c>
    </row>
    <row r="1302" customFormat="false" ht="15" hidden="false" customHeight="false" outlineLevel="0" collapsed="false">
      <c r="A1302" s="10" t="s">
        <v>2974</v>
      </c>
      <c r="B1302" s="10" t="n">
        <v>1601</v>
      </c>
      <c r="C1302" s="8" t="n">
        <v>45933</v>
      </c>
      <c r="D1302" s="8" t="n">
        <v>45929</v>
      </c>
      <c r="E1302" s="10" t="n">
        <v>1000</v>
      </c>
      <c r="F1302" s="0" t="str">
        <f aca="false">INDEX(COA!$C$5:$C$19,MATCH(E1302,COA!$A$5:$A$19,0))</f>
        <v>Asset</v>
      </c>
      <c r="G1302" s="12" t="n">
        <v>221.21</v>
      </c>
      <c r="H1302" s="12" t="n">
        <v>0</v>
      </c>
      <c r="I1302" s="10" t="s">
        <v>103</v>
      </c>
      <c r="J1302" s="10" t="s">
        <v>1636</v>
      </c>
      <c r="K1302" s="10" t="s">
        <v>1637</v>
      </c>
    </row>
    <row r="1303" customFormat="false" ht="15" hidden="false" customHeight="false" outlineLevel="0" collapsed="false">
      <c r="A1303" s="10" t="s">
        <v>2975</v>
      </c>
      <c r="B1303" s="10" t="n">
        <v>1601</v>
      </c>
      <c r="C1303" s="8" t="n">
        <v>45933</v>
      </c>
      <c r="D1303" s="8" t="n">
        <v>45929</v>
      </c>
      <c r="E1303" s="10" t="n">
        <v>1000</v>
      </c>
      <c r="F1303" s="0" t="str">
        <f aca="false">INDEX(COA!$C$5:$C$19,MATCH(E1303,COA!$A$5:$A$19,0))</f>
        <v>Asset</v>
      </c>
      <c r="G1303" s="12" t="n">
        <v>94.8</v>
      </c>
      <c r="H1303" s="12" t="n">
        <v>0</v>
      </c>
      <c r="I1303" s="10" t="s">
        <v>103</v>
      </c>
      <c r="J1303" s="10" t="s">
        <v>1636</v>
      </c>
      <c r="K1303" s="10" t="s">
        <v>1637</v>
      </c>
    </row>
    <row r="1304" customFormat="false" ht="15" hidden="false" customHeight="false" outlineLevel="0" collapsed="false">
      <c r="A1304" s="10" t="s">
        <v>2976</v>
      </c>
      <c r="B1304" s="10" t="n">
        <v>1601</v>
      </c>
      <c r="C1304" s="8" t="n">
        <v>45933</v>
      </c>
      <c r="D1304" s="8" t="n">
        <v>45929</v>
      </c>
      <c r="E1304" s="10" t="n">
        <v>1100</v>
      </c>
      <c r="F1304" s="0" t="str">
        <f aca="false">INDEX(COA!$C$5:$C$19,MATCH(E1304,COA!$A$5:$A$19,0))</f>
        <v>Asset</v>
      </c>
      <c r="G1304" s="12" t="n">
        <v>0</v>
      </c>
      <c r="H1304" s="12" t="n">
        <v>316.01</v>
      </c>
      <c r="I1304" s="10" t="s">
        <v>103</v>
      </c>
      <c r="J1304" s="10" t="s">
        <v>1636</v>
      </c>
      <c r="K1304" s="10" t="s">
        <v>1637</v>
      </c>
    </row>
    <row r="1305" customFormat="false" ht="15" hidden="false" customHeight="false" outlineLevel="0" collapsed="false">
      <c r="A1305" s="10" t="s">
        <v>2977</v>
      </c>
      <c r="B1305" s="10" t="n">
        <v>1602</v>
      </c>
      <c r="C1305" s="8" t="n">
        <v>45933</v>
      </c>
      <c r="D1305" s="8" t="n">
        <v>45933</v>
      </c>
      <c r="E1305" s="10" t="n">
        <v>5000</v>
      </c>
      <c r="F1305" s="0" t="str">
        <f aca="false">INDEX(COA!$C$5:$C$19,MATCH(E1305,COA!$A$5:$A$19,0))</f>
        <v>Expense</v>
      </c>
      <c r="G1305" s="12" t="n">
        <v>19598</v>
      </c>
      <c r="H1305" s="12" t="n">
        <v>0</v>
      </c>
      <c r="I1305" s="10" t="s">
        <v>103</v>
      </c>
      <c r="J1305" s="10" t="s">
        <v>1636</v>
      </c>
      <c r="K1305" s="10" t="s">
        <v>1670</v>
      </c>
    </row>
    <row r="1306" customFormat="false" ht="15" hidden="false" customHeight="false" outlineLevel="0" collapsed="false">
      <c r="A1306" s="10" t="s">
        <v>2978</v>
      </c>
      <c r="B1306" s="10" t="n">
        <v>1602</v>
      </c>
      <c r="C1306" s="8" t="n">
        <v>45933</v>
      </c>
      <c r="D1306" s="8" t="n">
        <v>45933</v>
      </c>
      <c r="E1306" s="10" t="n">
        <v>1200</v>
      </c>
      <c r="F1306" s="0" t="str">
        <f aca="false">INDEX(COA!$C$5:$C$19,MATCH(E1306,COA!$A$5:$A$19,0))</f>
        <v>Asset</v>
      </c>
      <c r="G1306" s="12" t="n">
        <v>0</v>
      </c>
      <c r="H1306" s="12" t="n">
        <v>19598</v>
      </c>
      <c r="I1306" s="10" t="s">
        <v>103</v>
      </c>
      <c r="J1306" s="10" t="s">
        <v>1636</v>
      </c>
      <c r="K1306" s="10" t="s">
        <v>1670</v>
      </c>
    </row>
    <row r="1307" customFormat="false" ht="15" hidden="false" customHeight="false" outlineLevel="0" collapsed="false">
      <c r="A1307" s="10" t="s">
        <v>2979</v>
      </c>
      <c r="B1307" s="10" t="n">
        <v>1603</v>
      </c>
      <c r="C1307" s="8" t="n">
        <v>45937</v>
      </c>
      <c r="D1307" s="8" t="n">
        <v>45934</v>
      </c>
      <c r="E1307" s="10" t="n">
        <v>1000</v>
      </c>
      <c r="F1307" s="0" t="str">
        <f aca="false">INDEX(COA!$C$5:$C$19,MATCH(E1307,COA!$A$5:$A$19,0))</f>
        <v>Asset</v>
      </c>
      <c r="G1307" s="12" t="n">
        <v>206.86</v>
      </c>
      <c r="H1307" s="12" t="n">
        <v>0</v>
      </c>
      <c r="I1307" s="10" t="s">
        <v>103</v>
      </c>
      <c r="J1307" s="10" t="s">
        <v>1636</v>
      </c>
      <c r="K1307" s="10" t="s">
        <v>1637</v>
      </c>
    </row>
    <row r="1308" customFormat="false" ht="15" hidden="false" customHeight="false" outlineLevel="0" collapsed="false">
      <c r="A1308" s="10" t="s">
        <v>2980</v>
      </c>
      <c r="B1308" s="10" t="n">
        <v>1603</v>
      </c>
      <c r="C1308" s="8" t="n">
        <v>45937</v>
      </c>
      <c r="D1308" s="8" t="n">
        <v>45934</v>
      </c>
      <c r="E1308" s="10" t="n">
        <v>1100</v>
      </c>
      <c r="F1308" s="0" t="str">
        <f aca="false">INDEX(COA!$C$5:$C$19,MATCH(E1308,COA!$A$5:$A$19,0))</f>
        <v>Asset</v>
      </c>
      <c r="G1308" s="12" t="n">
        <v>0</v>
      </c>
      <c r="H1308" s="12" t="n">
        <v>206.86</v>
      </c>
      <c r="I1308" s="10" t="s">
        <v>103</v>
      </c>
      <c r="J1308" s="10" t="s">
        <v>1636</v>
      </c>
      <c r="K1308" s="10" t="s">
        <v>1637</v>
      </c>
    </row>
    <row r="1309" customFormat="false" ht="15" hidden="false" customHeight="false" outlineLevel="0" collapsed="false">
      <c r="A1309" s="10" t="s">
        <v>2981</v>
      </c>
      <c r="B1309" s="10" t="n">
        <v>1604</v>
      </c>
      <c r="C1309" s="8" t="n">
        <v>45937</v>
      </c>
      <c r="D1309" s="8" t="n">
        <v>45936</v>
      </c>
      <c r="E1309" s="10" t="n">
        <v>1100</v>
      </c>
      <c r="F1309" s="0" t="str">
        <f aca="false">INDEX(COA!$C$5:$C$19,MATCH(E1309,COA!$A$5:$A$19,0))</f>
        <v>Asset</v>
      </c>
      <c r="G1309" s="12" t="n">
        <v>4148.22</v>
      </c>
      <c r="H1309" s="12" t="n">
        <v>0</v>
      </c>
      <c r="I1309" s="10" t="s">
        <v>103</v>
      </c>
      <c r="J1309" s="10" t="s">
        <v>1636</v>
      </c>
      <c r="K1309" s="10" t="s">
        <v>1640</v>
      </c>
    </row>
    <row r="1310" customFormat="false" ht="15" hidden="false" customHeight="false" outlineLevel="0" collapsed="false">
      <c r="A1310" s="10" t="s">
        <v>2982</v>
      </c>
      <c r="B1310" s="10" t="n">
        <v>1604</v>
      </c>
      <c r="C1310" s="8" t="n">
        <v>45937</v>
      </c>
      <c r="D1310" s="8" t="n">
        <v>45936</v>
      </c>
      <c r="E1310" s="10" t="n">
        <v>4000</v>
      </c>
      <c r="F1310" s="0" t="str">
        <f aca="false">INDEX(COA!$C$5:$C$19,MATCH(E1310,COA!$A$5:$A$19,0))</f>
        <v>Revenue</v>
      </c>
      <c r="G1310" s="12" t="n">
        <v>0</v>
      </c>
      <c r="H1310" s="12" t="n">
        <v>4148.22</v>
      </c>
      <c r="I1310" s="10" t="s">
        <v>103</v>
      </c>
      <c r="J1310" s="10" t="s">
        <v>1636</v>
      </c>
      <c r="K1310" s="10" t="s">
        <v>1640</v>
      </c>
    </row>
    <row r="1311" customFormat="false" ht="15" hidden="false" customHeight="false" outlineLevel="0" collapsed="false">
      <c r="A1311" s="10" t="s">
        <v>2983</v>
      </c>
      <c r="B1311" s="10" t="n">
        <v>1605</v>
      </c>
      <c r="C1311" s="8" t="n">
        <v>45937</v>
      </c>
      <c r="D1311" s="8" t="n">
        <v>45934</v>
      </c>
      <c r="E1311" s="10" t="n">
        <v>2000</v>
      </c>
      <c r="F1311" s="0" t="str">
        <f aca="false">INDEX(COA!$C$5:$C$19,MATCH(E1311,COA!$A$5:$A$19,0))</f>
        <v>Liability</v>
      </c>
      <c r="G1311" s="12" t="n">
        <v>20772.88</v>
      </c>
      <c r="H1311" s="12" t="n">
        <v>0</v>
      </c>
      <c r="I1311" s="10" t="s">
        <v>104</v>
      </c>
      <c r="J1311" s="10" t="s">
        <v>1636</v>
      </c>
      <c r="K1311" s="10" t="s">
        <v>1659</v>
      </c>
    </row>
    <row r="1312" customFormat="false" ht="15" hidden="false" customHeight="false" outlineLevel="0" collapsed="false">
      <c r="A1312" s="10" t="s">
        <v>2984</v>
      </c>
      <c r="B1312" s="10" t="n">
        <v>1605</v>
      </c>
      <c r="C1312" s="8" t="n">
        <v>45937</v>
      </c>
      <c r="D1312" s="8" t="n">
        <v>45934</v>
      </c>
      <c r="E1312" s="10" t="n">
        <v>1000</v>
      </c>
      <c r="F1312" s="0" t="str">
        <f aca="false">INDEX(COA!$C$5:$C$19,MATCH(E1312,COA!$A$5:$A$19,0))</f>
        <v>Asset</v>
      </c>
      <c r="G1312" s="12" t="n">
        <v>0</v>
      </c>
      <c r="H1312" s="12" t="n">
        <v>20772.88</v>
      </c>
      <c r="I1312" s="10" t="s">
        <v>104</v>
      </c>
      <c r="J1312" s="10" t="s">
        <v>1636</v>
      </c>
      <c r="K1312" s="10" t="s">
        <v>1659</v>
      </c>
    </row>
    <row r="1313" customFormat="false" ht="15" hidden="false" customHeight="false" outlineLevel="0" collapsed="false">
      <c r="A1313" s="10" t="s">
        <v>2985</v>
      </c>
      <c r="B1313" s="10" t="n">
        <v>1606</v>
      </c>
      <c r="C1313" s="8" t="n">
        <v>45937</v>
      </c>
      <c r="D1313" s="8" t="n">
        <v>45934</v>
      </c>
      <c r="E1313" s="10" t="n">
        <v>1200</v>
      </c>
      <c r="F1313" s="0" t="str">
        <f aca="false">INDEX(COA!$C$5:$C$19,MATCH(E1313,COA!$A$5:$A$19,0))</f>
        <v>Asset</v>
      </c>
      <c r="G1313" s="12" t="n">
        <v>10578.37</v>
      </c>
      <c r="H1313" s="12" t="n">
        <v>0</v>
      </c>
      <c r="I1313" s="10" t="s">
        <v>102</v>
      </c>
      <c r="J1313" s="10" t="s">
        <v>1636</v>
      </c>
      <c r="K1313" s="10" t="s">
        <v>1655</v>
      </c>
    </row>
    <row r="1314" customFormat="false" ht="15" hidden="false" customHeight="false" outlineLevel="0" collapsed="false">
      <c r="A1314" s="10" t="s">
        <v>2986</v>
      </c>
      <c r="B1314" s="10" t="n">
        <v>1606</v>
      </c>
      <c r="C1314" s="8" t="n">
        <v>45937</v>
      </c>
      <c r="D1314" s="8" t="n">
        <v>45934</v>
      </c>
      <c r="E1314" s="10" t="n">
        <v>2000</v>
      </c>
      <c r="F1314" s="0" t="str">
        <f aca="false">INDEX(COA!$C$5:$C$19,MATCH(E1314,COA!$A$5:$A$19,0))</f>
        <v>Liability</v>
      </c>
      <c r="G1314" s="12" t="n">
        <v>0</v>
      </c>
      <c r="H1314" s="12" t="n">
        <v>10578.37</v>
      </c>
      <c r="I1314" s="10" t="s">
        <v>102</v>
      </c>
      <c r="J1314" s="10" t="s">
        <v>1636</v>
      </c>
      <c r="K1314" s="10" t="s">
        <v>1655</v>
      </c>
    </row>
    <row r="1315" customFormat="false" ht="15" hidden="false" customHeight="false" outlineLevel="0" collapsed="false">
      <c r="A1315" s="10" t="s">
        <v>2987</v>
      </c>
      <c r="B1315" s="10" t="n">
        <v>1607</v>
      </c>
      <c r="C1315" s="8" t="n">
        <v>45937</v>
      </c>
      <c r="D1315" s="8" t="n">
        <v>45936</v>
      </c>
      <c r="E1315" s="10" t="n">
        <v>5000</v>
      </c>
      <c r="F1315" s="0" t="str">
        <f aca="false">INDEX(COA!$C$5:$C$19,MATCH(E1315,COA!$A$5:$A$19,0))</f>
        <v>Expense</v>
      </c>
      <c r="G1315" s="12" t="n">
        <v>282.82</v>
      </c>
      <c r="H1315" s="12" t="n">
        <v>0</v>
      </c>
      <c r="I1315" s="10" t="s">
        <v>103</v>
      </c>
      <c r="J1315" s="10" t="s">
        <v>1636</v>
      </c>
      <c r="K1315" s="10" t="s">
        <v>1670</v>
      </c>
    </row>
    <row r="1316" customFormat="false" ht="15" hidden="false" customHeight="false" outlineLevel="0" collapsed="false">
      <c r="A1316" s="10" t="s">
        <v>2988</v>
      </c>
      <c r="B1316" s="10" t="n">
        <v>1607</v>
      </c>
      <c r="C1316" s="8" t="n">
        <v>45937</v>
      </c>
      <c r="D1316" s="8" t="n">
        <v>45936</v>
      </c>
      <c r="E1316" s="10" t="n">
        <v>5000</v>
      </c>
      <c r="F1316" s="0" t="str">
        <f aca="false">INDEX(COA!$C$5:$C$19,MATCH(E1316,COA!$A$5:$A$19,0))</f>
        <v>Expense</v>
      </c>
      <c r="G1316" s="12" t="n">
        <v>121.21</v>
      </c>
      <c r="H1316" s="12" t="n">
        <v>0</v>
      </c>
      <c r="I1316" s="10" t="s">
        <v>103</v>
      </c>
      <c r="J1316" s="10" t="s">
        <v>1636</v>
      </c>
      <c r="K1316" s="10" t="s">
        <v>1670</v>
      </c>
    </row>
    <row r="1317" customFormat="false" ht="15" hidden="false" customHeight="false" outlineLevel="0" collapsed="false">
      <c r="A1317" s="10" t="s">
        <v>2989</v>
      </c>
      <c r="B1317" s="10" t="n">
        <v>1607</v>
      </c>
      <c r="C1317" s="8" t="n">
        <v>45937</v>
      </c>
      <c r="D1317" s="8" t="n">
        <v>45936</v>
      </c>
      <c r="E1317" s="10" t="n">
        <v>1200</v>
      </c>
      <c r="F1317" s="0" t="str">
        <f aca="false">INDEX(COA!$C$5:$C$19,MATCH(E1317,COA!$A$5:$A$19,0))</f>
        <v>Asset</v>
      </c>
      <c r="G1317" s="12" t="n">
        <v>0</v>
      </c>
      <c r="H1317" s="12" t="n">
        <v>404.03</v>
      </c>
      <c r="I1317" s="10" t="s">
        <v>103</v>
      </c>
      <c r="J1317" s="10" t="s">
        <v>1636</v>
      </c>
      <c r="K1317" s="10" t="s">
        <v>1670</v>
      </c>
    </row>
    <row r="1318" customFormat="false" ht="15" hidden="false" customHeight="false" outlineLevel="0" collapsed="false">
      <c r="A1318" s="10" t="s">
        <v>2990</v>
      </c>
      <c r="B1318" s="10" t="n">
        <v>1608</v>
      </c>
      <c r="C1318" s="8" t="n">
        <v>45938</v>
      </c>
      <c r="D1318" s="8" t="n">
        <v>45935</v>
      </c>
      <c r="E1318" s="10" t="n">
        <v>2100</v>
      </c>
      <c r="F1318" s="0" t="str">
        <f aca="false">INDEX(COA!$C$5:$C$19,MATCH(E1318,COA!$A$5:$A$19,0))</f>
        <v>Liability</v>
      </c>
      <c r="G1318" s="12" t="n">
        <v>50481.59</v>
      </c>
      <c r="H1318" s="12" t="n">
        <v>0</v>
      </c>
      <c r="I1318" s="10" t="s">
        <v>99</v>
      </c>
      <c r="J1318" s="10" t="s">
        <v>1648</v>
      </c>
      <c r="K1318" s="10" t="s">
        <v>1677</v>
      </c>
    </row>
    <row r="1319" customFormat="false" ht="15" hidden="false" customHeight="false" outlineLevel="0" collapsed="false">
      <c r="A1319" s="10" t="s">
        <v>2991</v>
      </c>
      <c r="B1319" s="10" t="n">
        <v>1608</v>
      </c>
      <c r="C1319" s="8" t="n">
        <v>45938</v>
      </c>
      <c r="D1319" s="8" t="n">
        <v>45935</v>
      </c>
      <c r="E1319" s="10" t="n">
        <v>6900</v>
      </c>
      <c r="F1319" s="0" t="str">
        <f aca="false">INDEX(COA!$C$5:$C$19,MATCH(E1319,COA!$A$5:$A$19,0))</f>
        <v>Expense</v>
      </c>
      <c r="G1319" s="12" t="n">
        <v>0</v>
      </c>
      <c r="H1319" s="12" t="n">
        <v>50481.59</v>
      </c>
      <c r="I1319" s="10" t="s">
        <v>99</v>
      </c>
      <c r="J1319" s="10" t="s">
        <v>1648</v>
      </c>
      <c r="K1319" s="10" t="s">
        <v>1677</v>
      </c>
    </row>
    <row r="1320" customFormat="false" ht="15" hidden="false" customHeight="false" outlineLevel="0" collapsed="false">
      <c r="A1320" s="10" t="s">
        <v>2992</v>
      </c>
      <c r="B1320" s="10" t="n">
        <v>1609</v>
      </c>
      <c r="C1320" s="8" t="n">
        <v>45938</v>
      </c>
      <c r="D1320" s="8" t="n">
        <v>45934</v>
      </c>
      <c r="E1320" s="10" t="n">
        <v>1000</v>
      </c>
      <c r="F1320" s="0" t="str">
        <f aca="false">INDEX(COA!$C$5:$C$19,MATCH(E1320,COA!$A$5:$A$19,0))</f>
        <v>Asset</v>
      </c>
      <c r="G1320" s="12" t="n">
        <v>3967.86</v>
      </c>
      <c r="H1320" s="12" t="n">
        <v>0</v>
      </c>
      <c r="I1320" s="10" t="s">
        <v>103</v>
      </c>
      <c r="J1320" s="10" t="s">
        <v>1636</v>
      </c>
      <c r="K1320" s="10" t="s">
        <v>1637</v>
      </c>
    </row>
    <row r="1321" customFormat="false" ht="15" hidden="false" customHeight="false" outlineLevel="0" collapsed="false">
      <c r="A1321" s="10" t="s">
        <v>2993</v>
      </c>
      <c r="B1321" s="10" t="n">
        <v>1609</v>
      </c>
      <c r="C1321" s="8" t="n">
        <v>45938</v>
      </c>
      <c r="D1321" s="8" t="n">
        <v>45934</v>
      </c>
      <c r="E1321" s="10" t="n">
        <v>1100</v>
      </c>
      <c r="F1321" s="0" t="str">
        <f aca="false">INDEX(COA!$C$5:$C$19,MATCH(E1321,COA!$A$5:$A$19,0))</f>
        <v>Asset</v>
      </c>
      <c r="G1321" s="12" t="n">
        <v>0</v>
      </c>
      <c r="H1321" s="12" t="n">
        <v>3967.86</v>
      </c>
      <c r="I1321" s="10" t="s">
        <v>103</v>
      </c>
      <c r="J1321" s="10" t="s">
        <v>1636</v>
      </c>
      <c r="K1321" s="10" t="s">
        <v>1637</v>
      </c>
    </row>
    <row r="1322" customFormat="false" ht="15" hidden="false" customHeight="false" outlineLevel="0" collapsed="false">
      <c r="A1322" s="10" t="s">
        <v>2994</v>
      </c>
      <c r="B1322" s="10" t="n">
        <v>1610</v>
      </c>
      <c r="C1322" s="8" t="n">
        <v>45938</v>
      </c>
      <c r="D1322" s="8" t="n">
        <v>45935</v>
      </c>
      <c r="E1322" s="10" t="n">
        <v>1100</v>
      </c>
      <c r="F1322" s="0" t="str">
        <f aca="false">INDEX(COA!$C$5:$C$19,MATCH(E1322,COA!$A$5:$A$19,0))</f>
        <v>Asset</v>
      </c>
      <c r="G1322" s="12" t="n">
        <v>3471.65</v>
      </c>
      <c r="H1322" s="12" t="n">
        <v>0</v>
      </c>
      <c r="I1322" s="10" t="s">
        <v>103</v>
      </c>
      <c r="J1322" s="10" t="s">
        <v>1636</v>
      </c>
      <c r="K1322" s="10" t="s">
        <v>1640</v>
      </c>
    </row>
    <row r="1323" customFormat="false" ht="15" hidden="false" customHeight="false" outlineLevel="0" collapsed="false">
      <c r="A1323" s="10" t="s">
        <v>2995</v>
      </c>
      <c r="B1323" s="10" t="n">
        <v>1610</v>
      </c>
      <c r="C1323" s="8" t="n">
        <v>45938</v>
      </c>
      <c r="D1323" s="8" t="n">
        <v>45935</v>
      </c>
      <c r="E1323" s="10" t="n">
        <v>4000</v>
      </c>
      <c r="F1323" s="0" t="str">
        <f aca="false">INDEX(COA!$C$5:$C$19,MATCH(E1323,COA!$A$5:$A$19,0))</f>
        <v>Revenue</v>
      </c>
      <c r="G1323" s="12" t="n">
        <v>0</v>
      </c>
      <c r="H1323" s="12" t="n">
        <v>3471.65</v>
      </c>
      <c r="I1323" s="10" t="s">
        <v>103</v>
      </c>
      <c r="J1323" s="10" t="s">
        <v>1636</v>
      </c>
      <c r="K1323" s="10" t="s">
        <v>1640</v>
      </c>
    </row>
    <row r="1324" customFormat="false" ht="15" hidden="false" customHeight="false" outlineLevel="0" collapsed="false">
      <c r="A1324" s="10" t="s">
        <v>2996</v>
      </c>
      <c r="B1324" s="10" t="n">
        <v>1611</v>
      </c>
      <c r="C1324" s="8" t="n">
        <v>45939</v>
      </c>
      <c r="D1324" s="8" t="n">
        <v>45936</v>
      </c>
      <c r="E1324" s="10" t="n">
        <v>2000</v>
      </c>
      <c r="F1324" s="0" t="str">
        <f aca="false">INDEX(COA!$C$5:$C$19,MATCH(E1324,COA!$A$5:$A$19,0))</f>
        <v>Liability</v>
      </c>
      <c r="G1324" s="12" t="n">
        <v>119197.26</v>
      </c>
      <c r="H1324" s="12" t="n">
        <v>0</v>
      </c>
      <c r="I1324" s="10" t="s">
        <v>104</v>
      </c>
      <c r="J1324" s="10" t="s">
        <v>1636</v>
      </c>
      <c r="K1324" s="10" t="s">
        <v>1659</v>
      </c>
    </row>
    <row r="1325" customFormat="false" ht="15" hidden="false" customHeight="false" outlineLevel="0" collapsed="false">
      <c r="A1325" s="10" t="s">
        <v>2997</v>
      </c>
      <c r="B1325" s="10" t="n">
        <v>1611</v>
      </c>
      <c r="C1325" s="8" t="n">
        <v>45939</v>
      </c>
      <c r="D1325" s="8" t="n">
        <v>45936</v>
      </c>
      <c r="E1325" s="10" t="n">
        <v>1000</v>
      </c>
      <c r="F1325" s="0" t="str">
        <f aca="false">INDEX(COA!$C$5:$C$19,MATCH(E1325,COA!$A$5:$A$19,0))</f>
        <v>Asset</v>
      </c>
      <c r="G1325" s="12" t="n">
        <v>0</v>
      </c>
      <c r="H1325" s="12" t="n">
        <v>119197.26</v>
      </c>
      <c r="I1325" s="10" t="s">
        <v>104</v>
      </c>
      <c r="J1325" s="10" t="s">
        <v>1636</v>
      </c>
      <c r="K1325" s="10" t="s">
        <v>1659</v>
      </c>
    </row>
    <row r="1326" customFormat="false" ht="15" hidden="false" customHeight="false" outlineLevel="0" collapsed="false">
      <c r="A1326" s="10" t="s">
        <v>2998</v>
      </c>
      <c r="B1326" s="10" t="n">
        <v>1612</v>
      </c>
      <c r="C1326" s="8" t="n">
        <v>45939</v>
      </c>
      <c r="D1326" s="8" t="n">
        <v>45938</v>
      </c>
      <c r="E1326" s="10" t="n">
        <v>1100</v>
      </c>
      <c r="F1326" s="0" t="str">
        <f aca="false">INDEX(COA!$C$5:$C$19,MATCH(E1326,COA!$A$5:$A$19,0))</f>
        <v>Asset</v>
      </c>
      <c r="G1326" s="12" t="n">
        <v>1039.08</v>
      </c>
      <c r="H1326" s="12" t="n">
        <v>0</v>
      </c>
      <c r="I1326" s="10" t="s">
        <v>103</v>
      </c>
      <c r="J1326" s="10" t="s">
        <v>1636</v>
      </c>
      <c r="K1326" s="10" t="s">
        <v>1640</v>
      </c>
    </row>
    <row r="1327" customFormat="false" ht="15" hidden="false" customHeight="false" outlineLevel="0" collapsed="false">
      <c r="A1327" s="10" t="s">
        <v>2999</v>
      </c>
      <c r="B1327" s="10" t="n">
        <v>1612</v>
      </c>
      <c r="C1327" s="8" t="n">
        <v>45939</v>
      </c>
      <c r="D1327" s="8" t="n">
        <v>45938</v>
      </c>
      <c r="E1327" s="10" t="n">
        <v>4000</v>
      </c>
      <c r="F1327" s="0" t="str">
        <f aca="false">INDEX(COA!$C$5:$C$19,MATCH(E1327,COA!$A$5:$A$19,0))</f>
        <v>Revenue</v>
      </c>
      <c r="G1327" s="12" t="n">
        <v>0</v>
      </c>
      <c r="H1327" s="12" t="n">
        <v>1039.08</v>
      </c>
      <c r="I1327" s="10" t="s">
        <v>103</v>
      </c>
      <c r="J1327" s="10" t="s">
        <v>1636</v>
      </c>
      <c r="K1327" s="10" t="s">
        <v>1640</v>
      </c>
    </row>
    <row r="1328" customFormat="false" ht="15" hidden="false" customHeight="false" outlineLevel="0" collapsed="false">
      <c r="A1328" s="10" t="s">
        <v>3000</v>
      </c>
      <c r="B1328" s="10" t="n">
        <v>1613</v>
      </c>
      <c r="C1328" s="8" t="n">
        <v>45939</v>
      </c>
      <c r="D1328" s="8" t="n">
        <v>45936</v>
      </c>
      <c r="E1328" s="10" t="n">
        <v>5000</v>
      </c>
      <c r="F1328" s="0" t="str">
        <f aca="false">INDEX(COA!$C$5:$C$19,MATCH(E1328,COA!$A$5:$A$19,0))</f>
        <v>Expense</v>
      </c>
      <c r="G1328" s="12" t="n">
        <v>302.6</v>
      </c>
      <c r="H1328" s="12" t="n">
        <v>0</v>
      </c>
      <c r="I1328" s="10" t="s">
        <v>103</v>
      </c>
      <c r="J1328" s="10" t="s">
        <v>1636</v>
      </c>
      <c r="K1328" s="10" t="s">
        <v>1670</v>
      </c>
    </row>
    <row r="1329" customFormat="false" ht="15" hidden="false" customHeight="false" outlineLevel="0" collapsed="false">
      <c r="A1329" s="10" t="s">
        <v>3001</v>
      </c>
      <c r="B1329" s="10" t="n">
        <v>1613</v>
      </c>
      <c r="C1329" s="8" t="n">
        <v>45939</v>
      </c>
      <c r="D1329" s="8" t="n">
        <v>45936</v>
      </c>
      <c r="E1329" s="10" t="n">
        <v>5000</v>
      </c>
      <c r="F1329" s="0" t="str">
        <f aca="false">INDEX(COA!$C$5:$C$19,MATCH(E1329,COA!$A$5:$A$19,0))</f>
        <v>Expense</v>
      </c>
      <c r="G1329" s="12" t="n">
        <v>129.68</v>
      </c>
      <c r="H1329" s="12" t="n">
        <v>0</v>
      </c>
      <c r="I1329" s="10" t="s">
        <v>103</v>
      </c>
      <c r="J1329" s="10" t="s">
        <v>1636</v>
      </c>
      <c r="K1329" s="10" t="s">
        <v>1670</v>
      </c>
    </row>
    <row r="1330" customFormat="false" ht="15" hidden="false" customHeight="false" outlineLevel="0" collapsed="false">
      <c r="A1330" s="10" t="s">
        <v>3002</v>
      </c>
      <c r="B1330" s="10" t="n">
        <v>1613</v>
      </c>
      <c r="C1330" s="8" t="n">
        <v>45939</v>
      </c>
      <c r="D1330" s="8" t="n">
        <v>45936</v>
      </c>
      <c r="E1330" s="10" t="n">
        <v>1200</v>
      </c>
      <c r="F1330" s="0" t="str">
        <f aca="false">INDEX(COA!$C$5:$C$19,MATCH(E1330,COA!$A$5:$A$19,0))</f>
        <v>Asset</v>
      </c>
      <c r="G1330" s="12" t="n">
        <v>0</v>
      </c>
      <c r="H1330" s="12" t="n">
        <v>432.28</v>
      </c>
      <c r="I1330" s="10" t="s">
        <v>103</v>
      </c>
      <c r="J1330" s="10" t="s">
        <v>1636</v>
      </c>
      <c r="K1330" s="10" t="s">
        <v>1670</v>
      </c>
    </row>
    <row r="1331" customFormat="false" ht="15" hidden="false" customHeight="false" outlineLevel="0" collapsed="false">
      <c r="A1331" s="10" t="s">
        <v>3003</v>
      </c>
      <c r="B1331" s="10" t="n">
        <v>1614</v>
      </c>
      <c r="C1331" s="8" t="n">
        <v>45939</v>
      </c>
      <c r="D1331" s="8" t="n">
        <v>45939</v>
      </c>
      <c r="E1331" s="10" t="n">
        <v>1000</v>
      </c>
      <c r="F1331" s="0" t="str">
        <f aca="false">INDEX(COA!$C$5:$C$19,MATCH(E1331,COA!$A$5:$A$19,0))</f>
        <v>Asset</v>
      </c>
      <c r="G1331" s="12" t="n">
        <v>1566.44</v>
      </c>
      <c r="H1331" s="12" t="n">
        <v>0</v>
      </c>
      <c r="I1331" s="10" t="s">
        <v>103</v>
      </c>
      <c r="J1331" s="10" t="s">
        <v>1636</v>
      </c>
      <c r="K1331" s="10" t="s">
        <v>1637</v>
      </c>
    </row>
    <row r="1332" customFormat="false" ht="15" hidden="false" customHeight="false" outlineLevel="0" collapsed="false">
      <c r="A1332" s="10" t="s">
        <v>3004</v>
      </c>
      <c r="B1332" s="10" t="n">
        <v>1614</v>
      </c>
      <c r="C1332" s="8" t="n">
        <v>45939</v>
      </c>
      <c r="D1332" s="8" t="n">
        <v>45939</v>
      </c>
      <c r="E1332" s="10" t="n">
        <v>1100</v>
      </c>
      <c r="F1332" s="0" t="str">
        <f aca="false">INDEX(COA!$C$5:$C$19,MATCH(E1332,COA!$A$5:$A$19,0))</f>
        <v>Asset</v>
      </c>
      <c r="G1332" s="12" t="n">
        <v>0</v>
      </c>
      <c r="H1332" s="12" t="n">
        <v>1566.44</v>
      </c>
      <c r="I1332" s="10" t="s">
        <v>103</v>
      </c>
      <c r="J1332" s="10" t="s">
        <v>1636</v>
      </c>
      <c r="K1332" s="10" t="s">
        <v>1637</v>
      </c>
    </row>
    <row r="1333" customFormat="false" ht="15" hidden="false" customHeight="false" outlineLevel="0" collapsed="false">
      <c r="A1333" s="10" t="s">
        <v>3005</v>
      </c>
      <c r="B1333" s="10" t="n">
        <v>1615</v>
      </c>
      <c r="C1333" s="8" t="n">
        <v>45939</v>
      </c>
      <c r="D1333" s="8" t="n">
        <v>45937</v>
      </c>
      <c r="E1333" s="10" t="n">
        <v>2000</v>
      </c>
      <c r="F1333" s="0" t="str">
        <f aca="false">INDEX(COA!$C$5:$C$19,MATCH(E1333,COA!$A$5:$A$19,0))</f>
        <v>Liability</v>
      </c>
      <c r="G1333" s="12" t="n">
        <v>6858.85</v>
      </c>
      <c r="H1333" s="12" t="n">
        <v>0</v>
      </c>
      <c r="I1333" s="10" t="s">
        <v>104</v>
      </c>
      <c r="J1333" s="10" t="s">
        <v>1636</v>
      </c>
      <c r="K1333" s="10" t="s">
        <v>1659</v>
      </c>
    </row>
    <row r="1334" customFormat="false" ht="15" hidden="false" customHeight="false" outlineLevel="0" collapsed="false">
      <c r="A1334" s="10" t="s">
        <v>3006</v>
      </c>
      <c r="B1334" s="10" t="n">
        <v>1615</v>
      </c>
      <c r="C1334" s="8" t="n">
        <v>45939</v>
      </c>
      <c r="D1334" s="8" t="n">
        <v>45937</v>
      </c>
      <c r="E1334" s="10" t="n">
        <v>2000</v>
      </c>
      <c r="F1334" s="0" t="str">
        <f aca="false">INDEX(COA!$C$5:$C$19,MATCH(E1334,COA!$A$5:$A$19,0))</f>
        <v>Liability</v>
      </c>
      <c r="G1334" s="12" t="n">
        <v>2939.5</v>
      </c>
      <c r="H1334" s="12" t="n">
        <v>0</v>
      </c>
      <c r="I1334" s="10" t="s">
        <v>104</v>
      </c>
      <c r="J1334" s="10" t="s">
        <v>1636</v>
      </c>
      <c r="K1334" s="10" t="s">
        <v>1659</v>
      </c>
    </row>
    <row r="1335" customFormat="false" ht="15" hidden="false" customHeight="false" outlineLevel="0" collapsed="false">
      <c r="A1335" s="10" t="s">
        <v>3007</v>
      </c>
      <c r="B1335" s="10" t="n">
        <v>1615</v>
      </c>
      <c r="C1335" s="8" t="n">
        <v>45939</v>
      </c>
      <c r="D1335" s="8" t="n">
        <v>45937</v>
      </c>
      <c r="E1335" s="10" t="n">
        <v>1000</v>
      </c>
      <c r="F1335" s="0" t="str">
        <f aca="false">INDEX(COA!$C$5:$C$19,MATCH(E1335,COA!$A$5:$A$19,0))</f>
        <v>Asset</v>
      </c>
      <c r="G1335" s="12" t="n">
        <v>0</v>
      </c>
      <c r="H1335" s="12" t="n">
        <v>9798.35</v>
      </c>
      <c r="I1335" s="10" t="s">
        <v>104</v>
      </c>
      <c r="J1335" s="10" t="s">
        <v>1636</v>
      </c>
      <c r="K1335" s="10" t="s">
        <v>1659</v>
      </c>
    </row>
    <row r="1336" customFormat="false" ht="15" hidden="false" customHeight="false" outlineLevel="0" collapsed="false">
      <c r="A1336" s="10" t="s">
        <v>3008</v>
      </c>
      <c r="B1336" s="10" t="n">
        <v>1616</v>
      </c>
      <c r="C1336" s="8" t="n">
        <v>45940</v>
      </c>
      <c r="D1336" s="8" t="n">
        <v>45936</v>
      </c>
      <c r="E1336" s="10" t="n">
        <v>2000</v>
      </c>
      <c r="F1336" s="0" t="str">
        <f aca="false">INDEX(COA!$C$5:$C$19,MATCH(E1336,COA!$A$5:$A$19,0))</f>
        <v>Liability</v>
      </c>
      <c r="G1336" s="12" t="n">
        <v>45897.7</v>
      </c>
      <c r="H1336" s="12" t="n">
        <v>0</v>
      </c>
      <c r="I1336" s="10" t="s">
        <v>104</v>
      </c>
      <c r="J1336" s="10" t="s">
        <v>1636</v>
      </c>
      <c r="K1336" s="10" t="s">
        <v>1659</v>
      </c>
    </row>
    <row r="1337" customFormat="false" ht="15" hidden="false" customHeight="false" outlineLevel="0" collapsed="false">
      <c r="A1337" s="10" t="s">
        <v>3009</v>
      </c>
      <c r="B1337" s="10" t="n">
        <v>1616</v>
      </c>
      <c r="C1337" s="8" t="n">
        <v>45940</v>
      </c>
      <c r="D1337" s="8" t="n">
        <v>45936</v>
      </c>
      <c r="E1337" s="10" t="n">
        <v>2000</v>
      </c>
      <c r="F1337" s="0" t="str">
        <f aca="false">INDEX(COA!$C$5:$C$19,MATCH(E1337,COA!$A$5:$A$19,0))</f>
        <v>Liability</v>
      </c>
      <c r="G1337" s="12" t="n">
        <v>19670.45</v>
      </c>
      <c r="H1337" s="12" t="n">
        <v>0</v>
      </c>
      <c r="I1337" s="10" t="s">
        <v>104</v>
      </c>
      <c r="J1337" s="10" t="s">
        <v>1636</v>
      </c>
      <c r="K1337" s="10" t="s">
        <v>1659</v>
      </c>
    </row>
    <row r="1338" customFormat="false" ht="15" hidden="false" customHeight="false" outlineLevel="0" collapsed="false">
      <c r="A1338" s="10" t="s">
        <v>3010</v>
      </c>
      <c r="B1338" s="10" t="n">
        <v>1616</v>
      </c>
      <c r="C1338" s="8" t="n">
        <v>45940</v>
      </c>
      <c r="D1338" s="8" t="n">
        <v>45936</v>
      </c>
      <c r="E1338" s="10" t="n">
        <v>1000</v>
      </c>
      <c r="F1338" s="0" t="str">
        <f aca="false">INDEX(COA!$C$5:$C$19,MATCH(E1338,COA!$A$5:$A$19,0))</f>
        <v>Asset</v>
      </c>
      <c r="G1338" s="12" t="n">
        <v>0</v>
      </c>
      <c r="H1338" s="12" t="n">
        <v>65568.15</v>
      </c>
      <c r="I1338" s="10" t="s">
        <v>104</v>
      </c>
      <c r="J1338" s="10" t="s">
        <v>1636</v>
      </c>
      <c r="K1338" s="10" t="s">
        <v>1659</v>
      </c>
    </row>
    <row r="1339" customFormat="false" ht="15" hidden="false" customHeight="false" outlineLevel="0" collapsed="false">
      <c r="A1339" s="10" t="s">
        <v>3011</v>
      </c>
      <c r="B1339" s="10" t="n">
        <v>1617</v>
      </c>
      <c r="C1339" s="8" t="n">
        <v>45943</v>
      </c>
      <c r="D1339" s="8" t="n">
        <v>45941</v>
      </c>
      <c r="E1339" s="10" t="n">
        <v>1100</v>
      </c>
      <c r="F1339" s="0" t="str">
        <f aca="false">INDEX(COA!$C$5:$C$19,MATCH(E1339,COA!$A$5:$A$19,0))</f>
        <v>Asset</v>
      </c>
      <c r="G1339" s="12" t="n">
        <v>944.83</v>
      </c>
      <c r="H1339" s="12" t="n">
        <v>0</v>
      </c>
      <c r="I1339" s="10" t="s">
        <v>103</v>
      </c>
      <c r="J1339" s="10" t="s">
        <v>1636</v>
      </c>
      <c r="K1339" s="10" t="s">
        <v>1640</v>
      </c>
    </row>
    <row r="1340" customFormat="false" ht="15" hidden="false" customHeight="false" outlineLevel="0" collapsed="false">
      <c r="A1340" s="10" t="s">
        <v>3012</v>
      </c>
      <c r="B1340" s="10" t="n">
        <v>1617</v>
      </c>
      <c r="C1340" s="8" t="n">
        <v>45943</v>
      </c>
      <c r="D1340" s="8" t="n">
        <v>45941</v>
      </c>
      <c r="E1340" s="10" t="n">
        <v>4000</v>
      </c>
      <c r="F1340" s="0" t="str">
        <f aca="false">INDEX(COA!$C$5:$C$19,MATCH(E1340,COA!$A$5:$A$19,0))</f>
        <v>Revenue</v>
      </c>
      <c r="G1340" s="12" t="n">
        <v>0</v>
      </c>
      <c r="H1340" s="12" t="n">
        <v>944.83</v>
      </c>
      <c r="I1340" s="10" t="s">
        <v>103</v>
      </c>
      <c r="J1340" s="10" t="s">
        <v>1636</v>
      </c>
      <c r="K1340" s="10" t="s">
        <v>1640</v>
      </c>
    </row>
    <row r="1341" customFormat="false" ht="15" hidden="false" customHeight="false" outlineLevel="0" collapsed="false">
      <c r="A1341" s="10" t="s">
        <v>3013</v>
      </c>
      <c r="B1341" s="10" t="n">
        <v>1618</v>
      </c>
      <c r="C1341" s="8" t="n">
        <v>45944</v>
      </c>
      <c r="D1341" s="8" t="n">
        <v>45944</v>
      </c>
      <c r="E1341" s="10" t="n">
        <v>1000</v>
      </c>
      <c r="F1341" s="0" t="str">
        <f aca="false">INDEX(COA!$C$5:$C$19,MATCH(E1341,COA!$A$5:$A$19,0))</f>
        <v>Asset</v>
      </c>
      <c r="G1341" s="12" t="n">
        <v>6194.74</v>
      </c>
      <c r="H1341" s="12" t="n">
        <v>0</v>
      </c>
      <c r="I1341" s="10" t="s">
        <v>103</v>
      </c>
      <c r="J1341" s="10" t="s">
        <v>1636</v>
      </c>
      <c r="K1341" s="10" t="s">
        <v>1637</v>
      </c>
    </row>
    <row r="1342" customFormat="false" ht="15" hidden="false" customHeight="false" outlineLevel="0" collapsed="false">
      <c r="A1342" s="10" t="s">
        <v>3014</v>
      </c>
      <c r="B1342" s="10" t="n">
        <v>1618</v>
      </c>
      <c r="C1342" s="8" t="n">
        <v>45944</v>
      </c>
      <c r="D1342" s="8" t="n">
        <v>45944</v>
      </c>
      <c r="E1342" s="10" t="n">
        <v>1000</v>
      </c>
      <c r="F1342" s="0" t="str">
        <f aca="false">INDEX(COA!$C$5:$C$19,MATCH(E1342,COA!$A$5:$A$19,0))</f>
        <v>Asset</v>
      </c>
      <c r="G1342" s="12" t="n">
        <v>2654.89</v>
      </c>
      <c r="H1342" s="12" t="n">
        <v>0</v>
      </c>
      <c r="I1342" s="10" t="s">
        <v>103</v>
      </c>
      <c r="J1342" s="10" t="s">
        <v>1636</v>
      </c>
      <c r="K1342" s="10" t="s">
        <v>1637</v>
      </c>
    </row>
    <row r="1343" customFormat="false" ht="15" hidden="false" customHeight="false" outlineLevel="0" collapsed="false">
      <c r="A1343" s="10" t="s">
        <v>3015</v>
      </c>
      <c r="B1343" s="10" t="n">
        <v>1618</v>
      </c>
      <c r="C1343" s="8" t="n">
        <v>45944</v>
      </c>
      <c r="D1343" s="8" t="n">
        <v>45944</v>
      </c>
      <c r="E1343" s="10" t="n">
        <v>1100</v>
      </c>
      <c r="F1343" s="0" t="str">
        <f aca="false">INDEX(COA!$C$5:$C$19,MATCH(E1343,COA!$A$5:$A$19,0))</f>
        <v>Asset</v>
      </c>
      <c r="G1343" s="12" t="n">
        <v>0</v>
      </c>
      <c r="H1343" s="12" t="n">
        <v>8849.63</v>
      </c>
      <c r="I1343" s="10" t="s">
        <v>103</v>
      </c>
      <c r="J1343" s="10" t="s">
        <v>1636</v>
      </c>
      <c r="K1343" s="10" t="s">
        <v>1637</v>
      </c>
    </row>
    <row r="1344" customFormat="false" ht="15" hidden="false" customHeight="false" outlineLevel="0" collapsed="false">
      <c r="A1344" s="10" t="s">
        <v>3016</v>
      </c>
      <c r="B1344" s="10" t="n">
        <v>1619</v>
      </c>
      <c r="C1344" s="8" t="n">
        <v>45944</v>
      </c>
      <c r="D1344" s="8" t="n">
        <v>45942</v>
      </c>
      <c r="E1344" s="10" t="n">
        <v>1100</v>
      </c>
      <c r="F1344" s="0" t="str">
        <f aca="false">INDEX(COA!$C$5:$C$19,MATCH(E1344,COA!$A$5:$A$19,0))</f>
        <v>Asset</v>
      </c>
      <c r="G1344" s="12" t="n">
        <v>4937.61</v>
      </c>
      <c r="H1344" s="12" t="n">
        <v>0</v>
      </c>
      <c r="I1344" s="10" t="s">
        <v>103</v>
      </c>
      <c r="J1344" s="10" t="s">
        <v>1636</v>
      </c>
      <c r="K1344" s="10" t="s">
        <v>1640</v>
      </c>
    </row>
    <row r="1345" customFormat="false" ht="15" hidden="false" customHeight="false" outlineLevel="0" collapsed="false">
      <c r="A1345" s="10" t="s">
        <v>3017</v>
      </c>
      <c r="B1345" s="10" t="n">
        <v>1619</v>
      </c>
      <c r="C1345" s="8" t="n">
        <v>45944</v>
      </c>
      <c r="D1345" s="8" t="n">
        <v>45942</v>
      </c>
      <c r="E1345" s="10" t="n">
        <v>4000</v>
      </c>
      <c r="F1345" s="0" t="str">
        <f aca="false">INDEX(COA!$C$5:$C$19,MATCH(E1345,COA!$A$5:$A$19,0))</f>
        <v>Revenue</v>
      </c>
      <c r="G1345" s="12" t="n">
        <v>0</v>
      </c>
      <c r="H1345" s="12" t="n">
        <v>4937.61</v>
      </c>
      <c r="I1345" s="10" t="s">
        <v>103</v>
      </c>
      <c r="J1345" s="10" t="s">
        <v>1636</v>
      </c>
      <c r="K1345" s="10" t="s">
        <v>1640</v>
      </c>
    </row>
    <row r="1346" customFormat="false" ht="15" hidden="false" customHeight="false" outlineLevel="0" collapsed="false">
      <c r="A1346" s="10" t="s">
        <v>3018</v>
      </c>
      <c r="B1346" s="10" t="n">
        <v>1620</v>
      </c>
      <c r="C1346" s="8" t="n">
        <v>45944</v>
      </c>
      <c r="D1346" s="8" t="n">
        <v>45942</v>
      </c>
      <c r="E1346" s="10" t="n">
        <v>1000</v>
      </c>
      <c r="F1346" s="0" t="str">
        <f aca="false">INDEX(COA!$C$5:$C$19,MATCH(E1346,COA!$A$5:$A$19,0))</f>
        <v>Asset</v>
      </c>
      <c r="G1346" s="12" t="n">
        <v>964.06</v>
      </c>
      <c r="H1346" s="12" t="n">
        <v>0</v>
      </c>
      <c r="I1346" s="10" t="s">
        <v>103</v>
      </c>
      <c r="J1346" s="10" t="s">
        <v>1636</v>
      </c>
      <c r="K1346" s="10" t="s">
        <v>1637</v>
      </c>
    </row>
    <row r="1347" customFormat="false" ht="15" hidden="false" customHeight="false" outlineLevel="0" collapsed="false">
      <c r="A1347" s="10" t="s">
        <v>3019</v>
      </c>
      <c r="B1347" s="10" t="n">
        <v>1620</v>
      </c>
      <c r="C1347" s="8" t="n">
        <v>45944</v>
      </c>
      <c r="D1347" s="8" t="n">
        <v>45942</v>
      </c>
      <c r="E1347" s="10" t="n">
        <v>1100</v>
      </c>
      <c r="F1347" s="0" t="str">
        <f aca="false">INDEX(COA!$C$5:$C$19,MATCH(E1347,COA!$A$5:$A$19,0))</f>
        <v>Asset</v>
      </c>
      <c r="G1347" s="12" t="n">
        <v>0</v>
      </c>
      <c r="H1347" s="12" t="n">
        <v>964.06</v>
      </c>
      <c r="I1347" s="10" t="s">
        <v>103</v>
      </c>
      <c r="J1347" s="10" t="s">
        <v>1636</v>
      </c>
      <c r="K1347" s="10" t="s">
        <v>1637</v>
      </c>
    </row>
    <row r="1348" customFormat="false" ht="15" hidden="false" customHeight="false" outlineLevel="0" collapsed="false">
      <c r="A1348" s="10" t="s">
        <v>3020</v>
      </c>
      <c r="B1348" s="10" t="n">
        <v>1621</v>
      </c>
      <c r="C1348" s="8" t="n">
        <v>45944</v>
      </c>
      <c r="D1348" s="8" t="n">
        <v>45940</v>
      </c>
      <c r="E1348" s="10" t="n">
        <v>1100</v>
      </c>
      <c r="F1348" s="0" t="str">
        <f aca="false">INDEX(COA!$C$5:$C$19,MATCH(E1348,COA!$A$5:$A$19,0))</f>
        <v>Asset</v>
      </c>
      <c r="G1348" s="12" t="n">
        <v>8411.74</v>
      </c>
      <c r="H1348" s="12" t="n">
        <v>0</v>
      </c>
      <c r="I1348" s="10" t="s">
        <v>103</v>
      </c>
      <c r="J1348" s="10" t="s">
        <v>1636</v>
      </c>
      <c r="K1348" s="10" t="s">
        <v>1640</v>
      </c>
    </row>
    <row r="1349" customFormat="false" ht="15" hidden="false" customHeight="false" outlineLevel="0" collapsed="false">
      <c r="A1349" s="10" t="s">
        <v>3021</v>
      </c>
      <c r="B1349" s="10" t="n">
        <v>1621</v>
      </c>
      <c r="C1349" s="8" t="n">
        <v>45944</v>
      </c>
      <c r="D1349" s="8" t="n">
        <v>45940</v>
      </c>
      <c r="E1349" s="10" t="n">
        <v>4000</v>
      </c>
      <c r="F1349" s="0" t="str">
        <f aca="false">INDEX(COA!$C$5:$C$19,MATCH(E1349,COA!$A$5:$A$19,0))</f>
        <v>Revenue</v>
      </c>
      <c r="G1349" s="12" t="n">
        <v>0</v>
      </c>
      <c r="H1349" s="12" t="n">
        <v>8411.74</v>
      </c>
      <c r="I1349" s="10" t="s">
        <v>103</v>
      </c>
      <c r="J1349" s="10" t="s">
        <v>1636</v>
      </c>
      <c r="K1349" s="10" t="s">
        <v>1640</v>
      </c>
    </row>
    <row r="1350" customFormat="false" ht="15" hidden="false" customHeight="false" outlineLevel="0" collapsed="false">
      <c r="A1350" s="10" t="s">
        <v>3022</v>
      </c>
      <c r="B1350" s="10" t="n">
        <v>1622</v>
      </c>
      <c r="C1350" s="8" t="n">
        <v>45945</v>
      </c>
      <c r="D1350" s="8" t="n">
        <v>45945</v>
      </c>
      <c r="E1350" s="10" t="n">
        <v>1100</v>
      </c>
      <c r="F1350" s="0" t="str">
        <f aca="false">INDEX(COA!$C$5:$C$19,MATCH(E1350,COA!$A$5:$A$19,0))</f>
        <v>Asset</v>
      </c>
      <c r="G1350" s="12" t="n">
        <v>56758.02</v>
      </c>
      <c r="H1350" s="12" t="n">
        <v>0</v>
      </c>
      <c r="I1350" s="10" t="s">
        <v>103</v>
      </c>
      <c r="J1350" s="10" t="s">
        <v>1636</v>
      </c>
      <c r="K1350" s="10" t="s">
        <v>1640</v>
      </c>
    </row>
    <row r="1351" customFormat="false" ht="15" hidden="false" customHeight="false" outlineLevel="0" collapsed="false">
      <c r="A1351" s="10" t="s">
        <v>3023</v>
      </c>
      <c r="B1351" s="10" t="n">
        <v>1622</v>
      </c>
      <c r="C1351" s="8" t="n">
        <v>45945</v>
      </c>
      <c r="D1351" s="8" t="n">
        <v>45945</v>
      </c>
      <c r="E1351" s="10" t="n">
        <v>4000</v>
      </c>
      <c r="F1351" s="0" t="str">
        <f aca="false">INDEX(COA!$C$5:$C$19,MATCH(E1351,COA!$A$5:$A$19,0))</f>
        <v>Revenue</v>
      </c>
      <c r="G1351" s="12" t="n">
        <v>0</v>
      </c>
      <c r="H1351" s="12" t="n">
        <v>56758.02</v>
      </c>
      <c r="I1351" s="10" t="s">
        <v>103</v>
      </c>
      <c r="J1351" s="10" t="s">
        <v>1636</v>
      </c>
      <c r="K1351" s="10" t="s">
        <v>1640</v>
      </c>
    </row>
    <row r="1352" customFormat="false" ht="15" hidden="false" customHeight="false" outlineLevel="0" collapsed="false">
      <c r="A1352" s="10" t="s">
        <v>3024</v>
      </c>
      <c r="B1352" s="10" t="n">
        <v>1623</v>
      </c>
      <c r="C1352" s="8" t="n">
        <v>45945</v>
      </c>
      <c r="D1352" s="8" t="n">
        <v>45942</v>
      </c>
      <c r="E1352" s="10" t="n">
        <v>1000</v>
      </c>
      <c r="F1352" s="0" t="str">
        <f aca="false">INDEX(COA!$C$5:$C$19,MATCH(E1352,COA!$A$5:$A$19,0))</f>
        <v>Asset</v>
      </c>
      <c r="G1352" s="12" t="n">
        <v>267.05</v>
      </c>
      <c r="H1352" s="12" t="n">
        <v>0</v>
      </c>
      <c r="I1352" s="10" t="s">
        <v>103</v>
      </c>
      <c r="J1352" s="10" t="s">
        <v>1636</v>
      </c>
      <c r="K1352" s="10" t="s">
        <v>1637</v>
      </c>
    </row>
    <row r="1353" customFormat="false" ht="15" hidden="false" customHeight="false" outlineLevel="0" collapsed="false">
      <c r="A1353" s="10" t="s">
        <v>3025</v>
      </c>
      <c r="B1353" s="10" t="n">
        <v>1623</v>
      </c>
      <c r="C1353" s="8" t="n">
        <v>45945</v>
      </c>
      <c r="D1353" s="8" t="n">
        <v>45942</v>
      </c>
      <c r="E1353" s="10" t="n">
        <v>1100</v>
      </c>
      <c r="F1353" s="0" t="str">
        <f aca="false">INDEX(COA!$C$5:$C$19,MATCH(E1353,COA!$A$5:$A$19,0))</f>
        <v>Asset</v>
      </c>
      <c r="G1353" s="12" t="n">
        <v>0</v>
      </c>
      <c r="H1353" s="12" t="n">
        <v>267.05</v>
      </c>
      <c r="I1353" s="10" t="s">
        <v>103</v>
      </c>
      <c r="J1353" s="10" t="s">
        <v>1636</v>
      </c>
      <c r="K1353" s="10" t="s">
        <v>1637</v>
      </c>
    </row>
    <row r="1354" customFormat="false" ht="15" hidden="false" customHeight="false" outlineLevel="0" collapsed="false">
      <c r="A1354" s="10" t="s">
        <v>3026</v>
      </c>
      <c r="B1354" s="10" t="n">
        <v>1624</v>
      </c>
      <c r="C1354" s="8" t="n">
        <v>45945</v>
      </c>
      <c r="D1354" s="8" t="n">
        <v>45943</v>
      </c>
      <c r="E1354" s="10" t="n">
        <v>6900</v>
      </c>
      <c r="F1354" s="0" t="str">
        <f aca="false">INDEX(COA!$C$5:$C$19,MATCH(E1354,COA!$A$5:$A$19,0))</f>
        <v>Expense</v>
      </c>
      <c r="G1354" s="12" t="n">
        <v>450.36</v>
      </c>
      <c r="H1354" s="12" t="n">
        <v>0</v>
      </c>
      <c r="I1354" s="10" t="s">
        <v>100</v>
      </c>
      <c r="J1354" s="10" t="s">
        <v>1648</v>
      </c>
      <c r="K1354" s="10" t="s">
        <v>1649</v>
      </c>
    </row>
    <row r="1355" customFormat="false" ht="15" hidden="false" customHeight="false" outlineLevel="0" collapsed="false">
      <c r="A1355" s="10" t="s">
        <v>3027</v>
      </c>
      <c r="B1355" s="10" t="n">
        <v>1624</v>
      </c>
      <c r="C1355" s="8" t="n">
        <v>45945</v>
      </c>
      <c r="D1355" s="8" t="n">
        <v>45943</v>
      </c>
      <c r="E1355" s="10" t="n">
        <v>2100</v>
      </c>
      <c r="F1355" s="0" t="str">
        <f aca="false">INDEX(COA!$C$5:$C$19,MATCH(E1355,COA!$A$5:$A$19,0))</f>
        <v>Liability</v>
      </c>
      <c r="G1355" s="12" t="n">
        <v>0</v>
      </c>
      <c r="H1355" s="12" t="n">
        <v>450.36</v>
      </c>
      <c r="I1355" s="10" t="s">
        <v>100</v>
      </c>
      <c r="J1355" s="10" t="s">
        <v>1648</v>
      </c>
      <c r="K1355" s="10" t="s">
        <v>1649</v>
      </c>
    </row>
    <row r="1356" customFormat="false" ht="15" hidden="false" customHeight="false" outlineLevel="0" collapsed="false">
      <c r="A1356" s="10" t="s">
        <v>3028</v>
      </c>
      <c r="B1356" s="10" t="n">
        <v>1625</v>
      </c>
      <c r="C1356" s="8" t="n">
        <v>45946</v>
      </c>
      <c r="D1356" s="8" t="n">
        <v>45942</v>
      </c>
      <c r="E1356" s="10" t="n">
        <v>1200</v>
      </c>
      <c r="F1356" s="0" t="str">
        <f aca="false">INDEX(COA!$C$5:$C$19,MATCH(E1356,COA!$A$5:$A$19,0))</f>
        <v>Asset</v>
      </c>
      <c r="G1356" s="12" t="n">
        <v>4068.75</v>
      </c>
      <c r="H1356" s="12" t="n">
        <v>0</v>
      </c>
      <c r="I1356" s="10" t="s">
        <v>102</v>
      </c>
      <c r="J1356" s="10" t="s">
        <v>1636</v>
      </c>
      <c r="K1356" s="10" t="s">
        <v>1655</v>
      </c>
    </row>
    <row r="1357" customFormat="false" ht="15" hidden="false" customHeight="false" outlineLevel="0" collapsed="false">
      <c r="A1357" s="10" t="s">
        <v>3029</v>
      </c>
      <c r="B1357" s="10" t="n">
        <v>1625</v>
      </c>
      <c r="C1357" s="8" t="n">
        <v>45946</v>
      </c>
      <c r="D1357" s="8" t="n">
        <v>45942</v>
      </c>
      <c r="E1357" s="10" t="n">
        <v>2000</v>
      </c>
      <c r="F1357" s="0" t="str">
        <f aca="false">INDEX(COA!$C$5:$C$19,MATCH(E1357,COA!$A$5:$A$19,0))</f>
        <v>Liability</v>
      </c>
      <c r="G1357" s="12" t="n">
        <v>0</v>
      </c>
      <c r="H1357" s="12" t="n">
        <v>4068.75</v>
      </c>
      <c r="I1357" s="10" t="s">
        <v>102</v>
      </c>
      <c r="J1357" s="10" t="s">
        <v>1636</v>
      </c>
      <c r="K1357" s="10" t="s">
        <v>1655</v>
      </c>
    </row>
    <row r="1358" customFormat="false" ht="15" hidden="false" customHeight="false" outlineLevel="0" collapsed="false">
      <c r="A1358" s="10" t="s">
        <v>3030</v>
      </c>
      <c r="B1358" s="10" t="n">
        <v>1626</v>
      </c>
      <c r="C1358" s="8" t="n">
        <v>45946</v>
      </c>
      <c r="D1358" s="8" t="n">
        <v>45945</v>
      </c>
      <c r="E1358" s="10" t="n">
        <v>5000</v>
      </c>
      <c r="F1358" s="0" t="str">
        <f aca="false">INDEX(COA!$C$5:$C$19,MATCH(E1358,COA!$A$5:$A$19,0))</f>
        <v>Expense</v>
      </c>
      <c r="G1358" s="12" t="n">
        <v>8295.77</v>
      </c>
      <c r="H1358" s="12" t="n">
        <v>0</v>
      </c>
      <c r="I1358" s="10" t="s">
        <v>103</v>
      </c>
      <c r="J1358" s="10" t="s">
        <v>1636</v>
      </c>
      <c r="K1358" s="10" t="s">
        <v>1670</v>
      </c>
    </row>
    <row r="1359" customFormat="false" ht="15" hidden="false" customHeight="false" outlineLevel="0" collapsed="false">
      <c r="A1359" s="10" t="s">
        <v>3031</v>
      </c>
      <c r="B1359" s="10" t="n">
        <v>1626</v>
      </c>
      <c r="C1359" s="8" t="n">
        <v>45946</v>
      </c>
      <c r="D1359" s="8" t="n">
        <v>45945</v>
      </c>
      <c r="E1359" s="10" t="n">
        <v>1200</v>
      </c>
      <c r="F1359" s="0" t="str">
        <f aca="false">INDEX(COA!$C$5:$C$19,MATCH(E1359,COA!$A$5:$A$19,0))</f>
        <v>Asset</v>
      </c>
      <c r="G1359" s="12" t="n">
        <v>0</v>
      </c>
      <c r="H1359" s="12" t="n">
        <v>8295.77</v>
      </c>
      <c r="I1359" s="10" t="s">
        <v>103</v>
      </c>
      <c r="J1359" s="10" t="s">
        <v>1636</v>
      </c>
      <c r="K1359" s="10" t="s">
        <v>1670</v>
      </c>
    </row>
    <row r="1360" customFormat="false" ht="15" hidden="false" customHeight="false" outlineLevel="0" collapsed="false">
      <c r="A1360" s="10" t="s">
        <v>3032</v>
      </c>
      <c r="B1360" s="10" t="n">
        <v>1627</v>
      </c>
      <c r="C1360" s="8" t="n">
        <v>45946</v>
      </c>
      <c r="D1360" s="8" t="n">
        <v>45943</v>
      </c>
      <c r="E1360" s="10" t="n">
        <v>5000</v>
      </c>
      <c r="F1360" s="0" t="str">
        <f aca="false">INDEX(COA!$C$5:$C$19,MATCH(E1360,COA!$A$5:$A$19,0))</f>
        <v>Expense</v>
      </c>
      <c r="G1360" s="12" t="n">
        <v>2524.05</v>
      </c>
      <c r="H1360" s="12" t="n">
        <v>0</v>
      </c>
      <c r="I1360" s="10" t="s">
        <v>103</v>
      </c>
      <c r="J1360" s="10" t="s">
        <v>1636</v>
      </c>
      <c r="K1360" s="10" t="s">
        <v>1670</v>
      </c>
    </row>
    <row r="1361" customFormat="false" ht="15" hidden="false" customHeight="false" outlineLevel="0" collapsed="false">
      <c r="A1361" s="10" t="s">
        <v>3033</v>
      </c>
      <c r="B1361" s="10" t="n">
        <v>1627</v>
      </c>
      <c r="C1361" s="8" t="n">
        <v>45946</v>
      </c>
      <c r="D1361" s="8" t="n">
        <v>45943</v>
      </c>
      <c r="E1361" s="10" t="n">
        <v>1200</v>
      </c>
      <c r="F1361" s="0" t="str">
        <f aca="false">INDEX(COA!$C$5:$C$19,MATCH(E1361,COA!$A$5:$A$19,0))</f>
        <v>Asset</v>
      </c>
      <c r="G1361" s="12" t="n">
        <v>0</v>
      </c>
      <c r="H1361" s="12" t="n">
        <v>2524.05</v>
      </c>
      <c r="I1361" s="10" t="s">
        <v>103</v>
      </c>
      <c r="J1361" s="10" t="s">
        <v>1636</v>
      </c>
      <c r="K1361" s="10" t="s">
        <v>1670</v>
      </c>
    </row>
    <row r="1362" customFormat="false" ht="15" hidden="false" customHeight="false" outlineLevel="0" collapsed="false">
      <c r="A1362" s="10" t="s">
        <v>3034</v>
      </c>
      <c r="B1362" s="10" t="n">
        <v>1628</v>
      </c>
      <c r="C1362" s="8" t="n">
        <v>45947</v>
      </c>
      <c r="D1362" s="8" t="n">
        <v>45945</v>
      </c>
      <c r="E1362" s="10" t="n">
        <v>1100</v>
      </c>
      <c r="F1362" s="0" t="str">
        <f aca="false">INDEX(COA!$C$5:$C$19,MATCH(E1362,COA!$A$5:$A$19,0))</f>
        <v>Asset</v>
      </c>
      <c r="G1362" s="12" t="n">
        <v>23564.19</v>
      </c>
      <c r="H1362" s="12" t="n">
        <v>0</v>
      </c>
      <c r="I1362" s="10" t="s">
        <v>103</v>
      </c>
      <c r="J1362" s="10" t="s">
        <v>1636</v>
      </c>
      <c r="K1362" s="10" t="s">
        <v>1640</v>
      </c>
    </row>
    <row r="1363" customFormat="false" ht="15" hidden="false" customHeight="false" outlineLevel="0" collapsed="false">
      <c r="A1363" s="10" t="s">
        <v>3035</v>
      </c>
      <c r="B1363" s="10" t="n">
        <v>1628</v>
      </c>
      <c r="C1363" s="8" t="n">
        <v>45947</v>
      </c>
      <c r="D1363" s="8" t="n">
        <v>45945</v>
      </c>
      <c r="E1363" s="10" t="n">
        <v>4000</v>
      </c>
      <c r="F1363" s="0" t="str">
        <f aca="false">INDEX(COA!$C$5:$C$19,MATCH(E1363,COA!$A$5:$A$19,0))</f>
        <v>Revenue</v>
      </c>
      <c r="G1363" s="12" t="n">
        <v>0</v>
      </c>
      <c r="H1363" s="12" t="n">
        <v>23564.19</v>
      </c>
      <c r="I1363" s="10" t="s">
        <v>103</v>
      </c>
      <c r="J1363" s="10" t="s">
        <v>1636</v>
      </c>
      <c r="K1363" s="10" t="s">
        <v>1640</v>
      </c>
    </row>
    <row r="1364" customFormat="false" ht="15" hidden="false" customHeight="false" outlineLevel="0" collapsed="false">
      <c r="A1364" s="10" t="s">
        <v>3036</v>
      </c>
      <c r="B1364" s="10" t="n">
        <v>1629</v>
      </c>
      <c r="C1364" s="8" t="n">
        <v>45947</v>
      </c>
      <c r="D1364" s="8" t="n">
        <v>45946</v>
      </c>
      <c r="E1364" s="10" t="n">
        <v>6200</v>
      </c>
      <c r="F1364" s="0" t="str">
        <f aca="false">INDEX(COA!$C$5:$C$19,MATCH(E1364,COA!$A$5:$A$19,0))</f>
        <v>Expense</v>
      </c>
      <c r="G1364" s="12" t="n">
        <v>107229.71</v>
      </c>
      <c r="H1364" s="12" t="n">
        <v>0</v>
      </c>
      <c r="I1364" s="10" t="s">
        <v>102</v>
      </c>
      <c r="J1364" s="10" t="s">
        <v>1636</v>
      </c>
      <c r="K1364" s="10" t="s">
        <v>1689</v>
      </c>
    </row>
    <row r="1365" customFormat="false" ht="15" hidden="false" customHeight="false" outlineLevel="0" collapsed="false">
      <c r="A1365" s="10" t="s">
        <v>3037</v>
      </c>
      <c r="B1365" s="10" t="n">
        <v>1629</v>
      </c>
      <c r="C1365" s="8" t="n">
        <v>45947</v>
      </c>
      <c r="D1365" s="8" t="n">
        <v>45946</v>
      </c>
      <c r="E1365" s="10" t="n">
        <v>2000</v>
      </c>
      <c r="F1365" s="0" t="str">
        <f aca="false">INDEX(COA!$C$5:$C$19,MATCH(E1365,COA!$A$5:$A$19,0))</f>
        <v>Liability</v>
      </c>
      <c r="G1365" s="12" t="n">
        <v>0</v>
      </c>
      <c r="H1365" s="12" t="n">
        <v>107229.71</v>
      </c>
      <c r="I1365" s="10" t="s">
        <v>102</v>
      </c>
      <c r="J1365" s="10" t="s">
        <v>1636</v>
      </c>
      <c r="K1365" s="10" t="s">
        <v>1689</v>
      </c>
    </row>
    <row r="1366" customFormat="false" ht="15" hidden="false" customHeight="false" outlineLevel="0" collapsed="false">
      <c r="A1366" s="10" t="s">
        <v>3038</v>
      </c>
      <c r="B1366" s="10" t="n">
        <v>1630</v>
      </c>
      <c r="C1366" s="8" t="n">
        <v>45949</v>
      </c>
      <c r="D1366" s="8" t="n">
        <v>45947</v>
      </c>
      <c r="E1366" s="10" t="n">
        <v>2000</v>
      </c>
      <c r="F1366" s="0" t="str">
        <f aca="false">INDEX(COA!$C$5:$C$19,MATCH(E1366,COA!$A$5:$A$19,0))</f>
        <v>Liability</v>
      </c>
      <c r="G1366" s="12" t="n">
        <v>1112.9</v>
      </c>
      <c r="H1366" s="12" t="n">
        <v>0</v>
      </c>
      <c r="I1366" s="10" t="s">
        <v>104</v>
      </c>
      <c r="J1366" s="10" t="s">
        <v>1636</v>
      </c>
      <c r="K1366" s="10" t="s">
        <v>1659</v>
      </c>
    </row>
    <row r="1367" customFormat="false" ht="15" hidden="false" customHeight="false" outlineLevel="0" collapsed="false">
      <c r="A1367" s="10" t="s">
        <v>3039</v>
      </c>
      <c r="B1367" s="10" t="n">
        <v>1630</v>
      </c>
      <c r="C1367" s="8" t="n">
        <v>45949</v>
      </c>
      <c r="D1367" s="8" t="n">
        <v>45947</v>
      </c>
      <c r="E1367" s="10" t="n">
        <v>1000</v>
      </c>
      <c r="F1367" s="0" t="str">
        <f aca="false">INDEX(COA!$C$5:$C$19,MATCH(E1367,COA!$A$5:$A$19,0))</f>
        <v>Asset</v>
      </c>
      <c r="G1367" s="12" t="n">
        <v>0</v>
      </c>
      <c r="H1367" s="12" t="n">
        <v>1112.9</v>
      </c>
      <c r="I1367" s="10" t="s">
        <v>104</v>
      </c>
      <c r="J1367" s="10" t="s">
        <v>1636</v>
      </c>
      <c r="K1367" s="10" t="s">
        <v>1659</v>
      </c>
    </row>
    <row r="1368" customFormat="false" ht="15" hidden="false" customHeight="false" outlineLevel="0" collapsed="false">
      <c r="A1368" s="10" t="s">
        <v>3040</v>
      </c>
      <c r="B1368" s="10" t="n">
        <v>1631</v>
      </c>
      <c r="C1368" s="8" t="n">
        <v>45950</v>
      </c>
      <c r="D1368" s="8" t="n">
        <v>45948</v>
      </c>
      <c r="E1368" s="10" t="n">
        <v>1000</v>
      </c>
      <c r="F1368" s="0" t="str">
        <f aca="false">INDEX(COA!$C$5:$C$19,MATCH(E1368,COA!$A$5:$A$19,0))</f>
        <v>Asset</v>
      </c>
      <c r="G1368" s="12" t="n">
        <v>35153.23</v>
      </c>
      <c r="H1368" s="12" t="n">
        <v>0</v>
      </c>
      <c r="I1368" s="10" t="s">
        <v>103</v>
      </c>
      <c r="J1368" s="10" t="s">
        <v>1636</v>
      </c>
      <c r="K1368" s="10" t="s">
        <v>1637</v>
      </c>
    </row>
    <row r="1369" customFormat="false" ht="15" hidden="false" customHeight="false" outlineLevel="0" collapsed="false">
      <c r="A1369" s="10" t="s">
        <v>3041</v>
      </c>
      <c r="B1369" s="10" t="n">
        <v>1631</v>
      </c>
      <c r="C1369" s="8" t="n">
        <v>45950</v>
      </c>
      <c r="D1369" s="8" t="n">
        <v>45948</v>
      </c>
      <c r="E1369" s="10" t="n">
        <v>1100</v>
      </c>
      <c r="F1369" s="0" t="str">
        <f aca="false">INDEX(COA!$C$5:$C$19,MATCH(E1369,COA!$A$5:$A$19,0))</f>
        <v>Asset</v>
      </c>
      <c r="G1369" s="12" t="n">
        <v>0</v>
      </c>
      <c r="H1369" s="12" t="n">
        <v>35153.23</v>
      </c>
      <c r="I1369" s="10" t="s">
        <v>103</v>
      </c>
      <c r="J1369" s="10" t="s">
        <v>1636</v>
      </c>
      <c r="K1369" s="10" t="s">
        <v>1637</v>
      </c>
    </row>
    <row r="1370" customFormat="false" ht="15" hidden="false" customHeight="false" outlineLevel="0" collapsed="false">
      <c r="A1370" s="10" t="s">
        <v>3042</v>
      </c>
      <c r="B1370" s="10" t="n">
        <v>1632</v>
      </c>
      <c r="C1370" s="8" t="n">
        <v>45950</v>
      </c>
      <c r="D1370" s="8" t="n">
        <v>45948</v>
      </c>
      <c r="E1370" s="10" t="n">
        <v>1000</v>
      </c>
      <c r="F1370" s="0" t="str">
        <f aca="false">INDEX(COA!$C$5:$C$19,MATCH(E1370,COA!$A$5:$A$19,0))</f>
        <v>Asset</v>
      </c>
      <c r="G1370" s="12" t="n">
        <v>3851.17</v>
      </c>
      <c r="H1370" s="12" t="n">
        <v>0</v>
      </c>
      <c r="I1370" s="10" t="s">
        <v>103</v>
      </c>
      <c r="J1370" s="10" t="s">
        <v>1636</v>
      </c>
      <c r="K1370" s="10" t="s">
        <v>1637</v>
      </c>
    </row>
    <row r="1371" customFormat="false" ht="15" hidden="false" customHeight="false" outlineLevel="0" collapsed="false">
      <c r="A1371" s="10" t="s">
        <v>3043</v>
      </c>
      <c r="B1371" s="10" t="n">
        <v>1632</v>
      </c>
      <c r="C1371" s="8" t="n">
        <v>45950</v>
      </c>
      <c r="D1371" s="8" t="n">
        <v>45948</v>
      </c>
      <c r="E1371" s="10" t="n">
        <v>1100</v>
      </c>
      <c r="F1371" s="0" t="str">
        <f aca="false">INDEX(COA!$C$5:$C$19,MATCH(E1371,COA!$A$5:$A$19,0))</f>
        <v>Asset</v>
      </c>
      <c r="G1371" s="12" t="n">
        <v>0</v>
      </c>
      <c r="H1371" s="12" t="n">
        <v>3851.17</v>
      </c>
      <c r="I1371" s="10" t="s">
        <v>103</v>
      </c>
      <c r="J1371" s="10" t="s">
        <v>1636</v>
      </c>
      <c r="K1371" s="10" t="s">
        <v>1637</v>
      </c>
    </row>
    <row r="1372" customFormat="false" ht="15" hidden="false" customHeight="false" outlineLevel="0" collapsed="false">
      <c r="A1372" s="10" t="s">
        <v>3044</v>
      </c>
      <c r="B1372" s="10" t="n">
        <v>1633</v>
      </c>
      <c r="C1372" s="8" t="n">
        <v>45950</v>
      </c>
      <c r="D1372" s="8" t="n">
        <v>45912</v>
      </c>
      <c r="E1372" s="10" t="n">
        <v>6900</v>
      </c>
      <c r="F1372" s="0" t="str">
        <f aca="false">INDEX(COA!$C$5:$C$19,MATCH(E1372,COA!$A$5:$A$19,0))</f>
        <v>Expense</v>
      </c>
      <c r="G1372" s="12" t="n">
        <v>78181.1</v>
      </c>
      <c r="H1372" s="12" t="n">
        <v>0</v>
      </c>
      <c r="I1372" s="10" t="s">
        <v>99</v>
      </c>
      <c r="J1372" s="10" t="s">
        <v>1648</v>
      </c>
      <c r="K1372" s="10" t="s">
        <v>3045</v>
      </c>
    </row>
    <row r="1373" customFormat="false" ht="15" hidden="false" customHeight="false" outlineLevel="0" collapsed="false">
      <c r="A1373" s="10" t="s">
        <v>3046</v>
      </c>
      <c r="B1373" s="10" t="n">
        <v>1633</v>
      </c>
      <c r="C1373" s="8" t="n">
        <v>45950</v>
      </c>
      <c r="D1373" s="8" t="n">
        <v>45912</v>
      </c>
      <c r="E1373" s="10" t="n">
        <v>2100</v>
      </c>
      <c r="F1373" s="0" t="str">
        <f aca="false">INDEX(COA!$C$5:$C$19,MATCH(E1373,COA!$A$5:$A$19,0))</f>
        <v>Liability</v>
      </c>
      <c r="G1373" s="12" t="n">
        <v>0</v>
      </c>
      <c r="H1373" s="12" t="n">
        <v>78181.1</v>
      </c>
      <c r="I1373" s="10" t="s">
        <v>99</v>
      </c>
      <c r="J1373" s="10" t="s">
        <v>1648</v>
      </c>
      <c r="K1373" s="10" t="s">
        <v>3045</v>
      </c>
    </row>
    <row r="1374" customFormat="false" ht="15" hidden="false" customHeight="false" outlineLevel="0" collapsed="false">
      <c r="A1374" s="10" t="s">
        <v>3047</v>
      </c>
      <c r="B1374" s="10" t="n">
        <v>1634</v>
      </c>
      <c r="C1374" s="8" t="n">
        <v>45951</v>
      </c>
      <c r="D1374" s="8" t="n">
        <v>45949</v>
      </c>
      <c r="E1374" s="10" t="n">
        <v>2000</v>
      </c>
      <c r="F1374" s="0" t="str">
        <f aca="false">INDEX(COA!$C$5:$C$19,MATCH(E1374,COA!$A$5:$A$19,0))</f>
        <v>Liability</v>
      </c>
      <c r="G1374" s="12" t="n">
        <v>838.51</v>
      </c>
      <c r="H1374" s="12" t="n">
        <v>0</v>
      </c>
      <c r="I1374" s="10" t="s">
        <v>104</v>
      </c>
      <c r="J1374" s="10" t="s">
        <v>1636</v>
      </c>
      <c r="K1374" s="10" t="s">
        <v>1659</v>
      </c>
    </row>
    <row r="1375" customFormat="false" ht="15" hidden="false" customHeight="false" outlineLevel="0" collapsed="false">
      <c r="A1375" s="10" t="s">
        <v>3048</v>
      </c>
      <c r="B1375" s="10" t="n">
        <v>1634</v>
      </c>
      <c r="C1375" s="8" t="n">
        <v>45951</v>
      </c>
      <c r="D1375" s="8" t="n">
        <v>45949</v>
      </c>
      <c r="E1375" s="10" t="n">
        <v>1000</v>
      </c>
      <c r="F1375" s="0" t="str">
        <f aca="false">INDEX(COA!$C$5:$C$19,MATCH(E1375,COA!$A$5:$A$19,0))</f>
        <v>Asset</v>
      </c>
      <c r="G1375" s="12" t="n">
        <v>0</v>
      </c>
      <c r="H1375" s="12" t="n">
        <v>838.51</v>
      </c>
      <c r="I1375" s="10" t="s">
        <v>104</v>
      </c>
      <c r="J1375" s="10" t="s">
        <v>1636</v>
      </c>
      <c r="K1375" s="10" t="s">
        <v>1659</v>
      </c>
    </row>
    <row r="1376" customFormat="false" ht="15" hidden="false" customHeight="false" outlineLevel="0" collapsed="false">
      <c r="A1376" s="10" t="s">
        <v>3049</v>
      </c>
      <c r="B1376" s="10" t="n">
        <v>1635</v>
      </c>
      <c r="C1376" s="8" t="n">
        <v>45952</v>
      </c>
      <c r="D1376" s="8" t="n">
        <v>45952</v>
      </c>
      <c r="E1376" s="10" t="n">
        <v>5000</v>
      </c>
      <c r="F1376" s="0" t="str">
        <f aca="false">INDEX(COA!$C$5:$C$19,MATCH(E1376,COA!$A$5:$A$19,0))</f>
        <v>Expense</v>
      </c>
      <c r="G1376" s="12" t="n">
        <v>3623.62</v>
      </c>
      <c r="H1376" s="12" t="n">
        <v>0</v>
      </c>
      <c r="I1376" s="10" t="s">
        <v>103</v>
      </c>
      <c r="J1376" s="10" t="s">
        <v>1636</v>
      </c>
      <c r="K1376" s="10" t="s">
        <v>1670</v>
      </c>
    </row>
    <row r="1377" customFormat="false" ht="15" hidden="false" customHeight="false" outlineLevel="0" collapsed="false">
      <c r="A1377" s="10" t="s">
        <v>3050</v>
      </c>
      <c r="B1377" s="10" t="n">
        <v>1635</v>
      </c>
      <c r="C1377" s="8" t="n">
        <v>45952</v>
      </c>
      <c r="D1377" s="8" t="n">
        <v>45952</v>
      </c>
      <c r="E1377" s="10" t="n">
        <v>1200</v>
      </c>
      <c r="F1377" s="0" t="str">
        <f aca="false">INDEX(COA!$C$5:$C$19,MATCH(E1377,COA!$A$5:$A$19,0))</f>
        <v>Asset</v>
      </c>
      <c r="G1377" s="12" t="n">
        <v>0</v>
      </c>
      <c r="H1377" s="12" t="n">
        <v>3623.62</v>
      </c>
      <c r="I1377" s="10" t="s">
        <v>103</v>
      </c>
      <c r="J1377" s="10" t="s">
        <v>1636</v>
      </c>
      <c r="K1377" s="10" t="s">
        <v>1670</v>
      </c>
    </row>
    <row r="1378" customFormat="false" ht="15" hidden="false" customHeight="false" outlineLevel="0" collapsed="false">
      <c r="A1378" s="10" t="s">
        <v>3051</v>
      </c>
      <c r="B1378" s="10" t="n">
        <v>1636</v>
      </c>
      <c r="C1378" s="8" t="n">
        <v>45952</v>
      </c>
      <c r="D1378" s="8" t="n">
        <v>45951</v>
      </c>
      <c r="E1378" s="10" t="n">
        <v>1200</v>
      </c>
      <c r="F1378" s="0" t="str">
        <f aca="false">INDEX(COA!$C$5:$C$19,MATCH(E1378,COA!$A$5:$A$19,0))</f>
        <v>Asset</v>
      </c>
      <c r="G1378" s="12" t="n">
        <v>3877.67</v>
      </c>
      <c r="H1378" s="12" t="n">
        <v>0</v>
      </c>
      <c r="I1378" s="10" t="s">
        <v>102</v>
      </c>
      <c r="J1378" s="10" t="s">
        <v>1636</v>
      </c>
      <c r="K1378" s="10" t="s">
        <v>1655</v>
      </c>
    </row>
    <row r="1379" customFormat="false" ht="15" hidden="false" customHeight="false" outlineLevel="0" collapsed="false">
      <c r="A1379" s="10" t="s">
        <v>3052</v>
      </c>
      <c r="B1379" s="10" t="n">
        <v>1636</v>
      </c>
      <c r="C1379" s="8" t="n">
        <v>45952</v>
      </c>
      <c r="D1379" s="8" t="n">
        <v>45951</v>
      </c>
      <c r="E1379" s="10" t="n">
        <v>2000</v>
      </c>
      <c r="F1379" s="0" t="str">
        <f aca="false">INDEX(COA!$C$5:$C$19,MATCH(E1379,COA!$A$5:$A$19,0))</f>
        <v>Liability</v>
      </c>
      <c r="G1379" s="12" t="n">
        <v>0</v>
      </c>
      <c r="H1379" s="12" t="n">
        <v>3877.67</v>
      </c>
      <c r="I1379" s="10" t="s">
        <v>102</v>
      </c>
      <c r="J1379" s="10" t="s">
        <v>1636</v>
      </c>
      <c r="K1379" s="10" t="s">
        <v>1655</v>
      </c>
    </row>
    <row r="1380" customFormat="false" ht="15" hidden="false" customHeight="false" outlineLevel="0" collapsed="false">
      <c r="A1380" s="10" t="s">
        <v>3053</v>
      </c>
      <c r="B1380" s="10" t="n">
        <v>1637</v>
      </c>
      <c r="C1380" s="8" t="n">
        <v>45952</v>
      </c>
      <c r="D1380" s="8" t="n">
        <v>45952</v>
      </c>
      <c r="E1380" s="10" t="n">
        <v>6900</v>
      </c>
      <c r="F1380" s="0" t="str">
        <f aca="false">INDEX(COA!$C$5:$C$19,MATCH(E1380,COA!$A$5:$A$19,0))</f>
        <v>Expense</v>
      </c>
      <c r="G1380" s="12" t="n">
        <v>1208.44</v>
      </c>
      <c r="H1380" s="12" t="n">
        <v>0</v>
      </c>
      <c r="I1380" s="10" t="s">
        <v>3054</v>
      </c>
      <c r="J1380" s="10" t="s">
        <v>1648</v>
      </c>
      <c r="K1380" s="10" t="s">
        <v>3055</v>
      </c>
    </row>
    <row r="1381" customFormat="false" ht="15" hidden="false" customHeight="false" outlineLevel="0" collapsed="false">
      <c r="A1381" s="10" t="s">
        <v>3056</v>
      </c>
      <c r="B1381" s="10" t="n">
        <v>1637</v>
      </c>
      <c r="C1381" s="8" t="n">
        <v>45952</v>
      </c>
      <c r="D1381" s="8" t="n">
        <v>45952</v>
      </c>
      <c r="E1381" s="10" t="n">
        <v>2100</v>
      </c>
      <c r="F1381" s="0" t="str">
        <f aca="false">INDEX(COA!$C$5:$C$19,MATCH(E1381,COA!$A$5:$A$19,0))</f>
        <v>Liability</v>
      </c>
      <c r="G1381" s="12" t="n">
        <v>0</v>
      </c>
      <c r="H1381" s="12" t="n">
        <v>1208.44</v>
      </c>
      <c r="I1381" s="10" t="s">
        <v>3054</v>
      </c>
      <c r="J1381" s="10" t="s">
        <v>1648</v>
      </c>
      <c r="K1381" s="10" t="s">
        <v>3055</v>
      </c>
    </row>
    <row r="1382" customFormat="false" ht="15" hidden="false" customHeight="false" outlineLevel="0" collapsed="false">
      <c r="A1382" s="10" t="s">
        <v>3057</v>
      </c>
      <c r="B1382" s="10" t="n">
        <v>1638</v>
      </c>
      <c r="C1382" s="8" t="n">
        <v>45953</v>
      </c>
      <c r="D1382" s="8" t="n">
        <v>45953</v>
      </c>
      <c r="E1382" s="10" t="n">
        <v>5000</v>
      </c>
      <c r="F1382" s="0" t="str">
        <f aca="false">INDEX(COA!$C$5:$C$19,MATCH(E1382,COA!$A$5:$A$19,0))</f>
        <v>Expense</v>
      </c>
      <c r="G1382" s="12" t="n">
        <v>1476.41</v>
      </c>
      <c r="H1382" s="12" t="n">
        <v>0</v>
      </c>
      <c r="I1382" s="10" t="s">
        <v>103</v>
      </c>
      <c r="J1382" s="10" t="s">
        <v>1636</v>
      </c>
      <c r="K1382" s="10" t="s">
        <v>1670</v>
      </c>
    </row>
    <row r="1383" customFormat="false" ht="15" hidden="false" customHeight="false" outlineLevel="0" collapsed="false">
      <c r="A1383" s="10" t="s">
        <v>3058</v>
      </c>
      <c r="B1383" s="10" t="n">
        <v>1638</v>
      </c>
      <c r="C1383" s="8" t="n">
        <v>45953</v>
      </c>
      <c r="D1383" s="8" t="n">
        <v>45953</v>
      </c>
      <c r="E1383" s="10" t="n">
        <v>1200</v>
      </c>
      <c r="F1383" s="0" t="str">
        <f aca="false">INDEX(COA!$C$5:$C$19,MATCH(E1383,COA!$A$5:$A$19,0))</f>
        <v>Asset</v>
      </c>
      <c r="G1383" s="12" t="n">
        <v>0</v>
      </c>
      <c r="H1383" s="12" t="n">
        <v>1476.41</v>
      </c>
      <c r="I1383" s="10" t="s">
        <v>103</v>
      </c>
      <c r="J1383" s="10" t="s">
        <v>1636</v>
      </c>
      <c r="K1383" s="10" t="s">
        <v>1670</v>
      </c>
    </row>
    <row r="1384" customFormat="false" ht="15" hidden="false" customHeight="false" outlineLevel="0" collapsed="false">
      <c r="A1384" s="10" t="s">
        <v>3059</v>
      </c>
      <c r="B1384" s="10" t="n">
        <v>1639</v>
      </c>
      <c r="C1384" s="8" t="n">
        <v>45953</v>
      </c>
      <c r="D1384" s="8" t="n">
        <v>45952</v>
      </c>
      <c r="E1384" s="10" t="n">
        <v>1200</v>
      </c>
      <c r="F1384" s="0" t="str">
        <f aca="false">INDEX(COA!$C$5:$C$19,MATCH(E1384,COA!$A$5:$A$19,0))</f>
        <v>Asset</v>
      </c>
      <c r="G1384" s="12" t="n">
        <v>609.26</v>
      </c>
      <c r="H1384" s="12" t="n">
        <v>0</v>
      </c>
      <c r="I1384" s="10" t="s">
        <v>102</v>
      </c>
      <c r="J1384" s="10" t="s">
        <v>1636</v>
      </c>
      <c r="K1384" s="10" t="s">
        <v>1655</v>
      </c>
    </row>
    <row r="1385" customFormat="false" ht="15" hidden="false" customHeight="false" outlineLevel="0" collapsed="false">
      <c r="A1385" s="10" t="s">
        <v>3060</v>
      </c>
      <c r="B1385" s="10" t="n">
        <v>1639</v>
      </c>
      <c r="C1385" s="8" t="n">
        <v>45953</v>
      </c>
      <c r="D1385" s="8" t="n">
        <v>45952</v>
      </c>
      <c r="E1385" s="10" t="n">
        <v>2000</v>
      </c>
      <c r="F1385" s="0" t="str">
        <f aca="false">INDEX(COA!$C$5:$C$19,MATCH(E1385,COA!$A$5:$A$19,0))</f>
        <v>Liability</v>
      </c>
      <c r="G1385" s="12" t="n">
        <v>0</v>
      </c>
      <c r="H1385" s="12" t="n">
        <v>609.26</v>
      </c>
      <c r="I1385" s="10" t="s">
        <v>102</v>
      </c>
      <c r="J1385" s="10" t="s">
        <v>1636</v>
      </c>
      <c r="K1385" s="10" t="s">
        <v>1655</v>
      </c>
    </row>
    <row r="1386" customFormat="false" ht="15" hidden="false" customHeight="false" outlineLevel="0" collapsed="false">
      <c r="A1386" s="10" t="s">
        <v>3061</v>
      </c>
      <c r="B1386" s="10" t="n">
        <v>1640</v>
      </c>
      <c r="C1386" s="8" t="n">
        <v>45954</v>
      </c>
      <c r="D1386" s="8" t="n">
        <v>45950</v>
      </c>
      <c r="E1386" s="10" t="n">
        <v>1000</v>
      </c>
      <c r="F1386" s="0" t="str">
        <f aca="false">INDEX(COA!$C$5:$C$19,MATCH(E1386,COA!$A$5:$A$19,0))</f>
        <v>Asset</v>
      </c>
      <c r="G1386" s="12" t="n">
        <v>142617.3</v>
      </c>
      <c r="H1386" s="12" t="n">
        <v>0</v>
      </c>
      <c r="I1386" s="10" t="s">
        <v>103</v>
      </c>
      <c r="J1386" s="10" t="s">
        <v>1636</v>
      </c>
      <c r="K1386" s="10" t="s">
        <v>1637</v>
      </c>
    </row>
    <row r="1387" customFormat="false" ht="15" hidden="false" customHeight="false" outlineLevel="0" collapsed="false">
      <c r="A1387" s="10" t="s">
        <v>3062</v>
      </c>
      <c r="B1387" s="10" t="n">
        <v>1640</v>
      </c>
      <c r="C1387" s="8" t="n">
        <v>45954</v>
      </c>
      <c r="D1387" s="8" t="n">
        <v>45950</v>
      </c>
      <c r="E1387" s="10" t="n">
        <v>1100</v>
      </c>
      <c r="F1387" s="0" t="str">
        <f aca="false">INDEX(COA!$C$5:$C$19,MATCH(E1387,COA!$A$5:$A$19,0))</f>
        <v>Asset</v>
      </c>
      <c r="G1387" s="12" t="n">
        <v>0</v>
      </c>
      <c r="H1387" s="12" t="n">
        <v>142617.3</v>
      </c>
      <c r="I1387" s="10" t="s">
        <v>103</v>
      </c>
      <c r="J1387" s="10" t="s">
        <v>1636</v>
      </c>
      <c r="K1387" s="10" t="s">
        <v>1637</v>
      </c>
    </row>
    <row r="1388" customFormat="false" ht="15" hidden="false" customHeight="false" outlineLevel="0" collapsed="false">
      <c r="A1388" s="10" t="s">
        <v>3063</v>
      </c>
      <c r="B1388" s="10" t="n">
        <v>1641</v>
      </c>
      <c r="C1388" s="8" t="n">
        <v>45954</v>
      </c>
      <c r="D1388" s="8" t="n">
        <v>45951</v>
      </c>
      <c r="E1388" s="10" t="n">
        <v>1000</v>
      </c>
      <c r="F1388" s="0" t="str">
        <f aca="false">INDEX(COA!$C$5:$C$19,MATCH(E1388,COA!$A$5:$A$19,0))</f>
        <v>Asset</v>
      </c>
      <c r="G1388" s="12" t="n">
        <v>46471.56</v>
      </c>
      <c r="H1388" s="12" t="n">
        <v>0</v>
      </c>
      <c r="I1388" s="10" t="s">
        <v>103</v>
      </c>
      <c r="J1388" s="10" t="s">
        <v>1636</v>
      </c>
      <c r="K1388" s="10" t="s">
        <v>1637</v>
      </c>
    </row>
    <row r="1389" customFormat="false" ht="15" hidden="false" customHeight="false" outlineLevel="0" collapsed="false">
      <c r="A1389" s="10" t="s">
        <v>3064</v>
      </c>
      <c r="B1389" s="10" t="n">
        <v>1641</v>
      </c>
      <c r="C1389" s="8" t="n">
        <v>45954</v>
      </c>
      <c r="D1389" s="8" t="n">
        <v>45951</v>
      </c>
      <c r="E1389" s="10" t="n">
        <v>1100</v>
      </c>
      <c r="F1389" s="0" t="str">
        <f aca="false">INDEX(COA!$C$5:$C$19,MATCH(E1389,COA!$A$5:$A$19,0))</f>
        <v>Asset</v>
      </c>
      <c r="G1389" s="12" t="n">
        <v>0</v>
      </c>
      <c r="H1389" s="12" t="n">
        <v>46471.56</v>
      </c>
      <c r="I1389" s="10" t="s">
        <v>103</v>
      </c>
      <c r="J1389" s="10" t="s">
        <v>1636</v>
      </c>
      <c r="K1389" s="10" t="s">
        <v>1637</v>
      </c>
    </row>
    <row r="1390" customFormat="false" ht="15" hidden="false" customHeight="false" outlineLevel="0" collapsed="false">
      <c r="A1390" s="10" t="s">
        <v>3065</v>
      </c>
      <c r="B1390" s="10" t="n">
        <v>1642</v>
      </c>
      <c r="C1390" s="8" t="n">
        <v>45957</v>
      </c>
      <c r="D1390" s="8" t="n">
        <v>45957</v>
      </c>
      <c r="E1390" s="10" t="n">
        <v>9999</v>
      </c>
      <c r="F1390" s="0" t="str">
        <f aca="false">INDEX(COA!$C$5:$C$19,MATCH(E1390,COA!$A$5:$A$19,0))</f>
        <v>Suspense</v>
      </c>
      <c r="G1390" s="12" t="n">
        <v>152229.88</v>
      </c>
      <c r="H1390" s="12" t="n">
        <v>0</v>
      </c>
      <c r="I1390" s="10" t="s">
        <v>100</v>
      </c>
      <c r="J1390" s="10" t="s">
        <v>1648</v>
      </c>
      <c r="K1390" s="10" t="s">
        <v>3066</v>
      </c>
    </row>
    <row r="1391" customFormat="false" ht="15" hidden="false" customHeight="false" outlineLevel="0" collapsed="false">
      <c r="A1391" s="10" t="s">
        <v>3067</v>
      </c>
      <c r="B1391" s="10" t="n">
        <v>1642</v>
      </c>
      <c r="C1391" s="8" t="n">
        <v>45957</v>
      </c>
      <c r="D1391" s="8" t="n">
        <v>45957</v>
      </c>
      <c r="E1391" s="10" t="n">
        <v>1000</v>
      </c>
      <c r="F1391" s="0" t="str">
        <f aca="false">INDEX(COA!$C$5:$C$19,MATCH(E1391,COA!$A$5:$A$19,0))</f>
        <v>Asset</v>
      </c>
      <c r="G1391" s="12" t="n">
        <v>0</v>
      </c>
      <c r="H1391" s="12" t="n">
        <v>152229.88</v>
      </c>
      <c r="I1391" s="10" t="s">
        <v>100</v>
      </c>
      <c r="J1391" s="10" t="s">
        <v>1648</v>
      </c>
      <c r="K1391" s="10" t="s">
        <v>3066</v>
      </c>
    </row>
    <row r="1392" customFormat="false" ht="15" hidden="false" customHeight="false" outlineLevel="0" collapsed="false">
      <c r="A1392" s="10" t="s">
        <v>3068</v>
      </c>
      <c r="B1392" s="10" t="n">
        <v>1643</v>
      </c>
      <c r="C1392" s="8" t="n">
        <v>45957</v>
      </c>
      <c r="D1392" s="8" t="n">
        <v>45953</v>
      </c>
      <c r="E1392" s="10" t="n">
        <v>6200</v>
      </c>
      <c r="F1392" s="0" t="str">
        <f aca="false">INDEX(COA!$C$5:$C$19,MATCH(E1392,COA!$A$5:$A$19,0))</f>
        <v>Expense</v>
      </c>
      <c r="G1392" s="12" t="n">
        <v>35165.95</v>
      </c>
      <c r="H1392" s="12" t="n">
        <v>0</v>
      </c>
      <c r="I1392" s="10" t="s">
        <v>102</v>
      </c>
      <c r="J1392" s="10" t="s">
        <v>1636</v>
      </c>
      <c r="K1392" s="10" t="s">
        <v>1689</v>
      </c>
    </row>
    <row r="1393" customFormat="false" ht="15" hidden="false" customHeight="false" outlineLevel="0" collapsed="false">
      <c r="A1393" s="10" t="s">
        <v>3069</v>
      </c>
      <c r="B1393" s="10" t="n">
        <v>1643</v>
      </c>
      <c r="C1393" s="8" t="n">
        <v>45957</v>
      </c>
      <c r="D1393" s="8" t="n">
        <v>45953</v>
      </c>
      <c r="E1393" s="10" t="n">
        <v>2000</v>
      </c>
      <c r="F1393" s="0" t="str">
        <f aca="false">INDEX(COA!$C$5:$C$19,MATCH(E1393,COA!$A$5:$A$19,0))</f>
        <v>Liability</v>
      </c>
      <c r="G1393" s="12" t="n">
        <v>0</v>
      </c>
      <c r="H1393" s="12" t="n">
        <v>35165.95</v>
      </c>
      <c r="I1393" s="10" t="s">
        <v>102</v>
      </c>
      <c r="J1393" s="10" t="s">
        <v>1636</v>
      </c>
      <c r="K1393" s="10" t="s">
        <v>1689</v>
      </c>
    </row>
    <row r="1394" customFormat="false" ht="15" hidden="false" customHeight="false" outlineLevel="0" collapsed="false">
      <c r="A1394" s="10" t="s">
        <v>3070</v>
      </c>
      <c r="B1394" s="10" t="n">
        <v>1644</v>
      </c>
      <c r="C1394" s="8" t="n">
        <v>45957</v>
      </c>
      <c r="D1394" s="8" t="n">
        <v>45957</v>
      </c>
      <c r="E1394" s="10" t="n">
        <v>1200</v>
      </c>
      <c r="F1394" s="0" t="str">
        <f aca="false">INDEX(COA!$C$5:$C$19,MATCH(E1394,COA!$A$5:$A$19,0))</f>
        <v>Asset</v>
      </c>
      <c r="G1394" s="12" t="n">
        <v>2031.62</v>
      </c>
      <c r="H1394" s="12" t="n">
        <v>0</v>
      </c>
      <c r="I1394" s="10" t="s">
        <v>102</v>
      </c>
      <c r="J1394" s="10" t="s">
        <v>1636</v>
      </c>
    </row>
    <row r="1395" customFormat="false" ht="15" hidden="false" customHeight="false" outlineLevel="0" collapsed="false">
      <c r="A1395" s="10" t="s">
        <v>3071</v>
      </c>
      <c r="B1395" s="10" t="n">
        <v>1644</v>
      </c>
      <c r="C1395" s="8" t="n">
        <v>45957</v>
      </c>
      <c r="D1395" s="8" t="n">
        <v>45957</v>
      </c>
      <c r="E1395" s="10" t="n">
        <v>2000</v>
      </c>
      <c r="F1395" s="0" t="str">
        <f aca="false">INDEX(COA!$C$5:$C$19,MATCH(E1395,COA!$A$5:$A$19,0))</f>
        <v>Liability</v>
      </c>
      <c r="G1395" s="12" t="n">
        <v>0</v>
      </c>
      <c r="H1395" s="12" t="n">
        <v>2031.62</v>
      </c>
      <c r="I1395" s="10" t="s">
        <v>102</v>
      </c>
      <c r="J1395" s="10" t="s">
        <v>1636</v>
      </c>
    </row>
    <row r="1396" customFormat="false" ht="15" hidden="false" customHeight="false" outlineLevel="0" collapsed="false">
      <c r="A1396" s="10" t="s">
        <v>3072</v>
      </c>
      <c r="B1396" s="10" t="n">
        <v>1648</v>
      </c>
      <c r="C1396" s="8" t="n">
        <v>45957</v>
      </c>
      <c r="D1396" s="8" t="n">
        <v>45956</v>
      </c>
      <c r="E1396" s="10" t="n">
        <v>2100</v>
      </c>
      <c r="F1396" s="0" t="str">
        <f aca="false">INDEX(COA!$C$5:$C$19,MATCH(E1396,COA!$A$5:$A$19,0))</f>
        <v>Liability</v>
      </c>
      <c r="G1396" s="12" t="n">
        <v>36798.33</v>
      </c>
      <c r="H1396" s="12" t="n">
        <v>0</v>
      </c>
      <c r="I1396" s="10" t="s">
        <v>100</v>
      </c>
      <c r="J1396" s="10" t="s">
        <v>1648</v>
      </c>
      <c r="K1396" s="10" t="s">
        <v>1677</v>
      </c>
    </row>
    <row r="1397" customFormat="false" ht="15" hidden="false" customHeight="false" outlineLevel="0" collapsed="false">
      <c r="A1397" s="10" t="s">
        <v>3073</v>
      </c>
      <c r="B1397" s="10" t="n">
        <v>1648</v>
      </c>
      <c r="C1397" s="8" t="n">
        <v>45957</v>
      </c>
      <c r="D1397" s="8" t="n">
        <v>45956</v>
      </c>
      <c r="E1397" s="10" t="n">
        <v>2100</v>
      </c>
      <c r="F1397" s="0" t="str">
        <f aca="false">INDEX(COA!$C$5:$C$19,MATCH(E1397,COA!$A$5:$A$19,0))</f>
        <v>Liability</v>
      </c>
      <c r="G1397" s="12" t="n">
        <v>15770.71</v>
      </c>
      <c r="H1397" s="12" t="n">
        <v>0</v>
      </c>
      <c r="I1397" s="10" t="s">
        <v>100</v>
      </c>
      <c r="J1397" s="10" t="s">
        <v>1648</v>
      </c>
      <c r="K1397" s="10" t="s">
        <v>1677</v>
      </c>
    </row>
    <row r="1398" customFormat="false" ht="15" hidden="false" customHeight="false" outlineLevel="0" collapsed="false">
      <c r="A1398" s="10" t="s">
        <v>3074</v>
      </c>
      <c r="B1398" s="10" t="n">
        <v>1648</v>
      </c>
      <c r="C1398" s="8" t="n">
        <v>45957</v>
      </c>
      <c r="D1398" s="8" t="n">
        <v>45956</v>
      </c>
      <c r="E1398" s="10" t="n">
        <v>6900</v>
      </c>
      <c r="F1398" s="0" t="str">
        <f aca="false">INDEX(COA!$C$5:$C$19,MATCH(E1398,COA!$A$5:$A$19,0))</f>
        <v>Expense</v>
      </c>
      <c r="G1398" s="12" t="n">
        <v>0</v>
      </c>
      <c r="H1398" s="12" t="n">
        <v>52569.04</v>
      </c>
      <c r="I1398" s="10" t="s">
        <v>100</v>
      </c>
      <c r="J1398" s="10" t="s">
        <v>1648</v>
      </c>
      <c r="K1398" s="10" t="s">
        <v>1677</v>
      </c>
    </row>
    <row r="1399" customFormat="false" ht="15" hidden="false" customHeight="false" outlineLevel="0" collapsed="false">
      <c r="A1399" s="10" t="s">
        <v>3075</v>
      </c>
      <c r="B1399" s="10" t="n">
        <v>1649</v>
      </c>
      <c r="C1399" s="8" t="n">
        <v>45957</v>
      </c>
      <c r="D1399" s="8" t="n">
        <v>45957</v>
      </c>
      <c r="E1399" s="10" t="n">
        <v>6000</v>
      </c>
      <c r="F1399" s="0" t="str">
        <f aca="false">INDEX(COA!$C$5:$C$19,MATCH(E1399,COA!$A$5:$A$19,0))</f>
        <v>Expense</v>
      </c>
      <c r="G1399" s="12" t="n">
        <v>248000</v>
      </c>
      <c r="H1399" s="12" t="n">
        <v>0</v>
      </c>
      <c r="I1399" s="10" t="s">
        <v>104</v>
      </c>
      <c r="J1399" s="10" t="s">
        <v>1636</v>
      </c>
      <c r="K1399" s="10" t="s">
        <v>1776</v>
      </c>
    </row>
    <row r="1400" customFormat="false" ht="15" hidden="false" customHeight="false" outlineLevel="0" collapsed="false">
      <c r="A1400" s="10" t="s">
        <v>3076</v>
      </c>
      <c r="B1400" s="10" t="n">
        <v>1649</v>
      </c>
      <c r="C1400" s="8" t="n">
        <v>45957</v>
      </c>
      <c r="D1400" s="8" t="n">
        <v>45957</v>
      </c>
      <c r="E1400" s="10" t="n">
        <v>1000</v>
      </c>
      <c r="F1400" s="0" t="str">
        <f aca="false">INDEX(COA!$C$5:$C$19,MATCH(E1400,COA!$A$5:$A$19,0))</f>
        <v>Asset</v>
      </c>
      <c r="G1400" s="12" t="n">
        <v>0</v>
      </c>
      <c r="H1400" s="12" t="n">
        <v>248000</v>
      </c>
      <c r="I1400" s="10" t="s">
        <v>104</v>
      </c>
      <c r="J1400" s="10" t="s">
        <v>1636</v>
      </c>
      <c r="K1400" s="10" t="s">
        <v>1776</v>
      </c>
    </row>
    <row r="1401" customFormat="false" ht="15" hidden="false" customHeight="false" outlineLevel="0" collapsed="false">
      <c r="A1401" s="10" t="s">
        <v>3077</v>
      </c>
      <c r="B1401" s="10" t="n">
        <v>1650</v>
      </c>
      <c r="C1401" s="8" t="n">
        <v>45958</v>
      </c>
      <c r="D1401" s="8" t="n">
        <v>45957</v>
      </c>
      <c r="E1401" s="10" t="n">
        <v>1100</v>
      </c>
      <c r="F1401" s="0" t="str">
        <f aca="false">INDEX(COA!$C$5:$C$19,MATCH(E1401,COA!$A$5:$A$19,0))</f>
        <v>Asset</v>
      </c>
      <c r="G1401" s="12" t="n">
        <v>79584.19</v>
      </c>
      <c r="H1401" s="12" t="n">
        <v>0</v>
      </c>
      <c r="I1401" s="10" t="s">
        <v>103</v>
      </c>
      <c r="J1401" s="10" t="s">
        <v>1636</v>
      </c>
      <c r="K1401" s="10" t="s">
        <v>1640</v>
      </c>
    </row>
    <row r="1402" customFormat="false" ht="15" hidden="false" customHeight="false" outlineLevel="0" collapsed="false">
      <c r="A1402" s="10" t="s">
        <v>3078</v>
      </c>
      <c r="B1402" s="10" t="n">
        <v>1650</v>
      </c>
      <c r="C1402" s="8" t="n">
        <v>45958</v>
      </c>
      <c r="D1402" s="8" t="n">
        <v>45957</v>
      </c>
      <c r="E1402" s="10" t="n">
        <v>4000</v>
      </c>
      <c r="F1402" s="0" t="str">
        <f aca="false">INDEX(COA!$C$5:$C$19,MATCH(E1402,COA!$A$5:$A$19,0))</f>
        <v>Revenue</v>
      </c>
      <c r="G1402" s="12" t="n">
        <v>0</v>
      </c>
      <c r="H1402" s="12" t="n">
        <v>79584.19</v>
      </c>
      <c r="I1402" s="10" t="s">
        <v>103</v>
      </c>
      <c r="J1402" s="10" t="s">
        <v>1636</v>
      </c>
      <c r="K1402" s="10" t="s">
        <v>1640</v>
      </c>
    </row>
    <row r="1403" customFormat="false" ht="15" hidden="false" customHeight="false" outlineLevel="0" collapsed="false">
      <c r="A1403" s="10" t="s">
        <v>3079</v>
      </c>
      <c r="B1403" s="10" t="n">
        <v>1651</v>
      </c>
      <c r="C1403" s="8" t="n">
        <v>45958</v>
      </c>
      <c r="D1403" s="8" t="n">
        <v>45958</v>
      </c>
      <c r="E1403" s="10" t="n">
        <v>2000</v>
      </c>
      <c r="F1403" s="0" t="str">
        <f aca="false">INDEX(COA!$C$5:$C$19,MATCH(E1403,COA!$A$5:$A$19,0))</f>
        <v>Liability</v>
      </c>
      <c r="G1403" s="12" t="n">
        <v>4283.6</v>
      </c>
      <c r="H1403" s="12" t="n">
        <v>0</v>
      </c>
      <c r="I1403" s="10" t="s">
        <v>104</v>
      </c>
      <c r="J1403" s="10" t="s">
        <v>1636</v>
      </c>
      <c r="K1403" s="10" t="s">
        <v>1659</v>
      </c>
    </row>
    <row r="1404" customFormat="false" ht="15" hidden="false" customHeight="false" outlineLevel="0" collapsed="false">
      <c r="A1404" s="10" t="s">
        <v>3080</v>
      </c>
      <c r="B1404" s="10" t="n">
        <v>1651</v>
      </c>
      <c r="C1404" s="8" t="n">
        <v>45958</v>
      </c>
      <c r="D1404" s="8" t="n">
        <v>45958</v>
      </c>
      <c r="E1404" s="10" t="n">
        <v>1000</v>
      </c>
      <c r="F1404" s="0" t="str">
        <f aca="false">INDEX(COA!$C$5:$C$19,MATCH(E1404,COA!$A$5:$A$19,0))</f>
        <v>Asset</v>
      </c>
      <c r="G1404" s="12" t="n">
        <v>0</v>
      </c>
      <c r="H1404" s="12" t="n">
        <v>4283.6</v>
      </c>
      <c r="I1404" s="10" t="s">
        <v>104</v>
      </c>
      <c r="J1404" s="10" t="s">
        <v>1636</v>
      </c>
      <c r="K1404" s="10" t="s">
        <v>1659</v>
      </c>
    </row>
    <row r="1405" customFormat="false" ht="15" hidden="false" customHeight="false" outlineLevel="0" collapsed="false">
      <c r="A1405" s="10" t="s">
        <v>3081</v>
      </c>
      <c r="B1405" s="10" t="n">
        <v>1652</v>
      </c>
      <c r="C1405" s="8" t="n">
        <v>45958</v>
      </c>
      <c r="D1405" s="8" t="n">
        <v>45955</v>
      </c>
      <c r="E1405" s="10" t="n">
        <v>2000</v>
      </c>
      <c r="F1405" s="0" t="str">
        <f aca="false">INDEX(COA!$C$5:$C$19,MATCH(E1405,COA!$A$5:$A$19,0))</f>
        <v>Liability</v>
      </c>
      <c r="G1405" s="12" t="n">
        <v>98315.69</v>
      </c>
      <c r="H1405" s="12" t="n">
        <v>0</v>
      </c>
      <c r="I1405" s="10" t="s">
        <v>104</v>
      </c>
      <c r="J1405" s="10" t="s">
        <v>1636</v>
      </c>
      <c r="K1405" s="10" t="s">
        <v>1659</v>
      </c>
    </row>
    <row r="1406" customFormat="false" ht="15" hidden="false" customHeight="false" outlineLevel="0" collapsed="false">
      <c r="A1406" s="10" t="s">
        <v>3082</v>
      </c>
      <c r="B1406" s="10" t="n">
        <v>1652</v>
      </c>
      <c r="C1406" s="8" t="n">
        <v>45958</v>
      </c>
      <c r="D1406" s="8" t="n">
        <v>45955</v>
      </c>
      <c r="E1406" s="10" t="n">
        <v>1000</v>
      </c>
      <c r="F1406" s="0" t="str">
        <f aca="false">INDEX(COA!$C$5:$C$19,MATCH(E1406,COA!$A$5:$A$19,0))</f>
        <v>Asset</v>
      </c>
      <c r="G1406" s="12" t="n">
        <v>0</v>
      </c>
      <c r="H1406" s="12" t="n">
        <v>98315.69</v>
      </c>
      <c r="I1406" s="10" t="s">
        <v>104</v>
      </c>
      <c r="J1406" s="10" t="s">
        <v>1636</v>
      </c>
      <c r="K1406" s="10" t="s">
        <v>1659</v>
      </c>
    </row>
    <row r="1407" customFormat="false" ht="15" hidden="false" customHeight="false" outlineLevel="0" collapsed="false">
      <c r="A1407" s="10" t="s">
        <v>3083</v>
      </c>
      <c r="B1407" s="10" t="n">
        <v>1653</v>
      </c>
      <c r="C1407" s="8" t="n">
        <v>45958</v>
      </c>
      <c r="D1407" s="8" t="n">
        <v>45958</v>
      </c>
      <c r="E1407" s="10" t="n">
        <v>1100</v>
      </c>
      <c r="F1407" s="0" t="str">
        <f aca="false">INDEX(COA!$C$5:$C$19,MATCH(E1407,COA!$A$5:$A$19,0))</f>
        <v>Asset</v>
      </c>
      <c r="G1407" s="12" t="n">
        <v>343.42</v>
      </c>
      <c r="H1407" s="12" t="n">
        <v>0</v>
      </c>
      <c r="I1407" s="10" t="s">
        <v>103</v>
      </c>
      <c r="J1407" s="10" t="s">
        <v>1636</v>
      </c>
    </row>
    <row r="1408" customFormat="false" ht="15" hidden="false" customHeight="false" outlineLevel="0" collapsed="false">
      <c r="A1408" s="10" t="s">
        <v>3084</v>
      </c>
      <c r="B1408" s="10" t="n">
        <v>1653</v>
      </c>
      <c r="C1408" s="8" t="n">
        <v>45958</v>
      </c>
      <c r="D1408" s="8" t="n">
        <v>45958</v>
      </c>
      <c r="E1408" s="10" t="n">
        <v>4000</v>
      </c>
      <c r="F1408" s="0" t="str">
        <f aca="false">INDEX(COA!$C$5:$C$19,MATCH(E1408,COA!$A$5:$A$19,0))</f>
        <v>Revenue</v>
      </c>
      <c r="G1408" s="12" t="n">
        <v>0</v>
      </c>
      <c r="H1408" s="12" t="n">
        <v>343.42</v>
      </c>
      <c r="I1408" s="10" t="s">
        <v>103</v>
      </c>
      <c r="J1408" s="10" t="s">
        <v>1636</v>
      </c>
    </row>
    <row r="1409" customFormat="false" ht="15" hidden="false" customHeight="false" outlineLevel="0" collapsed="false">
      <c r="A1409" s="10" t="s">
        <v>3085</v>
      </c>
      <c r="B1409" s="10" t="n">
        <v>1654</v>
      </c>
      <c r="C1409" s="8" t="n">
        <v>45958</v>
      </c>
      <c r="D1409" s="8" t="n">
        <v>45958</v>
      </c>
      <c r="E1409" s="10" t="n">
        <v>1000</v>
      </c>
      <c r="F1409" s="0" t="str">
        <f aca="false">INDEX(COA!$C$5:$C$19,MATCH(E1409,COA!$A$5:$A$19,0))</f>
        <v>Asset</v>
      </c>
      <c r="G1409" s="12" t="n">
        <v>3117.6</v>
      </c>
      <c r="H1409" s="12" t="n">
        <v>0</v>
      </c>
      <c r="I1409" s="10" t="s">
        <v>103</v>
      </c>
      <c r="J1409" s="10" t="s">
        <v>1636</v>
      </c>
      <c r="K1409" s="10" t="s">
        <v>1637</v>
      </c>
    </row>
    <row r="1410" customFormat="false" ht="15" hidden="false" customHeight="false" outlineLevel="0" collapsed="false">
      <c r="A1410" s="10" t="s">
        <v>3086</v>
      </c>
      <c r="B1410" s="10" t="n">
        <v>1654</v>
      </c>
      <c r="C1410" s="8" t="n">
        <v>45958</v>
      </c>
      <c r="D1410" s="8" t="n">
        <v>45958</v>
      </c>
      <c r="E1410" s="10" t="n">
        <v>1100</v>
      </c>
      <c r="F1410" s="0" t="str">
        <f aca="false">INDEX(COA!$C$5:$C$19,MATCH(E1410,COA!$A$5:$A$19,0))</f>
        <v>Asset</v>
      </c>
      <c r="G1410" s="12" t="n">
        <v>0</v>
      </c>
      <c r="H1410" s="12" t="n">
        <v>3117.6</v>
      </c>
      <c r="I1410" s="10" t="s">
        <v>103</v>
      </c>
      <c r="J1410" s="10" t="s">
        <v>1636</v>
      </c>
      <c r="K1410" s="10" t="s">
        <v>1637</v>
      </c>
    </row>
    <row r="1411" customFormat="false" ht="15" hidden="false" customHeight="false" outlineLevel="0" collapsed="false">
      <c r="A1411" s="10" t="s">
        <v>3087</v>
      </c>
      <c r="B1411" s="10" t="n">
        <v>1655</v>
      </c>
      <c r="C1411" s="8" t="n">
        <v>45959</v>
      </c>
      <c r="D1411" s="8" t="n">
        <v>45957</v>
      </c>
      <c r="E1411" s="10" t="n">
        <v>2000</v>
      </c>
      <c r="F1411" s="0" t="str">
        <f aca="false">INDEX(COA!$C$5:$C$19,MATCH(E1411,COA!$A$5:$A$19,0))</f>
        <v>Liability</v>
      </c>
      <c r="G1411" s="12" t="n">
        <v>132491.73</v>
      </c>
      <c r="H1411" s="12" t="n">
        <v>0</v>
      </c>
      <c r="I1411" s="10" t="s">
        <v>104</v>
      </c>
      <c r="J1411" s="10" t="s">
        <v>1636</v>
      </c>
      <c r="K1411" s="10" t="s">
        <v>1659</v>
      </c>
    </row>
    <row r="1412" customFormat="false" ht="15" hidden="false" customHeight="false" outlineLevel="0" collapsed="false">
      <c r="A1412" s="10" t="s">
        <v>3088</v>
      </c>
      <c r="B1412" s="10" t="n">
        <v>1655</v>
      </c>
      <c r="C1412" s="8" t="n">
        <v>45959</v>
      </c>
      <c r="D1412" s="8" t="n">
        <v>45957</v>
      </c>
      <c r="E1412" s="10" t="n">
        <v>1000</v>
      </c>
      <c r="F1412" s="0" t="str">
        <f aca="false">INDEX(COA!$C$5:$C$19,MATCH(E1412,COA!$A$5:$A$19,0))</f>
        <v>Asset</v>
      </c>
      <c r="G1412" s="12" t="n">
        <v>0</v>
      </c>
      <c r="H1412" s="12" t="n">
        <v>132491.73</v>
      </c>
      <c r="I1412" s="10" t="s">
        <v>104</v>
      </c>
      <c r="J1412" s="10" t="s">
        <v>1636</v>
      </c>
      <c r="K1412" s="10" t="s">
        <v>1659</v>
      </c>
    </row>
    <row r="1413" customFormat="false" ht="15" hidden="false" customHeight="false" outlineLevel="0" collapsed="false">
      <c r="A1413" s="10" t="s">
        <v>3089</v>
      </c>
      <c r="B1413" s="10" t="n">
        <v>1656</v>
      </c>
      <c r="C1413" s="8" t="n">
        <v>45960</v>
      </c>
      <c r="D1413" s="8" t="n">
        <v>45959</v>
      </c>
      <c r="E1413" s="10" t="n">
        <v>6200</v>
      </c>
      <c r="F1413" s="0" t="str">
        <f aca="false">INDEX(COA!$C$5:$C$19,MATCH(E1413,COA!$A$5:$A$19,0))</f>
        <v>Expense</v>
      </c>
      <c r="G1413" s="12" t="n">
        <v>7315.2</v>
      </c>
      <c r="H1413" s="12" t="n">
        <v>0</v>
      </c>
      <c r="I1413" s="10" t="s">
        <v>102</v>
      </c>
      <c r="J1413" s="10" t="s">
        <v>1636</v>
      </c>
      <c r="K1413" s="10" t="s">
        <v>1689</v>
      </c>
    </row>
    <row r="1414" customFormat="false" ht="15" hidden="false" customHeight="false" outlineLevel="0" collapsed="false">
      <c r="A1414" s="10" t="s">
        <v>3090</v>
      </c>
      <c r="B1414" s="10" t="n">
        <v>1656</v>
      </c>
      <c r="C1414" s="8" t="n">
        <v>45960</v>
      </c>
      <c r="D1414" s="8" t="n">
        <v>45959</v>
      </c>
      <c r="E1414" s="10" t="n">
        <v>2000</v>
      </c>
      <c r="F1414" s="0" t="str">
        <f aca="false">INDEX(COA!$C$5:$C$19,MATCH(E1414,COA!$A$5:$A$19,0))</f>
        <v>Liability</v>
      </c>
      <c r="G1414" s="12" t="n">
        <v>0</v>
      </c>
      <c r="H1414" s="12" t="n">
        <v>7315.2</v>
      </c>
      <c r="I1414" s="10" t="s">
        <v>102</v>
      </c>
      <c r="J1414" s="10" t="s">
        <v>1636</v>
      </c>
      <c r="K1414" s="10" t="s">
        <v>1689</v>
      </c>
    </row>
    <row r="1415" customFormat="false" ht="15" hidden="false" customHeight="false" outlineLevel="0" collapsed="false">
      <c r="A1415" s="10" t="s">
        <v>3091</v>
      </c>
      <c r="B1415" s="10" t="n">
        <v>1657</v>
      </c>
      <c r="C1415" s="8" t="n">
        <v>45960</v>
      </c>
      <c r="D1415" s="8" t="n">
        <v>45959</v>
      </c>
      <c r="E1415" s="10" t="n">
        <v>1200</v>
      </c>
      <c r="F1415" s="0" t="str">
        <f aca="false">INDEX(COA!$C$5:$C$19,MATCH(E1415,COA!$A$5:$A$19,0))</f>
        <v>Asset</v>
      </c>
      <c r="G1415" s="12" t="n">
        <v>3092.57</v>
      </c>
      <c r="H1415" s="12" t="n">
        <v>0</v>
      </c>
      <c r="I1415" s="10" t="s">
        <v>102</v>
      </c>
      <c r="J1415" s="10" t="s">
        <v>1636</v>
      </c>
      <c r="K1415" s="10" t="s">
        <v>1655</v>
      </c>
    </row>
    <row r="1416" customFormat="false" ht="15" hidden="false" customHeight="false" outlineLevel="0" collapsed="false">
      <c r="A1416" s="10" t="s">
        <v>3092</v>
      </c>
      <c r="B1416" s="10" t="n">
        <v>1657</v>
      </c>
      <c r="C1416" s="8" t="n">
        <v>45960</v>
      </c>
      <c r="D1416" s="8" t="n">
        <v>45959</v>
      </c>
      <c r="E1416" s="10" t="n">
        <v>2000</v>
      </c>
      <c r="F1416" s="0" t="str">
        <f aca="false">INDEX(COA!$C$5:$C$19,MATCH(E1416,COA!$A$5:$A$19,0))</f>
        <v>Liability</v>
      </c>
      <c r="G1416" s="12" t="n">
        <v>0</v>
      </c>
      <c r="H1416" s="12" t="n">
        <v>3092.57</v>
      </c>
      <c r="I1416" s="10" t="s">
        <v>102</v>
      </c>
      <c r="J1416" s="10" t="s">
        <v>1636</v>
      </c>
      <c r="K1416" s="10" t="s">
        <v>1655</v>
      </c>
    </row>
    <row r="1417" customFormat="false" ht="15" hidden="false" customHeight="false" outlineLevel="0" collapsed="false">
      <c r="A1417" s="10" t="s">
        <v>3093</v>
      </c>
      <c r="B1417" s="10" t="n">
        <v>1658</v>
      </c>
      <c r="C1417" s="8" t="n">
        <v>45960</v>
      </c>
      <c r="D1417" s="8" t="n">
        <v>45960</v>
      </c>
      <c r="E1417" s="10" t="n">
        <v>1100</v>
      </c>
      <c r="F1417" s="0" t="str">
        <f aca="false">INDEX(COA!$C$5:$C$19,MATCH(E1417,COA!$A$5:$A$19,0))</f>
        <v>Asset</v>
      </c>
      <c r="G1417" s="12" t="n">
        <v>28984.92</v>
      </c>
      <c r="H1417" s="12" t="n">
        <v>0</v>
      </c>
      <c r="I1417" s="10" t="s">
        <v>103</v>
      </c>
      <c r="J1417" s="10" t="s">
        <v>1636</v>
      </c>
      <c r="K1417" s="10" t="s">
        <v>1640</v>
      </c>
    </row>
    <row r="1418" customFormat="false" ht="15" hidden="false" customHeight="false" outlineLevel="0" collapsed="false">
      <c r="A1418" s="10" t="s">
        <v>3094</v>
      </c>
      <c r="B1418" s="10" t="n">
        <v>1658</v>
      </c>
      <c r="C1418" s="8" t="n">
        <v>45960</v>
      </c>
      <c r="D1418" s="8" t="n">
        <v>45960</v>
      </c>
      <c r="E1418" s="10" t="n">
        <v>4000</v>
      </c>
      <c r="F1418" s="0" t="str">
        <f aca="false">INDEX(COA!$C$5:$C$19,MATCH(E1418,COA!$A$5:$A$19,0))</f>
        <v>Revenue</v>
      </c>
      <c r="G1418" s="12" t="n">
        <v>0</v>
      </c>
      <c r="H1418" s="12" t="n">
        <v>28984.92</v>
      </c>
      <c r="I1418" s="10" t="s">
        <v>103</v>
      </c>
      <c r="J1418" s="10" t="s">
        <v>1636</v>
      </c>
      <c r="K1418" s="10" t="s">
        <v>1640</v>
      </c>
    </row>
    <row r="1419" customFormat="false" ht="15" hidden="false" customHeight="false" outlineLevel="0" collapsed="false">
      <c r="A1419" s="10" t="s">
        <v>3095</v>
      </c>
      <c r="B1419" s="10" t="n">
        <v>1659</v>
      </c>
      <c r="C1419" s="8" t="n">
        <v>45960</v>
      </c>
      <c r="D1419" s="8" t="n">
        <v>45956</v>
      </c>
      <c r="E1419" s="10" t="n">
        <v>1200</v>
      </c>
      <c r="F1419" s="0" t="str">
        <f aca="false">INDEX(COA!$C$5:$C$19,MATCH(E1419,COA!$A$5:$A$19,0))</f>
        <v>Asset</v>
      </c>
      <c r="G1419" s="12" t="n">
        <v>269.25</v>
      </c>
      <c r="H1419" s="12" t="n">
        <v>0</v>
      </c>
      <c r="I1419" s="10" t="s">
        <v>102</v>
      </c>
      <c r="J1419" s="10" t="s">
        <v>1636</v>
      </c>
      <c r="K1419" s="10" t="s">
        <v>1655</v>
      </c>
    </row>
    <row r="1420" customFormat="false" ht="15" hidden="false" customHeight="false" outlineLevel="0" collapsed="false">
      <c r="A1420" s="10" t="s">
        <v>3096</v>
      </c>
      <c r="B1420" s="10" t="n">
        <v>1659</v>
      </c>
      <c r="C1420" s="8" t="n">
        <v>45960</v>
      </c>
      <c r="D1420" s="8" t="n">
        <v>45956</v>
      </c>
      <c r="E1420" s="10" t="n">
        <v>2000</v>
      </c>
      <c r="F1420" s="0" t="str">
        <f aca="false">INDEX(COA!$C$5:$C$19,MATCH(E1420,COA!$A$5:$A$19,0))</f>
        <v>Liability</v>
      </c>
      <c r="G1420" s="12" t="n">
        <v>0</v>
      </c>
      <c r="H1420" s="12" t="n">
        <v>269.25</v>
      </c>
      <c r="I1420" s="10" t="s">
        <v>102</v>
      </c>
      <c r="J1420" s="10" t="s">
        <v>1636</v>
      </c>
      <c r="K1420" s="10" t="s">
        <v>1655</v>
      </c>
    </row>
    <row r="1421" customFormat="false" ht="15" hidden="false" customHeight="false" outlineLevel="0" collapsed="false">
      <c r="A1421" s="10" t="s">
        <v>3097</v>
      </c>
      <c r="B1421" s="10" t="n">
        <v>1660</v>
      </c>
      <c r="C1421" s="8" t="n">
        <v>45961</v>
      </c>
      <c r="D1421" s="8" t="n">
        <v>45961</v>
      </c>
      <c r="E1421" s="10" t="n">
        <v>5000</v>
      </c>
      <c r="F1421" s="0" t="str">
        <f aca="false">INDEX(COA!$C$5:$C$19,MATCH(E1421,COA!$A$5:$A$19,0))</f>
        <v>Expense</v>
      </c>
      <c r="G1421" s="12" t="n">
        <v>14453.43</v>
      </c>
      <c r="H1421" s="12" t="n">
        <v>0</v>
      </c>
      <c r="I1421" s="10" t="s">
        <v>103</v>
      </c>
      <c r="J1421" s="10" t="s">
        <v>1636</v>
      </c>
      <c r="K1421" s="10" t="s">
        <v>1670</v>
      </c>
    </row>
    <row r="1422" customFormat="false" ht="15" hidden="false" customHeight="false" outlineLevel="0" collapsed="false">
      <c r="A1422" s="10" t="s">
        <v>3098</v>
      </c>
      <c r="B1422" s="10" t="n">
        <v>1660</v>
      </c>
      <c r="C1422" s="8" t="n">
        <v>45961</v>
      </c>
      <c r="D1422" s="8" t="n">
        <v>45961</v>
      </c>
      <c r="E1422" s="10" t="n">
        <v>5000</v>
      </c>
      <c r="F1422" s="0" t="str">
        <f aca="false">INDEX(COA!$C$5:$C$19,MATCH(E1422,COA!$A$5:$A$19,0))</f>
        <v>Expense</v>
      </c>
      <c r="G1422" s="12" t="n">
        <v>6194.33</v>
      </c>
      <c r="H1422" s="12" t="n">
        <v>0</v>
      </c>
      <c r="I1422" s="10" t="s">
        <v>103</v>
      </c>
      <c r="J1422" s="10" t="s">
        <v>1636</v>
      </c>
      <c r="K1422" s="10" t="s">
        <v>1670</v>
      </c>
    </row>
    <row r="1423" customFormat="false" ht="15" hidden="false" customHeight="false" outlineLevel="0" collapsed="false">
      <c r="A1423" s="10" t="s">
        <v>3099</v>
      </c>
      <c r="B1423" s="10" t="n">
        <v>1660</v>
      </c>
      <c r="C1423" s="8" t="n">
        <v>45961</v>
      </c>
      <c r="D1423" s="8" t="n">
        <v>45961</v>
      </c>
      <c r="E1423" s="10" t="n">
        <v>1200</v>
      </c>
      <c r="F1423" s="0" t="str">
        <f aca="false">INDEX(COA!$C$5:$C$19,MATCH(E1423,COA!$A$5:$A$19,0))</f>
        <v>Asset</v>
      </c>
      <c r="G1423" s="12" t="n">
        <v>0</v>
      </c>
      <c r="H1423" s="12" t="n">
        <v>20647.76</v>
      </c>
      <c r="I1423" s="10" t="s">
        <v>103</v>
      </c>
      <c r="J1423" s="10" t="s">
        <v>1636</v>
      </c>
      <c r="K1423" s="10" t="s">
        <v>1670</v>
      </c>
    </row>
    <row r="1424" customFormat="false" ht="15" hidden="false" customHeight="false" outlineLevel="0" collapsed="false">
      <c r="A1424" s="10" t="s">
        <v>3100</v>
      </c>
      <c r="B1424" s="10" t="n">
        <v>1661</v>
      </c>
      <c r="C1424" s="8" t="n">
        <v>45961</v>
      </c>
      <c r="D1424" s="8" t="n">
        <v>45959</v>
      </c>
      <c r="E1424" s="10" t="n">
        <v>1000</v>
      </c>
      <c r="F1424" s="0" t="str">
        <f aca="false">INDEX(COA!$C$5:$C$19,MATCH(E1424,COA!$A$5:$A$19,0))</f>
        <v>Asset</v>
      </c>
      <c r="G1424" s="12" t="n">
        <v>2120.35</v>
      </c>
      <c r="H1424" s="12" t="n">
        <v>0</v>
      </c>
      <c r="I1424" s="10" t="s">
        <v>103</v>
      </c>
      <c r="J1424" s="10" t="s">
        <v>1636</v>
      </c>
      <c r="K1424" s="10" t="s">
        <v>1637</v>
      </c>
    </row>
    <row r="1425" customFormat="false" ht="15" hidden="false" customHeight="false" outlineLevel="0" collapsed="false">
      <c r="A1425" s="10" t="s">
        <v>3101</v>
      </c>
      <c r="B1425" s="10" t="n">
        <v>1661</v>
      </c>
      <c r="C1425" s="8" t="n">
        <v>45961</v>
      </c>
      <c r="D1425" s="8" t="n">
        <v>45959</v>
      </c>
      <c r="E1425" s="10" t="n">
        <v>1100</v>
      </c>
      <c r="F1425" s="0" t="str">
        <f aca="false">INDEX(COA!$C$5:$C$19,MATCH(E1425,COA!$A$5:$A$19,0))</f>
        <v>Asset</v>
      </c>
      <c r="G1425" s="12" t="n">
        <v>0</v>
      </c>
      <c r="H1425" s="12" t="n">
        <v>2120.35</v>
      </c>
      <c r="I1425" s="10" t="s">
        <v>103</v>
      </c>
      <c r="J1425" s="10" t="s">
        <v>1636</v>
      </c>
      <c r="K1425" s="10" t="s">
        <v>1637</v>
      </c>
    </row>
    <row r="1426" customFormat="false" ht="15" hidden="false" customHeight="false" outlineLevel="0" collapsed="false">
      <c r="A1426" s="10" t="s">
        <v>3102</v>
      </c>
      <c r="B1426" s="10" t="n">
        <v>1662</v>
      </c>
      <c r="C1426" s="8" t="n">
        <v>45961</v>
      </c>
      <c r="D1426" s="8" t="n">
        <v>45959</v>
      </c>
      <c r="E1426" s="10" t="n">
        <v>1100</v>
      </c>
      <c r="F1426" s="0" t="str">
        <f aca="false">INDEX(COA!$C$5:$C$19,MATCH(E1426,COA!$A$5:$A$19,0))</f>
        <v>Asset</v>
      </c>
      <c r="G1426" s="12" t="n">
        <v>57251.73</v>
      </c>
      <c r="H1426" s="12" t="n">
        <v>0</v>
      </c>
      <c r="I1426" s="10" t="s">
        <v>103</v>
      </c>
      <c r="J1426" s="10" t="s">
        <v>1636</v>
      </c>
      <c r="K1426" s="10" t="s">
        <v>1640</v>
      </c>
    </row>
    <row r="1427" customFormat="false" ht="15" hidden="false" customHeight="false" outlineLevel="0" collapsed="false">
      <c r="A1427" s="10" t="s">
        <v>3103</v>
      </c>
      <c r="B1427" s="10" t="n">
        <v>1662</v>
      </c>
      <c r="C1427" s="8" t="n">
        <v>45961</v>
      </c>
      <c r="D1427" s="8" t="n">
        <v>45959</v>
      </c>
      <c r="E1427" s="10" t="n">
        <v>4000</v>
      </c>
      <c r="F1427" s="0" t="str">
        <f aca="false">INDEX(COA!$C$5:$C$19,MATCH(E1427,COA!$A$5:$A$19,0))</f>
        <v>Revenue</v>
      </c>
      <c r="G1427" s="12" t="n">
        <v>0</v>
      </c>
      <c r="H1427" s="12" t="n">
        <v>57251.73</v>
      </c>
      <c r="I1427" s="10" t="s">
        <v>103</v>
      </c>
      <c r="J1427" s="10" t="s">
        <v>1636</v>
      </c>
      <c r="K1427" s="10" t="s">
        <v>1640</v>
      </c>
    </row>
    <row r="1428" customFormat="false" ht="15" hidden="false" customHeight="false" outlineLevel="0" collapsed="false">
      <c r="A1428" s="10" t="s">
        <v>3104</v>
      </c>
      <c r="B1428" s="10" t="n">
        <v>1663</v>
      </c>
      <c r="C1428" s="8" t="n">
        <v>45964</v>
      </c>
      <c r="D1428" s="8" t="n">
        <v>45964</v>
      </c>
      <c r="E1428" s="10" t="n">
        <v>2000</v>
      </c>
      <c r="F1428" s="0" t="str">
        <f aca="false">INDEX(COA!$C$5:$C$19,MATCH(E1428,COA!$A$5:$A$19,0))</f>
        <v>Liability</v>
      </c>
      <c r="G1428" s="12" t="n">
        <v>21371.54</v>
      </c>
      <c r="H1428" s="12" t="n">
        <v>0</v>
      </c>
      <c r="I1428" s="10" t="s">
        <v>104</v>
      </c>
      <c r="J1428" s="10" t="s">
        <v>1636</v>
      </c>
      <c r="K1428" s="10" t="s">
        <v>1659</v>
      </c>
    </row>
    <row r="1429" customFormat="false" ht="15" hidden="false" customHeight="false" outlineLevel="0" collapsed="false">
      <c r="A1429" s="10" t="s">
        <v>3105</v>
      </c>
      <c r="B1429" s="10" t="n">
        <v>1663</v>
      </c>
      <c r="C1429" s="8" t="n">
        <v>45964</v>
      </c>
      <c r="D1429" s="8" t="n">
        <v>45964</v>
      </c>
      <c r="E1429" s="10" t="n">
        <v>1000</v>
      </c>
      <c r="F1429" s="0" t="str">
        <f aca="false">INDEX(COA!$C$5:$C$19,MATCH(E1429,COA!$A$5:$A$19,0))</f>
        <v>Asset</v>
      </c>
      <c r="G1429" s="12" t="n">
        <v>0</v>
      </c>
      <c r="H1429" s="12" t="n">
        <v>21371.54</v>
      </c>
      <c r="I1429" s="10" t="s">
        <v>104</v>
      </c>
      <c r="J1429" s="10" t="s">
        <v>1636</v>
      </c>
      <c r="K1429" s="10" t="s">
        <v>1659</v>
      </c>
    </row>
    <row r="1430" customFormat="false" ht="15" hidden="false" customHeight="false" outlineLevel="0" collapsed="false">
      <c r="A1430" s="10" t="s">
        <v>3106</v>
      </c>
      <c r="B1430" s="10" t="n">
        <v>1664</v>
      </c>
      <c r="C1430" s="8" t="n">
        <v>45964</v>
      </c>
      <c r="D1430" s="8" t="n">
        <v>45960</v>
      </c>
      <c r="E1430" s="10" t="n">
        <v>6900</v>
      </c>
      <c r="F1430" s="0" t="str">
        <f aca="false">INDEX(COA!$C$5:$C$19,MATCH(E1430,COA!$A$5:$A$19,0))</f>
        <v>Expense</v>
      </c>
      <c r="G1430" s="12" t="n">
        <v>11955.3</v>
      </c>
      <c r="H1430" s="12" t="n">
        <v>0</v>
      </c>
      <c r="I1430" s="10" t="s">
        <v>97</v>
      </c>
      <c r="J1430" s="10" t="s">
        <v>1648</v>
      </c>
      <c r="K1430" s="10" t="s">
        <v>1649</v>
      </c>
    </row>
    <row r="1431" customFormat="false" ht="15" hidden="false" customHeight="false" outlineLevel="0" collapsed="false">
      <c r="A1431" s="10" t="s">
        <v>3107</v>
      </c>
      <c r="B1431" s="10" t="n">
        <v>1664</v>
      </c>
      <c r="C1431" s="8" t="n">
        <v>45964</v>
      </c>
      <c r="D1431" s="8" t="n">
        <v>45960</v>
      </c>
      <c r="E1431" s="10" t="n">
        <v>2100</v>
      </c>
      <c r="F1431" s="0" t="str">
        <f aca="false">INDEX(COA!$C$5:$C$19,MATCH(E1431,COA!$A$5:$A$19,0))</f>
        <v>Liability</v>
      </c>
      <c r="G1431" s="12" t="n">
        <v>0</v>
      </c>
      <c r="H1431" s="12" t="n">
        <v>11955.3</v>
      </c>
      <c r="I1431" s="10" t="s">
        <v>97</v>
      </c>
      <c r="J1431" s="10" t="s">
        <v>1648</v>
      </c>
      <c r="K1431" s="10" t="s">
        <v>1649</v>
      </c>
    </row>
    <row r="1432" customFormat="false" ht="15" hidden="false" customHeight="false" outlineLevel="0" collapsed="false">
      <c r="A1432" s="10" t="s">
        <v>3108</v>
      </c>
      <c r="B1432" s="10" t="n">
        <v>1665</v>
      </c>
      <c r="C1432" s="8" t="n">
        <v>45965</v>
      </c>
      <c r="D1432" s="8" t="n">
        <v>45961</v>
      </c>
      <c r="E1432" s="10" t="n">
        <v>1100</v>
      </c>
      <c r="F1432" s="0" t="str">
        <f aca="false">INDEX(COA!$C$5:$C$19,MATCH(E1432,COA!$A$5:$A$19,0))</f>
        <v>Asset</v>
      </c>
      <c r="G1432" s="12" t="n">
        <v>105474.58</v>
      </c>
      <c r="H1432" s="12" t="n">
        <v>0</v>
      </c>
      <c r="I1432" s="10" t="s">
        <v>103</v>
      </c>
      <c r="J1432" s="10" t="s">
        <v>1636</v>
      </c>
      <c r="K1432" s="10" t="s">
        <v>1640</v>
      </c>
    </row>
    <row r="1433" customFormat="false" ht="15" hidden="false" customHeight="false" outlineLevel="0" collapsed="false">
      <c r="A1433" s="10" t="s">
        <v>3109</v>
      </c>
      <c r="B1433" s="10" t="n">
        <v>1665</v>
      </c>
      <c r="C1433" s="8" t="n">
        <v>45965</v>
      </c>
      <c r="D1433" s="8" t="n">
        <v>45961</v>
      </c>
      <c r="E1433" s="10" t="n">
        <v>1100</v>
      </c>
      <c r="F1433" s="0" t="str">
        <f aca="false">INDEX(COA!$C$5:$C$19,MATCH(E1433,COA!$A$5:$A$19,0))</f>
        <v>Asset</v>
      </c>
      <c r="G1433" s="12" t="n">
        <v>45203.39</v>
      </c>
      <c r="H1433" s="12" t="n">
        <v>0</v>
      </c>
      <c r="I1433" s="10" t="s">
        <v>103</v>
      </c>
      <c r="J1433" s="10" t="s">
        <v>1636</v>
      </c>
      <c r="K1433" s="10" t="s">
        <v>1640</v>
      </c>
    </row>
    <row r="1434" customFormat="false" ht="15" hidden="false" customHeight="false" outlineLevel="0" collapsed="false">
      <c r="A1434" s="10" t="s">
        <v>3110</v>
      </c>
      <c r="B1434" s="10" t="n">
        <v>1665</v>
      </c>
      <c r="C1434" s="8" t="n">
        <v>45965</v>
      </c>
      <c r="D1434" s="8" t="n">
        <v>45961</v>
      </c>
      <c r="E1434" s="10" t="n">
        <v>4000</v>
      </c>
      <c r="F1434" s="0" t="str">
        <f aca="false">INDEX(COA!$C$5:$C$19,MATCH(E1434,COA!$A$5:$A$19,0))</f>
        <v>Revenue</v>
      </c>
      <c r="G1434" s="12" t="n">
        <v>0</v>
      </c>
      <c r="H1434" s="12" t="n">
        <v>150677.97</v>
      </c>
      <c r="I1434" s="10" t="s">
        <v>103</v>
      </c>
      <c r="J1434" s="10" t="s">
        <v>1636</v>
      </c>
      <c r="K1434" s="10" t="s">
        <v>1640</v>
      </c>
    </row>
    <row r="1435" customFormat="false" ht="15" hidden="false" customHeight="false" outlineLevel="0" collapsed="false">
      <c r="A1435" s="10" t="s">
        <v>3111</v>
      </c>
      <c r="B1435" s="10" t="n">
        <v>1666</v>
      </c>
      <c r="C1435" s="8" t="n">
        <v>45967</v>
      </c>
      <c r="D1435" s="8" t="n">
        <v>45965</v>
      </c>
      <c r="E1435" s="10" t="n">
        <v>1100</v>
      </c>
      <c r="F1435" s="0" t="str">
        <f aca="false">INDEX(COA!$C$5:$C$19,MATCH(E1435,COA!$A$5:$A$19,0))</f>
        <v>Asset</v>
      </c>
      <c r="G1435" s="12" t="n">
        <v>706.39</v>
      </c>
      <c r="H1435" s="12" t="n">
        <v>0</v>
      </c>
      <c r="I1435" s="10" t="s">
        <v>103</v>
      </c>
      <c r="J1435" s="10" t="s">
        <v>1636</v>
      </c>
      <c r="K1435" s="10" t="s">
        <v>1640</v>
      </c>
    </row>
    <row r="1436" customFormat="false" ht="15" hidden="false" customHeight="false" outlineLevel="0" collapsed="false">
      <c r="A1436" s="10" t="s">
        <v>3112</v>
      </c>
      <c r="B1436" s="10" t="n">
        <v>1666</v>
      </c>
      <c r="C1436" s="8" t="n">
        <v>45967</v>
      </c>
      <c r="D1436" s="8" t="n">
        <v>45965</v>
      </c>
      <c r="E1436" s="10" t="n">
        <v>1100</v>
      </c>
      <c r="F1436" s="0" t="str">
        <f aca="false">INDEX(COA!$C$5:$C$19,MATCH(E1436,COA!$A$5:$A$19,0))</f>
        <v>Asset</v>
      </c>
      <c r="G1436" s="12" t="n">
        <v>302.74</v>
      </c>
      <c r="H1436" s="12" t="n">
        <v>0</v>
      </c>
      <c r="I1436" s="10" t="s">
        <v>103</v>
      </c>
      <c r="J1436" s="10" t="s">
        <v>1636</v>
      </c>
      <c r="K1436" s="10" t="s">
        <v>1640</v>
      </c>
    </row>
    <row r="1437" customFormat="false" ht="15" hidden="false" customHeight="false" outlineLevel="0" collapsed="false">
      <c r="A1437" s="10" t="s">
        <v>3113</v>
      </c>
      <c r="B1437" s="10" t="n">
        <v>1666</v>
      </c>
      <c r="C1437" s="8" t="n">
        <v>45967</v>
      </c>
      <c r="D1437" s="8" t="n">
        <v>45965</v>
      </c>
      <c r="E1437" s="10" t="n">
        <v>4000</v>
      </c>
      <c r="F1437" s="0" t="str">
        <f aca="false">INDEX(COA!$C$5:$C$19,MATCH(E1437,COA!$A$5:$A$19,0))</f>
        <v>Revenue</v>
      </c>
      <c r="G1437" s="12" t="n">
        <v>0</v>
      </c>
      <c r="H1437" s="12" t="n">
        <v>1009.13</v>
      </c>
      <c r="I1437" s="10" t="s">
        <v>103</v>
      </c>
      <c r="J1437" s="10" t="s">
        <v>1636</v>
      </c>
      <c r="K1437" s="10" t="s">
        <v>1640</v>
      </c>
    </row>
    <row r="1438" customFormat="false" ht="15" hidden="false" customHeight="false" outlineLevel="0" collapsed="false">
      <c r="A1438" s="10" t="s">
        <v>3114</v>
      </c>
      <c r="B1438" s="10" t="n">
        <v>1667</v>
      </c>
      <c r="C1438" s="8" t="n">
        <v>45967</v>
      </c>
      <c r="D1438" s="8" t="n">
        <v>45964</v>
      </c>
      <c r="E1438" s="10" t="n">
        <v>2000</v>
      </c>
      <c r="F1438" s="0" t="str">
        <f aca="false">INDEX(COA!$C$5:$C$19,MATCH(E1438,COA!$A$5:$A$19,0))</f>
        <v>Liability</v>
      </c>
      <c r="G1438" s="12" t="n">
        <v>6837.19</v>
      </c>
      <c r="H1438" s="12" t="n">
        <v>0</v>
      </c>
      <c r="I1438" s="10" t="s">
        <v>104</v>
      </c>
      <c r="J1438" s="10" t="s">
        <v>1636</v>
      </c>
      <c r="K1438" s="10" t="s">
        <v>1659</v>
      </c>
    </row>
    <row r="1439" customFormat="false" ht="15" hidden="false" customHeight="false" outlineLevel="0" collapsed="false">
      <c r="A1439" s="10" t="s">
        <v>3115</v>
      </c>
      <c r="B1439" s="10" t="n">
        <v>1667</v>
      </c>
      <c r="C1439" s="8" t="n">
        <v>45967</v>
      </c>
      <c r="D1439" s="8" t="n">
        <v>45964</v>
      </c>
      <c r="E1439" s="10" t="n">
        <v>2000</v>
      </c>
      <c r="F1439" s="0" t="str">
        <f aca="false">INDEX(COA!$C$5:$C$19,MATCH(E1439,COA!$A$5:$A$19,0))</f>
        <v>Liability</v>
      </c>
      <c r="G1439" s="12" t="n">
        <v>2930.22</v>
      </c>
      <c r="H1439" s="12" t="n">
        <v>0</v>
      </c>
      <c r="I1439" s="10" t="s">
        <v>104</v>
      </c>
      <c r="J1439" s="10" t="s">
        <v>1636</v>
      </c>
      <c r="K1439" s="10" t="s">
        <v>1659</v>
      </c>
    </row>
    <row r="1440" customFormat="false" ht="15" hidden="false" customHeight="false" outlineLevel="0" collapsed="false">
      <c r="A1440" s="10" t="s">
        <v>3116</v>
      </c>
      <c r="B1440" s="10" t="n">
        <v>1667</v>
      </c>
      <c r="C1440" s="8" t="n">
        <v>45967</v>
      </c>
      <c r="D1440" s="8" t="n">
        <v>45964</v>
      </c>
      <c r="E1440" s="10" t="n">
        <v>1000</v>
      </c>
      <c r="F1440" s="0" t="str">
        <f aca="false">INDEX(COA!$C$5:$C$19,MATCH(E1440,COA!$A$5:$A$19,0))</f>
        <v>Asset</v>
      </c>
      <c r="G1440" s="12" t="n">
        <v>0</v>
      </c>
      <c r="H1440" s="12" t="n">
        <v>9767.41</v>
      </c>
      <c r="I1440" s="10" t="s">
        <v>104</v>
      </c>
      <c r="J1440" s="10" t="s">
        <v>1636</v>
      </c>
      <c r="K1440" s="10" t="s">
        <v>1659</v>
      </c>
    </row>
    <row r="1441" customFormat="false" ht="15" hidden="false" customHeight="false" outlineLevel="0" collapsed="false">
      <c r="A1441" s="10" t="s">
        <v>3117</v>
      </c>
      <c r="B1441" s="10" t="n">
        <v>1668</v>
      </c>
      <c r="C1441" s="8" t="n">
        <v>45967</v>
      </c>
      <c r="D1441" s="8" t="n">
        <v>45965</v>
      </c>
      <c r="E1441" s="10" t="n">
        <v>2000</v>
      </c>
      <c r="F1441" s="0" t="str">
        <f aca="false">INDEX(COA!$C$5:$C$19,MATCH(E1441,COA!$A$5:$A$19,0))</f>
        <v>Liability</v>
      </c>
      <c r="G1441" s="12" t="n">
        <v>1558.91</v>
      </c>
      <c r="H1441" s="12" t="n">
        <v>0</v>
      </c>
      <c r="I1441" s="10" t="s">
        <v>104</v>
      </c>
      <c r="J1441" s="10" t="s">
        <v>1636</v>
      </c>
      <c r="K1441" s="10" t="s">
        <v>1659</v>
      </c>
    </row>
    <row r="1442" customFormat="false" ht="15" hidden="false" customHeight="false" outlineLevel="0" collapsed="false">
      <c r="A1442" s="10" t="s">
        <v>3118</v>
      </c>
      <c r="B1442" s="10" t="n">
        <v>1668</v>
      </c>
      <c r="C1442" s="8" t="n">
        <v>45967</v>
      </c>
      <c r="D1442" s="8" t="n">
        <v>45965</v>
      </c>
      <c r="E1442" s="10" t="n">
        <v>2000</v>
      </c>
      <c r="F1442" s="0" t="str">
        <f aca="false">INDEX(COA!$C$5:$C$19,MATCH(E1442,COA!$A$5:$A$19,0))</f>
        <v>Liability</v>
      </c>
      <c r="G1442" s="12" t="n">
        <v>668.11</v>
      </c>
      <c r="H1442" s="12" t="n">
        <v>0</v>
      </c>
      <c r="I1442" s="10" t="s">
        <v>104</v>
      </c>
      <c r="J1442" s="10" t="s">
        <v>1636</v>
      </c>
      <c r="K1442" s="10" t="s">
        <v>1659</v>
      </c>
    </row>
    <row r="1443" customFormat="false" ht="15" hidden="false" customHeight="false" outlineLevel="0" collapsed="false">
      <c r="A1443" s="10" t="s">
        <v>3119</v>
      </c>
      <c r="B1443" s="10" t="n">
        <v>1668</v>
      </c>
      <c r="C1443" s="8" t="n">
        <v>45967</v>
      </c>
      <c r="D1443" s="8" t="n">
        <v>45965</v>
      </c>
      <c r="E1443" s="10" t="n">
        <v>1000</v>
      </c>
      <c r="F1443" s="0" t="str">
        <f aca="false">INDEX(COA!$C$5:$C$19,MATCH(E1443,COA!$A$5:$A$19,0))</f>
        <v>Asset</v>
      </c>
      <c r="G1443" s="12" t="n">
        <v>0</v>
      </c>
      <c r="H1443" s="12" t="n">
        <v>2227.02</v>
      </c>
      <c r="I1443" s="10" t="s">
        <v>104</v>
      </c>
      <c r="J1443" s="10" t="s">
        <v>1636</v>
      </c>
      <c r="K1443" s="10" t="s">
        <v>1659</v>
      </c>
    </row>
    <row r="1444" customFormat="false" ht="15" hidden="false" customHeight="false" outlineLevel="0" collapsed="false">
      <c r="A1444" s="10" t="s">
        <v>3120</v>
      </c>
      <c r="B1444" s="10" t="n">
        <v>1669</v>
      </c>
      <c r="C1444" s="8" t="n">
        <v>45968</v>
      </c>
      <c r="D1444" s="8" t="n">
        <v>45942</v>
      </c>
      <c r="E1444" s="10" t="n">
        <v>6900</v>
      </c>
      <c r="F1444" s="0" t="str">
        <f aca="false">INDEX(COA!$C$5:$C$19,MATCH(E1444,COA!$A$5:$A$19,0))</f>
        <v>Expense</v>
      </c>
      <c r="G1444" s="12" t="n">
        <v>4524.16</v>
      </c>
      <c r="H1444" s="12" t="n">
        <v>0</v>
      </c>
      <c r="I1444" s="10" t="s">
        <v>99</v>
      </c>
      <c r="J1444" s="10" t="s">
        <v>1648</v>
      </c>
      <c r="K1444" s="10" t="s">
        <v>3121</v>
      </c>
    </row>
    <row r="1445" customFormat="false" ht="15" hidden="false" customHeight="false" outlineLevel="0" collapsed="false">
      <c r="A1445" s="10" t="s">
        <v>3122</v>
      </c>
      <c r="B1445" s="10" t="n">
        <v>1669</v>
      </c>
      <c r="C1445" s="8" t="n">
        <v>45968</v>
      </c>
      <c r="D1445" s="8" t="n">
        <v>45942</v>
      </c>
      <c r="E1445" s="10" t="n">
        <v>2100</v>
      </c>
      <c r="F1445" s="0" t="str">
        <f aca="false">INDEX(COA!$C$5:$C$19,MATCH(E1445,COA!$A$5:$A$19,0))</f>
        <v>Liability</v>
      </c>
      <c r="G1445" s="12" t="n">
        <v>0</v>
      </c>
      <c r="H1445" s="12" t="n">
        <v>4524.16</v>
      </c>
      <c r="I1445" s="10" t="s">
        <v>99</v>
      </c>
      <c r="J1445" s="10" t="s">
        <v>1648</v>
      </c>
      <c r="K1445" s="10" t="s">
        <v>3121</v>
      </c>
    </row>
    <row r="1446" customFormat="false" ht="15" hidden="false" customHeight="false" outlineLevel="0" collapsed="false">
      <c r="A1446" s="10" t="s">
        <v>3123</v>
      </c>
      <c r="B1446" s="10" t="n">
        <v>1670</v>
      </c>
      <c r="C1446" s="8" t="n">
        <v>45968</v>
      </c>
      <c r="D1446" s="8" t="n">
        <v>45964</v>
      </c>
      <c r="E1446" s="10" t="n">
        <v>1200</v>
      </c>
      <c r="F1446" s="0" t="str">
        <f aca="false">INDEX(COA!$C$5:$C$19,MATCH(E1446,COA!$A$5:$A$19,0))</f>
        <v>Asset</v>
      </c>
      <c r="G1446" s="12" t="n">
        <v>81643.56</v>
      </c>
      <c r="H1446" s="12" t="n">
        <v>0</v>
      </c>
      <c r="I1446" s="10" t="s">
        <v>102</v>
      </c>
      <c r="J1446" s="10" t="s">
        <v>1636</v>
      </c>
      <c r="K1446" s="10" t="s">
        <v>1655</v>
      </c>
    </row>
    <row r="1447" customFormat="false" ht="15" hidden="false" customHeight="false" outlineLevel="0" collapsed="false">
      <c r="A1447" s="10" t="s">
        <v>3124</v>
      </c>
      <c r="B1447" s="10" t="n">
        <v>1670</v>
      </c>
      <c r="C1447" s="8" t="n">
        <v>45968</v>
      </c>
      <c r="D1447" s="8" t="n">
        <v>45964</v>
      </c>
      <c r="E1447" s="10" t="n">
        <v>2000</v>
      </c>
      <c r="F1447" s="0" t="str">
        <f aca="false">INDEX(COA!$C$5:$C$19,MATCH(E1447,COA!$A$5:$A$19,0))</f>
        <v>Liability</v>
      </c>
      <c r="G1447" s="12" t="n">
        <v>0</v>
      </c>
      <c r="H1447" s="12" t="n">
        <v>81643.56</v>
      </c>
      <c r="I1447" s="10" t="s">
        <v>102</v>
      </c>
      <c r="J1447" s="10" t="s">
        <v>1636</v>
      </c>
      <c r="K1447" s="10" t="s">
        <v>1655</v>
      </c>
    </row>
    <row r="1448" customFormat="false" ht="15" hidden="false" customHeight="false" outlineLevel="0" collapsed="false">
      <c r="A1448" s="10" t="s">
        <v>3125</v>
      </c>
      <c r="B1448" s="10" t="n">
        <v>1671</v>
      </c>
      <c r="C1448" s="8" t="n">
        <v>45968</v>
      </c>
      <c r="D1448" s="8" t="n">
        <v>45964</v>
      </c>
      <c r="E1448" s="10" t="n">
        <v>1100</v>
      </c>
      <c r="F1448" s="0" t="str">
        <f aca="false">INDEX(COA!$C$5:$C$19,MATCH(E1448,COA!$A$5:$A$19,0))</f>
        <v>Asset</v>
      </c>
      <c r="G1448" s="12" t="n">
        <v>1512.13</v>
      </c>
      <c r="H1448" s="12" t="n">
        <v>0</v>
      </c>
      <c r="I1448" s="10" t="s">
        <v>103</v>
      </c>
      <c r="J1448" s="10" t="s">
        <v>1636</v>
      </c>
      <c r="K1448" s="10" t="s">
        <v>1640</v>
      </c>
    </row>
    <row r="1449" customFormat="false" ht="15" hidden="false" customHeight="false" outlineLevel="0" collapsed="false">
      <c r="A1449" s="10" t="s">
        <v>3126</v>
      </c>
      <c r="B1449" s="10" t="n">
        <v>1671</v>
      </c>
      <c r="C1449" s="8" t="n">
        <v>45968</v>
      </c>
      <c r="D1449" s="8" t="n">
        <v>45964</v>
      </c>
      <c r="E1449" s="10" t="n">
        <v>4000</v>
      </c>
      <c r="F1449" s="0" t="str">
        <f aca="false">INDEX(COA!$C$5:$C$19,MATCH(E1449,COA!$A$5:$A$19,0))</f>
        <v>Revenue</v>
      </c>
      <c r="G1449" s="12" t="n">
        <v>0</v>
      </c>
      <c r="H1449" s="12" t="n">
        <v>1512.13</v>
      </c>
      <c r="I1449" s="10" t="s">
        <v>103</v>
      </c>
      <c r="J1449" s="10" t="s">
        <v>1636</v>
      </c>
      <c r="K1449" s="10" t="s">
        <v>1640</v>
      </c>
    </row>
    <row r="1450" customFormat="false" ht="15" hidden="false" customHeight="false" outlineLevel="0" collapsed="false">
      <c r="A1450" s="10" t="s">
        <v>3127</v>
      </c>
      <c r="B1450" s="10" t="n">
        <v>1672</v>
      </c>
      <c r="C1450" s="8" t="n">
        <v>45970</v>
      </c>
      <c r="D1450" s="8" t="n">
        <v>45970</v>
      </c>
      <c r="E1450" s="10" t="n">
        <v>1100</v>
      </c>
      <c r="F1450" s="0" t="str">
        <f aca="false">INDEX(COA!$C$5:$C$19,MATCH(E1450,COA!$A$5:$A$19,0))</f>
        <v>Asset</v>
      </c>
      <c r="G1450" s="12" t="n">
        <v>21545.62</v>
      </c>
      <c r="H1450" s="12" t="n">
        <v>0</v>
      </c>
      <c r="I1450" s="10" t="s">
        <v>103</v>
      </c>
      <c r="J1450" s="10" t="s">
        <v>1636</v>
      </c>
      <c r="K1450" s="10" t="s">
        <v>1640</v>
      </c>
    </row>
    <row r="1451" customFormat="false" ht="15" hidden="false" customHeight="false" outlineLevel="0" collapsed="false">
      <c r="A1451" s="10" t="s">
        <v>3128</v>
      </c>
      <c r="B1451" s="10" t="n">
        <v>1672</v>
      </c>
      <c r="C1451" s="8" t="n">
        <v>45970</v>
      </c>
      <c r="D1451" s="8" t="n">
        <v>45970</v>
      </c>
      <c r="E1451" s="10" t="n">
        <v>4000</v>
      </c>
      <c r="F1451" s="0" t="str">
        <f aca="false">INDEX(COA!$C$5:$C$19,MATCH(E1451,COA!$A$5:$A$19,0))</f>
        <v>Revenue</v>
      </c>
      <c r="G1451" s="12" t="n">
        <v>0</v>
      </c>
      <c r="H1451" s="12" t="n">
        <v>21545.62</v>
      </c>
      <c r="I1451" s="10" t="s">
        <v>103</v>
      </c>
      <c r="J1451" s="10" t="s">
        <v>1636</v>
      </c>
      <c r="K1451" s="10" t="s">
        <v>1640</v>
      </c>
    </row>
    <row r="1452" customFormat="false" ht="15" hidden="false" customHeight="false" outlineLevel="0" collapsed="false">
      <c r="A1452" s="10" t="s">
        <v>3129</v>
      </c>
      <c r="B1452" s="10" t="n">
        <v>1673</v>
      </c>
      <c r="C1452" s="8" t="n">
        <v>45971</v>
      </c>
      <c r="D1452" s="8" t="n">
        <v>45968</v>
      </c>
      <c r="E1452" s="10" t="n">
        <v>5000</v>
      </c>
      <c r="F1452" s="0" t="str">
        <f aca="false">INDEX(COA!$C$5:$C$19,MATCH(E1452,COA!$A$5:$A$19,0))</f>
        <v>Expense</v>
      </c>
      <c r="G1452" s="12" t="n">
        <v>67620.1</v>
      </c>
      <c r="H1452" s="12" t="n">
        <v>0</v>
      </c>
      <c r="I1452" s="10" t="s">
        <v>103</v>
      </c>
      <c r="J1452" s="10" t="s">
        <v>1636</v>
      </c>
      <c r="K1452" s="10" t="s">
        <v>1670</v>
      </c>
    </row>
    <row r="1453" customFormat="false" ht="15" hidden="false" customHeight="false" outlineLevel="0" collapsed="false">
      <c r="A1453" s="10" t="s">
        <v>3130</v>
      </c>
      <c r="B1453" s="10" t="n">
        <v>1673</v>
      </c>
      <c r="C1453" s="8" t="n">
        <v>45971</v>
      </c>
      <c r="D1453" s="8" t="n">
        <v>45968</v>
      </c>
      <c r="E1453" s="10" t="n">
        <v>1200</v>
      </c>
      <c r="F1453" s="0" t="str">
        <f aca="false">INDEX(COA!$C$5:$C$19,MATCH(E1453,COA!$A$5:$A$19,0))</f>
        <v>Asset</v>
      </c>
      <c r="G1453" s="12" t="n">
        <v>0</v>
      </c>
      <c r="H1453" s="12" t="n">
        <v>67620.1</v>
      </c>
      <c r="I1453" s="10" t="s">
        <v>103</v>
      </c>
      <c r="J1453" s="10" t="s">
        <v>1636</v>
      </c>
      <c r="K1453" s="10" t="s">
        <v>1670</v>
      </c>
    </row>
    <row r="1454" customFormat="false" ht="15" hidden="false" customHeight="false" outlineLevel="0" collapsed="false">
      <c r="A1454" s="10" t="s">
        <v>3131</v>
      </c>
      <c r="B1454" s="10" t="n">
        <v>1674</v>
      </c>
      <c r="C1454" s="8" t="n">
        <v>45971</v>
      </c>
      <c r="D1454" s="8" t="n">
        <v>45971</v>
      </c>
      <c r="E1454" s="10" t="n">
        <v>1000</v>
      </c>
      <c r="F1454" s="0" t="str">
        <f aca="false">INDEX(COA!$C$5:$C$19,MATCH(E1454,COA!$A$5:$A$19,0))</f>
        <v>Asset</v>
      </c>
      <c r="G1454" s="12" t="n">
        <v>1352.78</v>
      </c>
      <c r="H1454" s="12" t="n">
        <v>0</v>
      </c>
      <c r="I1454" s="10" t="s">
        <v>103</v>
      </c>
      <c r="J1454" s="10" t="s">
        <v>1636</v>
      </c>
      <c r="K1454" s="10" t="s">
        <v>1637</v>
      </c>
    </row>
    <row r="1455" customFormat="false" ht="15" hidden="false" customHeight="false" outlineLevel="0" collapsed="false">
      <c r="A1455" s="10" t="s">
        <v>3132</v>
      </c>
      <c r="B1455" s="10" t="n">
        <v>1674</v>
      </c>
      <c r="C1455" s="8" t="n">
        <v>45971</v>
      </c>
      <c r="D1455" s="8" t="n">
        <v>45971</v>
      </c>
      <c r="E1455" s="10" t="n">
        <v>1100</v>
      </c>
      <c r="F1455" s="0" t="str">
        <f aca="false">INDEX(COA!$C$5:$C$19,MATCH(E1455,COA!$A$5:$A$19,0))</f>
        <v>Asset</v>
      </c>
      <c r="G1455" s="12" t="n">
        <v>0</v>
      </c>
      <c r="H1455" s="12" t="n">
        <v>1352.78</v>
      </c>
      <c r="I1455" s="10" t="s">
        <v>103</v>
      </c>
      <c r="J1455" s="10" t="s">
        <v>1636</v>
      </c>
      <c r="K1455" s="10" t="s">
        <v>1637</v>
      </c>
    </row>
    <row r="1456" customFormat="false" ht="15" hidden="false" customHeight="false" outlineLevel="0" collapsed="false">
      <c r="A1456" s="10" t="s">
        <v>3133</v>
      </c>
      <c r="B1456" s="10" t="n">
        <v>1675</v>
      </c>
      <c r="C1456" s="8" t="n">
        <v>45972</v>
      </c>
      <c r="D1456" s="8" t="n">
        <v>45970</v>
      </c>
      <c r="E1456" s="10" t="n">
        <v>1000</v>
      </c>
      <c r="F1456" s="0" t="str">
        <f aca="false">INDEX(COA!$C$5:$C$19,MATCH(E1456,COA!$A$5:$A$19,0))</f>
        <v>Asset</v>
      </c>
      <c r="G1456" s="12" t="n">
        <v>2875.11</v>
      </c>
      <c r="H1456" s="12" t="n">
        <v>0</v>
      </c>
      <c r="I1456" s="10" t="s">
        <v>103</v>
      </c>
      <c r="J1456" s="10" t="s">
        <v>1636</v>
      </c>
      <c r="K1456" s="10" t="s">
        <v>1637</v>
      </c>
    </row>
    <row r="1457" customFormat="false" ht="15" hidden="false" customHeight="false" outlineLevel="0" collapsed="false">
      <c r="A1457" s="10" t="s">
        <v>3134</v>
      </c>
      <c r="B1457" s="10" t="n">
        <v>1675</v>
      </c>
      <c r="C1457" s="8" t="n">
        <v>45972</v>
      </c>
      <c r="D1457" s="8" t="n">
        <v>45970</v>
      </c>
      <c r="E1457" s="10" t="n">
        <v>1100</v>
      </c>
      <c r="F1457" s="0" t="str">
        <f aca="false">INDEX(COA!$C$5:$C$19,MATCH(E1457,COA!$A$5:$A$19,0))</f>
        <v>Asset</v>
      </c>
      <c r="G1457" s="12" t="n">
        <v>0</v>
      </c>
      <c r="H1457" s="12" t="n">
        <v>2875.11</v>
      </c>
      <c r="I1457" s="10" t="s">
        <v>103</v>
      </c>
      <c r="J1457" s="10" t="s">
        <v>1636</v>
      </c>
      <c r="K1457" s="10" t="s">
        <v>1637</v>
      </c>
    </row>
    <row r="1458" customFormat="false" ht="15" hidden="false" customHeight="false" outlineLevel="0" collapsed="false">
      <c r="A1458" s="10" t="s">
        <v>3135</v>
      </c>
      <c r="B1458" s="10" t="n">
        <v>1676</v>
      </c>
      <c r="C1458" s="8" t="n">
        <v>45972</v>
      </c>
      <c r="D1458" s="8" t="n">
        <v>45971</v>
      </c>
      <c r="E1458" s="10" t="n">
        <v>1200</v>
      </c>
      <c r="F1458" s="0" t="str">
        <f aca="false">INDEX(COA!$C$5:$C$19,MATCH(E1458,COA!$A$5:$A$19,0))</f>
        <v>Asset</v>
      </c>
      <c r="G1458" s="12" t="n">
        <v>10307.25</v>
      </c>
      <c r="H1458" s="12" t="n">
        <v>0</v>
      </c>
      <c r="I1458" s="10" t="s">
        <v>102</v>
      </c>
      <c r="J1458" s="10" t="s">
        <v>1636</v>
      </c>
      <c r="K1458" s="10" t="s">
        <v>1655</v>
      </c>
    </row>
    <row r="1459" customFormat="false" ht="15" hidden="false" customHeight="false" outlineLevel="0" collapsed="false">
      <c r="A1459" s="10" t="s">
        <v>3136</v>
      </c>
      <c r="B1459" s="10" t="n">
        <v>1676</v>
      </c>
      <c r="C1459" s="8" t="n">
        <v>45972</v>
      </c>
      <c r="D1459" s="8" t="n">
        <v>45971</v>
      </c>
      <c r="E1459" s="10" t="n">
        <v>2000</v>
      </c>
      <c r="F1459" s="0" t="str">
        <f aca="false">INDEX(COA!$C$5:$C$19,MATCH(E1459,COA!$A$5:$A$19,0))</f>
        <v>Liability</v>
      </c>
      <c r="G1459" s="12" t="n">
        <v>0</v>
      </c>
      <c r="H1459" s="12" t="n">
        <v>10307.25</v>
      </c>
      <c r="I1459" s="10" t="s">
        <v>102</v>
      </c>
      <c r="J1459" s="10" t="s">
        <v>1636</v>
      </c>
      <c r="K1459" s="10" t="s">
        <v>1655</v>
      </c>
    </row>
    <row r="1460" customFormat="false" ht="15" hidden="false" customHeight="false" outlineLevel="0" collapsed="false">
      <c r="A1460" s="10" t="s">
        <v>3137</v>
      </c>
      <c r="B1460" s="10" t="n">
        <v>1677</v>
      </c>
      <c r="C1460" s="8" t="n">
        <v>45973</v>
      </c>
      <c r="D1460" s="8" t="n">
        <v>45969</v>
      </c>
      <c r="E1460" s="10" t="n">
        <v>1200</v>
      </c>
      <c r="F1460" s="0" t="str">
        <f aca="false">INDEX(COA!$C$5:$C$19,MATCH(E1460,COA!$A$5:$A$19,0))</f>
        <v>Asset</v>
      </c>
      <c r="G1460" s="12" t="n">
        <v>584.35</v>
      </c>
      <c r="H1460" s="12" t="n">
        <v>0</v>
      </c>
      <c r="I1460" s="10" t="s">
        <v>102</v>
      </c>
      <c r="J1460" s="10" t="s">
        <v>1636</v>
      </c>
      <c r="K1460" s="10" t="s">
        <v>1655</v>
      </c>
    </row>
    <row r="1461" customFormat="false" ht="15" hidden="false" customHeight="false" outlineLevel="0" collapsed="false">
      <c r="A1461" s="10" t="s">
        <v>3138</v>
      </c>
      <c r="B1461" s="10" t="n">
        <v>1677</v>
      </c>
      <c r="C1461" s="8" t="n">
        <v>45973</v>
      </c>
      <c r="D1461" s="8" t="n">
        <v>45969</v>
      </c>
      <c r="E1461" s="10" t="n">
        <v>2000</v>
      </c>
      <c r="F1461" s="0" t="str">
        <f aca="false">INDEX(COA!$C$5:$C$19,MATCH(E1461,COA!$A$5:$A$19,0))</f>
        <v>Liability</v>
      </c>
      <c r="G1461" s="12" t="n">
        <v>0</v>
      </c>
      <c r="H1461" s="12" t="n">
        <v>584.35</v>
      </c>
      <c r="I1461" s="10" t="s">
        <v>102</v>
      </c>
      <c r="J1461" s="10" t="s">
        <v>1636</v>
      </c>
      <c r="K1461" s="10" t="s">
        <v>1655</v>
      </c>
    </row>
    <row r="1462" customFormat="false" ht="15" hidden="false" customHeight="false" outlineLevel="0" collapsed="false">
      <c r="A1462" s="10" t="s">
        <v>3139</v>
      </c>
      <c r="B1462" s="10" t="n">
        <v>1678</v>
      </c>
      <c r="C1462" s="8" t="n">
        <v>45973</v>
      </c>
      <c r="D1462" s="8" t="n">
        <v>45972</v>
      </c>
      <c r="E1462" s="10" t="n">
        <v>2000</v>
      </c>
      <c r="F1462" s="0" t="str">
        <f aca="false">INDEX(COA!$C$5:$C$19,MATCH(E1462,COA!$A$5:$A$19,0))</f>
        <v>Liability</v>
      </c>
      <c r="G1462" s="12" t="n">
        <v>6077.51</v>
      </c>
      <c r="H1462" s="12" t="n">
        <v>0</v>
      </c>
      <c r="I1462" s="10" t="s">
        <v>104</v>
      </c>
      <c r="J1462" s="10" t="s">
        <v>1636</v>
      </c>
      <c r="K1462" s="10" t="s">
        <v>1659</v>
      </c>
    </row>
    <row r="1463" customFormat="false" ht="15" hidden="false" customHeight="false" outlineLevel="0" collapsed="false">
      <c r="A1463" s="10" t="s">
        <v>3140</v>
      </c>
      <c r="B1463" s="10" t="n">
        <v>1678</v>
      </c>
      <c r="C1463" s="8" t="n">
        <v>45973</v>
      </c>
      <c r="D1463" s="8" t="n">
        <v>45972</v>
      </c>
      <c r="E1463" s="10" t="n">
        <v>1000</v>
      </c>
      <c r="F1463" s="0" t="str">
        <f aca="false">INDEX(COA!$C$5:$C$19,MATCH(E1463,COA!$A$5:$A$19,0))</f>
        <v>Asset</v>
      </c>
      <c r="G1463" s="12" t="n">
        <v>0</v>
      </c>
      <c r="H1463" s="12" t="n">
        <v>6077.51</v>
      </c>
      <c r="I1463" s="10" t="s">
        <v>104</v>
      </c>
      <c r="J1463" s="10" t="s">
        <v>1636</v>
      </c>
      <c r="K1463" s="10" t="s">
        <v>1659</v>
      </c>
    </row>
    <row r="1464" customFormat="false" ht="15" hidden="false" customHeight="false" outlineLevel="0" collapsed="false">
      <c r="A1464" s="10" t="s">
        <v>3141</v>
      </c>
      <c r="B1464" s="10" t="n">
        <v>1679</v>
      </c>
      <c r="C1464" s="8" t="n">
        <v>45973</v>
      </c>
      <c r="D1464" s="8" t="n">
        <v>45972</v>
      </c>
      <c r="E1464" s="10" t="n">
        <v>2000</v>
      </c>
      <c r="F1464" s="0" t="str">
        <f aca="false">INDEX(COA!$C$5:$C$19,MATCH(E1464,COA!$A$5:$A$19,0))</f>
        <v>Liability</v>
      </c>
      <c r="G1464" s="12" t="n">
        <v>17608.69</v>
      </c>
      <c r="H1464" s="12" t="n">
        <v>0</v>
      </c>
      <c r="I1464" s="10" t="s">
        <v>104</v>
      </c>
      <c r="J1464" s="10" t="s">
        <v>1636</v>
      </c>
      <c r="K1464" s="10" t="s">
        <v>1659</v>
      </c>
    </row>
    <row r="1465" customFormat="false" ht="15" hidden="false" customHeight="false" outlineLevel="0" collapsed="false">
      <c r="A1465" s="10" t="s">
        <v>3142</v>
      </c>
      <c r="B1465" s="10" t="n">
        <v>1679</v>
      </c>
      <c r="C1465" s="8" t="n">
        <v>45973</v>
      </c>
      <c r="D1465" s="8" t="n">
        <v>45972</v>
      </c>
      <c r="E1465" s="10" t="n">
        <v>1000</v>
      </c>
      <c r="F1465" s="0" t="str">
        <f aca="false">INDEX(COA!$C$5:$C$19,MATCH(E1465,COA!$A$5:$A$19,0))</f>
        <v>Asset</v>
      </c>
      <c r="G1465" s="12" t="n">
        <v>0</v>
      </c>
      <c r="H1465" s="12" t="n">
        <v>17608.69</v>
      </c>
      <c r="I1465" s="10" t="s">
        <v>104</v>
      </c>
      <c r="J1465" s="10" t="s">
        <v>1636</v>
      </c>
      <c r="K1465" s="10" t="s">
        <v>1659</v>
      </c>
    </row>
    <row r="1466" customFormat="false" ht="15" hidden="false" customHeight="false" outlineLevel="0" collapsed="false">
      <c r="A1466" s="10" t="s">
        <v>3143</v>
      </c>
      <c r="B1466" s="10" t="n">
        <v>1680</v>
      </c>
      <c r="C1466" s="8" t="n">
        <v>45975</v>
      </c>
      <c r="D1466" s="8" t="n">
        <v>45974</v>
      </c>
      <c r="E1466" s="10" t="n">
        <v>2000</v>
      </c>
      <c r="F1466" s="0" t="str">
        <f aca="false">INDEX(COA!$C$5:$C$19,MATCH(E1466,COA!$A$5:$A$19,0))</f>
        <v>Liability</v>
      </c>
      <c r="G1466" s="12" t="n">
        <v>2450.57</v>
      </c>
      <c r="H1466" s="12" t="n">
        <v>0</v>
      </c>
      <c r="I1466" s="10" t="s">
        <v>104</v>
      </c>
      <c r="J1466" s="10" t="s">
        <v>1636</v>
      </c>
      <c r="K1466" s="10" t="s">
        <v>1659</v>
      </c>
    </row>
    <row r="1467" customFormat="false" ht="15" hidden="false" customHeight="false" outlineLevel="0" collapsed="false">
      <c r="A1467" s="10" t="s">
        <v>3144</v>
      </c>
      <c r="B1467" s="10" t="n">
        <v>1680</v>
      </c>
      <c r="C1467" s="8" t="n">
        <v>45975</v>
      </c>
      <c r="D1467" s="8" t="n">
        <v>45974</v>
      </c>
      <c r="E1467" s="10" t="n">
        <v>1000</v>
      </c>
      <c r="F1467" s="0" t="str">
        <f aca="false">INDEX(COA!$C$5:$C$19,MATCH(E1467,COA!$A$5:$A$19,0))</f>
        <v>Asset</v>
      </c>
      <c r="G1467" s="12" t="n">
        <v>0</v>
      </c>
      <c r="H1467" s="12" t="n">
        <v>2450.57</v>
      </c>
      <c r="I1467" s="10" t="s">
        <v>104</v>
      </c>
      <c r="J1467" s="10" t="s">
        <v>1636</v>
      </c>
      <c r="K1467" s="10" t="s">
        <v>1659</v>
      </c>
    </row>
    <row r="1468" customFormat="false" ht="15" hidden="false" customHeight="false" outlineLevel="0" collapsed="false">
      <c r="A1468" s="10" t="s">
        <v>3145</v>
      </c>
      <c r="B1468" s="10" t="n">
        <v>1681</v>
      </c>
      <c r="C1468" s="8" t="n">
        <v>45975</v>
      </c>
      <c r="D1468" s="8" t="n">
        <v>45975</v>
      </c>
      <c r="E1468" s="10" t="n">
        <v>1100</v>
      </c>
      <c r="F1468" s="0" t="str">
        <f aca="false">INDEX(COA!$C$5:$C$19,MATCH(E1468,COA!$A$5:$A$19,0))</f>
        <v>Asset</v>
      </c>
      <c r="G1468" s="12" t="n">
        <v>747.4</v>
      </c>
      <c r="H1468" s="12" t="n">
        <v>0</v>
      </c>
      <c r="I1468" s="10" t="s">
        <v>103</v>
      </c>
      <c r="J1468" s="10" t="s">
        <v>1636</v>
      </c>
      <c r="K1468" s="10" t="s">
        <v>1640</v>
      </c>
    </row>
    <row r="1469" customFormat="false" ht="15" hidden="false" customHeight="false" outlineLevel="0" collapsed="false">
      <c r="A1469" s="10" t="s">
        <v>3146</v>
      </c>
      <c r="B1469" s="10" t="n">
        <v>1681</v>
      </c>
      <c r="C1469" s="8" t="n">
        <v>45975</v>
      </c>
      <c r="D1469" s="8" t="n">
        <v>45975</v>
      </c>
      <c r="E1469" s="10" t="n">
        <v>1100</v>
      </c>
      <c r="F1469" s="0" t="str">
        <f aca="false">INDEX(COA!$C$5:$C$19,MATCH(E1469,COA!$A$5:$A$19,0))</f>
        <v>Asset</v>
      </c>
      <c r="G1469" s="12" t="n">
        <v>320.32</v>
      </c>
      <c r="H1469" s="12" t="n">
        <v>0</v>
      </c>
      <c r="I1469" s="10" t="s">
        <v>103</v>
      </c>
      <c r="J1469" s="10" t="s">
        <v>1636</v>
      </c>
      <c r="K1469" s="10" t="s">
        <v>1640</v>
      </c>
    </row>
    <row r="1470" customFormat="false" ht="15" hidden="false" customHeight="false" outlineLevel="0" collapsed="false">
      <c r="A1470" s="10" t="s">
        <v>3147</v>
      </c>
      <c r="B1470" s="10" t="n">
        <v>1681</v>
      </c>
      <c r="C1470" s="8" t="n">
        <v>45975</v>
      </c>
      <c r="D1470" s="8" t="n">
        <v>45975</v>
      </c>
      <c r="E1470" s="10" t="n">
        <v>4000</v>
      </c>
      <c r="F1470" s="0" t="str">
        <f aca="false">INDEX(COA!$C$5:$C$19,MATCH(E1470,COA!$A$5:$A$19,0))</f>
        <v>Revenue</v>
      </c>
      <c r="G1470" s="12" t="n">
        <v>0</v>
      </c>
      <c r="H1470" s="12" t="n">
        <v>1067.72</v>
      </c>
      <c r="I1470" s="10" t="s">
        <v>103</v>
      </c>
      <c r="J1470" s="10" t="s">
        <v>1636</v>
      </c>
      <c r="K1470" s="10" t="s">
        <v>1640</v>
      </c>
    </row>
    <row r="1471" customFormat="false" ht="15" hidden="false" customHeight="false" outlineLevel="0" collapsed="false">
      <c r="A1471" s="10" t="s">
        <v>3148</v>
      </c>
      <c r="B1471" s="10" t="n">
        <v>1682</v>
      </c>
      <c r="C1471" s="8" t="n">
        <v>45975</v>
      </c>
      <c r="D1471" s="8" t="n">
        <v>45973</v>
      </c>
      <c r="E1471" s="10" t="n">
        <v>1000</v>
      </c>
      <c r="F1471" s="0" t="str">
        <f aca="false">INDEX(COA!$C$5:$C$19,MATCH(E1471,COA!$A$5:$A$19,0))</f>
        <v>Asset</v>
      </c>
      <c r="G1471" s="12" t="n">
        <v>311.12</v>
      </c>
      <c r="H1471" s="12" t="n">
        <v>0</v>
      </c>
      <c r="I1471" s="10" t="s">
        <v>103</v>
      </c>
      <c r="J1471" s="10" t="s">
        <v>1636</v>
      </c>
      <c r="K1471" s="10" t="s">
        <v>1637</v>
      </c>
    </row>
    <row r="1472" customFormat="false" ht="15" hidden="false" customHeight="false" outlineLevel="0" collapsed="false">
      <c r="A1472" s="10" t="s">
        <v>3149</v>
      </c>
      <c r="B1472" s="10" t="n">
        <v>1682</v>
      </c>
      <c r="C1472" s="8" t="n">
        <v>45975</v>
      </c>
      <c r="D1472" s="8" t="n">
        <v>45973</v>
      </c>
      <c r="E1472" s="10" t="n">
        <v>1100</v>
      </c>
      <c r="F1472" s="0" t="str">
        <f aca="false">INDEX(COA!$C$5:$C$19,MATCH(E1472,COA!$A$5:$A$19,0))</f>
        <v>Asset</v>
      </c>
      <c r="G1472" s="12" t="n">
        <v>0</v>
      </c>
      <c r="H1472" s="12" t="n">
        <v>311.12</v>
      </c>
      <c r="I1472" s="10" t="s">
        <v>103</v>
      </c>
      <c r="J1472" s="10" t="s">
        <v>1636</v>
      </c>
      <c r="K1472" s="10" t="s">
        <v>1637</v>
      </c>
    </row>
    <row r="1473" customFormat="false" ht="15" hidden="false" customHeight="false" outlineLevel="0" collapsed="false">
      <c r="A1473" s="10" t="s">
        <v>3150</v>
      </c>
      <c r="B1473" s="10" t="n">
        <v>1683</v>
      </c>
      <c r="C1473" s="8" t="n">
        <v>45979</v>
      </c>
      <c r="D1473" s="8" t="n">
        <v>45978</v>
      </c>
      <c r="E1473" s="10" t="n">
        <v>1000</v>
      </c>
      <c r="F1473" s="0" t="str">
        <f aca="false">INDEX(COA!$C$5:$C$19,MATCH(E1473,COA!$A$5:$A$19,0))</f>
        <v>Asset</v>
      </c>
      <c r="G1473" s="12" t="n">
        <v>1297.74</v>
      </c>
      <c r="H1473" s="12" t="n">
        <v>0</v>
      </c>
      <c r="I1473" s="10" t="s">
        <v>103</v>
      </c>
      <c r="J1473" s="10" t="s">
        <v>1636</v>
      </c>
      <c r="K1473" s="10" t="s">
        <v>1637</v>
      </c>
    </row>
    <row r="1474" customFormat="false" ht="15" hidden="false" customHeight="false" outlineLevel="0" collapsed="false">
      <c r="A1474" s="10" t="s">
        <v>3151</v>
      </c>
      <c r="B1474" s="10" t="n">
        <v>1683</v>
      </c>
      <c r="C1474" s="8" t="n">
        <v>45979</v>
      </c>
      <c r="D1474" s="8" t="n">
        <v>45978</v>
      </c>
      <c r="E1474" s="10" t="n">
        <v>1100</v>
      </c>
      <c r="F1474" s="0" t="str">
        <f aca="false">INDEX(COA!$C$5:$C$19,MATCH(E1474,COA!$A$5:$A$19,0))</f>
        <v>Asset</v>
      </c>
      <c r="G1474" s="12" t="n">
        <v>0</v>
      </c>
      <c r="H1474" s="12" t="n">
        <v>1297.74</v>
      </c>
      <c r="I1474" s="10" t="s">
        <v>103</v>
      </c>
      <c r="J1474" s="10" t="s">
        <v>1636</v>
      </c>
      <c r="K1474" s="10" t="s">
        <v>1637</v>
      </c>
    </row>
    <row r="1475" customFormat="false" ht="15" hidden="false" customHeight="false" outlineLevel="0" collapsed="false">
      <c r="A1475" s="10" t="s">
        <v>3152</v>
      </c>
      <c r="B1475" s="10" t="n">
        <v>1684</v>
      </c>
      <c r="C1475" s="8" t="n">
        <v>45980</v>
      </c>
      <c r="D1475" s="8" t="n">
        <v>45979</v>
      </c>
      <c r="E1475" s="10" t="n">
        <v>2000</v>
      </c>
      <c r="F1475" s="0" t="str">
        <f aca="false">INDEX(COA!$C$5:$C$19,MATCH(E1475,COA!$A$5:$A$19,0))</f>
        <v>Liability</v>
      </c>
      <c r="G1475" s="12" t="n">
        <v>401.58</v>
      </c>
      <c r="H1475" s="12" t="n">
        <v>0</v>
      </c>
      <c r="I1475" s="10" t="s">
        <v>104</v>
      </c>
      <c r="J1475" s="10" t="s">
        <v>1636</v>
      </c>
      <c r="K1475" s="10" t="s">
        <v>1659</v>
      </c>
    </row>
    <row r="1476" customFormat="false" ht="15" hidden="false" customHeight="false" outlineLevel="0" collapsed="false">
      <c r="A1476" s="10" t="s">
        <v>3153</v>
      </c>
      <c r="B1476" s="10" t="n">
        <v>1684</v>
      </c>
      <c r="C1476" s="8" t="n">
        <v>45980</v>
      </c>
      <c r="D1476" s="8" t="n">
        <v>45979</v>
      </c>
      <c r="E1476" s="10" t="n">
        <v>1000</v>
      </c>
      <c r="F1476" s="0" t="str">
        <f aca="false">INDEX(COA!$C$5:$C$19,MATCH(E1476,COA!$A$5:$A$19,0))</f>
        <v>Asset</v>
      </c>
      <c r="G1476" s="12" t="n">
        <v>0</v>
      </c>
      <c r="H1476" s="12" t="n">
        <v>401.58</v>
      </c>
      <c r="I1476" s="10" t="s">
        <v>104</v>
      </c>
      <c r="J1476" s="10" t="s">
        <v>1636</v>
      </c>
      <c r="K1476" s="10" t="s">
        <v>1659</v>
      </c>
    </row>
    <row r="1477" customFormat="false" ht="15" hidden="false" customHeight="false" outlineLevel="0" collapsed="false">
      <c r="A1477" s="10" t="s">
        <v>3154</v>
      </c>
      <c r="B1477" s="10" t="n">
        <v>1685</v>
      </c>
      <c r="C1477" s="8" t="n">
        <v>45980</v>
      </c>
      <c r="D1477" s="8" t="n">
        <v>45979</v>
      </c>
      <c r="E1477" s="10" t="n">
        <v>1000</v>
      </c>
      <c r="F1477" s="0" t="str">
        <f aca="false">INDEX(COA!$C$5:$C$19,MATCH(E1477,COA!$A$5:$A$19,0))</f>
        <v>Asset</v>
      </c>
      <c r="G1477" s="12" t="n">
        <v>12560.11</v>
      </c>
      <c r="H1477" s="12" t="n">
        <v>0</v>
      </c>
      <c r="I1477" s="10" t="s">
        <v>103</v>
      </c>
      <c r="J1477" s="10" t="s">
        <v>1636</v>
      </c>
      <c r="K1477" s="10" t="s">
        <v>1637</v>
      </c>
    </row>
    <row r="1478" customFormat="false" ht="15" hidden="false" customHeight="false" outlineLevel="0" collapsed="false">
      <c r="A1478" s="10" t="s">
        <v>3155</v>
      </c>
      <c r="B1478" s="10" t="n">
        <v>1685</v>
      </c>
      <c r="C1478" s="8" t="n">
        <v>45980</v>
      </c>
      <c r="D1478" s="8" t="n">
        <v>45979</v>
      </c>
      <c r="E1478" s="10" t="n">
        <v>1000</v>
      </c>
      <c r="F1478" s="0" t="str">
        <f aca="false">INDEX(COA!$C$5:$C$19,MATCH(E1478,COA!$A$5:$A$19,0))</f>
        <v>Asset</v>
      </c>
      <c r="G1478" s="12" t="n">
        <v>5382.91</v>
      </c>
      <c r="H1478" s="12" t="n">
        <v>0</v>
      </c>
      <c r="I1478" s="10" t="s">
        <v>103</v>
      </c>
      <c r="J1478" s="10" t="s">
        <v>1636</v>
      </c>
      <c r="K1478" s="10" t="s">
        <v>1637</v>
      </c>
    </row>
    <row r="1479" customFormat="false" ht="15" hidden="false" customHeight="false" outlineLevel="0" collapsed="false">
      <c r="A1479" s="10" t="s">
        <v>3156</v>
      </c>
      <c r="B1479" s="10" t="n">
        <v>1685</v>
      </c>
      <c r="C1479" s="8" t="n">
        <v>45980</v>
      </c>
      <c r="D1479" s="8" t="n">
        <v>45979</v>
      </c>
      <c r="E1479" s="10" t="n">
        <v>1100</v>
      </c>
      <c r="F1479" s="0" t="str">
        <f aca="false">INDEX(COA!$C$5:$C$19,MATCH(E1479,COA!$A$5:$A$19,0))</f>
        <v>Asset</v>
      </c>
      <c r="G1479" s="12" t="n">
        <v>0</v>
      </c>
      <c r="H1479" s="12" t="n">
        <v>17943.02</v>
      </c>
      <c r="I1479" s="10" t="s">
        <v>103</v>
      </c>
      <c r="J1479" s="10" t="s">
        <v>1636</v>
      </c>
      <c r="K1479" s="10" t="s">
        <v>1637</v>
      </c>
    </row>
    <row r="1480" customFormat="false" ht="15" hidden="false" customHeight="false" outlineLevel="0" collapsed="false">
      <c r="A1480" s="10" t="s">
        <v>3157</v>
      </c>
      <c r="B1480" s="10" t="n">
        <v>1686</v>
      </c>
      <c r="C1480" s="8" t="n">
        <v>45980</v>
      </c>
      <c r="D1480" s="8" t="n">
        <v>45979</v>
      </c>
      <c r="E1480" s="10" t="n">
        <v>1000</v>
      </c>
      <c r="F1480" s="0" t="str">
        <f aca="false">INDEX(COA!$C$5:$C$19,MATCH(E1480,COA!$A$5:$A$19,0))</f>
        <v>Asset</v>
      </c>
      <c r="G1480" s="12" t="n">
        <v>19049.05</v>
      </c>
      <c r="H1480" s="12" t="n">
        <v>0</v>
      </c>
      <c r="I1480" s="10" t="s">
        <v>103</v>
      </c>
      <c r="J1480" s="10" t="s">
        <v>1636</v>
      </c>
      <c r="K1480" s="10" t="s">
        <v>1637</v>
      </c>
    </row>
    <row r="1481" customFormat="false" ht="15" hidden="false" customHeight="false" outlineLevel="0" collapsed="false">
      <c r="A1481" s="10" t="s">
        <v>3158</v>
      </c>
      <c r="B1481" s="10" t="n">
        <v>1686</v>
      </c>
      <c r="C1481" s="8" t="n">
        <v>45980</v>
      </c>
      <c r="D1481" s="8" t="n">
        <v>45979</v>
      </c>
      <c r="E1481" s="10" t="n">
        <v>1100</v>
      </c>
      <c r="F1481" s="0" t="str">
        <f aca="false">INDEX(COA!$C$5:$C$19,MATCH(E1481,COA!$A$5:$A$19,0))</f>
        <v>Asset</v>
      </c>
      <c r="G1481" s="12" t="n">
        <v>0</v>
      </c>
      <c r="H1481" s="12" t="n">
        <v>19049.05</v>
      </c>
      <c r="I1481" s="10" t="s">
        <v>103</v>
      </c>
      <c r="J1481" s="10" t="s">
        <v>1636</v>
      </c>
      <c r="K1481" s="10" t="s">
        <v>1637</v>
      </c>
    </row>
    <row r="1482" customFormat="false" ht="15" hidden="false" customHeight="false" outlineLevel="0" collapsed="false">
      <c r="A1482" s="10" t="s">
        <v>3159</v>
      </c>
      <c r="B1482" s="10" t="n">
        <v>1687</v>
      </c>
      <c r="C1482" s="8" t="n">
        <v>45980</v>
      </c>
      <c r="D1482" s="8" t="n">
        <v>45976</v>
      </c>
      <c r="E1482" s="10" t="n">
        <v>2000</v>
      </c>
      <c r="F1482" s="0" t="str">
        <f aca="false">INDEX(COA!$C$5:$C$19,MATCH(E1482,COA!$A$5:$A$19,0))</f>
        <v>Liability</v>
      </c>
      <c r="G1482" s="12" t="n">
        <v>353.9</v>
      </c>
      <c r="H1482" s="12" t="n">
        <v>0</v>
      </c>
      <c r="I1482" s="10" t="s">
        <v>104</v>
      </c>
      <c r="J1482" s="10" t="s">
        <v>1636</v>
      </c>
      <c r="K1482" s="10" t="s">
        <v>1659</v>
      </c>
    </row>
    <row r="1483" customFormat="false" ht="15" hidden="false" customHeight="false" outlineLevel="0" collapsed="false">
      <c r="A1483" s="10" t="s">
        <v>3160</v>
      </c>
      <c r="B1483" s="10" t="n">
        <v>1687</v>
      </c>
      <c r="C1483" s="8" t="n">
        <v>45980</v>
      </c>
      <c r="D1483" s="8" t="n">
        <v>45976</v>
      </c>
      <c r="E1483" s="10" t="n">
        <v>1000</v>
      </c>
      <c r="F1483" s="0" t="str">
        <f aca="false">INDEX(COA!$C$5:$C$19,MATCH(E1483,COA!$A$5:$A$19,0))</f>
        <v>Asset</v>
      </c>
      <c r="G1483" s="12" t="n">
        <v>0</v>
      </c>
      <c r="H1483" s="12" t="n">
        <v>353.9</v>
      </c>
      <c r="I1483" s="10" t="s">
        <v>104</v>
      </c>
      <c r="J1483" s="10" t="s">
        <v>1636</v>
      </c>
      <c r="K1483" s="10" t="s">
        <v>1659</v>
      </c>
    </row>
    <row r="1484" customFormat="false" ht="15" hidden="false" customHeight="false" outlineLevel="0" collapsed="false">
      <c r="A1484" s="10" t="s">
        <v>3161</v>
      </c>
      <c r="B1484" s="10" t="n">
        <v>1688</v>
      </c>
      <c r="C1484" s="8" t="n">
        <v>45980</v>
      </c>
      <c r="D1484" s="8" t="n">
        <v>45980</v>
      </c>
      <c r="E1484" s="10" t="n">
        <v>2000</v>
      </c>
      <c r="F1484" s="0" t="str">
        <f aca="false">INDEX(COA!$C$5:$C$19,MATCH(E1484,COA!$A$5:$A$19,0))</f>
        <v>Liability</v>
      </c>
      <c r="G1484" s="12" t="n">
        <v>179.2</v>
      </c>
      <c r="H1484" s="12" t="n">
        <v>0</v>
      </c>
      <c r="I1484" s="10" t="s">
        <v>104</v>
      </c>
      <c r="J1484" s="10" t="s">
        <v>1636</v>
      </c>
      <c r="K1484" s="10" t="s">
        <v>1659</v>
      </c>
    </row>
    <row r="1485" customFormat="false" ht="15" hidden="false" customHeight="false" outlineLevel="0" collapsed="false">
      <c r="A1485" s="10" t="s">
        <v>3162</v>
      </c>
      <c r="B1485" s="10" t="n">
        <v>1688</v>
      </c>
      <c r="C1485" s="8" t="n">
        <v>45980</v>
      </c>
      <c r="D1485" s="8" t="n">
        <v>45980</v>
      </c>
      <c r="E1485" s="10" t="n">
        <v>2000</v>
      </c>
      <c r="F1485" s="0" t="str">
        <f aca="false">INDEX(COA!$C$5:$C$19,MATCH(E1485,COA!$A$5:$A$19,0))</f>
        <v>Liability</v>
      </c>
      <c r="G1485" s="12" t="n">
        <v>76.8</v>
      </c>
      <c r="H1485" s="12" t="n">
        <v>0</v>
      </c>
      <c r="I1485" s="10" t="s">
        <v>104</v>
      </c>
      <c r="J1485" s="10" t="s">
        <v>1636</v>
      </c>
      <c r="K1485" s="10" t="s">
        <v>1659</v>
      </c>
    </row>
    <row r="1486" customFormat="false" ht="15" hidden="false" customHeight="false" outlineLevel="0" collapsed="false">
      <c r="A1486" s="10" t="s">
        <v>3163</v>
      </c>
      <c r="B1486" s="10" t="n">
        <v>1688</v>
      </c>
      <c r="C1486" s="8" t="n">
        <v>45980</v>
      </c>
      <c r="D1486" s="8" t="n">
        <v>45980</v>
      </c>
      <c r="E1486" s="10" t="n">
        <v>1000</v>
      </c>
      <c r="F1486" s="0" t="str">
        <f aca="false">INDEX(COA!$C$5:$C$19,MATCH(E1486,COA!$A$5:$A$19,0))</f>
        <v>Asset</v>
      </c>
      <c r="G1486" s="12" t="n">
        <v>0</v>
      </c>
      <c r="H1486" s="12" t="n">
        <v>256</v>
      </c>
      <c r="I1486" s="10" t="s">
        <v>104</v>
      </c>
      <c r="J1486" s="10" t="s">
        <v>1636</v>
      </c>
      <c r="K1486" s="10" t="s">
        <v>1659</v>
      </c>
    </row>
    <row r="1487" customFormat="false" ht="15" hidden="false" customHeight="false" outlineLevel="0" collapsed="false">
      <c r="A1487" s="10" t="s">
        <v>3164</v>
      </c>
      <c r="B1487" s="10" t="n">
        <v>1689</v>
      </c>
      <c r="C1487" s="8" t="n">
        <v>45981</v>
      </c>
      <c r="D1487" s="8" t="n">
        <v>45977</v>
      </c>
      <c r="E1487" s="10" t="n">
        <v>2000</v>
      </c>
      <c r="F1487" s="0" t="str">
        <f aca="false">INDEX(COA!$C$5:$C$19,MATCH(E1487,COA!$A$5:$A$19,0))</f>
        <v>Liability</v>
      </c>
      <c r="G1487" s="12" t="n">
        <v>23055.9</v>
      </c>
      <c r="H1487" s="12" t="n">
        <v>0</v>
      </c>
      <c r="I1487" s="10" t="s">
        <v>104</v>
      </c>
      <c r="J1487" s="10" t="s">
        <v>1636</v>
      </c>
      <c r="K1487" s="10" t="s">
        <v>1659</v>
      </c>
    </row>
    <row r="1488" customFormat="false" ht="15" hidden="false" customHeight="false" outlineLevel="0" collapsed="false">
      <c r="A1488" s="10" t="s">
        <v>3165</v>
      </c>
      <c r="B1488" s="10" t="n">
        <v>1689</v>
      </c>
      <c r="C1488" s="8" t="n">
        <v>45981</v>
      </c>
      <c r="D1488" s="8" t="n">
        <v>45977</v>
      </c>
      <c r="E1488" s="10" t="n">
        <v>1000</v>
      </c>
      <c r="F1488" s="0" t="str">
        <f aca="false">INDEX(COA!$C$5:$C$19,MATCH(E1488,COA!$A$5:$A$19,0))</f>
        <v>Asset</v>
      </c>
      <c r="G1488" s="12" t="n">
        <v>0</v>
      </c>
      <c r="H1488" s="12" t="n">
        <v>23055.9</v>
      </c>
      <c r="I1488" s="10" t="s">
        <v>104</v>
      </c>
      <c r="J1488" s="10" t="s">
        <v>1636</v>
      </c>
      <c r="K1488" s="10" t="s">
        <v>1659</v>
      </c>
    </row>
    <row r="1489" customFormat="false" ht="15" hidden="false" customHeight="false" outlineLevel="0" collapsed="false">
      <c r="A1489" s="10" t="s">
        <v>3166</v>
      </c>
      <c r="B1489" s="10" t="n">
        <v>1690</v>
      </c>
      <c r="C1489" s="8" t="n">
        <v>45982</v>
      </c>
      <c r="D1489" s="8" t="n">
        <v>45982</v>
      </c>
      <c r="E1489" s="10" t="n">
        <v>1000</v>
      </c>
      <c r="F1489" s="0" t="str">
        <f aca="false">INDEX(COA!$C$5:$C$19,MATCH(E1489,COA!$A$5:$A$19,0))</f>
        <v>Asset</v>
      </c>
      <c r="G1489" s="12" t="n">
        <v>63002.99</v>
      </c>
      <c r="H1489" s="12" t="n">
        <v>0</v>
      </c>
      <c r="I1489" s="10" t="s">
        <v>103</v>
      </c>
      <c r="J1489" s="10" t="s">
        <v>1636</v>
      </c>
      <c r="K1489" s="10" t="s">
        <v>1637</v>
      </c>
    </row>
    <row r="1490" customFormat="false" ht="15" hidden="false" customHeight="false" outlineLevel="0" collapsed="false">
      <c r="A1490" s="10" t="s">
        <v>3167</v>
      </c>
      <c r="B1490" s="10" t="n">
        <v>1690</v>
      </c>
      <c r="C1490" s="8" t="n">
        <v>45982</v>
      </c>
      <c r="D1490" s="8" t="n">
        <v>45982</v>
      </c>
      <c r="E1490" s="10" t="n">
        <v>1100</v>
      </c>
      <c r="F1490" s="0" t="str">
        <f aca="false">INDEX(COA!$C$5:$C$19,MATCH(E1490,COA!$A$5:$A$19,0))</f>
        <v>Asset</v>
      </c>
      <c r="G1490" s="12" t="n">
        <v>0</v>
      </c>
      <c r="H1490" s="12" t="n">
        <v>63002.99</v>
      </c>
      <c r="I1490" s="10" t="s">
        <v>103</v>
      </c>
      <c r="J1490" s="10" t="s">
        <v>1636</v>
      </c>
      <c r="K1490" s="10" t="s">
        <v>1637</v>
      </c>
    </row>
    <row r="1491" customFormat="false" ht="15" hidden="false" customHeight="false" outlineLevel="0" collapsed="false">
      <c r="A1491" s="10" t="s">
        <v>3168</v>
      </c>
      <c r="B1491" s="10" t="n">
        <v>1691</v>
      </c>
      <c r="C1491" s="8" t="n">
        <v>45982</v>
      </c>
      <c r="D1491" s="8" t="n">
        <v>45980</v>
      </c>
      <c r="E1491" s="10" t="n">
        <v>1000</v>
      </c>
      <c r="F1491" s="0" t="str">
        <f aca="false">INDEX(COA!$C$5:$C$19,MATCH(E1491,COA!$A$5:$A$19,0))</f>
        <v>Asset</v>
      </c>
      <c r="G1491" s="12" t="n">
        <v>309.08</v>
      </c>
      <c r="H1491" s="12" t="n">
        <v>0</v>
      </c>
      <c r="I1491" s="10" t="s">
        <v>103</v>
      </c>
      <c r="J1491" s="10" t="s">
        <v>1636</v>
      </c>
      <c r="K1491" s="10" t="s">
        <v>1637</v>
      </c>
    </row>
    <row r="1492" customFormat="false" ht="15" hidden="false" customHeight="false" outlineLevel="0" collapsed="false">
      <c r="A1492" s="10" t="s">
        <v>3169</v>
      </c>
      <c r="B1492" s="10" t="n">
        <v>1691</v>
      </c>
      <c r="C1492" s="8" t="n">
        <v>45982</v>
      </c>
      <c r="D1492" s="8" t="n">
        <v>45980</v>
      </c>
      <c r="E1492" s="10" t="n">
        <v>1100</v>
      </c>
      <c r="F1492" s="0" t="str">
        <f aca="false">INDEX(COA!$C$5:$C$19,MATCH(E1492,COA!$A$5:$A$19,0))</f>
        <v>Asset</v>
      </c>
      <c r="G1492" s="12" t="n">
        <v>0</v>
      </c>
      <c r="H1492" s="12" t="n">
        <v>309.08</v>
      </c>
      <c r="I1492" s="10" t="s">
        <v>103</v>
      </c>
      <c r="J1492" s="10" t="s">
        <v>1636</v>
      </c>
      <c r="K1492" s="10" t="s">
        <v>1637</v>
      </c>
    </row>
    <row r="1493" customFormat="false" ht="15" hidden="false" customHeight="false" outlineLevel="0" collapsed="false">
      <c r="A1493" s="10" t="s">
        <v>3170</v>
      </c>
      <c r="B1493" s="10" t="n">
        <v>1692</v>
      </c>
      <c r="C1493" s="8" t="n">
        <v>45983</v>
      </c>
      <c r="D1493" s="8" t="n">
        <v>45983</v>
      </c>
      <c r="E1493" s="10" t="n">
        <v>6900</v>
      </c>
      <c r="F1493" s="0" t="str">
        <f aca="false">INDEX(COA!$C$5:$C$19,MATCH(E1493,COA!$A$5:$A$19,0))</f>
        <v>Expense</v>
      </c>
      <c r="G1493" s="12" t="n">
        <v>32474.35</v>
      </c>
      <c r="H1493" s="12" t="n">
        <v>0</v>
      </c>
      <c r="I1493" s="10" t="s">
        <v>101</v>
      </c>
      <c r="J1493" s="10" t="s">
        <v>1648</v>
      </c>
      <c r="K1493" s="10" t="s">
        <v>3171</v>
      </c>
    </row>
    <row r="1494" customFormat="false" ht="15" hidden="false" customHeight="false" outlineLevel="0" collapsed="false">
      <c r="A1494" s="10" t="s">
        <v>3172</v>
      </c>
      <c r="B1494" s="10" t="n">
        <v>1692</v>
      </c>
      <c r="C1494" s="8" t="n">
        <v>45983</v>
      </c>
      <c r="D1494" s="8" t="n">
        <v>45983</v>
      </c>
      <c r="E1494" s="10" t="n">
        <v>2100</v>
      </c>
      <c r="F1494" s="0" t="str">
        <f aca="false">INDEX(COA!$C$5:$C$19,MATCH(E1494,COA!$A$5:$A$19,0))</f>
        <v>Liability</v>
      </c>
      <c r="G1494" s="12" t="n">
        <v>0</v>
      </c>
      <c r="H1494" s="12" t="n">
        <v>32474.35</v>
      </c>
      <c r="I1494" s="10" t="s">
        <v>101</v>
      </c>
      <c r="J1494" s="10" t="s">
        <v>1648</v>
      </c>
      <c r="K1494" s="10" t="s">
        <v>3171</v>
      </c>
    </row>
    <row r="1495" customFormat="false" ht="15" hidden="false" customHeight="false" outlineLevel="0" collapsed="false">
      <c r="A1495" s="10" t="s">
        <v>3173</v>
      </c>
      <c r="B1495" s="10" t="n">
        <v>1693</v>
      </c>
      <c r="C1495" s="8" t="n">
        <v>45985</v>
      </c>
      <c r="D1495" s="8" t="n">
        <v>45984</v>
      </c>
      <c r="E1495" s="10" t="n">
        <v>5000</v>
      </c>
      <c r="F1495" s="0" t="str">
        <f aca="false">INDEX(COA!$C$5:$C$19,MATCH(E1495,COA!$A$5:$A$19,0))</f>
        <v>Expense</v>
      </c>
      <c r="G1495" s="12" t="n">
        <v>18814.49</v>
      </c>
      <c r="H1495" s="12" t="n">
        <v>0</v>
      </c>
      <c r="I1495" s="10" t="s">
        <v>103</v>
      </c>
      <c r="J1495" s="10" t="s">
        <v>1636</v>
      </c>
      <c r="K1495" s="10" t="s">
        <v>1670</v>
      </c>
    </row>
    <row r="1496" customFormat="false" ht="15" hidden="false" customHeight="false" outlineLevel="0" collapsed="false">
      <c r="A1496" s="10" t="s">
        <v>3174</v>
      </c>
      <c r="B1496" s="10" t="n">
        <v>1693</v>
      </c>
      <c r="C1496" s="8" t="n">
        <v>45985</v>
      </c>
      <c r="D1496" s="8" t="n">
        <v>45984</v>
      </c>
      <c r="E1496" s="10" t="n">
        <v>5000</v>
      </c>
      <c r="F1496" s="0" t="str">
        <f aca="false">INDEX(COA!$C$5:$C$19,MATCH(E1496,COA!$A$5:$A$19,0))</f>
        <v>Expense</v>
      </c>
      <c r="G1496" s="12" t="n">
        <v>8063.35</v>
      </c>
      <c r="H1496" s="12" t="n">
        <v>0</v>
      </c>
      <c r="I1496" s="10" t="s">
        <v>103</v>
      </c>
      <c r="J1496" s="10" t="s">
        <v>1636</v>
      </c>
      <c r="K1496" s="10" t="s">
        <v>1670</v>
      </c>
    </row>
    <row r="1497" customFormat="false" ht="15" hidden="false" customHeight="false" outlineLevel="0" collapsed="false">
      <c r="A1497" s="10" t="s">
        <v>3175</v>
      </c>
      <c r="B1497" s="10" t="n">
        <v>1693</v>
      </c>
      <c r="C1497" s="8" t="n">
        <v>45985</v>
      </c>
      <c r="D1497" s="8" t="n">
        <v>45984</v>
      </c>
      <c r="E1497" s="10" t="n">
        <v>1200</v>
      </c>
      <c r="F1497" s="0" t="str">
        <f aca="false">INDEX(COA!$C$5:$C$19,MATCH(E1497,COA!$A$5:$A$19,0))</f>
        <v>Asset</v>
      </c>
      <c r="G1497" s="12" t="n">
        <v>0</v>
      </c>
      <c r="H1497" s="12" t="n">
        <v>26877.84</v>
      </c>
      <c r="I1497" s="10" t="s">
        <v>103</v>
      </c>
      <c r="J1497" s="10" t="s">
        <v>1636</v>
      </c>
      <c r="K1497" s="10" t="s">
        <v>1670</v>
      </c>
    </row>
    <row r="1498" customFormat="false" ht="15" hidden="false" customHeight="false" outlineLevel="0" collapsed="false">
      <c r="A1498" s="10" t="s">
        <v>3176</v>
      </c>
      <c r="B1498" s="10" t="n">
        <v>1694</v>
      </c>
      <c r="C1498" s="8" t="n">
        <v>45985</v>
      </c>
      <c r="D1498" s="8" t="n">
        <v>45982</v>
      </c>
      <c r="E1498" s="10" t="n">
        <v>5000</v>
      </c>
      <c r="F1498" s="0" t="str">
        <f aca="false">INDEX(COA!$C$5:$C$19,MATCH(E1498,COA!$A$5:$A$19,0))</f>
        <v>Expense</v>
      </c>
      <c r="G1498" s="12" t="n">
        <v>31551.16</v>
      </c>
      <c r="H1498" s="12" t="n">
        <v>0</v>
      </c>
      <c r="I1498" s="10" t="s">
        <v>103</v>
      </c>
      <c r="J1498" s="10" t="s">
        <v>1636</v>
      </c>
      <c r="K1498" s="10" t="s">
        <v>1670</v>
      </c>
    </row>
    <row r="1499" customFormat="false" ht="15" hidden="false" customHeight="false" outlineLevel="0" collapsed="false">
      <c r="A1499" s="10" t="s">
        <v>3177</v>
      </c>
      <c r="B1499" s="10" t="n">
        <v>1694</v>
      </c>
      <c r="C1499" s="8" t="n">
        <v>45985</v>
      </c>
      <c r="D1499" s="8" t="n">
        <v>45982</v>
      </c>
      <c r="E1499" s="10" t="n">
        <v>1200</v>
      </c>
      <c r="F1499" s="0" t="str">
        <f aca="false">INDEX(COA!$C$5:$C$19,MATCH(E1499,COA!$A$5:$A$19,0))</f>
        <v>Asset</v>
      </c>
      <c r="G1499" s="12" t="n">
        <v>0</v>
      </c>
      <c r="H1499" s="12" t="n">
        <v>31551.16</v>
      </c>
      <c r="I1499" s="10" t="s">
        <v>103</v>
      </c>
      <c r="J1499" s="10" t="s">
        <v>1636</v>
      </c>
      <c r="K1499" s="10" t="s">
        <v>1670</v>
      </c>
    </row>
    <row r="1500" customFormat="false" ht="15" hidden="false" customHeight="false" outlineLevel="0" collapsed="false">
      <c r="A1500" s="10" t="s">
        <v>3178</v>
      </c>
      <c r="B1500" s="10" t="n">
        <v>1695</v>
      </c>
      <c r="C1500" s="8" t="n">
        <v>45985</v>
      </c>
      <c r="D1500" s="8" t="n">
        <v>45984</v>
      </c>
      <c r="E1500" s="10" t="n">
        <v>2000</v>
      </c>
      <c r="F1500" s="0" t="str">
        <f aca="false">INDEX(COA!$C$5:$C$19,MATCH(E1500,COA!$A$5:$A$19,0))</f>
        <v>Liability</v>
      </c>
      <c r="G1500" s="12" t="n">
        <v>11496.03</v>
      </c>
      <c r="H1500" s="12" t="n">
        <v>0</v>
      </c>
      <c r="I1500" s="10" t="s">
        <v>104</v>
      </c>
      <c r="J1500" s="10" t="s">
        <v>1636</v>
      </c>
      <c r="K1500" s="10" t="s">
        <v>1659</v>
      </c>
    </row>
    <row r="1501" customFormat="false" ht="15" hidden="false" customHeight="false" outlineLevel="0" collapsed="false">
      <c r="A1501" s="10" t="s">
        <v>3179</v>
      </c>
      <c r="B1501" s="10" t="n">
        <v>1695</v>
      </c>
      <c r="C1501" s="8" t="n">
        <v>45985</v>
      </c>
      <c r="D1501" s="8" t="n">
        <v>45984</v>
      </c>
      <c r="E1501" s="10" t="n">
        <v>1000</v>
      </c>
      <c r="F1501" s="0" t="str">
        <f aca="false">INDEX(COA!$C$5:$C$19,MATCH(E1501,COA!$A$5:$A$19,0))</f>
        <v>Asset</v>
      </c>
      <c r="G1501" s="12" t="n">
        <v>0</v>
      </c>
      <c r="H1501" s="12" t="n">
        <v>11496.03</v>
      </c>
      <c r="I1501" s="10" t="s">
        <v>104</v>
      </c>
      <c r="J1501" s="10" t="s">
        <v>1636</v>
      </c>
      <c r="K1501" s="10" t="s">
        <v>1659</v>
      </c>
    </row>
    <row r="1502" customFormat="false" ht="15" hidden="false" customHeight="false" outlineLevel="0" collapsed="false">
      <c r="A1502" s="10" t="s">
        <v>3180</v>
      </c>
      <c r="B1502" s="10" t="n">
        <v>1696</v>
      </c>
      <c r="C1502" s="8" t="n">
        <v>45986</v>
      </c>
      <c r="D1502" s="8" t="n">
        <v>45986</v>
      </c>
      <c r="E1502" s="10" t="n">
        <v>1100</v>
      </c>
      <c r="F1502" s="0" t="str">
        <f aca="false">INDEX(COA!$C$5:$C$19,MATCH(E1502,COA!$A$5:$A$19,0))</f>
        <v>Asset</v>
      </c>
      <c r="G1502" s="12" t="n">
        <v>104272.76</v>
      </c>
      <c r="H1502" s="12" t="n">
        <v>0</v>
      </c>
      <c r="I1502" s="10" t="s">
        <v>103</v>
      </c>
      <c r="J1502" s="10" t="s">
        <v>1636</v>
      </c>
      <c r="K1502" s="10" t="s">
        <v>1640</v>
      </c>
    </row>
    <row r="1503" customFormat="false" ht="15" hidden="false" customHeight="false" outlineLevel="0" collapsed="false">
      <c r="A1503" s="10" t="s">
        <v>3181</v>
      </c>
      <c r="B1503" s="10" t="n">
        <v>1696</v>
      </c>
      <c r="C1503" s="8" t="n">
        <v>45986</v>
      </c>
      <c r="D1503" s="8" t="n">
        <v>45986</v>
      </c>
      <c r="E1503" s="10" t="n">
        <v>4000</v>
      </c>
      <c r="F1503" s="0" t="str">
        <f aca="false">INDEX(COA!$C$5:$C$19,MATCH(E1503,COA!$A$5:$A$19,0))</f>
        <v>Revenue</v>
      </c>
      <c r="G1503" s="12" t="n">
        <v>0</v>
      </c>
      <c r="H1503" s="12" t="n">
        <v>104272.76</v>
      </c>
      <c r="I1503" s="10" t="s">
        <v>103</v>
      </c>
      <c r="J1503" s="10" t="s">
        <v>1636</v>
      </c>
      <c r="K1503" s="10" t="s">
        <v>1640</v>
      </c>
    </row>
    <row r="1504" customFormat="false" ht="15" hidden="false" customHeight="false" outlineLevel="0" collapsed="false">
      <c r="A1504" s="10" t="s">
        <v>3182</v>
      </c>
      <c r="B1504" s="10" t="n">
        <v>1697</v>
      </c>
      <c r="C1504" s="8" t="n">
        <v>45986</v>
      </c>
      <c r="D1504" s="8" t="n">
        <v>45986</v>
      </c>
      <c r="E1504" s="10" t="n">
        <v>6000</v>
      </c>
      <c r="F1504" s="0" t="str">
        <f aca="false">INDEX(COA!$C$5:$C$19,MATCH(E1504,COA!$A$5:$A$19,0))</f>
        <v>Expense</v>
      </c>
      <c r="G1504" s="12" t="n">
        <v>244000</v>
      </c>
      <c r="H1504" s="12" t="n">
        <v>0</v>
      </c>
      <c r="I1504" s="10" t="s">
        <v>104</v>
      </c>
      <c r="J1504" s="10" t="s">
        <v>1636</v>
      </c>
      <c r="K1504" s="10" t="s">
        <v>1776</v>
      </c>
    </row>
    <row r="1505" customFormat="false" ht="15" hidden="false" customHeight="false" outlineLevel="0" collapsed="false">
      <c r="A1505" s="10" t="s">
        <v>3183</v>
      </c>
      <c r="B1505" s="10" t="n">
        <v>1697</v>
      </c>
      <c r="C1505" s="8" t="n">
        <v>45986</v>
      </c>
      <c r="D1505" s="8" t="n">
        <v>45986</v>
      </c>
      <c r="E1505" s="10" t="n">
        <v>1000</v>
      </c>
      <c r="F1505" s="0" t="str">
        <f aca="false">INDEX(COA!$C$5:$C$19,MATCH(E1505,COA!$A$5:$A$19,0))</f>
        <v>Asset</v>
      </c>
      <c r="G1505" s="12" t="n">
        <v>0</v>
      </c>
      <c r="H1505" s="12" t="n">
        <v>244000</v>
      </c>
      <c r="I1505" s="10" t="s">
        <v>104</v>
      </c>
      <c r="J1505" s="10" t="s">
        <v>1636</v>
      </c>
      <c r="K1505" s="10" t="s">
        <v>1776</v>
      </c>
    </row>
    <row r="1506" customFormat="false" ht="15" hidden="false" customHeight="false" outlineLevel="0" collapsed="false">
      <c r="A1506" s="10" t="s">
        <v>3184</v>
      </c>
      <c r="B1506" s="10" t="n">
        <v>1698</v>
      </c>
      <c r="C1506" s="8" t="n">
        <v>45986</v>
      </c>
      <c r="D1506" s="8" t="n">
        <v>45982</v>
      </c>
      <c r="E1506" s="10" t="n">
        <v>1200</v>
      </c>
      <c r="F1506" s="0" t="str">
        <f aca="false">INDEX(COA!$C$5:$C$19,MATCH(E1506,COA!$A$5:$A$19,0))</f>
        <v>Asset</v>
      </c>
      <c r="G1506" s="12" t="n">
        <v>7514.12</v>
      </c>
      <c r="H1506" s="12" t="n">
        <v>0</v>
      </c>
      <c r="I1506" s="10" t="s">
        <v>102</v>
      </c>
      <c r="J1506" s="10" t="s">
        <v>1636</v>
      </c>
      <c r="K1506" s="10" t="s">
        <v>1655</v>
      </c>
    </row>
    <row r="1507" customFormat="false" ht="15" hidden="false" customHeight="false" outlineLevel="0" collapsed="false">
      <c r="A1507" s="10" t="s">
        <v>3185</v>
      </c>
      <c r="B1507" s="10" t="n">
        <v>1698</v>
      </c>
      <c r="C1507" s="8" t="n">
        <v>45986</v>
      </c>
      <c r="D1507" s="8" t="n">
        <v>45982</v>
      </c>
      <c r="E1507" s="10" t="n">
        <v>2000</v>
      </c>
      <c r="F1507" s="0" t="str">
        <f aca="false">INDEX(COA!$C$5:$C$19,MATCH(E1507,COA!$A$5:$A$19,0))</f>
        <v>Liability</v>
      </c>
      <c r="G1507" s="12" t="n">
        <v>0</v>
      </c>
      <c r="H1507" s="12" t="n">
        <v>7514.12</v>
      </c>
      <c r="I1507" s="10" t="s">
        <v>102</v>
      </c>
      <c r="J1507" s="10" t="s">
        <v>1636</v>
      </c>
      <c r="K1507" s="10" t="s">
        <v>1655</v>
      </c>
    </row>
    <row r="1508" customFormat="false" ht="15" hidden="false" customHeight="false" outlineLevel="0" collapsed="false">
      <c r="A1508" s="10" t="s">
        <v>3186</v>
      </c>
      <c r="B1508" s="10" t="n">
        <v>1699</v>
      </c>
      <c r="C1508" s="8" t="n">
        <v>45986</v>
      </c>
      <c r="D1508" s="8" t="n">
        <v>45982</v>
      </c>
      <c r="E1508" s="10" t="n">
        <v>1100</v>
      </c>
      <c r="F1508" s="0" t="str">
        <f aca="false">INDEX(COA!$C$5:$C$19,MATCH(E1508,COA!$A$5:$A$19,0))</f>
        <v>Asset</v>
      </c>
      <c r="G1508" s="12" t="n">
        <v>391.32</v>
      </c>
      <c r="H1508" s="12" t="n">
        <v>0</v>
      </c>
      <c r="I1508" s="10" t="s">
        <v>103</v>
      </c>
      <c r="J1508" s="10" t="s">
        <v>1636</v>
      </c>
      <c r="K1508" s="10" t="s">
        <v>1640</v>
      </c>
    </row>
    <row r="1509" customFormat="false" ht="15" hidden="false" customHeight="false" outlineLevel="0" collapsed="false">
      <c r="A1509" s="10" t="s">
        <v>3187</v>
      </c>
      <c r="B1509" s="10" t="n">
        <v>1699</v>
      </c>
      <c r="C1509" s="8" t="n">
        <v>45986</v>
      </c>
      <c r="D1509" s="8" t="n">
        <v>45982</v>
      </c>
      <c r="E1509" s="10" t="n">
        <v>1100</v>
      </c>
      <c r="F1509" s="0" t="str">
        <f aca="false">INDEX(COA!$C$5:$C$19,MATCH(E1509,COA!$A$5:$A$19,0))</f>
        <v>Asset</v>
      </c>
      <c r="G1509" s="12" t="n">
        <v>167.71</v>
      </c>
      <c r="H1509" s="12" t="n">
        <v>0</v>
      </c>
      <c r="I1509" s="10" t="s">
        <v>103</v>
      </c>
      <c r="J1509" s="10" t="s">
        <v>1636</v>
      </c>
      <c r="K1509" s="10" t="s">
        <v>1640</v>
      </c>
    </row>
    <row r="1510" customFormat="false" ht="15" hidden="false" customHeight="false" outlineLevel="0" collapsed="false">
      <c r="A1510" s="10" t="s">
        <v>3188</v>
      </c>
      <c r="B1510" s="10" t="n">
        <v>1699</v>
      </c>
      <c r="C1510" s="8" t="n">
        <v>45986</v>
      </c>
      <c r="D1510" s="8" t="n">
        <v>45982</v>
      </c>
      <c r="E1510" s="10" t="n">
        <v>4000</v>
      </c>
      <c r="F1510" s="0" t="str">
        <f aca="false">INDEX(COA!$C$5:$C$19,MATCH(E1510,COA!$A$5:$A$19,0))</f>
        <v>Revenue</v>
      </c>
      <c r="G1510" s="12" t="n">
        <v>0</v>
      </c>
      <c r="H1510" s="12" t="n">
        <v>559.03</v>
      </c>
      <c r="I1510" s="10" t="s">
        <v>103</v>
      </c>
      <c r="J1510" s="10" t="s">
        <v>1636</v>
      </c>
      <c r="K1510" s="10" t="s">
        <v>1640</v>
      </c>
    </row>
    <row r="1511" customFormat="false" ht="15" hidden="false" customHeight="false" outlineLevel="0" collapsed="false">
      <c r="A1511" s="10" t="s">
        <v>3189</v>
      </c>
      <c r="B1511" s="10" t="n">
        <v>1700</v>
      </c>
      <c r="C1511" s="8" t="n">
        <v>45986</v>
      </c>
      <c r="D1511" s="8" t="n">
        <v>45983</v>
      </c>
      <c r="E1511" s="10" t="n">
        <v>1100</v>
      </c>
      <c r="F1511" s="0" t="str">
        <f aca="false">INDEX(COA!$C$5:$C$19,MATCH(E1511,COA!$A$5:$A$19,0))</f>
        <v>Asset</v>
      </c>
      <c r="G1511" s="12" t="n">
        <v>1609.95</v>
      </c>
      <c r="H1511" s="12" t="n">
        <v>0</v>
      </c>
      <c r="I1511" s="10" t="s">
        <v>103</v>
      </c>
      <c r="J1511" s="10" t="s">
        <v>1636</v>
      </c>
      <c r="K1511" s="10" t="s">
        <v>1640</v>
      </c>
    </row>
    <row r="1512" customFormat="false" ht="15" hidden="false" customHeight="false" outlineLevel="0" collapsed="false">
      <c r="A1512" s="10" t="s">
        <v>3190</v>
      </c>
      <c r="B1512" s="10" t="n">
        <v>1700</v>
      </c>
      <c r="C1512" s="8" t="n">
        <v>45986</v>
      </c>
      <c r="D1512" s="8" t="n">
        <v>45983</v>
      </c>
      <c r="E1512" s="10" t="n">
        <v>4000</v>
      </c>
      <c r="F1512" s="0" t="str">
        <f aca="false">INDEX(COA!$C$5:$C$19,MATCH(E1512,COA!$A$5:$A$19,0))</f>
        <v>Revenue</v>
      </c>
      <c r="G1512" s="12" t="n">
        <v>0</v>
      </c>
      <c r="H1512" s="12" t="n">
        <v>1609.95</v>
      </c>
      <c r="I1512" s="10" t="s">
        <v>103</v>
      </c>
      <c r="J1512" s="10" t="s">
        <v>1636</v>
      </c>
      <c r="K1512" s="10" t="s">
        <v>1640</v>
      </c>
    </row>
    <row r="1513" customFormat="false" ht="15" hidden="false" customHeight="false" outlineLevel="0" collapsed="false">
      <c r="A1513" s="10" t="s">
        <v>3191</v>
      </c>
      <c r="B1513" s="10" t="n">
        <v>1701</v>
      </c>
      <c r="C1513" s="8" t="n">
        <v>45987</v>
      </c>
      <c r="D1513" s="8" t="n">
        <v>45987</v>
      </c>
      <c r="E1513" s="10" t="n">
        <v>5000</v>
      </c>
      <c r="F1513" s="0" t="str">
        <f aca="false">INDEX(COA!$C$5:$C$19,MATCH(E1513,COA!$A$5:$A$19,0))</f>
        <v>Expense</v>
      </c>
      <c r="G1513" s="12" t="n">
        <v>21527.93</v>
      </c>
      <c r="H1513" s="12" t="n">
        <v>0</v>
      </c>
      <c r="I1513" s="10" t="s">
        <v>103</v>
      </c>
      <c r="J1513" s="10" t="s">
        <v>1636</v>
      </c>
      <c r="K1513" s="10" t="s">
        <v>1670</v>
      </c>
    </row>
    <row r="1514" customFormat="false" ht="15" hidden="false" customHeight="false" outlineLevel="0" collapsed="false">
      <c r="A1514" s="10" t="s">
        <v>3192</v>
      </c>
      <c r="B1514" s="10" t="n">
        <v>1701</v>
      </c>
      <c r="C1514" s="8" t="n">
        <v>45987</v>
      </c>
      <c r="D1514" s="8" t="n">
        <v>45987</v>
      </c>
      <c r="E1514" s="10" t="n">
        <v>1200</v>
      </c>
      <c r="F1514" s="0" t="str">
        <f aca="false">INDEX(COA!$C$5:$C$19,MATCH(E1514,COA!$A$5:$A$19,0))</f>
        <v>Asset</v>
      </c>
      <c r="G1514" s="12" t="n">
        <v>0</v>
      </c>
      <c r="H1514" s="12" t="n">
        <v>21527.93</v>
      </c>
      <c r="I1514" s="10" t="s">
        <v>103</v>
      </c>
      <c r="J1514" s="10" t="s">
        <v>1636</v>
      </c>
      <c r="K1514" s="10" t="s">
        <v>1670</v>
      </c>
    </row>
    <row r="1515" customFormat="false" ht="15" hidden="false" customHeight="false" outlineLevel="0" collapsed="false">
      <c r="A1515" s="10" t="s">
        <v>3193</v>
      </c>
      <c r="B1515" s="10" t="n">
        <v>1702</v>
      </c>
      <c r="C1515" s="8" t="n">
        <v>45987</v>
      </c>
      <c r="D1515" s="8" t="n">
        <v>45983</v>
      </c>
      <c r="E1515" s="10" t="n">
        <v>1200</v>
      </c>
      <c r="F1515" s="0" t="str">
        <f aca="false">INDEX(COA!$C$5:$C$19,MATCH(E1515,COA!$A$5:$A$19,0))</f>
        <v>Asset</v>
      </c>
      <c r="G1515" s="12" t="n">
        <v>54053.59</v>
      </c>
      <c r="H1515" s="12" t="n">
        <v>0</v>
      </c>
      <c r="I1515" s="10" t="s">
        <v>102</v>
      </c>
      <c r="J1515" s="10" t="s">
        <v>1636</v>
      </c>
      <c r="K1515" s="10" t="s">
        <v>1655</v>
      </c>
    </row>
    <row r="1516" customFormat="false" ht="15" hidden="false" customHeight="false" outlineLevel="0" collapsed="false">
      <c r="A1516" s="10" t="s">
        <v>3194</v>
      </c>
      <c r="B1516" s="10" t="n">
        <v>1702</v>
      </c>
      <c r="C1516" s="8" t="n">
        <v>45987</v>
      </c>
      <c r="D1516" s="8" t="n">
        <v>45983</v>
      </c>
      <c r="E1516" s="10" t="n">
        <v>2000</v>
      </c>
      <c r="F1516" s="0" t="str">
        <f aca="false">INDEX(COA!$C$5:$C$19,MATCH(E1516,COA!$A$5:$A$19,0))</f>
        <v>Liability</v>
      </c>
      <c r="G1516" s="12" t="n">
        <v>0</v>
      </c>
      <c r="H1516" s="12" t="n">
        <v>54053.59</v>
      </c>
      <c r="I1516" s="10" t="s">
        <v>102</v>
      </c>
      <c r="J1516" s="10" t="s">
        <v>1636</v>
      </c>
      <c r="K1516" s="10" t="s">
        <v>1655</v>
      </c>
    </row>
    <row r="1517" customFormat="false" ht="15" hidden="false" customHeight="false" outlineLevel="0" collapsed="false">
      <c r="A1517" s="10" t="s">
        <v>3195</v>
      </c>
      <c r="B1517" s="10" t="n">
        <v>1703</v>
      </c>
      <c r="C1517" s="8" t="n">
        <v>45987</v>
      </c>
      <c r="D1517" s="8" t="n">
        <v>45983</v>
      </c>
      <c r="E1517" s="10" t="n">
        <v>1000</v>
      </c>
      <c r="F1517" s="0" t="str">
        <f aca="false">INDEX(COA!$C$5:$C$19,MATCH(E1517,COA!$A$5:$A$19,0))</f>
        <v>Asset</v>
      </c>
      <c r="G1517" s="12" t="n">
        <v>2194.25</v>
      </c>
      <c r="H1517" s="12" t="n">
        <v>0</v>
      </c>
      <c r="I1517" s="10" t="s">
        <v>103</v>
      </c>
      <c r="J1517" s="10" t="s">
        <v>1636</v>
      </c>
      <c r="K1517" s="10" t="s">
        <v>1637</v>
      </c>
    </row>
    <row r="1518" customFormat="false" ht="15" hidden="false" customHeight="false" outlineLevel="0" collapsed="false">
      <c r="A1518" s="10" t="s">
        <v>3196</v>
      </c>
      <c r="B1518" s="10" t="n">
        <v>1703</v>
      </c>
      <c r="C1518" s="8" t="n">
        <v>45987</v>
      </c>
      <c r="D1518" s="8" t="n">
        <v>45983</v>
      </c>
      <c r="E1518" s="10" t="n">
        <v>1000</v>
      </c>
      <c r="F1518" s="0" t="str">
        <f aca="false">INDEX(COA!$C$5:$C$19,MATCH(E1518,COA!$A$5:$A$19,0))</f>
        <v>Asset</v>
      </c>
      <c r="G1518" s="12" t="n">
        <v>940.39</v>
      </c>
      <c r="H1518" s="12" t="n">
        <v>0</v>
      </c>
      <c r="I1518" s="10" t="s">
        <v>103</v>
      </c>
      <c r="J1518" s="10" t="s">
        <v>1636</v>
      </c>
      <c r="K1518" s="10" t="s">
        <v>1637</v>
      </c>
    </row>
    <row r="1519" customFormat="false" ht="15" hidden="false" customHeight="false" outlineLevel="0" collapsed="false">
      <c r="A1519" s="10" t="s">
        <v>3197</v>
      </c>
      <c r="B1519" s="10" t="n">
        <v>1703</v>
      </c>
      <c r="C1519" s="8" t="n">
        <v>45987</v>
      </c>
      <c r="D1519" s="8" t="n">
        <v>45983</v>
      </c>
      <c r="E1519" s="10" t="n">
        <v>1100</v>
      </c>
      <c r="F1519" s="0" t="str">
        <f aca="false">INDEX(COA!$C$5:$C$19,MATCH(E1519,COA!$A$5:$A$19,0))</f>
        <v>Asset</v>
      </c>
      <c r="G1519" s="12" t="n">
        <v>0</v>
      </c>
      <c r="H1519" s="12" t="n">
        <v>3134.64</v>
      </c>
      <c r="I1519" s="10" t="s">
        <v>103</v>
      </c>
      <c r="J1519" s="10" t="s">
        <v>1636</v>
      </c>
      <c r="K1519" s="10" t="s">
        <v>1637</v>
      </c>
    </row>
    <row r="1520" customFormat="false" ht="15" hidden="false" customHeight="false" outlineLevel="0" collapsed="false">
      <c r="A1520" s="10" t="s">
        <v>3198</v>
      </c>
      <c r="B1520" s="10" t="n">
        <v>1704</v>
      </c>
      <c r="C1520" s="8" t="n">
        <v>45987</v>
      </c>
      <c r="D1520" s="8" t="n">
        <v>45986</v>
      </c>
      <c r="E1520" s="10" t="n">
        <v>2000</v>
      </c>
      <c r="F1520" s="0" t="str">
        <f aca="false">INDEX(COA!$C$5:$C$19,MATCH(E1520,COA!$A$5:$A$19,0))</f>
        <v>Liability</v>
      </c>
      <c r="G1520" s="12" t="n">
        <v>65183.81</v>
      </c>
      <c r="H1520" s="12" t="n">
        <v>0</v>
      </c>
      <c r="I1520" s="10" t="s">
        <v>104</v>
      </c>
      <c r="J1520" s="10" t="s">
        <v>1636</v>
      </c>
      <c r="K1520" s="10" t="s">
        <v>1659</v>
      </c>
    </row>
    <row r="1521" customFormat="false" ht="15" hidden="false" customHeight="false" outlineLevel="0" collapsed="false">
      <c r="A1521" s="10" t="s">
        <v>3199</v>
      </c>
      <c r="B1521" s="10" t="n">
        <v>1704</v>
      </c>
      <c r="C1521" s="8" t="n">
        <v>45987</v>
      </c>
      <c r="D1521" s="8" t="n">
        <v>45986</v>
      </c>
      <c r="E1521" s="10" t="n">
        <v>2000</v>
      </c>
      <c r="F1521" s="0" t="str">
        <f aca="false">INDEX(COA!$C$5:$C$19,MATCH(E1521,COA!$A$5:$A$19,0))</f>
        <v>Liability</v>
      </c>
      <c r="G1521" s="12" t="n">
        <v>27935.92</v>
      </c>
      <c r="H1521" s="12" t="n">
        <v>0</v>
      </c>
      <c r="I1521" s="10" t="s">
        <v>104</v>
      </c>
      <c r="J1521" s="10" t="s">
        <v>1636</v>
      </c>
      <c r="K1521" s="10" t="s">
        <v>1659</v>
      </c>
    </row>
    <row r="1522" customFormat="false" ht="15" hidden="false" customHeight="false" outlineLevel="0" collapsed="false">
      <c r="A1522" s="10" t="s">
        <v>3200</v>
      </c>
      <c r="B1522" s="10" t="n">
        <v>1704</v>
      </c>
      <c r="C1522" s="8" t="n">
        <v>45987</v>
      </c>
      <c r="D1522" s="8" t="n">
        <v>45986</v>
      </c>
      <c r="E1522" s="10" t="n">
        <v>1000</v>
      </c>
      <c r="F1522" s="0" t="str">
        <f aca="false">INDEX(COA!$C$5:$C$19,MATCH(E1522,COA!$A$5:$A$19,0))</f>
        <v>Asset</v>
      </c>
      <c r="G1522" s="12" t="n">
        <v>0</v>
      </c>
      <c r="H1522" s="12" t="n">
        <v>93119.73</v>
      </c>
      <c r="I1522" s="10" t="s">
        <v>104</v>
      </c>
      <c r="J1522" s="10" t="s">
        <v>1636</v>
      </c>
      <c r="K1522" s="10" t="s">
        <v>1659</v>
      </c>
    </row>
    <row r="1523" customFormat="false" ht="15" hidden="false" customHeight="false" outlineLevel="0" collapsed="false">
      <c r="A1523" s="10" t="s">
        <v>3201</v>
      </c>
      <c r="B1523" s="10" t="n">
        <v>1705</v>
      </c>
      <c r="C1523" s="8" t="n">
        <v>45987</v>
      </c>
      <c r="D1523" s="8" t="n">
        <v>45984</v>
      </c>
      <c r="E1523" s="10" t="n">
        <v>5000</v>
      </c>
      <c r="F1523" s="0" t="str">
        <f aca="false">INDEX(COA!$C$5:$C$19,MATCH(E1523,COA!$A$5:$A$19,0))</f>
        <v>Expense</v>
      </c>
      <c r="G1523" s="12" t="n">
        <v>21993.19</v>
      </c>
      <c r="H1523" s="12" t="n">
        <v>0</v>
      </c>
      <c r="I1523" s="10" t="s">
        <v>103</v>
      </c>
      <c r="J1523" s="10" t="s">
        <v>1636</v>
      </c>
      <c r="K1523" s="10" t="s">
        <v>1670</v>
      </c>
    </row>
    <row r="1524" customFormat="false" ht="15" hidden="false" customHeight="false" outlineLevel="0" collapsed="false">
      <c r="A1524" s="10" t="s">
        <v>3202</v>
      </c>
      <c r="B1524" s="10" t="n">
        <v>1705</v>
      </c>
      <c r="C1524" s="8" t="n">
        <v>45987</v>
      </c>
      <c r="D1524" s="8" t="n">
        <v>45984</v>
      </c>
      <c r="E1524" s="10" t="n">
        <v>1200</v>
      </c>
      <c r="F1524" s="0" t="str">
        <f aca="false">INDEX(COA!$C$5:$C$19,MATCH(E1524,COA!$A$5:$A$19,0))</f>
        <v>Asset</v>
      </c>
      <c r="G1524" s="12" t="n">
        <v>0</v>
      </c>
      <c r="H1524" s="12" t="n">
        <v>21993.19</v>
      </c>
      <c r="I1524" s="10" t="s">
        <v>103</v>
      </c>
      <c r="J1524" s="10" t="s">
        <v>1636</v>
      </c>
      <c r="K1524" s="10" t="s">
        <v>1670</v>
      </c>
    </row>
    <row r="1525" customFormat="false" ht="15" hidden="false" customHeight="false" outlineLevel="0" collapsed="false">
      <c r="A1525" s="10" t="s">
        <v>3203</v>
      </c>
      <c r="B1525" s="10" t="n">
        <v>1706</v>
      </c>
      <c r="C1525" s="8" t="n">
        <v>45988</v>
      </c>
      <c r="D1525" s="8" t="n">
        <v>45987</v>
      </c>
      <c r="E1525" s="10" t="n">
        <v>1000</v>
      </c>
      <c r="F1525" s="0" t="str">
        <f aca="false">INDEX(COA!$C$5:$C$19,MATCH(E1525,COA!$A$5:$A$19,0))</f>
        <v>Asset</v>
      </c>
      <c r="G1525" s="12" t="n">
        <v>3144.61</v>
      </c>
      <c r="H1525" s="12" t="n">
        <v>0</v>
      </c>
      <c r="I1525" s="10" t="s">
        <v>103</v>
      </c>
      <c r="J1525" s="10" t="s">
        <v>1636</v>
      </c>
      <c r="K1525" s="10" t="s">
        <v>1637</v>
      </c>
    </row>
    <row r="1526" customFormat="false" ht="15" hidden="false" customHeight="false" outlineLevel="0" collapsed="false">
      <c r="A1526" s="10" t="s">
        <v>3204</v>
      </c>
      <c r="B1526" s="10" t="n">
        <v>1706</v>
      </c>
      <c r="C1526" s="8" t="n">
        <v>45988</v>
      </c>
      <c r="D1526" s="8" t="n">
        <v>45987</v>
      </c>
      <c r="E1526" s="10" t="n">
        <v>1100</v>
      </c>
      <c r="F1526" s="0" t="str">
        <f aca="false">INDEX(COA!$C$5:$C$19,MATCH(E1526,COA!$A$5:$A$19,0))</f>
        <v>Asset</v>
      </c>
      <c r="G1526" s="12" t="n">
        <v>0</v>
      </c>
      <c r="H1526" s="12" t="n">
        <v>3144.61</v>
      </c>
      <c r="I1526" s="10" t="s">
        <v>103</v>
      </c>
      <c r="J1526" s="10" t="s">
        <v>1636</v>
      </c>
      <c r="K1526" s="10" t="s">
        <v>1637</v>
      </c>
    </row>
    <row r="1527" customFormat="false" ht="15" hidden="false" customHeight="false" outlineLevel="0" collapsed="false">
      <c r="A1527" s="10" t="s">
        <v>3205</v>
      </c>
      <c r="B1527" s="10" t="n">
        <v>1707</v>
      </c>
      <c r="C1527" s="8" t="n">
        <v>45988</v>
      </c>
      <c r="D1527" s="8" t="n">
        <v>45984</v>
      </c>
      <c r="E1527" s="10" t="n">
        <v>1000</v>
      </c>
      <c r="F1527" s="0" t="str">
        <f aca="false">INDEX(COA!$C$5:$C$19,MATCH(E1527,COA!$A$5:$A$19,0))</f>
        <v>Asset</v>
      </c>
      <c r="G1527" s="12" t="n">
        <v>29167.64</v>
      </c>
      <c r="H1527" s="12" t="n">
        <v>0</v>
      </c>
      <c r="I1527" s="10" t="s">
        <v>103</v>
      </c>
      <c r="J1527" s="10" t="s">
        <v>1636</v>
      </c>
      <c r="K1527" s="10" t="s">
        <v>1637</v>
      </c>
    </row>
    <row r="1528" customFormat="false" ht="15" hidden="false" customHeight="false" outlineLevel="0" collapsed="false">
      <c r="A1528" s="10" t="s">
        <v>3206</v>
      </c>
      <c r="B1528" s="10" t="n">
        <v>1707</v>
      </c>
      <c r="C1528" s="8" t="n">
        <v>45988</v>
      </c>
      <c r="D1528" s="8" t="n">
        <v>45984</v>
      </c>
      <c r="E1528" s="10" t="n">
        <v>1100</v>
      </c>
      <c r="F1528" s="0" t="str">
        <f aca="false">INDEX(COA!$C$5:$C$19,MATCH(E1528,COA!$A$5:$A$19,0))</f>
        <v>Asset</v>
      </c>
      <c r="G1528" s="12" t="n">
        <v>0</v>
      </c>
      <c r="H1528" s="12" t="n">
        <v>29167.64</v>
      </c>
      <c r="I1528" s="10" t="s">
        <v>103</v>
      </c>
      <c r="J1528" s="10" t="s">
        <v>1636</v>
      </c>
      <c r="K1528" s="10" t="s">
        <v>1637</v>
      </c>
    </row>
    <row r="1529" customFormat="false" ht="15" hidden="false" customHeight="false" outlineLevel="0" collapsed="false">
      <c r="A1529" s="10" t="s">
        <v>3207</v>
      </c>
      <c r="B1529" s="10" t="n">
        <v>1708</v>
      </c>
      <c r="C1529" s="8" t="n">
        <v>45988</v>
      </c>
      <c r="D1529" s="8" t="n">
        <v>45986</v>
      </c>
      <c r="E1529" s="10" t="n">
        <v>1100</v>
      </c>
      <c r="F1529" s="0" t="str">
        <f aca="false">INDEX(COA!$C$5:$C$19,MATCH(E1529,COA!$A$5:$A$19,0))</f>
        <v>Asset</v>
      </c>
      <c r="G1529" s="12" t="n">
        <v>18667.97</v>
      </c>
      <c r="H1529" s="12" t="n">
        <v>0</v>
      </c>
      <c r="I1529" s="10" t="s">
        <v>103</v>
      </c>
      <c r="J1529" s="10" t="s">
        <v>1636</v>
      </c>
      <c r="K1529" s="10" t="s">
        <v>1640</v>
      </c>
    </row>
    <row r="1530" customFormat="false" ht="15" hidden="false" customHeight="false" outlineLevel="0" collapsed="false">
      <c r="A1530" s="10" t="s">
        <v>3208</v>
      </c>
      <c r="B1530" s="10" t="n">
        <v>1708</v>
      </c>
      <c r="C1530" s="8" t="n">
        <v>45988</v>
      </c>
      <c r="D1530" s="8" t="n">
        <v>45986</v>
      </c>
      <c r="E1530" s="10" t="n">
        <v>4000</v>
      </c>
      <c r="F1530" s="0" t="str">
        <f aca="false">INDEX(COA!$C$5:$C$19,MATCH(E1530,COA!$A$5:$A$19,0))</f>
        <v>Revenue</v>
      </c>
      <c r="G1530" s="12" t="n">
        <v>0</v>
      </c>
      <c r="H1530" s="12" t="n">
        <v>18667.97</v>
      </c>
      <c r="I1530" s="10" t="s">
        <v>103</v>
      </c>
      <c r="J1530" s="10" t="s">
        <v>1636</v>
      </c>
      <c r="K1530" s="10" t="s">
        <v>1640</v>
      </c>
    </row>
    <row r="1531" customFormat="false" ht="15" hidden="false" customHeight="false" outlineLevel="0" collapsed="false">
      <c r="A1531" s="10" t="s">
        <v>3209</v>
      </c>
      <c r="B1531" s="10" t="n">
        <v>1709</v>
      </c>
      <c r="C1531" s="8" t="n">
        <v>45988</v>
      </c>
      <c r="D1531" s="8" t="n">
        <v>45985</v>
      </c>
      <c r="E1531" s="10" t="n">
        <v>1200</v>
      </c>
      <c r="F1531" s="0" t="str">
        <f aca="false">INDEX(COA!$C$5:$C$19,MATCH(E1531,COA!$A$5:$A$19,0))</f>
        <v>Asset</v>
      </c>
      <c r="G1531" s="12" t="n">
        <v>1324.5</v>
      </c>
      <c r="H1531" s="12" t="n">
        <v>0</v>
      </c>
      <c r="I1531" s="10" t="s">
        <v>102</v>
      </c>
      <c r="J1531" s="10" t="s">
        <v>1636</v>
      </c>
      <c r="K1531" s="10" t="s">
        <v>1655</v>
      </c>
    </row>
    <row r="1532" customFormat="false" ht="15" hidden="false" customHeight="false" outlineLevel="0" collapsed="false">
      <c r="A1532" s="10" t="s">
        <v>3210</v>
      </c>
      <c r="B1532" s="10" t="n">
        <v>1709</v>
      </c>
      <c r="C1532" s="8" t="n">
        <v>45988</v>
      </c>
      <c r="D1532" s="8" t="n">
        <v>45985</v>
      </c>
      <c r="E1532" s="10" t="n">
        <v>2000</v>
      </c>
      <c r="F1532" s="0" t="str">
        <f aca="false">INDEX(COA!$C$5:$C$19,MATCH(E1532,COA!$A$5:$A$19,0))</f>
        <v>Liability</v>
      </c>
      <c r="G1532" s="12" t="n">
        <v>0</v>
      </c>
      <c r="H1532" s="12" t="n">
        <v>1324.5</v>
      </c>
      <c r="I1532" s="10" t="s">
        <v>102</v>
      </c>
      <c r="J1532" s="10" t="s">
        <v>1636</v>
      </c>
      <c r="K1532" s="10" t="s">
        <v>1655</v>
      </c>
    </row>
    <row r="1533" customFormat="false" ht="15" hidden="false" customHeight="false" outlineLevel="0" collapsed="false">
      <c r="A1533" s="10" t="s">
        <v>3211</v>
      </c>
      <c r="B1533" s="10" t="n">
        <v>1710</v>
      </c>
      <c r="C1533" s="8" t="n">
        <v>45988</v>
      </c>
      <c r="D1533" s="8" t="n">
        <v>45988</v>
      </c>
      <c r="E1533" s="10" t="n">
        <v>6900</v>
      </c>
      <c r="F1533" s="0" t="str">
        <f aca="false">INDEX(COA!$C$5:$C$19,MATCH(E1533,COA!$A$5:$A$19,0))</f>
        <v>Expense</v>
      </c>
      <c r="G1533" s="12" t="n">
        <v>364.17</v>
      </c>
      <c r="H1533" s="12" t="n">
        <v>0</v>
      </c>
      <c r="I1533" s="10" t="s">
        <v>1919</v>
      </c>
      <c r="J1533" s="10" t="s">
        <v>1648</v>
      </c>
      <c r="K1533" s="10" t="s">
        <v>3212</v>
      </c>
    </row>
    <row r="1534" customFormat="false" ht="15" hidden="false" customHeight="false" outlineLevel="0" collapsed="false">
      <c r="A1534" s="10" t="s">
        <v>3213</v>
      </c>
      <c r="B1534" s="10" t="n">
        <v>1710</v>
      </c>
      <c r="C1534" s="8" t="n">
        <v>45988</v>
      </c>
      <c r="D1534" s="8" t="n">
        <v>45988</v>
      </c>
      <c r="E1534" s="10" t="n">
        <v>2100</v>
      </c>
      <c r="F1534" s="0" t="str">
        <f aca="false">INDEX(COA!$C$5:$C$19,MATCH(E1534,COA!$A$5:$A$19,0))</f>
        <v>Liability</v>
      </c>
      <c r="G1534" s="12" t="n">
        <v>0</v>
      </c>
      <c r="H1534" s="12" t="n">
        <v>364.17</v>
      </c>
      <c r="I1534" s="10" t="s">
        <v>1919</v>
      </c>
      <c r="J1534" s="10" t="s">
        <v>1648</v>
      </c>
      <c r="K1534" s="10" t="s">
        <v>3212</v>
      </c>
    </row>
    <row r="1535" customFormat="false" ht="15" hidden="false" customHeight="false" outlineLevel="0" collapsed="false">
      <c r="A1535" s="10" t="s">
        <v>3214</v>
      </c>
      <c r="B1535" s="10" t="n">
        <v>1711</v>
      </c>
      <c r="C1535" s="8" t="n">
        <v>45988</v>
      </c>
      <c r="D1535" s="8" t="n">
        <v>45987</v>
      </c>
      <c r="E1535" s="10" t="n">
        <v>1100</v>
      </c>
      <c r="F1535" s="0" t="str">
        <f aca="false">INDEX(COA!$C$5:$C$19,MATCH(E1535,COA!$A$5:$A$19,0))</f>
        <v>Asset</v>
      </c>
      <c r="G1535" s="12" t="n">
        <v>56086.72</v>
      </c>
      <c r="H1535" s="12" t="n">
        <v>0</v>
      </c>
      <c r="I1535" s="10" t="s">
        <v>103</v>
      </c>
      <c r="J1535" s="10" t="s">
        <v>1636</v>
      </c>
      <c r="K1535" s="10" t="s">
        <v>1640</v>
      </c>
    </row>
    <row r="1536" customFormat="false" ht="15" hidden="false" customHeight="false" outlineLevel="0" collapsed="false">
      <c r="A1536" s="10" t="s">
        <v>3215</v>
      </c>
      <c r="B1536" s="10" t="n">
        <v>1711</v>
      </c>
      <c r="C1536" s="8" t="n">
        <v>45988</v>
      </c>
      <c r="D1536" s="8" t="n">
        <v>45987</v>
      </c>
      <c r="E1536" s="10" t="n">
        <v>4000</v>
      </c>
      <c r="F1536" s="0" t="str">
        <f aca="false">INDEX(COA!$C$5:$C$19,MATCH(E1536,COA!$A$5:$A$19,0))</f>
        <v>Revenue</v>
      </c>
      <c r="G1536" s="12" t="n">
        <v>0</v>
      </c>
      <c r="H1536" s="12" t="n">
        <v>56086.72</v>
      </c>
      <c r="I1536" s="10" t="s">
        <v>103</v>
      </c>
      <c r="J1536" s="10" t="s">
        <v>1636</v>
      </c>
      <c r="K1536" s="10" t="s">
        <v>1640</v>
      </c>
    </row>
    <row r="1537" customFormat="false" ht="15" hidden="false" customHeight="false" outlineLevel="0" collapsed="false">
      <c r="A1537" s="10" t="s">
        <v>3216</v>
      </c>
      <c r="B1537" s="10" t="n">
        <v>1712</v>
      </c>
      <c r="C1537" s="8" t="n">
        <v>45990</v>
      </c>
      <c r="D1537" s="8" t="n">
        <v>45989</v>
      </c>
      <c r="E1537" s="10" t="n">
        <v>1100</v>
      </c>
      <c r="F1537" s="0" t="str">
        <f aca="false">INDEX(COA!$C$5:$C$19,MATCH(E1537,COA!$A$5:$A$19,0))</f>
        <v>Asset</v>
      </c>
      <c r="G1537" s="12" t="n">
        <v>116492.04</v>
      </c>
      <c r="H1537" s="12" t="n">
        <v>0</v>
      </c>
      <c r="I1537" s="10" t="s">
        <v>103</v>
      </c>
      <c r="J1537" s="10" t="s">
        <v>1636</v>
      </c>
      <c r="K1537" s="10" t="s">
        <v>1640</v>
      </c>
    </row>
    <row r="1538" customFormat="false" ht="15" hidden="false" customHeight="false" outlineLevel="0" collapsed="false">
      <c r="A1538" s="10" t="s">
        <v>3217</v>
      </c>
      <c r="B1538" s="10" t="n">
        <v>1712</v>
      </c>
      <c r="C1538" s="8" t="n">
        <v>45990</v>
      </c>
      <c r="D1538" s="8" t="n">
        <v>45989</v>
      </c>
      <c r="E1538" s="10" t="n">
        <v>4000</v>
      </c>
      <c r="F1538" s="0" t="str">
        <f aca="false">INDEX(COA!$C$5:$C$19,MATCH(E1538,COA!$A$5:$A$19,0))</f>
        <v>Revenue</v>
      </c>
      <c r="G1538" s="12" t="n">
        <v>0</v>
      </c>
      <c r="H1538" s="12" t="n">
        <v>116492.04</v>
      </c>
      <c r="I1538" s="10" t="s">
        <v>103</v>
      </c>
      <c r="J1538" s="10" t="s">
        <v>1636</v>
      </c>
      <c r="K1538" s="10" t="s">
        <v>1640</v>
      </c>
    </row>
    <row r="1539" customFormat="false" ht="15" hidden="false" customHeight="false" outlineLevel="0" collapsed="false">
      <c r="A1539" s="10" t="s">
        <v>3218</v>
      </c>
      <c r="B1539" s="10" t="n">
        <v>1713</v>
      </c>
      <c r="C1539" s="8" t="n">
        <v>45990</v>
      </c>
      <c r="D1539" s="8" t="n">
        <v>45989</v>
      </c>
      <c r="E1539" s="10" t="n">
        <v>5000</v>
      </c>
      <c r="F1539" s="0" t="str">
        <f aca="false">INDEX(COA!$C$5:$C$19,MATCH(E1539,COA!$A$5:$A$19,0))</f>
        <v>Expense</v>
      </c>
      <c r="G1539" s="12" t="n">
        <v>658.79</v>
      </c>
      <c r="H1539" s="12" t="n">
        <v>0</v>
      </c>
      <c r="I1539" s="10" t="s">
        <v>103</v>
      </c>
      <c r="J1539" s="10" t="s">
        <v>1636</v>
      </c>
      <c r="K1539" s="10" t="s">
        <v>1670</v>
      </c>
    </row>
    <row r="1540" customFormat="false" ht="15" hidden="false" customHeight="false" outlineLevel="0" collapsed="false">
      <c r="A1540" s="10" t="s">
        <v>3219</v>
      </c>
      <c r="B1540" s="10" t="n">
        <v>1713</v>
      </c>
      <c r="C1540" s="8" t="n">
        <v>45990</v>
      </c>
      <c r="D1540" s="8" t="n">
        <v>45989</v>
      </c>
      <c r="E1540" s="10" t="n">
        <v>1200</v>
      </c>
      <c r="F1540" s="0" t="str">
        <f aca="false">INDEX(COA!$C$5:$C$19,MATCH(E1540,COA!$A$5:$A$19,0))</f>
        <v>Asset</v>
      </c>
      <c r="G1540" s="12" t="n">
        <v>0</v>
      </c>
      <c r="H1540" s="12" t="n">
        <v>658.79</v>
      </c>
      <c r="I1540" s="10" t="s">
        <v>103</v>
      </c>
      <c r="J1540" s="10" t="s">
        <v>1636</v>
      </c>
      <c r="K1540" s="10" t="s">
        <v>1670</v>
      </c>
    </row>
    <row r="1541" customFormat="false" ht="15" hidden="false" customHeight="false" outlineLevel="0" collapsed="false">
      <c r="A1541" s="10" t="s">
        <v>3220</v>
      </c>
      <c r="B1541" s="10" t="n">
        <v>1714</v>
      </c>
      <c r="C1541" s="8" t="n">
        <v>45994</v>
      </c>
      <c r="D1541" s="8" t="n">
        <v>45993</v>
      </c>
      <c r="E1541" s="10" t="n">
        <v>2000</v>
      </c>
      <c r="F1541" s="0" t="str">
        <f aca="false">INDEX(COA!$C$5:$C$19,MATCH(E1541,COA!$A$5:$A$19,0))</f>
        <v>Liability</v>
      </c>
      <c r="G1541" s="12" t="n">
        <v>2733.52</v>
      </c>
      <c r="H1541" s="12" t="n">
        <v>0</v>
      </c>
      <c r="I1541" s="10" t="s">
        <v>104</v>
      </c>
      <c r="J1541" s="10" t="s">
        <v>1636</v>
      </c>
      <c r="K1541" s="10" t="s">
        <v>1659</v>
      </c>
    </row>
    <row r="1542" customFormat="false" ht="15" hidden="false" customHeight="false" outlineLevel="0" collapsed="false">
      <c r="A1542" s="10" t="s">
        <v>3221</v>
      </c>
      <c r="B1542" s="10" t="n">
        <v>1714</v>
      </c>
      <c r="C1542" s="8" t="n">
        <v>45994</v>
      </c>
      <c r="D1542" s="8" t="n">
        <v>45993</v>
      </c>
      <c r="E1542" s="10" t="n">
        <v>2000</v>
      </c>
      <c r="F1542" s="0" t="str">
        <f aca="false">INDEX(COA!$C$5:$C$19,MATCH(E1542,COA!$A$5:$A$19,0))</f>
        <v>Liability</v>
      </c>
      <c r="G1542" s="12" t="n">
        <v>1171.51</v>
      </c>
      <c r="H1542" s="12" t="n">
        <v>0</v>
      </c>
      <c r="I1542" s="10" t="s">
        <v>104</v>
      </c>
      <c r="J1542" s="10" t="s">
        <v>1636</v>
      </c>
      <c r="K1542" s="10" t="s">
        <v>1659</v>
      </c>
    </row>
    <row r="1543" customFormat="false" ht="15" hidden="false" customHeight="false" outlineLevel="0" collapsed="false">
      <c r="A1543" s="10" t="s">
        <v>3222</v>
      </c>
      <c r="B1543" s="10" t="n">
        <v>1714</v>
      </c>
      <c r="C1543" s="8" t="n">
        <v>45994</v>
      </c>
      <c r="D1543" s="8" t="n">
        <v>45993</v>
      </c>
      <c r="E1543" s="10" t="n">
        <v>1000</v>
      </c>
      <c r="F1543" s="0" t="str">
        <f aca="false">INDEX(COA!$C$5:$C$19,MATCH(E1543,COA!$A$5:$A$19,0))</f>
        <v>Asset</v>
      </c>
      <c r="G1543" s="12" t="n">
        <v>0</v>
      </c>
      <c r="H1543" s="12" t="n">
        <v>3905.03</v>
      </c>
      <c r="I1543" s="10" t="s">
        <v>104</v>
      </c>
      <c r="J1543" s="10" t="s">
        <v>1636</v>
      </c>
      <c r="K1543" s="10" t="s">
        <v>1659</v>
      </c>
    </row>
    <row r="1544" customFormat="false" ht="15" hidden="false" customHeight="false" outlineLevel="0" collapsed="false">
      <c r="A1544" s="10" t="s">
        <v>3223</v>
      </c>
      <c r="B1544" s="10" t="n">
        <v>1715</v>
      </c>
      <c r="C1544" s="8" t="n">
        <v>45994</v>
      </c>
      <c r="D1544" s="8" t="n">
        <v>45991</v>
      </c>
      <c r="E1544" s="10" t="n">
        <v>1200</v>
      </c>
      <c r="F1544" s="0" t="str">
        <f aca="false">INDEX(COA!$C$5:$C$19,MATCH(E1544,COA!$A$5:$A$19,0))</f>
        <v>Asset</v>
      </c>
      <c r="G1544" s="12" t="n">
        <v>2464.82</v>
      </c>
      <c r="H1544" s="12" t="n">
        <v>0</v>
      </c>
      <c r="I1544" s="10" t="s">
        <v>102</v>
      </c>
      <c r="J1544" s="10" t="s">
        <v>1636</v>
      </c>
      <c r="K1544" s="10" t="s">
        <v>1655</v>
      </c>
    </row>
    <row r="1545" customFormat="false" ht="15" hidden="false" customHeight="false" outlineLevel="0" collapsed="false">
      <c r="A1545" s="10" t="s">
        <v>3224</v>
      </c>
      <c r="B1545" s="10" t="n">
        <v>1715</v>
      </c>
      <c r="C1545" s="8" t="n">
        <v>45994</v>
      </c>
      <c r="D1545" s="8" t="n">
        <v>45991</v>
      </c>
      <c r="E1545" s="10" t="n">
        <v>1200</v>
      </c>
      <c r="F1545" s="0" t="str">
        <f aca="false">INDEX(COA!$C$5:$C$19,MATCH(E1545,COA!$A$5:$A$19,0))</f>
        <v>Asset</v>
      </c>
      <c r="G1545" s="12" t="n">
        <v>1056.35</v>
      </c>
      <c r="H1545" s="12" t="n">
        <v>0</v>
      </c>
      <c r="I1545" s="10" t="s">
        <v>102</v>
      </c>
      <c r="J1545" s="10" t="s">
        <v>1636</v>
      </c>
      <c r="K1545" s="10" t="s">
        <v>1655</v>
      </c>
    </row>
    <row r="1546" customFormat="false" ht="15" hidden="false" customHeight="false" outlineLevel="0" collapsed="false">
      <c r="A1546" s="10" t="s">
        <v>3225</v>
      </c>
      <c r="B1546" s="10" t="n">
        <v>1715</v>
      </c>
      <c r="C1546" s="8" t="n">
        <v>45994</v>
      </c>
      <c r="D1546" s="8" t="n">
        <v>45991</v>
      </c>
      <c r="E1546" s="10" t="n">
        <v>2000</v>
      </c>
      <c r="F1546" s="0" t="str">
        <f aca="false">INDEX(COA!$C$5:$C$19,MATCH(E1546,COA!$A$5:$A$19,0))</f>
        <v>Liability</v>
      </c>
      <c r="G1546" s="12" t="n">
        <v>0</v>
      </c>
      <c r="H1546" s="12" t="n">
        <v>3521.17</v>
      </c>
      <c r="I1546" s="10" t="s">
        <v>102</v>
      </c>
      <c r="J1546" s="10" t="s">
        <v>1636</v>
      </c>
      <c r="K1546" s="10" t="s">
        <v>1655</v>
      </c>
    </row>
    <row r="1547" customFormat="false" ht="15" hidden="false" customHeight="false" outlineLevel="0" collapsed="false">
      <c r="A1547" s="10" t="s">
        <v>3226</v>
      </c>
      <c r="B1547" s="10" t="n">
        <v>1716</v>
      </c>
      <c r="C1547" s="8" t="n">
        <v>45995</v>
      </c>
      <c r="D1547" s="8" t="n">
        <v>45991</v>
      </c>
      <c r="E1547" s="10" t="n">
        <v>1200</v>
      </c>
      <c r="F1547" s="0" t="str">
        <f aca="false">INDEX(COA!$C$5:$C$19,MATCH(E1547,COA!$A$5:$A$19,0))</f>
        <v>Asset</v>
      </c>
      <c r="G1547" s="12" t="n">
        <v>64566.65</v>
      </c>
      <c r="H1547" s="12" t="n">
        <v>0</v>
      </c>
      <c r="I1547" s="10" t="s">
        <v>102</v>
      </c>
      <c r="J1547" s="10" t="s">
        <v>1636</v>
      </c>
      <c r="K1547" s="10" t="s">
        <v>1655</v>
      </c>
    </row>
    <row r="1548" customFormat="false" ht="15" hidden="false" customHeight="false" outlineLevel="0" collapsed="false">
      <c r="A1548" s="10" t="s">
        <v>3227</v>
      </c>
      <c r="B1548" s="10" t="n">
        <v>1716</v>
      </c>
      <c r="C1548" s="8" t="n">
        <v>45995</v>
      </c>
      <c r="D1548" s="8" t="n">
        <v>45991</v>
      </c>
      <c r="E1548" s="10" t="n">
        <v>2000</v>
      </c>
      <c r="F1548" s="0" t="str">
        <f aca="false">INDEX(COA!$C$5:$C$19,MATCH(E1548,COA!$A$5:$A$19,0))</f>
        <v>Liability</v>
      </c>
      <c r="G1548" s="12" t="n">
        <v>0</v>
      </c>
      <c r="H1548" s="12" t="n">
        <v>64566.65</v>
      </c>
      <c r="I1548" s="10" t="s">
        <v>102</v>
      </c>
      <c r="J1548" s="10" t="s">
        <v>1636</v>
      </c>
      <c r="K1548" s="10" t="s">
        <v>1655</v>
      </c>
    </row>
    <row r="1549" customFormat="false" ht="15" hidden="false" customHeight="false" outlineLevel="0" collapsed="false">
      <c r="A1549" s="10" t="s">
        <v>3228</v>
      </c>
      <c r="B1549" s="10" t="n">
        <v>1717</v>
      </c>
      <c r="C1549" s="8" t="n">
        <v>45995</v>
      </c>
      <c r="D1549" s="8" t="n">
        <v>45995</v>
      </c>
      <c r="E1549" s="10" t="n">
        <v>1000</v>
      </c>
      <c r="F1549" s="0" t="str">
        <f aca="false">INDEX(COA!$C$5:$C$19,MATCH(E1549,COA!$A$5:$A$19,0))</f>
        <v>Asset</v>
      </c>
      <c r="G1549" s="12" t="n">
        <v>283.42</v>
      </c>
      <c r="H1549" s="12" t="n">
        <v>0</v>
      </c>
      <c r="I1549" s="10" t="s">
        <v>103</v>
      </c>
      <c r="J1549" s="10" t="s">
        <v>1636</v>
      </c>
      <c r="K1549" s="10" t="s">
        <v>1637</v>
      </c>
    </row>
    <row r="1550" customFormat="false" ht="15" hidden="false" customHeight="false" outlineLevel="0" collapsed="false">
      <c r="A1550" s="10" t="s">
        <v>3229</v>
      </c>
      <c r="B1550" s="10" t="n">
        <v>1717</v>
      </c>
      <c r="C1550" s="8" t="n">
        <v>45995</v>
      </c>
      <c r="D1550" s="8" t="n">
        <v>45995</v>
      </c>
      <c r="E1550" s="10" t="n">
        <v>1100</v>
      </c>
      <c r="F1550" s="0" t="str">
        <f aca="false">INDEX(COA!$C$5:$C$19,MATCH(E1550,COA!$A$5:$A$19,0))</f>
        <v>Asset</v>
      </c>
      <c r="G1550" s="12" t="n">
        <v>0</v>
      </c>
      <c r="H1550" s="12" t="n">
        <v>283.42</v>
      </c>
      <c r="I1550" s="10" t="s">
        <v>103</v>
      </c>
      <c r="J1550" s="10" t="s">
        <v>1636</v>
      </c>
      <c r="K1550" s="10" t="s">
        <v>1637</v>
      </c>
    </row>
    <row r="1551" customFormat="false" ht="15" hidden="false" customHeight="false" outlineLevel="0" collapsed="false">
      <c r="A1551" s="10" t="s">
        <v>3230</v>
      </c>
      <c r="B1551" s="10" t="n">
        <v>1718</v>
      </c>
      <c r="C1551" s="8" t="n">
        <v>45995</v>
      </c>
      <c r="D1551" s="8" t="n">
        <v>45991</v>
      </c>
      <c r="E1551" s="10" t="n">
        <v>2000</v>
      </c>
      <c r="F1551" s="0" t="str">
        <f aca="false">INDEX(COA!$C$5:$C$19,MATCH(E1551,COA!$A$5:$A$19,0))</f>
        <v>Liability</v>
      </c>
      <c r="G1551" s="12" t="n">
        <v>9386.29</v>
      </c>
      <c r="H1551" s="12" t="n">
        <v>0</v>
      </c>
      <c r="I1551" s="10" t="s">
        <v>104</v>
      </c>
      <c r="J1551" s="10" t="s">
        <v>1636</v>
      </c>
      <c r="K1551" s="10" t="s">
        <v>1659</v>
      </c>
    </row>
    <row r="1552" customFormat="false" ht="15" hidden="false" customHeight="false" outlineLevel="0" collapsed="false">
      <c r="A1552" s="10" t="s">
        <v>3231</v>
      </c>
      <c r="B1552" s="10" t="n">
        <v>1718</v>
      </c>
      <c r="C1552" s="8" t="n">
        <v>45995</v>
      </c>
      <c r="D1552" s="8" t="n">
        <v>45991</v>
      </c>
      <c r="E1552" s="10" t="n">
        <v>1000</v>
      </c>
      <c r="F1552" s="0" t="str">
        <f aca="false">INDEX(COA!$C$5:$C$19,MATCH(E1552,COA!$A$5:$A$19,0))</f>
        <v>Asset</v>
      </c>
      <c r="G1552" s="12" t="n">
        <v>0</v>
      </c>
      <c r="H1552" s="12" t="n">
        <v>9386.29</v>
      </c>
      <c r="I1552" s="10" t="s">
        <v>104</v>
      </c>
      <c r="J1552" s="10" t="s">
        <v>1636</v>
      </c>
      <c r="K1552" s="10" t="s">
        <v>1659</v>
      </c>
    </row>
    <row r="1553" customFormat="false" ht="15" hidden="false" customHeight="false" outlineLevel="0" collapsed="false">
      <c r="A1553" s="10" t="s">
        <v>3232</v>
      </c>
      <c r="B1553" s="10" t="n">
        <v>1719</v>
      </c>
      <c r="C1553" s="8" t="n">
        <v>45996</v>
      </c>
      <c r="D1553" s="8" t="n">
        <v>45996</v>
      </c>
      <c r="E1553" s="10" t="n">
        <v>2000</v>
      </c>
      <c r="F1553" s="0" t="str">
        <f aca="false">INDEX(COA!$C$5:$C$19,MATCH(E1553,COA!$A$5:$A$19,0))</f>
        <v>Liability</v>
      </c>
      <c r="G1553" s="12" t="n">
        <v>4315.32</v>
      </c>
      <c r="H1553" s="12" t="n">
        <v>0</v>
      </c>
      <c r="I1553" s="10" t="s">
        <v>104</v>
      </c>
      <c r="J1553" s="10" t="s">
        <v>1636</v>
      </c>
      <c r="K1553" s="10" t="s">
        <v>1659</v>
      </c>
    </row>
    <row r="1554" customFormat="false" ht="15" hidden="false" customHeight="false" outlineLevel="0" collapsed="false">
      <c r="A1554" s="10" t="s">
        <v>3233</v>
      </c>
      <c r="B1554" s="10" t="n">
        <v>1719</v>
      </c>
      <c r="C1554" s="8" t="n">
        <v>45996</v>
      </c>
      <c r="D1554" s="8" t="n">
        <v>45996</v>
      </c>
      <c r="E1554" s="10" t="n">
        <v>1000</v>
      </c>
      <c r="F1554" s="0" t="str">
        <f aca="false">INDEX(COA!$C$5:$C$19,MATCH(E1554,COA!$A$5:$A$19,0))</f>
        <v>Asset</v>
      </c>
      <c r="G1554" s="12" t="n">
        <v>0</v>
      </c>
      <c r="H1554" s="12" t="n">
        <v>4315.32</v>
      </c>
      <c r="I1554" s="10" t="s">
        <v>104</v>
      </c>
      <c r="J1554" s="10" t="s">
        <v>1636</v>
      </c>
      <c r="K1554" s="10" t="s">
        <v>1659</v>
      </c>
    </row>
    <row r="1555" customFormat="false" ht="15" hidden="false" customHeight="false" outlineLevel="0" collapsed="false">
      <c r="A1555" s="10" t="s">
        <v>3234</v>
      </c>
      <c r="B1555" s="10" t="n">
        <v>1720</v>
      </c>
      <c r="C1555" s="8" t="n">
        <v>45996</v>
      </c>
      <c r="D1555" s="8" t="n">
        <v>45994</v>
      </c>
      <c r="E1555" s="10" t="n">
        <v>1100</v>
      </c>
      <c r="F1555" s="0" t="str">
        <f aca="false">INDEX(COA!$C$5:$C$19,MATCH(E1555,COA!$A$5:$A$19,0))</f>
        <v>Asset</v>
      </c>
      <c r="G1555" s="12" t="n">
        <v>91657.86</v>
      </c>
      <c r="H1555" s="12" t="n">
        <v>0</v>
      </c>
      <c r="I1555" s="10" t="s">
        <v>103</v>
      </c>
      <c r="J1555" s="10" t="s">
        <v>1636</v>
      </c>
      <c r="K1555" s="10" t="s">
        <v>1640</v>
      </c>
    </row>
    <row r="1556" customFormat="false" ht="15" hidden="false" customHeight="false" outlineLevel="0" collapsed="false">
      <c r="A1556" s="10" t="s">
        <v>3235</v>
      </c>
      <c r="B1556" s="10" t="n">
        <v>1720</v>
      </c>
      <c r="C1556" s="8" t="n">
        <v>45996</v>
      </c>
      <c r="D1556" s="8" t="n">
        <v>45994</v>
      </c>
      <c r="E1556" s="10" t="n">
        <v>4000</v>
      </c>
      <c r="F1556" s="0" t="str">
        <f aca="false">INDEX(COA!$C$5:$C$19,MATCH(E1556,COA!$A$5:$A$19,0))</f>
        <v>Revenue</v>
      </c>
      <c r="G1556" s="12" t="n">
        <v>0</v>
      </c>
      <c r="H1556" s="12" t="n">
        <v>91657.86</v>
      </c>
      <c r="I1556" s="10" t="s">
        <v>103</v>
      </c>
      <c r="J1556" s="10" t="s">
        <v>1636</v>
      </c>
      <c r="K1556" s="10" t="s">
        <v>1640</v>
      </c>
    </row>
    <row r="1557" customFormat="false" ht="15" hidden="false" customHeight="false" outlineLevel="0" collapsed="false">
      <c r="A1557" s="10" t="s">
        <v>3236</v>
      </c>
      <c r="B1557" s="10" t="n">
        <v>1721</v>
      </c>
      <c r="C1557" s="8" t="n">
        <v>45996</v>
      </c>
      <c r="D1557" s="8" t="n">
        <v>45994</v>
      </c>
      <c r="E1557" s="10" t="n">
        <v>1200</v>
      </c>
      <c r="F1557" s="0" t="str">
        <f aca="false">INDEX(COA!$C$5:$C$19,MATCH(E1557,COA!$A$5:$A$19,0))</f>
        <v>Asset</v>
      </c>
      <c r="G1557" s="12" t="n">
        <v>1860.42</v>
      </c>
      <c r="H1557" s="12" t="n">
        <v>0</v>
      </c>
      <c r="I1557" s="10" t="s">
        <v>102</v>
      </c>
      <c r="J1557" s="10" t="s">
        <v>1636</v>
      </c>
      <c r="K1557" s="10" t="s">
        <v>1655</v>
      </c>
    </row>
    <row r="1558" customFormat="false" ht="15" hidden="false" customHeight="false" outlineLevel="0" collapsed="false">
      <c r="A1558" s="10" t="s">
        <v>3237</v>
      </c>
      <c r="B1558" s="10" t="n">
        <v>1721</v>
      </c>
      <c r="C1558" s="8" t="n">
        <v>45996</v>
      </c>
      <c r="D1558" s="8" t="n">
        <v>45994</v>
      </c>
      <c r="E1558" s="10" t="n">
        <v>2000</v>
      </c>
      <c r="F1558" s="0" t="str">
        <f aca="false">INDEX(COA!$C$5:$C$19,MATCH(E1558,COA!$A$5:$A$19,0))</f>
        <v>Liability</v>
      </c>
      <c r="G1558" s="12" t="n">
        <v>0</v>
      </c>
      <c r="H1558" s="12" t="n">
        <v>1860.42</v>
      </c>
      <c r="I1558" s="10" t="s">
        <v>102</v>
      </c>
      <c r="J1558" s="10" t="s">
        <v>1636</v>
      </c>
      <c r="K1558" s="10" t="s">
        <v>1655</v>
      </c>
    </row>
    <row r="1559" customFormat="false" ht="15" hidden="false" customHeight="false" outlineLevel="0" collapsed="false">
      <c r="A1559" s="10" t="s">
        <v>3238</v>
      </c>
      <c r="B1559" s="10" t="n">
        <v>1722</v>
      </c>
      <c r="C1559" s="8" t="n">
        <v>45996</v>
      </c>
      <c r="D1559" s="8" t="n">
        <v>45996</v>
      </c>
      <c r="E1559" s="10" t="n">
        <v>2100</v>
      </c>
      <c r="F1559" s="0" t="str">
        <f aca="false">INDEX(COA!$C$5:$C$19,MATCH(E1559,COA!$A$5:$A$19,0))</f>
        <v>Liability</v>
      </c>
      <c r="G1559" s="12" t="n">
        <v>6563.6</v>
      </c>
      <c r="H1559" s="12" t="n">
        <v>0</v>
      </c>
      <c r="I1559" s="10" t="s">
        <v>101</v>
      </c>
      <c r="J1559" s="10" t="s">
        <v>1648</v>
      </c>
      <c r="K1559" s="10" t="s">
        <v>1677</v>
      </c>
    </row>
    <row r="1560" customFormat="false" ht="15" hidden="false" customHeight="false" outlineLevel="0" collapsed="false">
      <c r="A1560" s="10" t="s">
        <v>3239</v>
      </c>
      <c r="B1560" s="10" t="n">
        <v>1722</v>
      </c>
      <c r="C1560" s="8" t="n">
        <v>45996</v>
      </c>
      <c r="D1560" s="8" t="n">
        <v>45996</v>
      </c>
      <c r="E1560" s="10" t="n">
        <v>6900</v>
      </c>
      <c r="F1560" s="0" t="str">
        <f aca="false">INDEX(COA!$C$5:$C$19,MATCH(E1560,COA!$A$5:$A$19,0))</f>
        <v>Expense</v>
      </c>
      <c r="G1560" s="12" t="n">
        <v>0</v>
      </c>
      <c r="H1560" s="12" t="n">
        <v>6563.6</v>
      </c>
      <c r="I1560" s="10" t="s">
        <v>101</v>
      </c>
      <c r="J1560" s="10" t="s">
        <v>1648</v>
      </c>
      <c r="K1560" s="10" t="s">
        <v>1677</v>
      </c>
    </row>
    <row r="1561" customFormat="false" ht="15" hidden="false" customHeight="false" outlineLevel="0" collapsed="false">
      <c r="A1561" s="10" t="s">
        <v>3240</v>
      </c>
      <c r="B1561" s="10" t="n">
        <v>1723</v>
      </c>
      <c r="C1561" s="8" t="n">
        <v>45996</v>
      </c>
      <c r="D1561" s="8" t="n">
        <v>45996</v>
      </c>
      <c r="E1561" s="10" t="n">
        <v>1000</v>
      </c>
      <c r="F1561" s="0" t="str">
        <f aca="false">INDEX(COA!$C$5:$C$19,MATCH(E1561,COA!$A$5:$A$19,0))</f>
        <v>Asset</v>
      </c>
      <c r="G1561" s="12" t="n">
        <v>12386.96</v>
      </c>
      <c r="H1561" s="12" t="n">
        <v>0</v>
      </c>
      <c r="I1561" s="10" t="s">
        <v>103</v>
      </c>
      <c r="J1561" s="10" t="s">
        <v>1636</v>
      </c>
      <c r="K1561" s="10" t="s">
        <v>1637</v>
      </c>
    </row>
    <row r="1562" customFormat="false" ht="15" hidden="false" customHeight="false" outlineLevel="0" collapsed="false">
      <c r="A1562" s="10" t="s">
        <v>3241</v>
      </c>
      <c r="B1562" s="10" t="n">
        <v>1723</v>
      </c>
      <c r="C1562" s="8" t="n">
        <v>45996</v>
      </c>
      <c r="D1562" s="8" t="n">
        <v>45996</v>
      </c>
      <c r="E1562" s="10" t="n">
        <v>1100</v>
      </c>
      <c r="F1562" s="0" t="str">
        <f aca="false">INDEX(COA!$C$5:$C$19,MATCH(E1562,COA!$A$5:$A$19,0))</f>
        <v>Asset</v>
      </c>
      <c r="G1562" s="12" t="n">
        <v>0</v>
      </c>
      <c r="H1562" s="12" t="n">
        <v>12386.96</v>
      </c>
      <c r="I1562" s="10" t="s">
        <v>103</v>
      </c>
      <c r="J1562" s="10" t="s">
        <v>1636</v>
      </c>
      <c r="K1562" s="10" t="s">
        <v>1637</v>
      </c>
    </row>
    <row r="1563" customFormat="false" ht="15" hidden="false" customHeight="false" outlineLevel="0" collapsed="false">
      <c r="A1563" s="10" t="s">
        <v>3242</v>
      </c>
      <c r="B1563" s="10" t="n">
        <v>1724</v>
      </c>
      <c r="C1563" s="8" t="n">
        <v>45996</v>
      </c>
      <c r="D1563" s="8" t="n">
        <v>45994</v>
      </c>
      <c r="E1563" s="10" t="n">
        <v>1000</v>
      </c>
      <c r="F1563" s="0" t="str">
        <f aca="false">INDEX(COA!$C$5:$C$19,MATCH(E1563,COA!$A$5:$A$19,0))</f>
        <v>Asset</v>
      </c>
      <c r="G1563" s="12" t="n">
        <v>18241.13</v>
      </c>
      <c r="H1563" s="12" t="n">
        <v>0</v>
      </c>
      <c r="I1563" s="10" t="s">
        <v>103</v>
      </c>
      <c r="J1563" s="10" t="s">
        <v>1636</v>
      </c>
      <c r="K1563" s="10" t="s">
        <v>1637</v>
      </c>
    </row>
    <row r="1564" customFormat="false" ht="15" hidden="false" customHeight="false" outlineLevel="0" collapsed="false">
      <c r="A1564" s="10" t="s">
        <v>3243</v>
      </c>
      <c r="B1564" s="10" t="n">
        <v>1724</v>
      </c>
      <c r="C1564" s="8" t="n">
        <v>45996</v>
      </c>
      <c r="D1564" s="8" t="n">
        <v>45994</v>
      </c>
      <c r="E1564" s="10" t="n">
        <v>1100</v>
      </c>
      <c r="F1564" s="0" t="str">
        <f aca="false">INDEX(COA!$C$5:$C$19,MATCH(E1564,COA!$A$5:$A$19,0))</f>
        <v>Asset</v>
      </c>
      <c r="G1564" s="12" t="n">
        <v>0</v>
      </c>
      <c r="H1564" s="12" t="n">
        <v>18241.13</v>
      </c>
      <c r="I1564" s="10" t="s">
        <v>103</v>
      </c>
      <c r="J1564" s="10" t="s">
        <v>1636</v>
      </c>
      <c r="K1564" s="10" t="s">
        <v>1637</v>
      </c>
    </row>
    <row r="1565" customFormat="false" ht="15" hidden="false" customHeight="false" outlineLevel="0" collapsed="false">
      <c r="A1565" s="10" t="s">
        <v>3244</v>
      </c>
      <c r="B1565" s="10" t="n">
        <v>1725</v>
      </c>
      <c r="C1565" s="8" t="n">
        <v>45996</v>
      </c>
      <c r="D1565" s="8" t="n">
        <v>45993</v>
      </c>
      <c r="E1565" s="10" t="n">
        <v>1000</v>
      </c>
      <c r="F1565" s="0" t="str">
        <f aca="false">INDEX(COA!$C$5:$C$19,MATCH(E1565,COA!$A$5:$A$19,0))</f>
        <v>Asset</v>
      </c>
      <c r="G1565" s="12" t="n">
        <v>4903.28</v>
      </c>
      <c r="H1565" s="12" t="n">
        <v>0</v>
      </c>
      <c r="I1565" s="10" t="s">
        <v>103</v>
      </c>
      <c r="J1565" s="10" t="s">
        <v>1636</v>
      </c>
      <c r="K1565" s="10" t="s">
        <v>1637</v>
      </c>
    </row>
    <row r="1566" customFormat="false" ht="15" hidden="false" customHeight="false" outlineLevel="0" collapsed="false">
      <c r="A1566" s="10" t="s">
        <v>3245</v>
      </c>
      <c r="B1566" s="10" t="n">
        <v>1725</v>
      </c>
      <c r="C1566" s="8" t="n">
        <v>45996</v>
      </c>
      <c r="D1566" s="8" t="n">
        <v>45993</v>
      </c>
      <c r="E1566" s="10" t="n">
        <v>1100</v>
      </c>
      <c r="F1566" s="0" t="str">
        <f aca="false">INDEX(COA!$C$5:$C$19,MATCH(E1566,COA!$A$5:$A$19,0))</f>
        <v>Asset</v>
      </c>
      <c r="G1566" s="12" t="n">
        <v>0</v>
      </c>
      <c r="H1566" s="12" t="n">
        <v>4903.28</v>
      </c>
      <c r="I1566" s="10" t="s">
        <v>103</v>
      </c>
      <c r="J1566" s="10" t="s">
        <v>1636</v>
      </c>
      <c r="K1566" s="10" t="s">
        <v>1637</v>
      </c>
    </row>
    <row r="1567" customFormat="false" ht="15" hidden="false" customHeight="false" outlineLevel="0" collapsed="false">
      <c r="A1567" s="10" t="s">
        <v>3246</v>
      </c>
      <c r="B1567" s="10" t="n">
        <v>1726</v>
      </c>
      <c r="C1567" s="8" t="n">
        <v>45996</v>
      </c>
      <c r="D1567" s="8" t="n">
        <v>45995</v>
      </c>
      <c r="E1567" s="10" t="n">
        <v>1000</v>
      </c>
      <c r="F1567" s="0" t="str">
        <f aca="false">INDEX(COA!$C$5:$C$19,MATCH(E1567,COA!$A$5:$A$19,0))</f>
        <v>Asset</v>
      </c>
      <c r="G1567" s="12" t="n">
        <v>55010.27</v>
      </c>
      <c r="H1567" s="12" t="n">
        <v>0</v>
      </c>
      <c r="I1567" s="10" t="s">
        <v>103</v>
      </c>
      <c r="J1567" s="10" t="s">
        <v>1636</v>
      </c>
      <c r="K1567" s="10" t="s">
        <v>1637</v>
      </c>
    </row>
    <row r="1568" customFormat="false" ht="15" hidden="false" customHeight="false" outlineLevel="0" collapsed="false">
      <c r="A1568" s="10" t="s">
        <v>3247</v>
      </c>
      <c r="B1568" s="10" t="n">
        <v>1726</v>
      </c>
      <c r="C1568" s="8" t="n">
        <v>45996</v>
      </c>
      <c r="D1568" s="8" t="n">
        <v>45995</v>
      </c>
      <c r="E1568" s="10" t="n">
        <v>1100</v>
      </c>
      <c r="F1568" s="0" t="str">
        <f aca="false">INDEX(COA!$C$5:$C$19,MATCH(E1568,COA!$A$5:$A$19,0))</f>
        <v>Asset</v>
      </c>
      <c r="G1568" s="12" t="n">
        <v>0</v>
      </c>
      <c r="H1568" s="12" t="n">
        <v>55010.27</v>
      </c>
      <c r="I1568" s="10" t="s">
        <v>103</v>
      </c>
      <c r="J1568" s="10" t="s">
        <v>1636</v>
      </c>
      <c r="K1568" s="10" t="s">
        <v>1637</v>
      </c>
    </row>
    <row r="1569" customFormat="false" ht="15" hidden="false" customHeight="false" outlineLevel="0" collapsed="false">
      <c r="A1569" s="10" t="s">
        <v>3248</v>
      </c>
      <c r="B1569" s="10" t="n">
        <v>1727</v>
      </c>
      <c r="C1569" s="8" t="n">
        <v>45999</v>
      </c>
      <c r="D1569" s="8" t="n">
        <v>45999</v>
      </c>
      <c r="E1569" s="10" t="n">
        <v>2000</v>
      </c>
      <c r="F1569" s="0" t="str">
        <f aca="false">INDEX(COA!$C$5:$C$19,MATCH(E1569,COA!$A$5:$A$19,0))</f>
        <v>Liability</v>
      </c>
      <c r="G1569" s="12" t="n">
        <v>12092.27</v>
      </c>
      <c r="H1569" s="12" t="n">
        <v>0</v>
      </c>
      <c r="I1569" s="10" t="s">
        <v>104</v>
      </c>
      <c r="J1569" s="10" t="s">
        <v>1636</v>
      </c>
      <c r="K1569" s="10" t="s">
        <v>1659</v>
      </c>
    </row>
    <row r="1570" customFormat="false" ht="15" hidden="false" customHeight="false" outlineLevel="0" collapsed="false">
      <c r="A1570" s="10" t="s">
        <v>3249</v>
      </c>
      <c r="B1570" s="10" t="n">
        <v>1727</v>
      </c>
      <c r="C1570" s="8" t="n">
        <v>45999</v>
      </c>
      <c r="D1570" s="8" t="n">
        <v>45999</v>
      </c>
      <c r="E1570" s="10" t="n">
        <v>1000</v>
      </c>
      <c r="F1570" s="0" t="str">
        <f aca="false">INDEX(COA!$C$5:$C$19,MATCH(E1570,COA!$A$5:$A$19,0))</f>
        <v>Asset</v>
      </c>
      <c r="G1570" s="12" t="n">
        <v>0</v>
      </c>
      <c r="H1570" s="12" t="n">
        <v>12092.27</v>
      </c>
      <c r="I1570" s="10" t="s">
        <v>104</v>
      </c>
      <c r="J1570" s="10" t="s">
        <v>1636</v>
      </c>
      <c r="K1570" s="10" t="s">
        <v>1659</v>
      </c>
    </row>
    <row r="1571" customFormat="false" ht="15" hidden="false" customHeight="false" outlineLevel="0" collapsed="false">
      <c r="A1571" s="10" t="s">
        <v>3250</v>
      </c>
      <c r="B1571" s="10" t="n">
        <v>1728</v>
      </c>
      <c r="C1571" s="8" t="n">
        <v>45999</v>
      </c>
      <c r="D1571" s="8" t="n">
        <v>45996</v>
      </c>
      <c r="E1571" s="10" t="n">
        <v>6900</v>
      </c>
      <c r="F1571" s="0" t="str">
        <f aca="false">INDEX(COA!$C$5:$C$19,MATCH(E1571,COA!$A$5:$A$19,0))</f>
        <v>Expense</v>
      </c>
      <c r="G1571" s="12" t="n">
        <v>130283.36</v>
      </c>
      <c r="H1571" s="12" t="n">
        <v>0</v>
      </c>
      <c r="I1571" s="10" t="s">
        <v>98</v>
      </c>
      <c r="J1571" s="10" t="s">
        <v>1648</v>
      </c>
      <c r="K1571" s="10" t="s">
        <v>1649</v>
      </c>
    </row>
    <row r="1572" customFormat="false" ht="15" hidden="false" customHeight="false" outlineLevel="0" collapsed="false">
      <c r="A1572" s="10" t="s">
        <v>3251</v>
      </c>
      <c r="B1572" s="10" t="n">
        <v>1728</v>
      </c>
      <c r="C1572" s="8" t="n">
        <v>45999</v>
      </c>
      <c r="D1572" s="8" t="n">
        <v>45996</v>
      </c>
      <c r="E1572" s="10" t="n">
        <v>2100</v>
      </c>
      <c r="F1572" s="0" t="str">
        <f aca="false">INDEX(COA!$C$5:$C$19,MATCH(E1572,COA!$A$5:$A$19,0))</f>
        <v>Liability</v>
      </c>
      <c r="G1572" s="12" t="n">
        <v>0</v>
      </c>
      <c r="H1572" s="12" t="n">
        <v>130283.36</v>
      </c>
      <c r="I1572" s="10" t="s">
        <v>98</v>
      </c>
      <c r="J1572" s="10" t="s">
        <v>1648</v>
      </c>
      <c r="K1572" s="10" t="s">
        <v>1649</v>
      </c>
    </row>
    <row r="1573" customFormat="false" ht="15" hidden="false" customHeight="false" outlineLevel="0" collapsed="false">
      <c r="A1573" s="10" t="s">
        <v>3252</v>
      </c>
      <c r="B1573" s="10" t="n">
        <v>1729</v>
      </c>
      <c r="C1573" s="8" t="n">
        <v>46000</v>
      </c>
      <c r="D1573" s="8" t="n">
        <v>46000</v>
      </c>
      <c r="E1573" s="10" t="n">
        <v>6200</v>
      </c>
      <c r="F1573" s="0" t="str">
        <f aca="false">INDEX(COA!$C$5:$C$19,MATCH(E1573,COA!$A$5:$A$19,0))</f>
        <v>Expense</v>
      </c>
      <c r="G1573" s="12" t="n">
        <v>7883</v>
      </c>
      <c r="H1573" s="12" t="n">
        <v>0</v>
      </c>
      <c r="I1573" s="10" t="s">
        <v>102</v>
      </c>
      <c r="J1573" s="10" t="s">
        <v>1636</v>
      </c>
      <c r="K1573" s="10" t="s">
        <v>1689</v>
      </c>
    </row>
    <row r="1574" customFormat="false" ht="15" hidden="false" customHeight="false" outlineLevel="0" collapsed="false">
      <c r="A1574" s="10" t="s">
        <v>3253</v>
      </c>
      <c r="B1574" s="10" t="n">
        <v>1729</v>
      </c>
      <c r="C1574" s="8" t="n">
        <v>46000</v>
      </c>
      <c r="D1574" s="8" t="n">
        <v>46000</v>
      </c>
      <c r="E1574" s="10" t="n">
        <v>2000</v>
      </c>
      <c r="F1574" s="0" t="str">
        <f aca="false">INDEX(COA!$C$5:$C$19,MATCH(E1574,COA!$A$5:$A$19,0))</f>
        <v>Liability</v>
      </c>
      <c r="G1574" s="12" t="n">
        <v>0</v>
      </c>
      <c r="H1574" s="12" t="n">
        <v>7883</v>
      </c>
      <c r="I1574" s="10" t="s">
        <v>102</v>
      </c>
      <c r="J1574" s="10" t="s">
        <v>1636</v>
      </c>
      <c r="K1574" s="10" t="s">
        <v>1689</v>
      </c>
    </row>
    <row r="1575" customFormat="false" ht="15" hidden="false" customHeight="false" outlineLevel="0" collapsed="false">
      <c r="A1575" s="10" t="s">
        <v>3254</v>
      </c>
      <c r="B1575" s="10" t="n">
        <v>1730</v>
      </c>
      <c r="C1575" s="8" t="n">
        <v>46001</v>
      </c>
      <c r="D1575" s="8" t="n">
        <v>45999</v>
      </c>
      <c r="E1575" s="10" t="n">
        <v>2000</v>
      </c>
      <c r="F1575" s="0" t="str">
        <f aca="false">INDEX(COA!$C$5:$C$19,MATCH(E1575,COA!$A$5:$A$19,0))</f>
        <v>Liability</v>
      </c>
      <c r="G1575" s="12" t="n">
        <v>49714.23</v>
      </c>
      <c r="H1575" s="12" t="n">
        <v>0</v>
      </c>
      <c r="I1575" s="10" t="s">
        <v>104</v>
      </c>
      <c r="J1575" s="10" t="s">
        <v>1636</v>
      </c>
      <c r="K1575" s="10" t="s">
        <v>1659</v>
      </c>
    </row>
    <row r="1576" customFormat="false" ht="15" hidden="false" customHeight="false" outlineLevel="0" collapsed="false">
      <c r="A1576" s="10" t="s">
        <v>3255</v>
      </c>
      <c r="B1576" s="10" t="n">
        <v>1730</v>
      </c>
      <c r="C1576" s="8" t="n">
        <v>46001</v>
      </c>
      <c r="D1576" s="8" t="n">
        <v>45999</v>
      </c>
      <c r="E1576" s="10" t="n">
        <v>1000</v>
      </c>
      <c r="F1576" s="0" t="str">
        <f aca="false">INDEX(COA!$C$5:$C$19,MATCH(E1576,COA!$A$5:$A$19,0))</f>
        <v>Asset</v>
      </c>
      <c r="G1576" s="12" t="n">
        <v>0</v>
      </c>
      <c r="H1576" s="12" t="n">
        <v>49714.23</v>
      </c>
      <c r="I1576" s="10" t="s">
        <v>104</v>
      </c>
      <c r="J1576" s="10" t="s">
        <v>1636</v>
      </c>
      <c r="K1576" s="10" t="s">
        <v>1659</v>
      </c>
    </row>
    <row r="1577" customFormat="false" ht="15" hidden="false" customHeight="false" outlineLevel="0" collapsed="false">
      <c r="A1577" s="10" t="s">
        <v>3256</v>
      </c>
      <c r="B1577" s="10" t="n">
        <v>1731</v>
      </c>
      <c r="C1577" s="8" t="n">
        <v>46001</v>
      </c>
      <c r="D1577" s="8" t="n">
        <v>45997</v>
      </c>
      <c r="E1577" s="10" t="n">
        <v>1200</v>
      </c>
      <c r="F1577" s="0" t="str">
        <f aca="false">INDEX(COA!$C$5:$C$19,MATCH(E1577,COA!$A$5:$A$19,0))</f>
        <v>Asset</v>
      </c>
      <c r="G1577" s="12" t="n">
        <v>7638.11</v>
      </c>
      <c r="H1577" s="12" t="n">
        <v>0</v>
      </c>
      <c r="I1577" s="10" t="s">
        <v>102</v>
      </c>
      <c r="J1577" s="10" t="s">
        <v>1636</v>
      </c>
      <c r="K1577" s="10" t="s">
        <v>1655</v>
      </c>
    </row>
    <row r="1578" customFormat="false" ht="15" hidden="false" customHeight="false" outlineLevel="0" collapsed="false">
      <c r="A1578" s="10" t="s">
        <v>3257</v>
      </c>
      <c r="B1578" s="10" t="n">
        <v>1731</v>
      </c>
      <c r="C1578" s="8" t="n">
        <v>46001</v>
      </c>
      <c r="D1578" s="8" t="n">
        <v>45997</v>
      </c>
      <c r="E1578" s="10" t="n">
        <v>2000</v>
      </c>
      <c r="F1578" s="0" t="str">
        <f aca="false">INDEX(COA!$C$5:$C$19,MATCH(E1578,COA!$A$5:$A$19,0))</f>
        <v>Liability</v>
      </c>
      <c r="G1578" s="12" t="n">
        <v>0</v>
      </c>
      <c r="H1578" s="12" t="n">
        <v>7638.11</v>
      </c>
      <c r="I1578" s="10" t="s">
        <v>102</v>
      </c>
      <c r="J1578" s="10" t="s">
        <v>1636</v>
      </c>
      <c r="K1578" s="10" t="s">
        <v>1655</v>
      </c>
    </row>
    <row r="1579" customFormat="false" ht="15" hidden="false" customHeight="false" outlineLevel="0" collapsed="false">
      <c r="A1579" s="10" t="s">
        <v>3258</v>
      </c>
      <c r="B1579" s="10" t="n">
        <v>1732</v>
      </c>
      <c r="C1579" s="8" t="n">
        <v>46001</v>
      </c>
      <c r="D1579" s="8" t="n">
        <v>46001</v>
      </c>
      <c r="E1579" s="10" t="n">
        <v>1100</v>
      </c>
      <c r="F1579" s="0" t="str">
        <f aca="false">INDEX(COA!$C$5:$C$19,MATCH(E1579,COA!$A$5:$A$19,0))</f>
        <v>Asset</v>
      </c>
      <c r="G1579" s="12" t="n">
        <v>10117.72</v>
      </c>
      <c r="H1579" s="12" t="n">
        <v>0</v>
      </c>
      <c r="I1579" s="10" t="s">
        <v>103</v>
      </c>
      <c r="J1579" s="10" t="s">
        <v>1636</v>
      </c>
      <c r="K1579" s="10" t="s">
        <v>1640</v>
      </c>
    </row>
    <row r="1580" customFormat="false" ht="15" hidden="false" customHeight="false" outlineLevel="0" collapsed="false">
      <c r="A1580" s="10" t="s">
        <v>3259</v>
      </c>
      <c r="B1580" s="10" t="n">
        <v>1732</v>
      </c>
      <c r="C1580" s="8" t="n">
        <v>46001</v>
      </c>
      <c r="D1580" s="8" t="n">
        <v>46001</v>
      </c>
      <c r="E1580" s="10" t="n">
        <v>1100</v>
      </c>
      <c r="F1580" s="0" t="str">
        <f aca="false">INDEX(COA!$C$5:$C$19,MATCH(E1580,COA!$A$5:$A$19,0))</f>
        <v>Asset</v>
      </c>
      <c r="G1580" s="12" t="n">
        <v>4336.17</v>
      </c>
      <c r="H1580" s="12" t="n">
        <v>0</v>
      </c>
      <c r="I1580" s="10" t="s">
        <v>103</v>
      </c>
      <c r="J1580" s="10" t="s">
        <v>1636</v>
      </c>
      <c r="K1580" s="10" t="s">
        <v>1640</v>
      </c>
    </row>
    <row r="1581" customFormat="false" ht="15" hidden="false" customHeight="false" outlineLevel="0" collapsed="false">
      <c r="A1581" s="10" t="s">
        <v>3260</v>
      </c>
      <c r="B1581" s="10" t="n">
        <v>1732</v>
      </c>
      <c r="C1581" s="8" t="n">
        <v>46001</v>
      </c>
      <c r="D1581" s="8" t="n">
        <v>46001</v>
      </c>
      <c r="E1581" s="10" t="n">
        <v>4000</v>
      </c>
      <c r="F1581" s="0" t="str">
        <f aca="false">INDEX(COA!$C$5:$C$19,MATCH(E1581,COA!$A$5:$A$19,0))</f>
        <v>Revenue</v>
      </c>
      <c r="G1581" s="12" t="n">
        <v>0</v>
      </c>
      <c r="H1581" s="12" t="n">
        <v>14453.89</v>
      </c>
      <c r="I1581" s="10" t="s">
        <v>103</v>
      </c>
      <c r="J1581" s="10" t="s">
        <v>1636</v>
      </c>
      <c r="K1581" s="10" t="s">
        <v>1640</v>
      </c>
    </row>
    <row r="1582" customFormat="false" ht="15" hidden="false" customHeight="false" outlineLevel="0" collapsed="false">
      <c r="A1582" s="10" t="s">
        <v>3261</v>
      </c>
      <c r="B1582" s="10" t="n">
        <v>1733</v>
      </c>
      <c r="C1582" s="8" t="n">
        <v>46001</v>
      </c>
      <c r="D1582" s="8" t="n">
        <v>45997</v>
      </c>
      <c r="E1582" s="10" t="n">
        <v>6200</v>
      </c>
      <c r="F1582" s="0" t="str">
        <f aca="false">INDEX(COA!$C$5:$C$19,MATCH(E1582,COA!$A$5:$A$19,0))</f>
        <v>Expense</v>
      </c>
      <c r="G1582" s="12" t="n">
        <v>1466.65</v>
      </c>
      <c r="H1582" s="12" t="n">
        <v>0</v>
      </c>
      <c r="I1582" s="10" t="s">
        <v>102</v>
      </c>
      <c r="J1582" s="10" t="s">
        <v>1636</v>
      </c>
      <c r="K1582" s="10" t="s">
        <v>1689</v>
      </c>
    </row>
    <row r="1583" customFormat="false" ht="15" hidden="false" customHeight="false" outlineLevel="0" collapsed="false">
      <c r="A1583" s="10" t="s">
        <v>3262</v>
      </c>
      <c r="B1583" s="10" t="n">
        <v>1733</v>
      </c>
      <c r="C1583" s="8" t="n">
        <v>46001</v>
      </c>
      <c r="D1583" s="8" t="n">
        <v>45997</v>
      </c>
      <c r="E1583" s="10" t="n">
        <v>2000</v>
      </c>
      <c r="F1583" s="0" t="str">
        <f aca="false">INDEX(COA!$C$5:$C$19,MATCH(E1583,COA!$A$5:$A$19,0))</f>
        <v>Liability</v>
      </c>
      <c r="G1583" s="12" t="n">
        <v>0</v>
      </c>
      <c r="H1583" s="12" t="n">
        <v>1466.65</v>
      </c>
      <c r="I1583" s="10" t="s">
        <v>102</v>
      </c>
      <c r="J1583" s="10" t="s">
        <v>1636</v>
      </c>
      <c r="K1583" s="10" t="s">
        <v>1689</v>
      </c>
    </row>
    <row r="1584" customFormat="false" ht="15" hidden="false" customHeight="false" outlineLevel="0" collapsed="false">
      <c r="A1584" s="10" t="s">
        <v>3263</v>
      </c>
      <c r="B1584" s="10" t="n">
        <v>1734</v>
      </c>
      <c r="C1584" s="8" t="n">
        <v>46001</v>
      </c>
      <c r="D1584" s="8" t="n">
        <v>46000</v>
      </c>
      <c r="E1584" s="10" t="n">
        <v>2000</v>
      </c>
      <c r="F1584" s="0" t="str">
        <f aca="false">INDEX(COA!$C$5:$C$19,MATCH(E1584,COA!$A$5:$A$19,0))</f>
        <v>Liability</v>
      </c>
      <c r="G1584" s="12" t="n">
        <v>2286.94</v>
      </c>
      <c r="H1584" s="12" t="n">
        <v>0</v>
      </c>
      <c r="I1584" s="10" t="s">
        <v>104</v>
      </c>
      <c r="J1584" s="10" t="s">
        <v>1636</v>
      </c>
      <c r="K1584" s="10" t="s">
        <v>1659</v>
      </c>
    </row>
    <row r="1585" customFormat="false" ht="15" hidden="false" customHeight="false" outlineLevel="0" collapsed="false">
      <c r="A1585" s="10" t="s">
        <v>3264</v>
      </c>
      <c r="B1585" s="10" t="n">
        <v>1734</v>
      </c>
      <c r="C1585" s="8" t="n">
        <v>46001</v>
      </c>
      <c r="D1585" s="8" t="n">
        <v>46000</v>
      </c>
      <c r="E1585" s="10" t="n">
        <v>1000</v>
      </c>
      <c r="F1585" s="0" t="str">
        <f aca="false">INDEX(COA!$C$5:$C$19,MATCH(E1585,COA!$A$5:$A$19,0))</f>
        <v>Asset</v>
      </c>
      <c r="G1585" s="12" t="n">
        <v>0</v>
      </c>
      <c r="H1585" s="12" t="n">
        <v>2286.94</v>
      </c>
      <c r="I1585" s="10" t="s">
        <v>104</v>
      </c>
      <c r="J1585" s="10" t="s">
        <v>1636</v>
      </c>
      <c r="K1585" s="10" t="s">
        <v>1659</v>
      </c>
    </row>
    <row r="1586" customFormat="false" ht="15" hidden="false" customHeight="false" outlineLevel="0" collapsed="false">
      <c r="A1586" s="10" t="s">
        <v>3265</v>
      </c>
      <c r="B1586" s="10" t="n">
        <v>1735</v>
      </c>
      <c r="C1586" s="8" t="n">
        <v>46002</v>
      </c>
      <c r="D1586" s="8" t="n">
        <v>45998</v>
      </c>
      <c r="E1586" s="10" t="n">
        <v>1200</v>
      </c>
      <c r="F1586" s="0" t="str">
        <f aca="false">INDEX(COA!$C$5:$C$19,MATCH(E1586,COA!$A$5:$A$19,0))</f>
        <v>Asset</v>
      </c>
      <c r="G1586" s="12" t="n">
        <v>4954.03</v>
      </c>
      <c r="H1586" s="12" t="n">
        <v>0</v>
      </c>
      <c r="I1586" s="10" t="s">
        <v>102</v>
      </c>
      <c r="J1586" s="10" t="s">
        <v>1636</v>
      </c>
      <c r="K1586" s="10" t="s">
        <v>1655</v>
      </c>
    </row>
    <row r="1587" customFormat="false" ht="15" hidden="false" customHeight="false" outlineLevel="0" collapsed="false">
      <c r="A1587" s="10" t="s">
        <v>3266</v>
      </c>
      <c r="B1587" s="10" t="n">
        <v>1735</v>
      </c>
      <c r="C1587" s="8" t="n">
        <v>46002</v>
      </c>
      <c r="D1587" s="8" t="n">
        <v>45998</v>
      </c>
      <c r="E1587" s="10" t="n">
        <v>2000</v>
      </c>
      <c r="F1587" s="0" t="str">
        <f aca="false">INDEX(COA!$C$5:$C$19,MATCH(E1587,COA!$A$5:$A$19,0))</f>
        <v>Liability</v>
      </c>
      <c r="G1587" s="12" t="n">
        <v>0</v>
      </c>
      <c r="H1587" s="12" t="n">
        <v>4954.03</v>
      </c>
      <c r="I1587" s="10" t="s">
        <v>102</v>
      </c>
      <c r="J1587" s="10" t="s">
        <v>1636</v>
      </c>
      <c r="K1587" s="10" t="s">
        <v>1655</v>
      </c>
    </row>
    <row r="1588" customFormat="false" ht="15" hidden="false" customHeight="false" outlineLevel="0" collapsed="false">
      <c r="A1588" s="10" t="s">
        <v>3267</v>
      </c>
      <c r="B1588" s="10" t="n">
        <v>1736</v>
      </c>
      <c r="C1588" s="8" t="n">
        <v>46002</v>
      </c>
      <c r="D1588" s="8" t="n">
        <v>46001</v>
      </c>
      <c r="E1588" s="10" t="n">
        <v>1100</v>
      </c>
      <c r="F1588" s="0" t="str">
        <f aca="false">INDEX(COA!$C$5:$C$19,MATCH(E1588,COA!$A$5:$A$19,0))</f>
        <v>Asset</v>
      </c>
      <c r="G1588" s="12" t="n">
        <v>1974.07</v>
      </c>
      <c r="H1588" s="12" t="n">
        <v>0</v>
      </c>
      <c r="I1588" s="10" t="s">
        <v>103</v>
      </c>
      <c r="J1588" s="10" t="s">
        <v>1636</v>
      </c>
      <c r="K1588" s="10" t="s">
        <v>1640</v>
      </c>
    </row>
    <row r="1589" customFormat="false" ht="15" hidden="false" customHeight="false" outlineLevel="0" collapsed="false">
      <c r="A1589" s="10" t="s">
        <v>3268</v>
      </c>
      <c r="B1589" s="10" t="n">
        <v>1736</v>
      </c>
      <c r="C1589" s="8" t="n">
        <v>46002</v>
      </c>
      <c r="D1589" s="8" t="n">
        <v>46001</v>
      </c>
      <c r="E1589" s="10" t="n">
        <v>4000</v>
      </c>
      <c r="F1589" s="0" t="str">
        <f aca="false">INDEX(COA!$C$5:$C$19,MATCH(E1589,COA!$A$5:$A$19,0))</f>
        <v>Revenue</v>
      </c>
      <c r="G1589" s="12" t="n">
        <v>0</v>
      </c>
      <c r="H1589" s="12" t="n">
        <v>1974.07</v>
      </c>
      <c r="I1589" s="10" t="s">
        <v>103</v>
      </c>
      <c r="J1589" s="10" t="s">
        <v>1636</v>
      </c>
      <c r="K1589" s="10" t="s">
        <v>1640</v>
      </c>
    </row>
    <row r="1590" customFormat="false" ht="15" hidden="false" customHeight="false" outlineLevel="0" collapsed="false">
      <c r="A1590" s="10" t="s">
        <v>3269</v>
      </c>
      <c r="B1590" s="10" t="n">
        <v>1737</v>
      </c>
      <c r="C1590" s="8" t="n">
        <v>46002</v>
      </c>
      <c r="D1590" s="8" t="n">
        <v>46002</v>
      </c>
      <c r="E1590" s="10" t="n">
        <v>1000</v>
      </c>
      <c r="F1590" s="0" t="str">
        <f aca="false">INDEX(COA!$C$5:$C$19,MATCH(E1590,COA!$A$5:$A$19,0))</f>
        <v>Asset</v>
      </c>
      <c r="G1590" s="12" t="n">
        <v>335.17</v>
      </c>
      <c r="H1590" s="12" t="n">
        <v>0</v>
      </c>
      <c r="I1590" s="10" t="s">
        <v>103</v>
      </c>
      <c r="J1590" s="10" t="s">
        <v>1636</v>
      </c>
      <c r="K1590" s="10" t="s">
        <v>1637</v>
      </c>
    </row>
    <row r="1591" customFormat="false" ht="15" hidden="false" customHeight="false" outlineLevel="0" collapsed="false">
      <c r="A1591" s="10" t="s">
        <v>3270</v>
      </c>
      <c r="B1591" s="10" t="n">
        <v>1737</v>
      </c>
      <c r="C1591" s="8" t="n">
        <v>46002</v>
      </c>
      <c r="D1591" s="8" t="n">
        <v>46002</v>
      </c>
      <c r="E1591" s="10" t="n">
        <v>1100</v>
      </c>
      <c r="F1591" s="0" t="str">
        <f aca="false">INDEX(COA!$C$5:$C$19,MATCH(E1591,COA!$A$5:$A$19,0))</f>
        <v>Asset</v>
      </c>
      <c r="G1591" s="12" t="n">
        <v>0</v>
      </c>
      <c r="H1591" s="12" t="n">
        <v>335.17</v>
      </c>
      <c r="I1591" s="10" t="s">
        <v>103</v>
      </c>
      <c r="J1591" s="10" t="s">
        <v>1636</v>
      </c>
      <c r="K1591" s="10" t="s">
        <v>1637</v>
      </c>
    </row>
    <row r="1592" customFormat="false" ht="15" hidden="false" customHeight="false" outlineLevel="0" collapsed="false">
      <c r="A1592" s="10" t="s">
        <v>3271</v>
      </c>
      <c r="B1592" s="10" t="n">
        <v>1738</v>
      </c>
      <c r="C1592" s="8" t="n">
        <v>46002</v>
      </c>
      <c r="D1592" s="8" t="n">
        <v>46000</v>
      </c>
      <c r="E1592" s="10" t="n">
        <v>1100</v>
      </c>
      <c r="F1592" s="0" t="str">
        <f aca="false">INDEX(COA!$C$5:$C$19,MATCH(E1592,COA!$A$5:$A$19,0))</f>
        <v>Asset</v>
      </c>
      <c r="G1592" s="12" t="n">
        <v>16536.04</v>
      </c>
      <c r="H1592" s="12" t="n">
        <v>0</v>
      </c>
      <c r="I1592" s="10" t="s">
        <v>103</v>
      </c>
      <c r="J1592" s="10" t="s">
        <v>1636</v>
      </c>
      <c r="K1592" s="10" t="s">
        <v>1640</v>
      </c>
    </row>
    <row r="1593" customFormat="false" ht="15" hidden="false" customHeight="false" outlineLevel="0" collapsed="false">
      <c r="A1593" s="10" t="s">
        <v>3272</v>
      </c>
      <c r="B1593" s="10" t="n">
        <v>1738</v>
      </c>
      <c r="C1593" s="8" t="n">
        <v>46002</v>
      </c>
      <c r="D1593" s="8" t="n">
        <v>46000</v>
      </c>
      <c r="E1593" s="10" t="n">
        <v>1100</v>
      </c>
      <c r="F1593" s="0" t="str">
        <f aca="false">INDEX(COA!$C$5:$C$19,MATCH(E1593,COA!$A$5:$A$19,0))</f>
        <v>Asset</v>
      </c>
      <c r="G1593" s="12" t="n">
        <v>7086.87</v>
      </c>
      <c r="H1593" s="12" t="n">
        <v>0</v>
      </c>
      <c r="I1593" s="10" t="s">
        <v>103</v>
      </c>
      <c r="J1593" s="10" t="s">
        <v>1636</v>
      </c>
      <c r="K1593" s="10" t="s">
        <v>1640</v>
      </c>
    </row>
    <row r="1594" customFormat="false" ht="15" hidden="false" customHeight="false" outlineLevel="0" collapsed="false">
      <c r="A1594" s="10" t="s">
        <v>3273</v>
      </c>
      <c r="B1594" s="10" t="n">
        <v>1738</v>
      </c>
      <c r="C1594" s="8" t="n">
        <v>46002</v>
      </c>
      <c r="D1594" s="8" t="n">
        <v>46000</v>
      </c>
      <c r="E1594" s="10" t="n">
        <v>4000</v>
      </c>
      <c r="F1594" s="0" t="str">
        <f aca="false">INDEX(COA!$C$5:$C$19,MATCH(E1594,COA!$A$5:$A$19,0))</f>
        <v>Revenue</v>
      </c>
      <c r="G1594" s="12" t="n">
        <v>0</v>
      </c>
      <c r="H1594" s="12" t="n">
        <v>23622.91</v>
      </c>
      <c r="I1594" s="10" t="s">
        <v>103</v>
      </c>
      <c r="J1594" s="10" t="s">
        <v>1636</v>
      </c>
      <c r="K1594" s="10" t="s">
        <v>1640</v>
      </c>
    </row>
    <row r="1595" customFormat="false" ht="15" hidden="false" customHeight="false" outlineLevel="0" collapsed="false">
      <c r="A1595" s="10" t="s">
        <v>3274</v>
      </c>
      <c r="B1595" s="10" t="n">
        <v>1739</v>
      </c>
      <c r="C1595" s="8" t="n">
        <v>46002</v>
      </c>
      <c r="D1595" s="8" t="n">
        <v>46000</v>
      </c>
      <c r="E1595" s="10" t="n">
        <v>1000</v>
      </c>
      <c r="F1595" s="0" t="str">
        <f aca="false">INDEX(COA!$C$5:$C$19,MATCH(E1595,COA!$A$5:$A$19,0))</f>
        <v>Asset</v>
      </c>
      <c r="G1595" s="12" t="n">
        <v>1448.47</v>
      </c>
      <c r="H1595" s="12" t="n">
        <v>0</v>
      </c>
      <c r="I1595" s="10" t="s">
        <v>103</v>
      </c>
      <c r="J1595" s="10" t="s">
        <v>1636</v>
      </c>
      <c r="K1595" s="10" t="s">
        <v>1637</v>
      </c>
    </row>
    <row r="1596" customFormat="false" ht="15" hidden="false" customHeight="false" outlineLevel="0" collapsed="false">
      <c r="A1596" s="10" t="s">
        <v>3275</v>
      </c>
      <c r="B1596" s="10" t="n">
        <v>1739</v>
      </c>
      <c r="C1596" s="8" t="n">
        <v>46002</v>
      </c>
      <c r="D1596" s="8" t="n">
        <v>46000</v>
      </c>
      <c r="E1596" s="10" t="n">
        <v>1000</v>
      </c>
      <c r="F1596" s="0" t="str">
        <f aca="false">INDEX(COA!$C$5:$C$19,MATCH(E1596,COA!$A$5:$A$19,0))</f>
        <v>Asset</v>
      </c>
      <c r="G1596" s="12" t="n">
        <v>620.78</v>
      </c>
      <c r="H1596" s="12" t="n">
        <v>0</v>
      </c>
      <c r="I1596" s="10" t="s">
        <v>103</v>
      </c>
      <c r="J1596" s="10" t="s">
        <v>1636</v>
      </c>
      <c r="K1596" s="10" t="s">
        <v>1637</v>
      </c>
    </row>
    <row r="1597" customFormat="false" ht="15" hidden="false" customHeight="false" outlineLevel="0" collapsed="false">
      <c r="A1597" s="10" t="s">
        <v>3276</v>
      </c>
      <c r="B1597" s="10" t="n">
        <v>1739</v>
      </c>
      <c r="C1597" s="8" t="n">
        <v>46002</v>
      </c>
      <c r="D1597" s="8" t="n">
        <v>46000</v>
      </c>
      <c r="E1597" s="10" t="n">
        <v>1100</v>
      </c>
      <c r="F1597" s="0" t="str">
        <f aca="false">INDEX(COA!$C$5:$C$19,MATCH(E1597,COA!$A$5:$A$19,0))</f>
        <v>Asset</v>
      </c>
      <c r="G1597" s="12" t="n">
        <v>0</v>
      </c>
      <c r="H1597" s="12" t="n">
        <v>2069.25</v>
      </c>
      <c r="I1597" s="10" t="s">
        <v>103</v>
      </c>
      <c r="J1597" s="10" t="s">
        <v>1636</v>
      </c>
      <c r="K1597" s="10" t="s">
        <v>1637</v>
      </c>
    </row>
    <row r="1598" customFormat="false" ht="15" hidden="false" customHeight="false" outlineLevel="0" collapsed="false">
      <c r="A1598" s="10" t="s">
        <v>3277</v>
      </c>
      <c r="B1598" s="10" t="n">
        <v>1740</v>
      </c>
      <c r="C1598" s="8" t="n">
        <v>46002</v>
      </c>
      <c r="D1598" s="8" t="n">
        <v>45999</v>
      </c>
      <c r="E1598" s="10" t="n">
        <v>1100</v>
      </c>
      <c r="F1598" s="0" t="str">
        <f aca="false">INDEX(COA!$C$5:$C$19,MATCH(E1598,COA!$A$5:$A$19,0))</f>
        <v>Asset</v>
      </c>
      <c r="G1598" s="12" t="n">
        <v>2106.29</v>
      </c>
      <c r="H1598" s="12" t="n">
        <v>0</v>
      </c>
      <c r="I1598" s="10" t="s">
        <v>103</v>
      </c>
      <c r="J1598" s="10" t="s">
        <v>1636</v>
      </c>
      <c r="K1598" s="10" t="s">
        <v>1640</v>
      </c>
    </row>
    <row r="1599" customFormat="false" ht="15" hidden="false" customHeight="false" outlineLevel="0" collapsed="false">
      <c r="A1599" s="10" t="s">
        <v>3278</v>
      </c>
      <c r="B1599" s="10" t="n">
        <v>1740</v>
      </c>
      <c r="C1599" s="8" t="n">
        <v>46002</v>
      </c>
      <c r="D1599" s="8" t="n">
        <v>45999</v>
      </c>
      <c r="E1599" s="10" t="n">
        <v>4000</v>
      </c>
      <c r="F1599" s="0" t="str">
        <f aca="false">INDEX(COA!$C$5:$C$19,MATCH(E1599,COA!$A$5:$A$19,0))</f>
        <v>Revenue</v>
      </c>
      <c r="G1599" s="12" t="n">
        <v>0</v>
      </c>
      <c r="H1599" s="12" t="n">
        <v>2106.29</v>
      </c>
      <c r="I1599" s="10" t="s">
        <v>103</v>
      </c>
      <c r="J1599" s="10" t="s">
        <v>1636</v>
      </c>
      <c r="K1599" s="10" t="s">
        <v>1640</v>
      </c>
    </row>
    <row r="1600" customFormat="false" ht="15" hidden="false" customHeight="false" outlineLevel="0" collapsed="false">
      <c r="A1600" s="10" t="s">
        <v>3279</v>
      </c>
      <c r="B1600" s="10" t="n">
        <v>1741</v>
      </c>
      <c r="C1600" s="8" t="n">
        <v>46002</v>
      </c>
      <c r="D1600" s="8" t="n">
        <v>46002</v>
      </c>
      <c r="E1600" s="10" t="n">
        <v>6900</v>
      </c>
      <c r="F1600" s="0" t="str">
        <f aca="false">INDEX(COA!$C$5:$C$19,MATCH(E1600,COA!$A$5:$A$19,0))</f>
        <v>Expense</v>
      </c>
      <c r="G1600" s="12" t="n">
        <v>12454.39</v>
      </c>
      <c r="H1600" s="12" t="n">
        <v>0</v>
      </c>
      <c r="I1600" s="10" t="s">
        <v>99</v>
      </c>
      <c r="J1600" s="10" t="s">
        <v>1648</v>
      </c>
    </row>
    <row r="1601" customFormat="false" ht="15" hidden="false" customHeight="false" outlineLevel="0" collapsed="false">
      <c r="A1601" s="10" t="s">
        <v>3280</v>
      </c>
      <c r="B1601" s="10" t="n">
        <v>1741</v>
      </c>
      <c r="C1601" s="8" t="n">
        <v>46002</v>
      </c>
      <c r="D1601" s="8" t="n">
        <v>46002</v>
      </c>
      <c r="E1601" s="10" t="n">
        <v>2100</v>
      </c>
      <c r="F1601" s="0" t="str">
        <f aca="false">INDEX(COA!$C$5:$C$19,MATCH(E1601,COA!$A$5:$A$19,0))</f>
        <v>Liability</v>
      </c>
      <c r="G1601" s="12" t="n">
        <v>0</v>
      </c>
      <c r="H1601" s="12" t="n">
        <v>12454.39</v>
      </c>
      <c r="I1601" s="10" t="s">
        <v>99</v>
      </c>
      <c r="J1601" s="10" t="s">
        <v>1648</v>
      </c>
    </row>
    <row r="1602" customFormat="false" ht="15" hidden="false" customHeight="false" outlineLevel="0" collapsed="false">
      <c r="A1602" s="10" t="s">
        <v>3281</v>
      </c>
      <c r="B1602" s="10" t="n">
        <v>1742</v>
      </c>
      <c r="C1602" s="8" t="n">
        <v>46003</v>
      </c>
      <c r="D1602" s="8" t="n">
        <v>46001</v>
      </c>
      <c r="E1602" s="10" t="n">
        <v>2000</v>
      </c>
      <c r="F1602" s="0" t="str">
        <f aca="false">INDEX(COA!$C$5:$C$19,MATCH(E1602,COA!$A$5:$A$19,0))</f>
        <v>Liability</v>
      </c>
      <c r="G1602" s="12" t="n">
        <v>14338.48</v>
      </c>
      <c r="H1602" s="12" t="n">
        <v>0</v>
      </c>
      <c r="I1602" s="10" t="s">
        <v>104</v>
      </c>
      <c r="J1602" s="10" t="s">
        <v>1636</v>
      </c>
      <c r="K1602" s="10" t="s">
        <v>1659</v>
      </c>
    </row>
    <row r="1603" customFormat="false" ht="15" hidden="false" customHeight="false" outlineLevel="0" collapsed="false">
      <c r="A1603" s="10" t="s">
        <v>3282</v>
      </c>
      <c r="B1603" s="10" t="n">
        <v>1742</v>
      </c>
      <c r="C1603" s="8" t="n">
        <v>46003</v>
      </c>
      <c r="D1603" s="8" t="n">
        <v>46001</v>
      </c>
      <c r="E1603" s="10" t="n">
        <v>1000</v>
      </c>
      <c r="F1603" s="0" t="str">
        <f aca="false">INDEX(COA!$C$5:$C$19,MATCH(E1603,COA!$A$5:$A$19,0))</f>
        <v>Asset</v>
      </c>
      <c r="G1603" s="12" t="n">
        <v>0</v>
      </c>
      <c r="H1603" s="12" t="n">
        <v>14338.48</v>
      </c>
      <c r="I1603" s="10" t="s">
        <v>104</v>
      </c>
      <c r="J1603" s="10" t="s">
        <v>1636</v>
      </c>
      <c r="K1603" s="10" t="s">
        <v>1659</v>
      </c>
    </row>
    <row r="1604" customFormat="false" ht="15" hidden="false" customHeight="false" outlineLevel="0" collapsed="false">
      <c r="A1604" s="10" t="s">
        <v>3283</v>
      </c>
      <c r="B1604" s="10" t="n">
        <v>1743</v>
      </c>
      <c r="C1604" s="8" t="n">
        <v>46003</v>
      </c>
      <c r="D1604" s="8" t="n">
        <v>46001</v>
      </c>
      <c r="E1604" s="10" t="n">
        <v>1500</v>
      </c>
      <c r="F1604" s="0" t="str">
        <f aca="false">INDEX(COA!$C$5:$C$19,MATCH(E1604,COA!$A$5:$A$19,0))</f>
        <v>Asset</v>
      </c>
      <c r="G1604" s="12" t="n">
        <v>803.6</v>
      </c>
      <c r="H1604" s="12" t="n">
        <v>0</v>
      </c>
      <c r="I1604" s="10" t="s">
        <v>102</v>
      </c>
      <c r="J1604" s="10" t="s">
        <v>1636</v>
      </c>
      <c r="K1604" s="10" t="s">
        <v>1716</v>
      </c>
    </row>
    <row r="1605" customFormat="false" ht="15" hidden="false" customHeight="false" outlineLevel="0" collapsed="false">
      <c r="A1605" s="10" t="s">
        <v>3284</v>
      </c>
      <c r="B1605" s="10" t="n">
        <v>1743</v>
      </c>
      <c r="C1605" s="8" t="n">
        <v>46003</v>
      </c>
      <c r="D1605" s="8" t="n">
        <v>46001</v>
      </c>
      <c r="E1605" s="10" t="n">
        <v>2000</v>
      </c>
      <c r="F1605" s="0" t="str">
        <f aca="false">INDEX(COA!$C$5:$C$19,MATCH(E1605,COA!$A$5:$A$19,0))</f>
        <v>Liability</v>
      </c>
      <c r="G1605" s="12" t="n">
        <v>0</v>
      </c>
      <c r="H1605" s="12" t="n">
        <v>803.6</v>
      </c>
      <c r="I1605" s="10" t="s">
        <v>102</v>
      </c>
      <c r="J1605" s="10" t="s">
        <v>1636</v>
      </c>
      <c r="K1605" s="10" t="s">
        <v>1716</v>
      </c>
    </row>
    <row r="1606" customFormat="false" ht="15" hidden="false" customHeight="false" outlineLevel="0" collapsed="false">
      <c r="A1606" s="10" t="s">
        <v>3285</v>
      </c>
      <c r="B1606" s="10" t="n">
        <v>1744</v>
      </c>
      <c r="C1606" s="8" t="n">
        <v>46006</v>
      </c>
      <c r="D1606" s="8" t="n">
        <v>46002</v>
      </c>
      <c r="E1606" s="10" t="n">
        <v>1200</v>
      </c>
      <c r="F1606" s="0" t="str">
        <f aca="false">INDEX(COA!$C$5:$C$19,MATCH(E1606,COA!$A$5:$A$19,0))</f>
        <v>Asset</v>
      </c>
      <c r="G1606" s="12" t="n">
        <v>5892.06</v>
      </c>
      <c r="H1606" s="12" t="n">
        <v>0</v>
      </c>
      <c r="I1606" s="10" t="s">
        <v>102</v>
      </c>
      <c r="J1606" s="10" t="s">
        <v>1636</v>
      </c>
      <c r="K1606" s="10" t="s">
        <v>1655</v>
      </c>
    </row>
    <row r="1607" customFormat="false" ht="15" hidden="false" customHeight="false" outlineLevel="0" collapsed="false">
      <c r="A1607" s="10" t="s">
        <v>3286</v>
      </c>
      <c r="B1607" s="10" t="n">
        <v>1744</v>
      </c>
      <c r="C1607" s="8" t="n">
        <v>46006</v>
      </c>
      <c r="D1607" s="8" t="n">
        <v>46002</v>
      </c>
      <c r="E1607" s="10" t="n">
        <v>2000</v>
      </c>
      <c r="F1607" s="0" t="str">
        <f aca="false">INDEX(COA!$C$5:$C$19,MATCH(E1607,COA!$A$5:$A$19,0))</f>
        <v>Liability</v>
      </c>
      <c r="G1607" s="12" t="n">
        <v>0</v>
      </c>
      <c r="H1607" s="12" t="n">
        <v>5892.06</v>
      </c>
      <c r="I1607" s="10" t="s">
        <v>102</v>
      </c>
      <c r="J1607" s="10" t="s">
        <v>1636</v>
      </c>
      <c r="K1607" s="10" t="s">
        <v>1655</v>
      </c>
    </row>
    <row r="1608" customFormat="false" ht="15" hidden="false" customHeight="false" outlineLevel="0" collapsed="false">
      <c r="A1608" s="10" t="s">
        <v>3287</v>
      </c>
      <c r="B1608" s="10" t="n">
        <v>1745</v>
      </c>
      <c r="C1608" s="8" t="n">
        <v>46006</v>
      </c>
      <c r="D1608" s="8" t="n">
        <v>46002</v>
      </c>
      <c r="E1608" s="10" t="n">
        <v>2000</v>
      </c>
      <c r="F1608" s="0" t="str">
        <f aca="false">INDEX(COA!$C$5:$C$19,MATCH(E1608,COA!$A$5:$A$19,0))</f>
        <v>Liability</v>
      </c>
      <c r="G1608" s="12" t="n">
        <v>1497.9</v>
      </c>
      <c r="H1608" s="12" t="n">
        <v>0</v>
      </c>
      <c r="I1608" s="10" t="s">
        <v>104</v>
      </c>
      <c r="J1608" s="10" t="s">
        <v>1636</v>
      </c>
      <c r="K1608" s="10" t="s">
        <v>1659</v>
      </c>
    </row>
    <row r="1609" customFormat="false" ht="15" hidden="false" customHeight="false" outlineLevel="0" collapsed="false">
      <c r="A1609" s="10" t="s">
        <v>3288</v>
      </c>
      <c r="B1609" s="10" t="n">
        <v>1745</v>
      </c>
      <c r="C1609" s="8" t="n">
        <v>46006</v>
      </c>
      <c r="D1609" s="8" t="n">
        <v>46002</v>
      </c>
      <c r="E1609" s="10" t="n">
        <v>1000</v>
      </c>
      <c r="F1609" s="0" t="str">
        <f aca="false">INDEX(COA!$C$5:$C$19,MATCH(E1609,COA!$A$5:$A$19,0))</f>
        <v>Asset</v>
      </c>
      <c r="G1609" s="12" t="n">
        <v>0</v>
      </c>
      <c r="H1609" s="12" t="n">
        <v>1497.9</v>
      </c>
      <c r="I1609" s="10" t="s">
        <v>104</v>
      </c>
      <c r="J1609" s="10" t="s">
        <v>1636</v>
      </c>
      <c r="K1609" s="10" t="s">
        <v>1659</v>
      </c>
    </row>
    <row r="1610" customFormat="false" ht="15" hidden="false" customHeight="false" outlineLevel="0" collapsed="false">
      <c r="A1610" s="10" t="s">
        <v>3289</v>
      </c>
      <c r="B1610" s="10" t="n">
        <v>1746</v>
      </c>
      <c r="C1610" s="8" t="n">
        <v>46006</v>
      </c>
      <c r="D1610" s="8" t="n">
        <v>46005</v>
      </c>
      <c r="E1610" s="10" t="n">
        <v>6200</v>
      </c>
      <c r="F1610" s="0" t="str">
        <f aca="false">INDEX(COA!$C$5:$C$19,MATCH(E1610,COA!$A$5:$A$19,0))</f>
        <v>Expense</v>
      </c>
      <c r="G1610" s="12" t="n">
        <v>8367.6</v>
      </c>
      <c r="H1610" s="12" t="n">
        <v>0</v>
      </c>
      <c r="I1610" s="10" t="s">
        <v>102</v>
      </c>
      <c r="J1610" s="10" t="s">
        <v>1636</v>
      </c>
      <c r="K1610" s="10" t="s">
        <v>1689</v>
      </c>
    </row>
    <row r="1611" customFormat="false" ht="15" hidden="false" customHeight="false" outlineLevel="0" collapsed="false">
      <c r="A1611" s="10" t="s">
        <v>3290</v>
      </c>
      <c r="B1611" s="10" t="n">
        <v>1746</v>
      </c>
      <c r="C1611" s="8" t="n">
        <v>46006</v>
      </c>
      <c r="D1611" s="8" t="n">
        <v>46005</v>
      </c>
      <c r="E1611" s="10" t="n">
        <v>6200</v>
      </c>
      <c r="F1611" s="0" t="str">
        <f aca="false">INDEX(COA!$C$5:$C$19,MATCH(E1611,COA!$A$5:$A$19,0))</f>
        <v>Expense</v>
      </c>
      <c r="G1611" s="12" t="n">
        <v>3586.11</v>
      </c>
      <c r="H1611" s="12" t="n">
        <v>0</v>
      </c>
      <c r="I1611" s="10" t="s">
        <v>102</v>
      </c>
      <c r="J1611" s="10" t="s">
        <v>1636</v>
      </c>
      <c r="K1611" s="10" t="s">
        <v>1689</v>
      </c>
    </row>
    <row r="1612" customFormat="false" ht="15" hidden="false" customHeight="false" outlineLevel="0" collapsed="false">
      <c r="A1612" s="10" t="s">
        <v>3291</v>
      </c>
      <c r="B1612" s="10" t="n">
        <v>1746</v>
      </c>
      <c r="C1612" s="8" t="n">
        <v>46006</v>
      </c>
      <c r="D1612" s="8" t="n">
        <v>46005</v>
      </c>
      <c r="E1612" s="10" t="n">
        <v>2000</v>
      </c>
      <c r="F1612" s="0" t="str">
        <f aca="false">INDEX(COA!$C$5:$C$19,MATCH(E1612,COA!$A$5:$A$19,0))</f>
        <v>Liability</v>
      </c>
      <c r="G1612" s="12" t="n">
        <v>0</v>
      </c>
      <c r="H1612" s="12" t="n">
        <v>11953.71</v>
      </c>
      <c r="I1612" s="10" t="s">
        <v>102</v>
      </c>
      <c r="J1612" s="10" t="s">
        <v>1636</v>
      </c>
      <c r="K1612" s="10" t="s">
        <v>1689</v>
      </c>
    </row>
    <row r="1613" customFormat="false" ht="15" hidden="false" customHeight="false" outlineLevel="0" collapsed="false">
      <c r="A1613" s="10" t="s">
        <v>3292</v>
      </c>
      <c r="B1613" s="10" t="n">
        <v>1747</v>
      </c>
      <c r="C1613" s="8" t="n">
        <v>46006</v>
      </c>
      <c r="D1613" s="8" t="n">
        <v>46004</v>
      </c>
      <c r="E1613" s="10" t="n">
        <v>5000</v>
      </c>
      <c r="F1613" s="0" t="str">
        <f aca="false">INDEX(COA!$C$5:$C$19,MATCH(E1613,COA!$A$5:$A$19,0))</f>
        <v>Expense</v>
      </c>
      <c r="G1613" s="12" t="n">
        <v>30928.2</v>
      </c>
      <c r="H1613" s="12" t="n">
        <v>0</v>
      </c>
      <c r="I1613" s="10" t="s">
        <v>103</v>
      </c>
      <c r="J1613" s="10" t="s">
        <v>1636</v>
      </c>
      <c r="K1613" s="10" t="s">
        <v>1670</v>
      </c>
    </row>
    <row r="1614" customFormat="false" ht="15" hidden="false" customHeight="false" outlineLevel="0" collapsed="false">
      <c r="A1614" s="10" t="s">
        <v>3293</v>
      </c>
      <c r="B1614" s="10" t="n">
        <v>1747</v>
      </c>
      <c r="C1614" s="8" t="n">
        <v>46006</v>
      </c>
      <c r="D1614" s="8" t="n">
        <v>46004</v>
      </c>
      <c r="E1614" s="10" t="n">
        <v>1200</v>
      </c>
      <c r="F1614" s="0" t="str">
        <f aca="false">INDEX(COA!$C$5:$C$19,MATCH(E1614,COA!$A$5:$A$19,0))</f>
        <v>Asset</v>
      </c>
      <c r="G1614" s="12" t="n">
        <v>0</v>
      </c>
      <c r="H1614" s="12" t="n">
        <v>30928.2</v>
      </c>
      <c r="I1614" s="10" t="s">
        <v>103</v>
      </c>
      <c r="J1614" s="10" t="s">
        <v>1636</v>
      </c>
      <c r="K1614" s="10" t="s">
        <v>1670</v>
      </c>
    </row>
    <row r="1615" customFormat="false" ht="15" hidden="false" customHeight="false" outlineLevel="0" collapsed="false">
      <c r="A1615" s="10" t="s">
        <v>3294</v>
      </c>
      <c r="B1615" s="10" t="n">
        <v>1748</v>
      </c>
      <c r="C1615" s="8" t="n">
        <v>46007</v>
      </c>
      <c r="D1615" s="8" t="n">
        <v>46007</v>
      </c>
      <c r="E1615" s="10" t="n">
        <v>1100</v>
      </c>
      <c r="F1615" s="0" t="str">
        <f aca="false">INDEX(COA!$C$5:$C$19,MATCH(E1615,COA!$A$5:$A$19,0))</f>
        <v>Asset</v>
      </c>
      <c r="G1615" s="12" t="n">
        <v>7809.74</v>
      </c>
      <c r="H1615" s="12" t="n">
        <v>0</v>
      </c>
      <c r="I1615" s="10" t="s">
        <v>103</v>
      </c>
      <c r="J1615" s="10" t="s">
        <v>1636</v>
      </c>
      <c r="K1615" s="10" t="s">
        <v>1640</v>
      </c>
    </row>
    <row r="1616" customFormat="false" ht="15" hidden="false" customHeight="false" outlineLevel="0" collapsed="false">
      <c r="A1616" s="10" t="s">
        <v>3295</v>
      </c>
      <c r="B1616" s="10" t="n">
        <v>1748</v>
      </c>
      <c r="C1616" s="8" t="n">
        <v>46007</v>
      </c>
      <c r="D1616" s="8" t="n">
        <v>46007</v>
      </c>
      <c r="E1616" s="10" t="n">
        <v>1100</v>
      </c>
      <c r="F1616" s="0" t="str">
        <f aca="false">INDEX(COA!$C$5:$C$19,MATCH(E1616,COA!$A$5:$A$19,0))</f>
        <v>Asset</v>
      </c>
      <c r="G1616" s="12" t="n">
        <v>3347.03</v>
      </c>
      <c r="H1616" s="12" t="n">
        <v>0</v>
      </c>
      <c r="I1616" s="10" t="s">
        <v>103</v>
      </c>
      <c r="J1616" s="10" t="s">
        <v>1636</v>
      </c>
      <c r="K1616" s="10" t="s">
        <v>1640</v>
      </c>
    </row>
    <row r="1617" customFormat="false" ht="15" hidden="false" customHeight="false" outlineLevel="0" collapsed="false">
      <c r="A1617" s="10" t="s">
        <v>3296</v>
      </c>
      <c r="B1617" s="10" t="n">
        <v>1748</v>
      </c>
      <c r="C1617" s="8" t="n">
        <v>46007</v>
      </c>
      <c r="D1617" s="8" t="n">
        <v>46007</v>
      </c>
      <c r="E1617" s="10" t="n">
        <v>4000</v>
      </c>
      <c r="F1617" s="0" t="str">
        <f aca="false">INDEX(COA!$C$5:$C$19,MATCH(E1617,COA!$A$5:$A$19,0))</f>
        <v>Revenue</v>
      </c>
      <c r="G1617" s="12" t="n">
        <v>0</v>
      </c>
      <c r="H1617" s="12" t="n">
        <v>11156.77</v>
      </c>
      <c r="I1617" s="10" t="s">
        <v>103</v>
      </c>
      <c r="J1617" s="10" t="s">
        <v>1636</v>
      </c>
      <c r="K1617" s="10" t="s">
        <v>1640</v>
      </c>
    </row>
    <row r="1618" customFormat="false" ht="15" hidden="false" customHeight="false" outlineLevel="0" collapsed="false">
      <c r="A1618" s="10" t="s">
        <v>3297</v>
      </c>
      <c r="B1618" s="10" t="n">
        <v>1749</v>
      </c>
      <c r="C1618" s="8" t="n">
        <v>46007</v>
      </c>
      <c r="D1618" s="8" t="n">
        <v>46006</v>
      </c>
      <c r="E1618" s="10" t="n">
        <v>1100</v>
      </c>
      <c r="F1618" s="0" t="str">
        <f aca="false">INDEX(COA!$C$5:$C$19,MATCH(E1618,COA!$A$5:$A$19,0))</f>
        <v>Asset</v>
      </c>
      <c r="G1618" s="12" t="n">
        <v>9162.82</v>
      </c>
      <c r="H1618" s="12" t="n">
        <v>0</v>
      </c>
      <c r="I1618" s="10" t="s">
        <v>103</v>
      </c>
      <c r="J1618" s="10" t="s">
        <v>1636</v>
      </c>
      <c r="K1618" s="10" t="s">
        <v>1640</v>
      </c>
    </row>
    <row r="1619" customFormat="false" ht="15" hidden="false" customHeight="false" outlineLevel="0" collapsed="false">
      <c r="A1619" s="10" t="s">
        <v>3298</v>
      </c>
      <c r="B1619" s="10" t="n">
        <v>1749</v>
      </c>
      <c r="C1619" s="8" t="n">
        <v>46007</v>
      </c>
      <c r="D1619" s="8" t="n">
        <v>46006</v>
      </c>
      <c r="E1619" s="10" t="n">
        <v>4000</v>
      </c>
      <c r="F1619" s="0" t="str">
        <f aca="false">INDEX(COA!$C$5:$C$19,MATCH(E1619,COA!$A$5:$A$19,0))</f>
        <v>Revenue</v>
      </c>
      <c r="G1619" s="12" t="n">
        <v>0</v>
      </c>
      <c r="H1619" s="12" t="n">
        <v>9162.82</v>
      </c>
      <c r="I1619" s="10" t="s">
        <v>103</v>
      </c>
      <c r="J1619" s="10" t="s">
        <v>1636</v>
      </c>
      <c r="K1619" s="10" t="s">
        <v>1640</v>
      </c>
    </row>
    <row r="1620" customFormat="false" ht="15" hidden="false" customHeight="false" outlineLevel="0" collapsed="false">
      <c r="A1620" s="10" t="s">
        <v>3299</v>
      </c>
      <c r="B1620" s="10" t="n">
        <v>1750</v>
      </c>
      <c r="C1620" s="8" t="n">
        <v>46007</v>
      </c>
      <c r="D1620" s="8" t="n">
        <v>46005</v>
      </c>
      <c r="E1620" s="10" t="n">
        <v>1000</v>
      </c>
      <c r="F1620" s="0" t="str">
        <f aca="false">INDEX(COA!$C$5:$C$19,MATCH(E1620,COA!$A$5:$A$19,0))</f>
        <v>Asset</v>
      </c>
      <c r="G1620" s="12" t="n">
        <v>466.54</v>
      </c>
      <c r="H1620" s="12" t="n">
        <v>0</v>
      </c>
      <c r="I1620" s="10" t="s">
        <v>103</v>
      </c>
      <c r="J1620" s="10" t="s">
        <v>1636</v>
      </c>
      <c r="K1620" s="10" t="s">
        <v>1637</v>
      </c>
    </row>
    <row r="1621" customFormat="false" ht="15" hidden="false" customHeight="false" outlineLevel="0" collapsed="false">
      <c r="A1621" s="10" t="s">
        <v>3300</v>
      </c>
      <c r="B1621" s="10" t="n">
        <v>1750</v>
      </c>
      <c r="C1621" s="8" t="n">
        <v>46007</v>
      </c>
      <c r="D1621" s="8" t="n">
        <v>46005</v>
      </c>
      <c r="E1621" s="10" t="n">
        <v>1100</v>
      </c>
      <c r="F1621" s="0" t="str">
        <f aca="false">INDEX(COA!$C$5:$C$19,MATCH(E1621,COA!$A$5:$A$19,0))</f>
        <v>Asset</v>
      </c>
      <c r="G1621" s="12" t="n">
        <v>0</v>
      </c>
      <c r="H1621" s="12" t="n">
        <v>466.54</v>
      </c>
      <c r="I1621" s="10" t="s">
        <v>103</v>
      </c>
      <c r="J1621" s="10" t="s">
        <v>1636</v>
      </c>
      <c r="K1621" s="10" t="s">
        <v>1637</v>
      </c>
    </row>
    <row r="1622" customFormat="false" ht="15" hidden="false" customHeight="false" outlineLevel="0" collapsed="false">
      <c r="A1622" s="10" t="s">
        <v>3301</v>
      </c>
      <c r="B1622" s="10" t="n">
        <v>1751</v>
      </c>
      <c r="C1622" s="8" t="n">
        <v>46008</v>
      </c>
      <c r="D1622" s="8" t="n">
        <v>46004</v>
      </c>
      <c r="E1622" s="10" t="n">
        <v>1000</v>
      </c>
      <c r="F1622" s="0" t="str">
        <f aca="false">INDEX(COA!$C$5:$C$19,MATCH(E1622,COA!$A$5:$A$19,0))</f>
        <v>Asset</v>
      </c>
      <c r="G1622" s="12" t="n">
        <v>371.02</v>
      </c>
      <c r="H1622" s="12" t="n">
        <v>0</v>
      </c>
      <c r="I1622" s="10" t="s">
        <v>103</v>
      </c>
      <c r="J1622" s="10" t="s">
        <v>1636</v>
      </c>
      <c r="K1622" s="10" t="s">
        <v>1637</v>
      </c>
    </row>
    <row r="1623" customFormat="false" ht="15" hidden="false" customHeight="false" outlineLevel="0" collapsed="false">
      <c r="A1623" s="10" t="s">
        <v>3302</v>
      </c>
      <c r="B1623" s="10" t="n">
        <v>1751</v>
      </c>
      <c r="C1623" s="8" t="n">
        <v>46008</v>
      </c>
      <c r="D1623" s="8" t="n">
        <v>46004</v>
      </c>
      <c r="E1623" s="10" t="n">
        <v>1100</v>
      </c>
      <c r="F1623" s="0" t="str">
        <f aca="false">INDEX(COA!$C$5:$C$19,MATCH(E1623,COA!$A$5:$A$19,0))</f>
        <v>Asset</v>
      </c>
      <c r="G1623" s="12" t="n">
        <v>0</v>
      </c>
      <c r="H1623" s="12" t="n">
        <v>371.02</v>
      </c>
      <c r="I1623" s="10" t="s">
        <v>103</v>
      </c>
      <c r="J1623" s="10" t="s">
        <v>1636</v>
      </c>
      <c r="K1623" s="10" t="s">
        <v>1637</v>
      </c>
    </row>
    <row r="1624" customFormat="false" ht="15" hidden="false" customHeight="false" outlineLevel="0" collapsed="false">
      <c r="A1624" s="10" t="s">
        <v>3303</v>
      </c>
      <c r="B1624" s="10" t="n">
        <v>1752</v>
      </c>
      <c r="C1624" s="8" t="n">
        <v>46008</v>
      </c>
      <c r="D1624" s="8" t="n">
        <v>46004</v>
      </c>
      <c r="E1624" s="10" t="n">
        <v>1200</v>
      </c>
      <c r="F1624" s="0" t="str">
        <f aca="false">INDEX(COA!$C$5:$C$19,MATCH(E1624,COA!$A$5:$A$19,0))</f>
        <v>Asset</v>
      </c>
      <c r="G1624" s="12" t="n">
        <v>434.84</v>
      </c>
      <c r="H1624" s="12" t="n">
        <v>0</v>
      </c>
      <c r="I1624" s="10" t="s">
        <v>102</v>
      </c>
      <c r="J1624" s="10" t="s">
        <v>1636</v>
      </c>
      <c r="K1624" s="10" t="s">
        <v>1655</v>
      </c>
    </row>
    <row r="1625" customFormat="false" ht="15" hidden="false" customHeight="false" outlineLevel="0" collapsed="false">
      <c r="A1625" s="10" t="s">
        <v>3304</v>
      </c>
      <c r="B1625" s="10" t="n">
        <v>1752</v>
      </c>
      <c r="C1625" s="8" t="n">
        <v>46008</v>
      </c>
      <c r="D1625" s="8" t="n">
        <v>46004</v>
      </c>
      <c r="E1625" s="10" t="n">
        <v>2000</v>
      </c>
      <c r="F1625" s="0" t="str">
        <f aca="false">INDEX(COA!$C$5:$C$19,MATCH(E1625,COA!$A$5:$A$19,0))</f>
        <v>Liability</v>
      </c>
      <c r="G1625" s="12" t="n">
        <v>0</v>
      </c>
      <c r="H1625" s="12" t="n">
        <v>434.84</v>
      </c>
      <c r="I1625" s="10" t="s">
        <v>102</v>
      </c>
      <c r="J1625" s="10" t="s">
        <v>1636</v>
      </c>
      <c r="K1625" s="10" t="s">
        <v>1655</v>
      </c>
    </row>
    <row r="1626" customFormat="false" ht="15" hidden="false" customHeight="false" outlineLevel="0" collapsed="false">
      <c r="A1626" s="10" t="s">
        <v>3305</v>
      </c>
      <c r="B1626" s="10" t="n">
        <v>1753</v>
      </c>
      <c r="C1626" s="8" t="n">
        <v>46008</v>
      </c>
      <c r="D1626" s="8" t="n">
        <v>46008</v>
      </c>
      <c r="E1626" s="10" t="n">
        <v>6900</v>
      </c>
      <c r="F1626" s="0" t="str">
        <f aca="false">INDEX(COA!$C$5:$C$19,MATCH(E1626,COA!$A$5:$A$19,0))</f>
        <v>Expense</v>
      </c>
      <c r="G1626" s="12" t="n">
        <v>270.71</v>
      </c>
      <c r="H1626" s="12" t="n">
        <v>0</v>
      </c>
      <c r="I1626" s="10" t="s">
        <v>3054</v>
      </c>
      <c r="J1626" s="10" t="s">
        <v>1648</v>
      </c>
      <c r="K1626" s="10" t="s">
        <v>3306</v>
      </c>
    </row>
    <row r="1627" customFormat="false" ht="15" hidden="false" customHeight="false" outlineLevel="0" collapsed="false">
      <c r="A1627" s="10" t="s">
        <v>3307</v>
      </c>
      <c r="B1627" s="10" t="n">
        <v>1753</v>
      </c>
      <c r="C1627" s="8" t="n">
        <v>46008</v>
      </c>
      <c r="D1627" s="8" t="n">
        <v>46008</v>
      </c>
      <c r="E1627" s="10" t="n">
        <v>2100</v>
      </c>
      <c r="F1627" s="0" t="str">
        <f aca="false">INDEX(COA!$C$5:$C$19,MATCH(E1627,COA!$A$5:$A$19,0))</f>
        <v>Liability</v>
      </c>
      <c r="G1627" s="12" t="n">
        <v>0</v>
      </c>
      <c r="H1627" s="12" t="n">
        <v>270.71</v>
      </c>
      <c r="I1627" s="10" t="s">
        <v>3054</v>
      </c>
      <c r="J1627" s="10" t="s">
        <v>1648</v>
      </c>
      <c r="K1627" s="10" t="s">
        <v>3306</v>
      </c>
    </row>
    <row r="1628" customFormat="false" ht="15" hidden="false" customHeight="false" outlineLevel="0" collapsed="false">
      <c r="A1628" s="10" t="s">
        <v>3308</v>
      </c>
      <c r="B1628" s="10" t="n">
        <v>1754</v>
      </c>
      <c r="C1628" s="8" t="n">
        <v>46008</v>
      </c>
      <c r="D1628" s="8" t="n">
        <v>46006</v>
      </c>
      <c r="E1628" s="10" t="n">
        <v>6900</v>
      </c>
      <c r="F1628" s="0" t="str">
        <f aca="false">INDEX(COA!$C$5:$C$19,MATCH(E1628,COA!$A$5:$A$19,0))</f>
        <v>Expense</v>
      </c>
      <c r="G1628" s="12" t="n">
        <v>1320.34</v>
      </c>
      <c r="H1628" s="12" t="n">
        <v>0</v>
      </c>
      <c r="I1628" s="10" t="s">
        <v>98</v>
      </c>
      <c r="J1628" s="10" t="s">
        <v>1648</v>
      </c>
      <c r="K1628" s="10" t="s">
        <v>1649</v>
      </c>
    </row>
    <row r="1629" customFormat="false" ht="15" hidden="false" customHeight="false" outlineLevel="0" collapsed="false">
      <c r="A1629" s="10" t="s">
        <v>3309</v>
      </c>
      <c r="B1629" s="10" t="n">
        <v>1754</v>
      </c>
      <c r="C1629" s="8" t="n">
        <v>46008</v>
      </c>
      <c r="D1629" s="8" t="n">
        <v>46006</v>
      </c>
      <c r="E1629" s="10" t="n">
        <v>2100</v>
      </c>
      <c r="F1629" s="0" t="str">
        <f aca="false">INDEX(COA!$C$5:$C$19,MATCH(E1629,COA!$A$5:$A$19,0))</f>
        <v>Liability</v>
      </c>
      <c r="G1629" s="12" t="n">
        <v>0</v>
      </c>
      <c r="H1629" s="12" t="n">
        <v>1320.34</v>
      </c>
      <c r="I1629" s="10" t="s">
        <v>98</v>
      </c>
      <c r="J1629" s="10" t="s">
        <v>1648</v>
      </c>
      <c r="K1629" s="10" t="s">
        <v>1649</v>
      </c>
    </row>
    <row r="1630" customFormat="false" ht="15" hidden="false" customHeight="false" outlineLevel="0" collapsed="false">
      <c r="A1630" s="10" t="s">
        <v>3310</v>
      </c>
      <c r="B1630" s="10" t="n">
        <v>1755</v>
      </c>
      <c r="C1630" s="8" t="n">
        <v>46008</v>
      </c>
      <c r="D1630" s="8" t="n">
        <v>46007</v>
      </c>
      <c r="E1630" s="10" t="n">
        <v>1100</v>
      </c>
      <c r="F1630" s="0" t="str">
        <f aca="false">INDEX(COA!$C$5:$C$19,MATCH(E1630,COA!$A$5:$A$19,0))</f>
        <v>Asset</v>
      </c>
      <c r="G1630" s="12" t="n">
        <v>7588.34</v>
      </c>
      <c r="H1630" s="12" t="n">
        <v>0</v>
      </c>
      <c r="I1630" s="10" t="s">
        <v>103</v>
      </c>
      <c r="J1630" s="10" t="s">
        <v>1636</v>
      </c>
      <c r="K1630" s="10" t="s">
        <v>1640</v>
      </c>
    </row>
    <row r="1631" customFormat="false" ht="15" hidden="false" customHeight="false" outlineLevel="0" collapsed="false">
      <c r="A1631" s="10" t="s">
        <v>3311</v>
      </c>
      <c r="B1631" s="10" t="n">
        <v>1755</v>
      </c>
      <c r="C1631" s="8" t="n">
        <v>46008</v>
      </c>
      <c r="D1631" s="8" t="n">
        <v>46007</v>
      </c>
      <c r="E1631" s="10" t="n">
        <v>4000</v>
      </c>
      <c r="F1631" s="0" t="str">
        <f aca="false">INDEX(COA!$C$5:$C$19,MATCH(E1631,COA!$A$5:$A$19,0))</f>
        <v>Revenue</v>
      </c>
      <c r="G1631" s="12" t="n">
        <v>0</v>
      </c>
      <c r="H1631" s="12" t="n">
        <v>7588.34</v>
      </c>
      <c r="I1631" s="10" t="s">
        <v>103</v>
      </c>
      <c r="J1631" s="10" t="s">
        <v>1636</v>
      </c>
      <c r="K1631" s="10" t="s">
        <v>1640</v>
      </c>
    </row>
    <row r="1632" customFormat="false" ht="15" hidden="false" customHeight="false" outlineLevel="0" collapsed="false">
      <c r="A1632" s="10" t="s">
        <v>3312</v>
      </c>
      <c r="B1632" s="10" t="n">
        <v>1756</v>
      </c>
      <c r="C1632" s="8" t="n">
        <v>46009</v>
      </c>
      <c r="D1632" s="8" t="n">
        <v>46009</v>
      </c>
      <c r="E1632" s="10" t="n">
        <v>2000</v>
      </c>
      <c r="F1632" s="0" t="str">
        <f aca="false">INDEX(COA!$C$5:$C$19,MATCH(E1632,COA!$A$5:$A$19,0))</f>
        <v>Liability</v>
      </c>
      <c r="G1632" s="12" t="n">
        <v>74569.14</v>
      </c>
      <c r="H1632" s="12" t="n">
        <v>0</v>
      </c>
      <c r="I1632" s="10" t="s">
        <v>104</v>
      </c>
      <c r="J1632" s="10" t="s">
        <v>1636</v>
      </c>
      <c r="K1632" s="10" t="s">
        <v>1659</v>
      </c>
    </row>
    <row r="1633" customFormat="false" ht="15" hidden="false" customHeight="false" outlineLevel="0" collapsed="false">
      <c r="A1633" s="10" t="s">
        <v>3313</v>
      </c>
      <c r="B1633" s="10" t="n">
        <v>1756</v>
      </c>
      <c r="C1633" s="8" t="n">
        <v>46009</v>
      </c>
      <c r="D1633" s="8" t="n">
        <v>46009</v>
      </c>
      <c r="E1633" s="10" t="n">
        <v>1000</v>
      </c>
      <c r="F1633" s="0" t="str">
        <f aca="false">INDEX(COA!$C$5:$C$19,MATCH(E1633,COA!$A$5:$A$19,0))</f>
        <v>Asset</v>
      </c>
      <c r="G1633" s="12" t="n">
        <v>0</v>
      </c>
      <c r="H1633" s="12" t="n">
        <v>74569.14</v>
      </c>
      <c r="I1633" s="10" t="s">
        <v>104</v>
      </c>
      <c r="J1633" s="10" t="s">
        <v>1636</v>
      </c>
      <c r="K1633" s="10" t="s">
        <v>1659</v>
      </c>
    </row>
    <row r="1634" customFormat="false" ht="15" hidden="false" customHeight="false" outlineLevel="0" collapsed="false">
      <c r="A1634" s="10" t="s">
        <v>3314</v>
      </c>
      <c r="B1634" s="10" t="n">
        <v>1757</v>
      </c>
      <c r="C1634" s="8" t="n">
        <v>46010</v>
      </c>
      <c r="D1634" s="8" t="n">
        <v>46010</v>
      </c>
      <c r="E1634" s="10" t="n">
        <v>1000</v>
      </c>
      <c r="F1634" s="0" t="str">
        <f aca="false">INDEX(COA!$C$5:$C$19,MATCH(E1634,COA!$A$5:$A$19,0))</f>
        <v>Asset</v>
      </c>
      <c r="G1634" s="12" t="n">
        <v>19280.37</v>
      </c>
      <c r="H1634" s="12" t="n">
        <v>0</v>
      </c>
      <c r="I1634" s="10" t="s">
        <v>103</v>
      </c>
      <c r="J1634" s="10" t="s">
        <v>1636</v>
      </c>
      <c r="K1634" s="10" t="s">
        <v>1637</v>
      </c>
    </row>
    <row r="1635" customFormat="false" ht="15" hidden="false" customHeight="false" outlineLevel="0" collapsed="false">
      <c r="A1635" s="10" t="s">
        <v>3315</v>
      </c>
      <c r="B1635" s="10" t="n">
        <v>1757</v>
      </c>
      <c r="C1635" s="8" t="n">
        <v>46010</v>
      </c>
      <c r="D1635" s="8" t="n">
        <v>46010</v>
      </c>
      <c r="E1635" s="10" t="n">
        <v>1100</v>
      </c>
      <c r="F1635" s="0" t="str">
        <f aca="false">INDEX(COA!$C$5:$C$19,MATCH(E1635,COA!$A$5:$A$19,0))</f>
        <v>Asset</v>
      </c>
      <c r="G1635" s="12" t="n">
        <v>0</v>
      </c>
      <c r="H1635" s="12" t="n">
        <v>19280.37</v>
      </c>
      <c r="I1635" s="10" t="s">
        <v>103</v>
      </c>
      <c r="J1635" s="10" t="s">
        <v>1636</v>
      </c>
      <c r="K1635" s="10" t="s">
        <v>1637</v>
      </c>
    </row>
    <row r="1636" customFormat="false" ht="15" hidden="false" customHeight="false" outlineLevel="0" collapsed="false">
      <c r="A1636" s="10" t="s">
        <v>3316</v>
      </c>
      <c r="B1636" s="10" t="n">
        <v>1758</v>
      </c>
      <c r="C1636" s="8" t="n">
        <v>46010</v>
      </c>
      <c r="D1636" s="8" t="n">
        <v>46010</v>
      </c>
      <c r="E1636" s="10" t="n">
        <v>5000</v>
      </c>
      <c r="F1636" s="0" t="str">
        <f aca="false">INDEX(COA!$C$5:$C$19,MATCH(E1636,COA!$A$5:$A$19,0))</f>
        <v>Expense</v>
      </c>
      <c r="G1636" s="12" t="n">
        <v>272.74</v>
      </c>
      <c r="H1636" s="12" t="n">
        <v>0</v>
      </c>
      <c r="I1636" s="10" t="s">
        <v>103</v>
      </c>
      <c r="J1636" s="10" t="s">
        <v>1636</v>
      </c>
      <c r="K1636" s="10" t="s">
        <v>1670</v>
      </c>
    </row>
    <row r="1637" customFormat="false" ht="15" hidden="false" customHeight="false" outlineLevel="0" collapsed="false">
      <c r="A1637" s="10" t="s">
        <v>3317</v>
      </c>
      <c r="B1637" s="10" t="n">
        <v>1758</v>
      </c>
      <c r="C1637" s="8" t="n">
        <v>46010</v>
      </c>
      <c r="D1637" s="8" t="n">
        <v>46010</v>
      </c>
      <c r="E1637" s="10" t="n">
        <v>1200</v>
      </c>
      <c r="F1637" s="0" t="str">
        <f aca="false">INDEX(COA!$C$5:$C$19,MATCH(E1637,COA!$A$5:$A$19,0))</f>
        <v>Asset</v>
      </c>
      <c r="G1637" s="12" t="n">
        <v>0</v>
      </c>
      <c r="H1637" s="12" t="n">
        <v>272.74</v>
      </c>
      <c r="I1637" s="10" t="s">
        <v>103</v>
      </c>
      <c r="J1637" s="10" t="s">
        <v>1636</v>
      </c>
      <c r="K1637" s="10" t="s">
        <v>1670</v>
      </c>
    </row>
    <row r="1638" customFormat="false" ht="15" hidden="false" customHeight="false" outlineLevel="0" collapsed="false">
      <c r="A1638" s="10" t="s">
        <v>3318</v>
      </c>
      <c r="B1638" s="10" t="n">
        <v>1759</v>
      </c>
      <c r="C1638" s="8" t="n">
        <v>46010</v>
      </c>
      <c r="D1638" s="8" t="n">
        <v>46006</v>
      </c>
      <c r="E1638" s="10" t="n">
        <v>5000</v>
      </c>
      <c r="F1638" s="0" t="str">
        <f aca="false">INDEX(COA!$C$5:$C$19,MATCH(E1638,COA!$A$5:$A$19,0))</f>
        <v>Expense</v>
      </c>
      <c r="G1638" s="12" t="n">
        <v>1045.16</v>
      </c>
      <c r="H1638" s="12" t="n">
        <v>0</v>
      </c>
      <c r="I1638" s="10" t="s">
        <v>103</v>
      </c>
      <c r="J1638" s="10" t="s">
        <v>1636</v>
      </c>
      <c r="K1638" s="10" t="s">
        <v>1670</v>
      </c>
    </row>
    <row r="1639" customFormat="false" ht="15" hidden="false" customHeight="false" outlineLevel="0" collapsed="false">
      <c r="A1639" s="10" t="s">
        <v>3319</v>
      </c>
      <c r="B1639" s="10" t="n">
        <v>1759</v>
      </c>
      <c r="C1639" s="8" t="n">
        <v>46010</v>
      </c>
      <c r="D1639" s="8" t="n">
        <v>46006</v>
      </c>
      <c r="E1639" s="10" t="n">
        <v>1200</v>
      </c>
      <c r="F1639" s="0" t="str">
        <f aca="false">INDEX(COA!$C$5:$C$19,MATCH(E1639,COA!$A$5:$A$19,0))</f>
        <v>Asset</v>
      </c>
      <c r="G1639" s="12" t="n">
        <v>0</v>
      </c>
      <c r="H1639" s="12" t="n">
        <v>1045.16</v>
      </c>
      <c r="I1639" s="10" t="s">
        <v>103</v>
      </c>
      <c r="J1639" s="10" t="s">
        <v>1636</v>
      </c>
      <c r="K1639" s="10" t="s">
        <v>1670</v>
      </c>
    </row>
    <row r="1640" customFormat="false" ht="15" hidden="false" customHeight="false" outlineLevel="0" collapsed="false">
      <c r="A1640" s="10" t="s">
        <v>3320</v>
      </c>
      <c r="B1640" s="10" t="n">
        <v>1760</v>
      </c>
      <c r="C1640" s="8" t="n">
        <v>46010</v>
      </c>
      <c r="D1640" s="8" t="n">
        <v>46010</v>
      </c>
      <c r="E1640" s="10" t="n">
        <v>6900</v>
      </c>
      <c r="F1640" s="0" t="str">
        <f aca="false">INDEX(COA!$C$5:$C$19,MATCH(E1640,COA!$A$5:$A$19,0))</f>
        <v>Expense</v>
      </c>
      <c r="G1640" s="12" t="n">
        <v>34367</v>
      </c>
      <c r="H1640" s="12" t="n">
        <v>0</v>
      </c>
      <c r="I1640" s="10" t="s">
        <v>100</v>
      </c>
      <c r="J1640" s="10" t="s">
        <v>1648</v>
      </c>
      <c r="K1640" s="10" t="s">
        <v>1649</v>
      </c>
    </row>
    <row r="1641" customFormat="false" ht="15" hidden="false" customHeight="false" outlineLevel="0" collapsed="false">
      <c r="A1641" s="10" t="s">
        <v>3321</v>
      </c>
      <c r="B1641" s="10" t="n">
        <v>1760</v>
      </c>
      <c r="C1641" s="8" t="n">
        <v>46010</v>
      </c>
      <c r="D1641" s="8" t="n">
        <v>46010</v>
      </c>
      <c r="E1641" s="10" t="n">
        <v>2100</v>
      </c>
      <c r="F1641" s="0" t="str">
        <f aca="false">INDEX(COA!$C$5:$C$19,MATCH(E1641,COA!$A$5:$A$19,0))</f>
        <v>Liability</v>
      </c>
      <c r="G1641" s="12" t="n">
        <v>0</v>
      </c>
      <c r="H1641" s="12" t="n">
        <v>34367</v>
      </c>
      <c r="I1641" s="10" t="s">
        <v>100</v>
      </c>
      <c r="J1641" s="10" t="s">
        <v>1648</v>
      </c>
      <c r="K1641" s="10" t="s">
        <v>1649</v>
      </c>
    </row>
    <row r="1642" customFormat="false" ht="15" hidden="false" customHeight="false" outlineLevel="0" collapsed="false">
      <c r="A1642" s="10" t="s">
        <v>3322</v>
      </c>
      <c r="B1642" s="10" t="n">
        <v>1761</v>
      </c>
      <c r="C1642" s="8" t="n">
        <v>46010</v>
      </c>
      <c r="D1642" s="8" t="n">
        <v>46006</v>
      </c>
      <c r="E1642" s="10" t="n">
        <v>1000</v>
      </c>
      <c r="F1642" s="0" t="str">
        <f aca="false">INDEX(COA!$C$5:$C$19,MATCH(E1642,COA!$A$5:$A$19,0))</f>
        <v>Asset</v>
      </c>
      <c r="G1642" s="12" t="n">
        <v>212.27</v>
      </c>
      <c r="H1642" s="12" t="n">
        <v>0</v>
      </c>
      <c r="I1642" s="10" t="s">
        <v>103</v>
      </c>
      <c r="J1642" s="10" t="s">
        <v>1636</v>
      </c>
      <c r="K1642" s="10" t="s">
        <v>1637</v>
      </c>
    </row>
    <row r="1643" customFormat="false" ht="15" hidden="false" customHeight="false" outlineLevel="0" collapsed="false">
      <c r="A1643" s="10" t="s">
        <v>3323</v>
      </c>
      <c r="B1643" s="10" t="n">
        <v>1761</v>
      </c>
      <c r="C1643" s="8" t="n">
        <v>46010</v>
      </c>
      <c r="D1643" s="8" t="n">
        <v>46006</v>
      </c>
      <c r="E1643" s="10" t="n">
        <v>1000</v>
      </c>
      <c r="F1643" s="0" t="str">
        <f aca="false">INDEX(COA!$C$5:$C$19,MATCH(E1643,COA!$A$5:$A$19,0))</f>
        <v>Asset</v>
      </c>
      <c r="G1643" s="12" t="n">
        <v>90.97</v>
      </c>
      <c r="H1643" s="12" t="n">
        <v>0</v>
      </c>
      <c r="I1643" s="10" t="s">
        <v>103</v>
      </c>
      <c r="J1643" s="10" t="s">
        <v>1636</v>
      </c>
      <c r="K1643" s="10" t="s">
        <v>1637</v>
      </c>
    </row>
    <row r="1644" customFormat="false" ht="15" hidden="false" customHeight="false" outlineLevel="0" collapsed="false">
      <c r="A1644" s="10" t="s">
        <v>3324</v>
      </c>
      <c r="B1644" s="10" t="n">
        <v>1761</v>
      </c>
      <c r="C1644" s="8" t="n">
        <v>46010</v>
      </c>
      <c r="D1644" s="8" t="n">
        <v>46006</v>
      </c>
      <c r="E1644" s="10" t="n">
        <v>1100</v>
      </c>
      <c r="F1644" s="0" t="str">
        <f aca="false">INDEX(COA!$C$5:$C$19,MATCH(E1644,COA!$A$5:$A$19,0))</f>
        <v>Asset</v>
      </c>
      <c r="G1644" s="12" t="n">
        <v>0</v>
      </c>
      <c r="H1644" s="12" t="n">
        <v>303.24</v>
      </c>
      <c r="I1644" s="10" t="s">
        <v>103</v>
      </c>
      <c r="J1644" s="10" t="s">
        <v>1636</v>
      </c>
      <c r="K1644" s="10" t="s">
        <v>1637</v>
      </c>
    </row>
    <row r="1645" customFormat="false" ht="15" hidden="false" customHeight="false" outlineLevel="0" collapsed="false">
      <c r="A1645" s="10" t="s">
        <v>3325</v>
      </c>
      <c r="B1645" s="10" t="n">
        <v>1762</v>
      </c>
      <c r="C1645" s="8" t="n">
        <v>46012</v>
      </c>
      <c r="D1645" s="8" t="n">
        <v>46011</v>
      </c>
      <c r="E1645" s="10" t="n">
        <v>1100</v>
      </c>
      <c r="F1645" s="0" t="str">
        <f aca="false">INDEX(COA!$C$5:$C$19,MATCH(E1645,COA!$A$5:$A$19,0))</f>
        <v>Asset</v>
      </c>
      <c r="G1645" s="12" t="n">
        <v>281.76</v>
      </c>
      <c r="H1645" s="12" t="n">
        <v>0</v>
      </c>
      <c r="I1645" s="10" t="s">
        <v>103</v>
      </c>
      <c r="J1645" s="10" t="s">
        <v>1636</v>
      </c>
      <c r="K1645" s="10" t="s">
        <v>1640</v>
      </c>
    </row>
    <row r="1646" customFormat="false" ht="15" hidden="false" customHeight="false" outlineLevel="0" collapsed="false">
      <c r="A1646" s="10" t="s">
        <v>3326</v>
      </c>
      <c r="B1646" s="10" t="n">
        <v>1762</v>
      </c>
      <c r="C1646" s="8" t="n">
        <v>46012</v>
      </c>
      <c r="D1646" s="8" t="n">
        <v>46011</v>
      </c>
      <c r="E1646" s="10" t="n">
        <v>4000</v>
      </c>
      <c r="F1646" s="0" t="str">
        <f aca="false">INDEX(COA!$C$5:$C$19,MATCH(E1646,COA!$A$5:$A$19,0))</f>
        <v>Revenue</v>
      </c>
      <c r="G1646" s="12" t="n">
        <v>0</v>
      </c>
      <c r="H1646" s="12" t="n">
        <v>281.76</v>
      </c>
      <c r="I1646" s="10" t="s">
        <v>103</v>
      </c>
      <c r="J1646" s="10" t="s">
        <v>1636</v>
      </c>
      <c r="K1646" s="10" t="s">
        <v>1640</v>
      </c>
    </row>
    <row r="1647" customFormat="false" ht="15" hidden="false" customHeight="false" outlineLevel="0" collapsed="false">
      <c r="A1647" s="10" t="s">
        <v>3327</v>
      </c>
      <c r="B1647" s="10" t="n">
        <v>1763</v>
      </c>
      <c r="C1647" s="8" t="n">
        <v>46012</v>
      </c>
      <c r="D1647" s="8" t="n">
        <v>46011</v>
      </c>
      <c r="E1647" s="10" t="n">
        <v>1200</v>
      </c>
      <c r="F1647" s="0" t="str">
        <f aca="false">INDEX(COA!$C$5:$C$19,MATCH(E1647,COA!$A$5:$A$19,0))</f>
        <v>Asset</v>
      </c>
      <c r="G1647" s="12" t="n">
        <v>31596.91</v>
      </c>
      <c r="H1647" s="12" t="n">
        <v>0</v>
      </c>
      <c r="I1647" s="10" t="s">
        <v>102</v>
      </c>
      <c r="J1647" s="10" t="s">
        <v>1636</v>
      </c>
      <c r="K1647" s="10" t="s">
        <v>1655</v>
      </c>
    </row>
    <row r="1648" customFormat="false" ht="15" hidden="false" customHeight="false" outlineLevel="0" collapsed="false">
      <c r="A1648" s="10" t="s">
        <v>3328</v>
      </c>
      <c r="B1648" s="10" t="n">
        <v>1763</v>
      </c>
      <c r="C1648" s="8" t="n">
        <v>46012</v>
      </c>
      <c r="D1648" s="8" t="n">
        <v>46011</v>
      </c>
      <c r="E1648" s="10" t="n">
        <v>1200</v>
      </c>
      <c r="F1648" s="0" t="str">
        <f aca="false">INDEX(COA!$C$5:$C$19,MATCH(E1648,COA!$A$5:$A$19,0))</f>
        <v>Asset</v>
      </c>
      <c r="G1648" s="12" t="n">
        <v>13541.54</v>
      </c>
      <c r="H1648" s="12" t="n">
        <v>0</v>
      </c>
      <c r="I1648" s="10" t="s">
        <v>102</v>
      </c>
      <c r="J1648" s="10" t="s">
        <v>1636</v>
      </c>
      <c r="K1648" s="10" t="s">
        <v>1655</v>
      </c>
    </row>
    <row r="1649" customFormat="false" ht="15" hidden="false" customHeight="false" outlineLevel="0" collapsed="false">
      <c r="A1649" s="10" t="s">
        <v>3329</v>
      </c>
      <c r="B1649" s="10" t="n">
        <v>1763</v>
      </c>
      <c r="C1649" s="8" t="n">
        <v>46012</v>
      </c>
      <c r="D1649" s="8" t="n">
        <v>46011</v>
      </c>
      <c r="E1649" s="10" t="n">
        <v>2000</v>
      </c>
      <c r="F1649" s="0" t="str">
        <f aca="false">INDEX(COA!$C$5:$C$19,MATCH(E1649,COA!$A$5:$A$19,0))</f>
        <v>Liability</v>
      </c>
      <c r="G1649" s="12" t="n">
        <v>0</v>
      </c>
      <c r="H1649" s="12" t="n">
        <v>45138.45</v>
      </c>
      <c r="I1649" s="10" t="s">
        <v>102</v>
      </c>
      <c r="J1649" s="10" t="s">
        <v>1636</v>
      </c>
      <c r="K1649" s="10" t="s">
        <v>1655</v>
      </c>
    </row>
    <row r="1650" customFormat="false" ht="15" hidden="false" customHeight="false" outlineLevel="0" collapsed="false">
      <c r="A1650" s="10" t="s">
        <v>3330</v>
      </c>
      <c r="B1650" s="10" t="n">
        <v>1764</v>
      </c>
      <c r="C1650" s="8" t="n">
        <v>46012</v>
      </c>
      <c r="D1650" s="8" t="n">
        <v>46010</v>
      </c>
      <c r="E1650" s="10" t="n">
        <v>1200</v>
      </c>
      <c r="F1650" s="0" t="str">
        <f aca="false">INDEX(COA!$C$5:$C$19,MATCH(E1650,COA!$A$5:$A$19,0))</f>
        <v>Asset</v>
      </c>
      <c r="G1650" s="12" t="n">
        <v>658.98</v>
      </c>
      <c r="H1650" s="12" t="n">
        <v>0</v>
      </c>
      <c r="I1650" s="10" t="s">
        <v>102</v>
      </c>
      <c r="J1650" s="10" t="s">
        <v>1636</v>
      </c>
      <c r="K1650" s="10" t="s">
        <v>1655</v>
      </c>
    </row>
    <row r="1651" customFormat="false" ht="15" hidden="false" customHeight="false" outlineLevel="0" collapsed="false">
      <c r="A1651" s="10" t="s">
        <v>3331</v>
      </c>
      <c r="B1651" s="10" t="n">
        <v>1764</v>
      </c>
      <c r="C1651" s="8" t="n">
        <v>46012</v>
      </c>
      <c r="D1651" s="8" t="n">
        <v>46010</v>
      </c>
      <c r="E1651" s="10" t="n">
        <v>2000</v>
      </c>
      <c r="F1651" s="0" t="str">
        <f aca="false">INDEX(COA!$C$5:$C$19,MATCH(E1651,COA!$A$5:$A$19,0))</f>
        <v>Liability</v>
      </c>
      <c r="G1651" s="12" t="n">
        <v>0</v>
      </c>
      <c r="H1651" s="12" t="n">
        <v>658.98</v>
      </c>
      <c r="I1651" s="10" t="s">
        <v>102</v>
      </c>
      <c r="J1651" s="10" t="s">
        <v>1636</v>
      </c>
      <c r="K1651" s="10" t="s">
        <v>1655</v>
      </c>
    </row>
    <row r="1652" customFormat="false" ht="15" hidden="false" customHeight="false" outlineLevel="0" collapsed="false">
      <c r="A1652" s="10" t="s">
        <v>3332</v>
      </c>
      <c r="B1652" s="10" t="n">
        <v>1765</v>
      </c>
      <c r="C1652" s="8" t="n">
        <v>46013</v>
      </c>
      <c r="D1652" s="8" t="n">
        <v>46013</v>
      </c>
      <c r="E1652" s="10" t="n">
        <v>6900</v>
      </c>
      <c r="F1652" s="0" t="str">
        <f aca="false">INDEX(COA!$C$5:$C$19,MATCH(E1652,COA!$A$5:$A$19,0))</f>
        <v>Expense</v>
      </c>
      <c r="G1652" s="12" t="n">
        <v>864.35</v>
      </c>
      <c r="H1652" s="12" t="n">
        <v>0</v>
      </c>
      <c r="I1652" s="10" t="s">
        <v>100</v>
      </c>
      <c r="J1652" s="10" t="s">
        <v>1648</v>
      </c>
    </row>
    <row r="1653" customFormat="false" ht="15" hidden="false" customHeight="false" outlineLevel="0" collapsed="false">
      <c r="A1653" s="10" t="s">
        <v>3333</v>
      </c>
      <c r="B1653" s="10" t="n">
        <v>1765</v>
      </c>
      <c r="C1653" s="8" t="n">
        <v>46013</v>
      </c>
      <c r="D1653" s="8" t="n">
        <v>46013</v>
      </c>
      <c r="E1653" s="10" t="n">
        <v>2100</v>
      </c>
      <c r="F1653" s="0" t="str">
        <f aca="false">INDEX(COA!$C$5:$C$19,MATCH(E1653,COA!$A$5:$A$19,0))</f>
        <v>Liability</v>
      </c>
      <c r="G1653" s="12" t="n">
        <v>0</v>
      </c>
      <c r="H1653" s="12" t="n">
        <v>864.35</v>
      </c>
      <c r="I1653" s="10" t="s">
        <v>100</v>
      </c>
      <c r="J1653" s="10" t="s">
        <v>1648</v>
      </c>
    </row>
    <row r="1654" customFormat="false" ht="15" hidden="false" customHeight="false" outlineLevel="0" collapsed="false">
      <c r="A1654" s="10" t="s">
        <v>3334</v>
      </c>
      <c r="B1654" s="10" t="n">
        <v>1766</v>
      </c>
      <c r="C1654" s="8" t="n">
        <v>46014</v>
      </c>
      <c r="D1654" s="8" t="n">
        <v>46011</v>
      </c>
      <c r="E1654" s="10" t="n">
        <v>2000</v>
      </c>
      <c r="F1654" s="0" t="str">
        <f aca="false">INDEX(COA!$C$5:$C$19,MATCH(E1654,COA!$A$5:$A$19,0))</f>
        <v>Liability</v>
      </c>
      <c r="G1654" s="12" t="n">
        <v>2241.14</v>
      </c>
      <c r="H1654" s="12" t="n">
        <v>0</v>
      </c>
      <c r="I1654" s="10" t="s">
        <v>104</v>
      </c>
      <c r="J1654" s="10" t="s">
        <v>1636</v>
      </c>
      <c r="K1654" s="10" t="s">
        <v>1659</v>
      </c>
    </row>
    <row r="1655" customFormat="false" ht="15" hidden="false" customHeight="false" outlineLevel="0" collapsed="false">
      <c r="A1655" s="10" t="s">
        <v>3335</v>
      </c>
      <c r="B1655" s="10" t="n">
        <v>1766</v>
      </c>
      <c r="C1655" s="8" t="n">
        <v>46014</v>
      </c>
      <c r="D1655" s="8" t="n">
        <v>46011</v>
      </c>
      <c r="E1655" s="10" t="n">
        <v>2000</v>
      </c>
      <c r="F1655" s="0" t="str">
        <f aca="false">INDEX(COA!$C$5:$C$19,MATCH(E1655,COA!$A$5:$A$19,0))</f>
        <v>Liability</v>
      </c>
      <c r="G1655" s="12" t="n">
        <v>960.49</v>
      </c>
      <c r="H1655" s="12" t="n">
        <v>0</v>
      </c>
      <c r="I1655" s="10" t="s">
        <v>104</v>
      </c>
      <c r="J1655" s="10" t="s">
        <v>1636</v>
      </c>
      <c r="K1655" s="10" t="s">
        <v>1659</v>
      </c>
    </row>
    <row r="1656" customFormat="false" ht="15" hidden="false" customHeight="false" outlineLevel="0" collapsed="false">
      <c r="A1656" s="10" t="s">
        <v>3336</v>
      </c>
      <c r="B1656" s="10" t="n">
        <v>1766</v>
      </c>
      <c r="C1656" s="8" t="n">
        <v>46014</v>
      </c>
      <c r="D1656" s="8" t="n">
        <v>46011</v>
      </c>
      <c r="E1656" s="10" t="n">
        <v>1000</v>
      </c>
      <c r="F1656" s="0" t="str">
        <f aca="false">INDEX(COA!$C$5:$C$19,MATCH(E1656,COA!$A$5:$A$19,0))</f>
        <v>Asset</v>
      </c>
      <c r="G1656" s="12" t="n">
        <v>0</v>
      </c>
      <c r="H1656" s="12" t="n">
        <v>3201.63</v>
      </c>
      <c r="I1656" s="10" t="s">
        <v>104</v>
      </c>
      <c r="J1656" s="10" t="s">
        <v>1636</v>
      </c>
      <c r="K1656" s="10" t="s">
        <v>1659</v>
      </c>
    </row>
    <row r="1657" customFormat="false" ht="15" hidden="false" customHeight="false" outlineLevel="0" collapsed="false">
      <c r="A1657" s="10" t="s">
        <v>3337</v>
      </c>
      <c r="B1657" s="10" t="n">
        <v>1767</v>
      </c>
      <c r="C1657" s="8" t="n">
        <v>46014</v>
      </c>
      <c r="D1657" s="8" t="n">
        <v>46014</v>
      </c>
      <c r="E1657" s="10" t="n">
        <v>5000</v>
      </c>
      <c r="F1657" s="0" t="str">
        <f aca="false">INDEX(COA!$C$5:$C$19,MATCH(E1657,COA!$A$5:$A$19,0))</f>
        <v>Expense</v>
      </c>
      <c r="G1657" s="12" t="n">
        <v>2102.98</v>
      </c>
      <c r="H1657" s="12" t="n">
        <v>0</v>
      </c>
      <c r="I1657" s="10" t="s">
        <v>103</v>
      </c>
      <c r="J1657" s="10" t="s">
        <v>1636</v>
      </c>
      <c r="K1657" s="10" t="s">
        <v>1670</v>
      </c>
    </row>
    <row r="1658" customFormat="false" ht="15" hidden="false" customHeight="false" outlineLevel="0" collapsed="false">
      <c r="A1658" s="10" t="s">
        <v>3338</v>
      </c>
      <c r="B1658" s="10" t="n">
        <v>1767</v>
      </c>
      <c r="C1658" s="8" t="n">
        <v>46014</v>
      </c>
      <c r="D1658" s="8" t="n">
        <v>46014</v>
      </c>
      <c r="E1658" s="10" t="n">
        <v>5000</v>
      </c>
      <c r="F1658" s="0" t="str">
        <f aca="false">INDEX(COA!$C$5:$C$19,MATCH(E1658,COA!$A$5:$A$19,0))</f>
        <v>Expense</v>
      </c>
      <c r="G1658" s="12" t="n">
        <v>901.28</v>
      </c>
      <c r="H1658" s="12" t="n">
        <v>0</v>
      </c>
      <c r="I1658" s="10" t="s">
        <v>103</v>
      </c>
      <c r="J1658" s="10" t="s">
        <v>1636</v>
      </c>
      <c r="K1658" s="10" t="s">
        <v>1670</v>
      </c>
    </row>
    <row r="1659" customFormat="false" ht="15" hidden="false" customHeight="false" outlineLevel="0" collapsed="false">
      <c r="A1659" s="10" t="s">
        <v>3339</v>
      </c>
      <c r="B1659" s="10" t="n">
        <v>1767</v>
      </c>
      <c r="C1659" s="8" t="n">
        <v>46014</v>
      </c>
      <c r="D1659" s="8" t="n">
        <v>46014</v>
      </c>
      <c r="E1659" s="10" t="n">
        <v>1200</v>
      </c>
      <c r="F1659" s="0" t="str">
        <f aca="false">INDEX(COA!$C$5:$C$19,MATCH(E1659,COA!$A$5:$A$19,0))</f>
        <v>Asset</v>
      </c>
      <c r="G1659" s="12" t="n">
        <v>0</v>
      </c>
      <c r="H1659" s="12" t="n">
        <v>3004.26</v>
      </c>
      <c r="I1659" s="10" t="s">
        <v>103</v>
      </c>
      <c r="J1659" s="10" t="s">
        <v>1636</v>
      </c>
      <c r="K1659" s="10" t="s">
        <v>1670</v>
      </c>
    </row>
    <row r="1660" customFormat="false" ht="15" hidden="false" customHeight="false" outlineLevel="0" collapsed="false">
      <c r="A1660" s="10" t="s">
        <v>3340</v>
      </c>
      <c r="B1660" s="10" t="n">
        <v>1768</v>
      </c>
      <c r="C1660" s="8" t="n">
        <v>46014</v>
      </c>
      <c r="D1660" s="8" t="n">
        <v>46014</v>
      </c>
      <c r="E1660" s="10" t="n">
        <v>2000</v>
      </c>
      <c r="F1660" s="0" t="str">
        <f aca="false">INDEX(COA!$C$5:$C$19,MATCH(E1660,COA!$A$5:$A$19,0))</f>
        <v>Liability</v>
      </c>
      <c r="G1660" s="12" t="n">
        <v>19557.32</v>
      </c>
      <c r="H1660" s="12" t="n">
        <v>0</v>
      </c>
      <c r="I1660" s="10" t="s">
        <v>104</v>
      </c>
      <c r="J1660" s="10" t="s">
        <v>1636</v>
      </c>
      <c r="K1660" s="10" t="s">
        <v>1659</v>
      </c>
    </row>
    <row r="1661" customFormat="false" ht="15" hidden="false" customHeight="false" outlineLevel="0" collapsed="false">
      <c r="A1661" s="10" t="s">
        <v>3341</v>
      </c>
      <c r="B1661" s="10" t="n">
        <v>1768</v>
      </c>
      <c r="C1661" s="8" t="n">
        <v>46014</v>
      </c>
      <c r="D1661" s="8" t="n">
        <v>46014</v>
      </c>
      <c r="E1661" s="10" t="n">
        <v>2000</v>
      </c>
      <c r="F1661" s="0" t="str">
        <f aca="false">INDEX(COA!$C$5:$C$19,MATCH(E1661,COA!$A$5:$A$19,0))</f>
        <v>Liability</v>
      </c>
      <c r="G1661" s="12" t="n">
        <v>8381.71</v>
      </c>
      <c r="H1661" s="12" t="n">
        <v>0</v>
      </c>
      <c r="I1661" s="10" t="s">
        <v>104</v>
      </c>
      <c r="J1661" s="10" t="s">
        <v>1636</v>
      </c>
      <c r="K1661" s="10" t="s">
        <v>1659</v>
      </c>
    </row>
    <row r="1662" customFormat="false" ht="15" hidden="false" customHeight="false" outlineLevel="0" collapsed="false">
      <c r="A1662" s="10" t="s">
        <v>3342</v>
      </c>
      <c r="B1662" s="10" t="n">
        <v>1768</v>
      </c>
      <c r="C1662" s="8" t="n">
        <v>46014</v>
      </c>
      <c r="D1662" s="8" t="n">
        <v>46014</v>
      </c>
      <c r="E1662" s="10" t="n">
        <v>1000</v>
      </c>
      <c r="F1662" s="0" t="str">
        <f aca="false">INDEX(COA!$C$5:$C$19,MATCH(E1662,COA!$A$5:$A$19,0))</f>
        <v>Asset</v>
      </c>
      <c r="G1662" s="12" t="n">
        <v>0</v>
      </c>
      <c r="H1662" s="12" t="n">
        <v>27939.03</v>
      </c>
      <c r="I1662" s="10" t="s">
        <v>104</v>
      </c>
      <c r="J1662" s="10" t="s">
        <v>1636</v>
      </c>
      <c r="K1662" s="10" t="s">
        <v>1659</v>
      </c>
    </row>
    <row r="1663" customFormat="false" ht="15" hidden="false" customHeight="false" outlineLevel="0" collapsed="false">
      <c r="A1663" s="10" t="s">
        <v>3343</v>
      </c>
      <c r="B1663" s="10" t="n">
        <v>1769</v>
      </c>
      <c r="C1663" s="8" t="n">
        <v>46015</v>
      </c>
      <c r="D1663" s="8" t="n">
        <v>46011</v>
      </c>
      <c r="E1663" s="10" t="n">
        <v>5000</v>
      </c>
      <c r="F1663" s="0" t="str">
        <f aca="false">INDEX(COA!$C$5:$C$19,MATCH(E1663,COA!$A$5:$A$19,0))</f>
        <v>Expense</v>
      </c>
      <c r="G1663" s="12" t="n">
        <v>13490.91</v>
      </c>
      <c r="H1663" s="12" t="n">
        <v>0</v>
      </c>
      <c r="I1663" s="10" t="s">
        <v>103</v>
      </c>
      <c r="J1663" s="10" t="s">
        <v>1636</v>
      </c>
      <c r="K1663" s="10" t="s">
        <v>1670</v>
      </c>
    </row>
    <row r="1664" customFormat="false" ht="15" hidden="false" customHeight="false" outlineLevel="0" collapsed="false">
      <c r="A1664" s="10" t="s">
        <v>3344</v>
      </c>
      <c r="B1664" s="10" t="n">
        <v>1769</v>
      </c>
      <c r="C1664" s="8" t="n">
        <v>46015</v>
      </c>
      <c r="D1664" s="8" t="n">
        <v>46011</v>
      </c>
      <c r="E1664" s="10" t="n">
        <v>1200</v>
      </c>
      <c r="F1664" s="0" t="str">
        <f aca="false">INDEX(COA!$C$5:$C$19,MATCH(E1664,COA!$A$5:$A$19,0))</f>
        <v>Asset</v>
      </c>
      <c r="G1664" s="12" t="n">
        <v>0</v>
      </c>
      <c r="H1664" s="12" t="n">
        <v>13490.91</v>
      </c>
      <c r="I1664" s="10" t="s">
        <v>103</v>
      </c>
      <c r="J1664" s="10" t="s">
        <v>1636</v>
      </c>
      <c r="K1664" s="10" t="s">
        <v>1670</v>
      </c>
    </row>
    <row r="1665" customFormat="false" ht="15" hidden="false" customHeight="false" outlineLevel="0" collapsed="false">
      <c r="A1665" s="10" t="s">
        <v>3345</v>
      </c>
      <c r="B1665" s="10" t="n">
        <v>1770</v>
      </c>
      <c r="C1665" s="8" t="n">
        <v>46015</v>
      </c>
      <c r="D1665" s="8" t="n">
        <v>46015</v>
      </c>
      <c r="E1665" s="10" t="n">
        <v>2000</v>
      </c>
      <c r="F1665" s="0" t="str">
        <f aca="false">INDEX(COA!$C$5:$C$19,MATCH(E1665,COA!$A$5:$A$19,0))</f>
        <v>Liability</v>
      </c>
      <c r="G1665" s="12" t="n">
        <v>19436.7</v>
      </c>
      <c r="H1665" s="12" t="n">
        <v>0</v>
      </c>
      <c r="I1665" s="10" t="s">
        <v>104</v>
      </c>
      <c r="J1665" s="10" t="s">
        <v>1636</v>
      </c>
      <c r="K1665" s="10" t="s">
        <v>1659</v>
      </c>
    </row>
    <row r="1666" customFormat="false" ht="15" hidden="false" customHeight="false" outlineLevel="0" collapsed="false">
      <c r="A1666" s="10" t="s">
        <v>3346</v>
      </c>
      <c r="B1666" s="10" t="n">
        <v>1770</v>
      </c>
      <c r="C1666" s="8" t="n">
        <v>46015</v>
      </c>
      <c r="D1666" s="8" t="n">
        <v>46015</v>
      </c>
      <c r="E1666" s="10" t="n">
        <v>2000</v>
      </c>
      <c r="F1666" s="0" t="str">
        <f aca="false">INDEX(COA!$C$5:$C$19,MATCH(E1666,COA!$A$5:$A$19,0))</f>
        <v>Liability</v>
      </c>
      <c r="G1666" s="12" t="n">
        <v>8330.02</v>
      </c>
      <c r="H1666" s="12" t="n">
        <v>0</v>
      </c>
      <c r="I1666" s="10" t="s">
        <v>104</v>
      </c>
      <c r="J1666" s="10" t="s">
        <v>1636</v>
      </c>
      <c r="K1666" s="10" t="s">
        <v>1659</v>
      </c>
    </row>
    <row r="1667" customFormat="false" ht="15" hidden="false" customHeight="false" outlineLevel="0" collapsed="false">
      <c r="A1667" s="10" t="s">
        <v>3347</v>
      </c>
      <c r="B1667" s="10" t="n">
        <v>1770</v>
      </c>
      <c r="C1667" s="8" t="n">
        <v>46015</v>
      </c>
      <c r="D1667" s="8" t="n">
        <v>46015</v>
      </c>
      <c r="E1667" s="10" t="n">
        <v>1000</v>
      </c>
      <c r="F1667" s="0" t="str">
        <f aca="false">INDEX(COA!$C$5:$C$19,MATCH(E1667,COA!$A$5:$A$19,0))</f>
        <v>Asset</v>
      </c>
      <c r="G1667" s="12" t="n">
        <v>0</v>
      </c>
      <c r="H1667" s="12" t="n">
        <v>27766.72</v>
      </c>
      <c r="I1667" s="10" t="s">
        <v>104</v>
      </c>
      <c r="J1667" s="10" t="s">
        <v>1636</v>
      </c>
      <c r="K1667" s="10" t="s">
        <v>1659</v>
      </c>
    </row>
    <row r="1668" customFormat="false" ht="15" hidden="false" customHeight="false" outlineLevel="0" collapsed="false">
      <c r="A1668" s="10" t="s">
        <v>3348</v>
      </c>
      <c r="B1668" s="10" t="n">
        <v>1771</v>
      </c>
      <c r="C1668" s="8" t="n">
        <v>46015</v>
      </c>
      <c r="D1668" s="8" t="n">
        <v>46013</v>
      </c>
      <c r="E1668" s="10" t="n">
        <v>1200</v>
      </c>
      <c r="F1668" s="0" t="str">
        <f aca="false">INDEX(COA!$C$5:$C$19,MATCH(E1668,COA!$A$5:$A$19,0))</f>
        <v>Asset</v>
      </c>
      <c r="G1668" s="12" t="n">
        <v>4920.86</v>
      </c>
      <c r="H1668" s="12" t="n">
        <v>0</v>
      </c>
      <c r="I1668" s="10" t="s">
        <v>102</v>
      </c>
      <c r="J1668" s="10" t="s">
        <v>1636</v>
      </c>
      <c r="K1668" s="10" t="s">
        <v>1655</v>
      </c>
    </row>
    <row r="1669" customFormat="false" ht="15" hidden="false" customHeight="false" outlineLevel="0" collapsed="false">
      <c r="A1669" s="10" t="s">
        <v>3349</v>
      </c>
      <c r="B1669" s="10" t="n">
        <v>1771</v>
      </c>
      <c r="C1669" s="8" t="n">
        <v>46015</v>
      </c>
      <c r="D1669" s="8" t="n">
        <v>46013</v>
      </c>
      <c r="E1669" s="10" t="n">
        <v>2000</v>
      </c>
      <c r="F1669" s="0" t="str">
        <f aca="false">INDEX(COA!$C$5:$C$19,MATCH(E1669,COA!$A$5:$A$19,0))</f>
        <v>Liability</v>
      </c>
      <c r="G1669" s="12" t="n">
        <v>0</v>
      </c>
      <c r="H1669" s="12" t="n">
        <v>4920.86</v>
      </c>
      <c r="I1669" s="10" t="s">
        <v>102</v>
      </c>
      <c r="J1669" s="10" t="s">
        <v>1636</v>
      </c>
      <c r="K1669" s="10" t="s">
        <v>1655</v>
      </c>
    </row>
    <row r="1670" customFormat="false" ht="15" hidden="false" customHeight="false" outlineLevel="0" collapsed="false">
      <c r="A1670" s="10" t="s">
        <v>3350</v>
      </c>
      <c r="B1670" s="10" t="n">
        <v>1772</v>
      </c>
      <c r="C1670" s="8" t="n">
        <v>46015</v>
      </c>
      <c r="D1670" s="8" t="n">
        <v>46012</v>
      </c>
      <c r="E1670" s="10" t="n">
        <v>1100</v>
      </c>
      <c r="F1670" s="0" t="str">
        <f aca="false">INDEX(COA!$C$5:$C$19,MATCH(E1670,COA!$A$5:$A$19,0))</f>
        <v>Asset</v>
      </c>
      <c r="G1670" s="12" t="n">
        <v>45321.98</v>
      </c>
      <c r="H1670" s="12" t="n">
        <v>0</v>
      </c>
      <c r="I1670" s="10" t="s">
        <v>103</v>
      </c>
      <c r="J1670" s="10" t="s">
        <v>1636</v>
      </c>
      <c r="K1670" s="10" t="s">
        <v>1640</v>
      </c>
    </row>
    <row r="1671" customFormat="false" ht="15" hidden="false" customHeight="false" outlineLevel="0" collapsed="false">
      <c r="A1671" s="10" t="s">
        <v>3351</v>
      </c>
      <c r="B1671" s="10" t="n">
        <v>1772</v>
      </c>
      <c r="C1671" s="8" t="n">
        <v>46015</v>
      </c>
      <c r="D1671" s="8" t="n">
        <v>46012</v>
      </c>
      <c r="E1671" s="10" t="n">
        <v>4000</v>
      </c>
      <c r="F1671" s="0" t="str">
        <f aca="false">INDEX(COA!$C$5:$C$19,MATCH(E1671,COA!$A$5:$A$19,0))</f>
        <v>Revenue</v>
      </c>
      <c r="G1671" s="12" t="n">
        <v>0</v>
      </c>
      <c r="H1671" s="12" t="n">
        <v>45321.98</v>
      </c>
      <c r="I1671" s="10" t="s">
        <v>103</v>
      </c>
      <c r="J1671" s="10" t="s">
        <v>1636</v>
      </c>
      <c r="K1671" s="10" t="s">
        <v>1640</v>
      </c>
    </row>
    <row r="1672" customFormat="false" ht="15" hidden="false" customHeight="false" outlineLevel="0" collapsed="false">
      <c r="A1672" s="10" t="s">
        <v>3352</v>
      </c>
      <c r="B1672" s="10" t="n">
        <v>1773</v>
      </c>
      <c r="C1672" s="8" t="n">
        <v>46015</v>
      </c>
      <c r="D1672" s="8" t="n">
        <v>46014</v>
      </c>
      <c r="E1672" s="10" t="n">
        <v>2000</v>
      </c>
      <c r="F1672" s="0" t="str">
        <f aca="false">INDEX(COA!$C$5:$C$19,MATCH(E1672,COA!$A$5:$A$19,0))</f>
        <v>Liability</v>
      </c>
      <c r="G1672" s="12" t="n">
        <v>1973.29</v>
      </c>
      <c r="H1672" s="12" t="n">
        <v>0</v>
      </c>
      <c r="I1672" s="10" t="s">
        <v>104</v>
      </c>
      <c r="J1672" s="10" t="s">
        <v>1636</v>
      </c>
      <c r="K1672" s="10" t="s">
        <v>1659</v>
      </c>
    </row>
    <row r="1673" customFormat="false" ht="15" hidden="false" customHeight="false" outlineLevel="0" collapsed="false">
      <c r="A1673" s="10" t="s">
        <v>3353</v>
      </c>
      <c r="B1673" s="10" t="n">
        <v>1773</v>
      </c>
      <c r="C1673" s="8" t="n">
        <v>46015</v>
      </c>
      <c r="D1673" s="8" t="n">
        <v>46014</v>
      </c>
      <c r="E1673" s="10" t="n">
        <v>1000</v>
      </c>
      <c r="F1673" s="0" t="str">
        <f aca="false">INDEX(COA!$C$5:$C$19,MATCH(E1673,COA!$A$5:$A$19,0))</f>
        <v>Asset</v>
      </c>
      <c r="G1673" s="12" t="n">
        <v>0</v>
      </c>
      <c r="H1673" s="12" t="n">
        <v>1973.29</v>
      </c>
      <c r="I1673" s="10" t="s">
        <v>104</v>
      </c>
      <c r="J1673" s="10" t="s">
        <v>1636</v>
      </c>
      <c r="K1673" s="10" t="s">
        <v>1659</v>
      </c>
    </row>
    <row r="1674" customFormat="false" ht="15" hidden="false" customHeight="false" outlineLevel="0" collapsed="false">
      <c r="A1674" s="10" t="s">
        <v>3354</v>
      </c>
      <c r="B1674" s="10" t="n">
        <v>1774</v>
      </c>
      <c r="C1674" s="8" t="n">
        <v>46016</v>
      </c>
      <c r="D1674" s="8" t="n">
        <v>46016</v>
      </c>
      <c r="E1674" s="10" t="n">
        <v>2000</v>
      </c>
      <c r="F1674" s="0" t="str">
        <f aca="false">INDEX(COA!$C$5:$C$19,MATCH(E1674,COA!$A$5:$A$19,0))</f>
        <v>Liability</v>
      </c>
      <c r="G1674" s="12" t="n">
        <v>10917.35</v>
      </c>
      <c r="H1674" s="12" t="n">
        <v>0</v>
      </c>
      <c r="I1674" s="10" t="s">
        <v>104</v>
      </c>
      <c r="J1674" s="10" t="s">
        <v>1636</v>
      </c>
      <c r="K1674" s="10" t="s">
        <v>1659</v>
      </c>
    </row>
    <row r="1675" customFormat="false" ht="15" hidden="false" customHeight="false" outlineLevel="0" collapsed="false">
      <c r="A1675" s="10" t="s">
        <v>3355</v>
      </c>
      <c r="B1675" s="10" t="n">
        <v>1774</v>
      </c>
      <c r="C1675" s="8" t="n">
        <v>46016</v>
      </c>
      <c r="D1675" s="8" t="n">
        <v>46016</v>
      </c>
      <c r="E1675" s="10" t="n">
        <v>1000</v>
      </c>
      <c r="F1675" s="0" t="str">
        <f aca="false">INDEX(COA!$C$5:$C$19,MATCH(E1675,COA!$A$5:$A$19,0))</f>
        <v>Asset</v>
      </c>
      <c r="G1675" s="12" t="n">
        <v>0</v>
      </c>
      <c r="H1675" s="12" t="n">
        <v>10917.35</v>
      </c>
      <c r="I1675" s="10" t="s">
        <v>104</v>
      </c>
      <c r="J1675" s="10" t="s">
        <v>1636</v>
      </c>
      <c r="K1675" s="10" t="s">
        <v>1659</v>
      </c>
    </row>
    <row r="1676" customFormat="false" ht="15" hidden="false" customHeight="false" outlineLevel="0" collapsed="false">
      <c r="A1676" s="10" t="s">
        <v>3356</v>
      </c>
      <c r="B1676" s="10" t="n">
        <v>1775</v>
      </c>
      <c r="C1676" s="8" t="n">
        <v>46016</v>
      </c>
      <c r="D1676" s="8" t="n">
        <v>46016</v>
      </c>
      <c r="E1676" s="10" t="n">
        <v>6000</v>
      </c>
      <c r="F1676" s="0" t="str">
        <f aca="false">INDEX(COA!$C$5:$C$19,MATCH(E1676,COA!$A$5:$A$19,0))</f>
        <v>Expense</v>
      </c>
      <c r="G1676" s="12" t="n">
        <v>241000</v>
      </c>
      <c r="H1676" s="12" t="n">
        <v>0</v>
      </c>
      <c r="I1676" s="10" t="s">
        <v>104</v>
      </c>
      <c r="J1676" s="10" t="s">
        <v>1636</v>
      </c>
      <c r="K1676" s="10" t="s">
        <v>1776</v>
      </c>
    </row>
    <row r="1677" customFormat="false" ht="15" hidden="false" customHeight="false" outlineLevel="0" collapsed="false">
      <c r="A1677" s="10" t="s">
        <v>3357</v>
      </c>
      <c r="B1677" s="10" t="n">
        <v>1775</v>
      </c>
      <c r="C1677" s="8" t="n">
        <v>46016</v>
      </c>
      <c r="D1677" s="8" t="n">
        <v>46016</v>
      </c>
      <c r="E1677" s="10" t="n">
        <v>1000</v>
      </c>
      <c r="F1677" s="0" t="str">
        <f aca="false">INDEX(COA!$C$5:$C$19,MATCH(E1677,COA!$A$5:$A$19,0))</f>
        <v>Asset</v>
      </c>
      <c r="G1677" s="12" t="n">
        <v>0</v>
      </c>
      <c r="H1677" s="12" t="n">
        <v>241000</v>
      </c>
      <c r="I1677" s="10" t="s">
        <v>104</v>
      </c>
      <c r="J1677" s="10" t="s">
        <v>1636</v>
      </c>
      <c r="K1677" s="10" t="s">
        <v>1776</v>
      </c>
    </row>
    <row r="1678" customFormat="false" ht="15" hidden="false" customHeight="false" outlineLevel="0" collapsed="false">
      <c r="A1678" s="10" t="s">
        <v>3358</v>
      </c>
      <c r="B1678" s="10" t="n">
        <v>1776</v>
      </c>
      <c r="C1678" s="8" t="n">
        <v>46016</v>
      </c>
      <c r="D1678" s="8" t="n">
        <v>46016</v>
      </c>
      <c r="E1678" s="10" t="n">
        <v>6900</v>
      </c>
      <c r="F1678" s="0" t="str">
        <f aca="false">INDEX(COA!$C$5:$C$19,MATCH(E1678,COA!$A$5:$A$19,0))</f>
        <v>Expense</v>
      </c>
      <c r="G1678" s="12" t="n">
        <v>23856.53</v>
      </c>
      <c r="H1678" s="12" t="n">
        <v>0</v>
      </c>
      <c r="I1678" s="10" t="s">
        <v>101</v>
      </c>
      <c r="J1678" s="10" t="s">
        <v>1648</v>
      </c>
      <c r="K1678" s="10" t="s">
        <v>1649</v>
      </c>
    </row>
    <row r="1679" customFormat="false" ht="15" hidden="false" customHeight="false" outlineLevel="0" collapsed="false">
      <c r="A1679" s="10" t="s">
        <v>3359</v>
      </c>
      <c r="B1679" s="10" t="n">
        <v>1776</v>
      </c>
      <c r="C1679" s="8" t="n">
        <v>46016</v>
      </c>
      <c r="D1679" s="8" t="n">
        <v>46016</v>
      </c>
      <c r="E1679" s="10" t="n">
        <v>2100</v>
      </c>
      <c r="F1679" s="0" t="str">
        <f aca="false">INDEX(COA!$C$5:$C$19,MATCH(E1679,COA!$A$5:$A$19,0))</f>
        <v>Liability</v>
      </c>
      <c r="G1679" s="12" t="n">
        <v>0</v>
      </c>
      <c r="H1679" s="12" t="n">
        <v>23856.53</v>
      </c>
      <c r="I1679" s="10" t="s">
        <v>101</v>
      </c>
      <c r="J1679" s="10" t="s">
        <v>1648</v>
      </c>
      <c r="K1679" s="10" t="s">
        <v>1649</v>
      </c>
    </row>
    <row r="1680" customFormat="false" ht="15" hidden="false" customHeight="false" outlineLevel="0" collapsed="false">
      <c r="A1680" s="10" t="s">
        <v>3360</v>
      </c>
      <c r="B1680" s="10" t="n">
        <v>1777</v>
      </c>
      <c r="C1680" s="8" t="n">
        <v>46016</v>
      </c>
      <c r="D1680" s="8" t="n">
        <v>46016</v>
      </c>
      <c r="E1680" s="10" t="n">
        <v>1100</v>
      </c>
      <c r="F1680" s="0" t="str">
        <f aca="false">INDEX(COA!$C$5:$C$19,MATCH(E1680,COA!$A$5:$A$19,0))</f>
        <v>Asset</v>
      </c>
      <c r="G1680" s="12" t="n">
        <v>68688.93</v>
      </c>
      <c r="H1680" s="12" t="n">
        <v>0</v>
      </c>
      <c r="I1680" s="10" t="s">
        <v>103</v>
      </c>
      <c r="J1680" s="10" t="s">
        <v>1636</v>
      </c>
      <c r="K1680" s="10" t="s">
        <v>1640</v>
      </c>
    </row>
    <row r="1681" customFormat="false" ht="15" hidden="false" customHeight="false" outlineLevel="0" collapsed="false">
      <c r="A1681" s="10" t="s">
        <v>3361</v>
      </c>
      <c r="B1681" s="10" t="n">
        <v>1777</v>
      </c>
      <c r="C1681" s="8" t="n">
        <v>46016</v>
      </c>
      <c r="D1681" s="8" t="n">
        <v>46016</v>
      </c>
      <c r="E1681" s="10" t="n">
        <v>4000</v>
      </c>
      <c r="F1681" s="0" t="str">
        <f aca="false">INDEX(COA!$C$5:$C$19,MATCH(E1681,COA!$A$5:$A$19,0))</f>
        <v>Revenue</v>
      </c>
      <c r="G1681" s="12" t="n">
        <v>0</v>
      </c>
      <c r="H1681" s="12" t="n">
        <v>68688.93</v>
      </c>
      <c r="I1681" s="10" t="s">
        <v>103</v>
      </c>
      <c r="J1681" s="10" t="s">
        <v>1636</v>
      </c>
      <c r="K1681" s="10" t="s">
        <v>1640</v>
      </c>
    </row>
    <row r="1682" customFormat="false" ht="15" hidden="false" customHeight="false" outlineLevel="0" collapsed="false">
      <c r="A1682" s="10" t="s">
        <v>3362</v>
      </c>
      <c r="B1682" s="10" t="n">
        <v>1778</v>
      </c>
      <c r="C1682" s="8" t="n">
        <v>46016</v>
      </c>
      <c r="D1682" s="8" t="n">
        <v>46012</v>
      </c>
      <c r="E1682" s="10" t="n">
        <v>2000</v>
      </c>
      <c r="F1682" s="0" t="str">
        <f aca="false">INDEX(COA!$C$5:$C$19,MATCH(E1682,COA!$A$5:$A$19,0))</f>
        <v>Liability</v>
      </c>
      <c r="G1682" s="12" t="n">
        <v>1238.6</v>
      </c>
      <c r="H1682" s="12" t="n">
        <v>0</v>
      </c>
      <c r="I1682" s="10" t="s">
        <v>104</v>
      </c>
      <c r="J1682" s="10" t="s">
        <v>1636</v>
      </c>
      <c r="K1682" s="10" t="s">
        <v>1659</v>
      </c>
    </row>
    <row r="1683" customFormat="false" ht="15" hidden="false" customHeight="false" outlineLevel="0" collapsed="false">
      <c r="A1683" s="10" t="s">
        <v>3363</v>
      </c>
      <c r="B1683" s="10" t="n">
        <v>1778</v>
      </c>
      <c r="C1683" s="8" t="n">
        <v>46016</v>
      </c>
      <c r="D1683" s="8" t="n">
        <v>46012</v>
      </c>
      <c r="E1683" s="10" t="n">
        <v>1000</v>
      </c>
      <c r="F1683" s="0" t="str">
        <f aca="false">INDEX(COA!$C$5:$C$19,MATCH(E1683,COA!$A$5:$A$19,0))</f>
        <v>Asset</v>
      </c>
      <c r="G1683" s="12" t="n">
        <v>0</v>
      </c>
      <c r="H1683" s="12" t="n">
        <v>1238.6</v>
      </c>
      <c r="I1683" s="10" t="s">
        <v>104</v>
      </c>
      <c r="J1683" s="10" t="s">
        <v>1636</v>
      </c>
      <c r="K1683" s="10" t="s">
        <v>1659</v>
      </c>
    </row>
    <row r="1684" customFormat="false" ht="15" hidden="false" customHeight="false" outlineLevel="0" collapsed="false">
      <c r="A1684" s="10" t="s">
        <v>3364</v>
      </c>
      <c r="B1684" s="10" t="n">
        <v>1779</v>
      </c>
      <c r="C1684" s="8" t="n">
        <v>46017</v>
      </c>
      <c r="D1684" s="8" t="n">
        <v>46014</v>
      </c>
      <c r="E1684" s="10" t="n">
        <v>2000</v>
      </c>
      <c r="F1684" s="0" t="str">
        <f aca="false">INDEX(COA!$C$5:$C$19,MATCH(E1684,COA!$A$5:$A$19,0))</f>
        <v>Liability</v>
      </c>
      <c r="G1684" s="12" t="n">
        <v>536.91</v>
      </c>
      <c r="H1684" s="12" t="n">
        <v>0</v>
      </c>
      <c r="I1684" s="10" t="s">
        <v>104</v>
      </c>
      <c r="J1684" s="10" t="s">
        <v>1636</v>
      </c>
      <c r="K1684" s="10" t="s">
        <v>1659</v>
      </c>
    </row>
    <row r="1685" customFormat="false" ht="15" hidden="false" customHeight="false" outlineLevel="0" collapsed="false">
      <c r="A1685" s="10" t="s">
        <v>3365</v>
      </c>
      <c r="B1685" s="10" t="n">
        <v>1779</v>
      </c>
      <c r="C1685" s="8" t="n">
        <v>46017</v>
      </c>
      <c r="D1685" s="8" t="n">
        <v>46014</v>
      </c>
      <c r="E1685" s="10" t="n">
        <v>1000</v>
      </c>
      <c r="F1685" s="0" t="str">
        <f aca="false">INDEX(COA!$C$5:$C$19,MATCH(E1685,COA!$A$5:$A$19,0))</f>
        <v>Asset</v>
      </c>
      <c r="G1685" s="12" t="n">
        <v>0</v>
      </c>
      <c r="H1685" s="12" t="n">
        <v>536.91</v>
      </c>
      <c r="I1685" s="10" t="s">
        <v>104</v>
      </c>
      <c r="J1685" s="10" t="s">
        <v>1636</v>
      </c>
      <c r="K1685" s="10" t="s">
        <v>1659</v>
      </c>
    </row>
    <row r="1686" customFormat="false" ht="15" hidden="false" customHeight="false" outlineLevel="0" collapsed="false">
      <c r="A1686" s="10" t="s">
        <v>3366</v>
      </c>
      <c r="B1686" s="10" t="n">
        <v>1780</v>
      </c>
      <c r="C1686" s="8" t="n">
        <v>46017</v>
      </c>
      <c r="D1686" s="8" t="n">
        <v>46014</v>
      </c>
      <c r="E1686" s="10" t="n">
        <v>2000</v>
      </c>
      <c r="F1686" s="0" t="str">
        <f aca="false">INDEX(COA!$C$5:$C$19,MATCH(E1686,COA!$A$5:$A$19,0))</f>
        <v>Liability</v>
      </c>
      <c r="G1686" s="12" t="n">
        <v>609.68</v>
      </c>
      <c r="H1686" s="12" t="n">
        <v>0</v>
      </c>
      <c r="I1686" s="10" t="s">
        <v>104</v>
      </c>
      <c r="J1686" s="10" t="s">
        <v>1636</v>
      </c>
      <c r="K1686" s="10" t="s">
        <v>1659</v>
      </c>
    </row>
    <row r="1687" customFormat="false" ht="15" hidden="false" customHeight="false" outlineLevel="0" collapsed="false">
      <c r="A1687" s="10" t="s">
        <v>3367</v>
      </c>
      <c r="B1687" s="10" t="n">
        <v>1780</v>
      </c>
      <c r="C1687" s="8" t="n">
        <v>46017</v>
      </c>
      <c r="D1687" s="8" t="n">
        <v>46014</v>
      </c>
      <c r="E1687" s="10" t="n">
        <v>1000</v>
      </c>
      <c r="F1687" s="0" t="str">
        <f aca="false">INDEX(COA!$C$5:$C$19,MATCH(E1687,COA!$A$5:$A$19,0))</f>
        <v>Asset</v>
      </c>
      <c r="G1687" s="12" t="n">
        <v>0</v>
      </c>
      <c r="H1687" s="12" t="n">
        <v>609.68</v>
      </c>
      <c r="I1687" s="10" t="s">
        <v>104</v>
      </c>
      <c r="J1687" s="10" t="s">
        <v>1636</v>
      </c>
      <c r="K1687" s="10" t="s">
        <v>1659</v>
      </c>
    </row>
    <row r="1688" customFormat="false" ht="15" hidden="false" customHeight="false" outlineLevel="0" collapsed="false">
      <c r="A1688" s="10" t="s">
        <v>3368</v>
      </c>
      <c r="B1688" s="10" t="n">
        <v>1781</v>
      </c>
      <c r="C1688" s="8" t="n">
        <v>46017</v>
      </c>
      <c r="D1688" s="8" t="n">
        <v>46017</v>
      </c>
      <c r="E1688" s="10" t="n">
        <v>1200</v>
      </c>
      <c r="F1688" s="0" t="str">
        <f aca="false">INDEX(COA!$C$5:$C$19,MATCH(E1688,COA!$A$5:$A$19,0))</f>
        <v>Asset</v>
      </c>
      <c r="G1688" s="12" t="n">
        <v>229.07</v>
      </c>
      <c r="H1688" s="12" t="n">
        <v>0</v>
      </c>
      <c r="I1688" s="10" t="s">
        <v>102</v>
      </c>
      <c r="J1688" s="10" t="s">
        <v>1636</v>
      </c>
      <c r="K1688" s="10" t="s">
        <v>1655</v>
      </c>
    </row>
    <row r="1689" customFormat="false" ht="15" hidden="false" customHeight="false" outlineLevel="0" collapsed="false">
      <c r="A1689" s="10" t="s">
        <v>3369</v>
      </c>
      <c r="B1689" s="10" t="n">
        <v>1781</v>
      </c>
      <c r="C1689" s="8" t="n">
        <v>46017</v>
      </c>
      <c r="D1689" s="8" t="n">
        <v>46017</v>
      </c>
      <c r="E1689" s="10" t="n">
        <v>2000</v>
      </c>
      <c r="F1689" s="0" t="str">
        <f aca="false">INDEX(COA!$C$5:$C$19,MATCH(E1689,COA!$A$5:$A$19,0))</f>
        <v>Liability</v>
      </c>
      <c r="G1689" s="12" t="n">
        <v>0</v>
      </c>
      <c r="H1689" s="12" t="n">
        <v>229.07</v>
      </c>
      <c r="I1689" s="10" t="s">
        <v>102</v>
      </c>
      <c r="J1689" s="10" t="s">
        <v>1636</v>
      </c>
      <c r="K1689" s="10" t="s">
        <v>1655</v>
      </c>
    </row>
    <row r="1690" customFormat="false" ht="15" hidden="false" customHeight="false" outlineLevel="0" collapsed="false">
      <c r="A1690" s="10" t="s">
        <v>3370</v>
      </c>
      <c r="B1690" s="10" t="n">
        <v>1782</v>
      </c>
      <c r="C1690" s="8" t="n">
        <v>46017</v>
      </c>
      <c r="D1690" s="8" t="n">
        <v>46017</v>
      </c>
      <c r="E1690" s="10" t="n">
        <v>2000</v>
      </c>
      <c r="F1690" s="0" t="str">
        <f aca="false">INDEX(COA!$C$5:$C$19,MATCH(E1690,COA!$A$5:$A$19,0))</f>
        <v>Liability</v>
      </c>
      <c r="G1690" s="12" t="n">
        <v>5752.51</v>
      </c>
      <c r="H1690" s="12" t="n">
        <v>0</v>
      </c>
      <c r="I1690" s="10" t="s">
        <v>104</v>
      </c>
      <c r="J1690" s="10" t="s">
        <v>1636</v>
      </c>
      <c r="K1690" s="10" t="s">
        <v>1659</v>
      </c>
    </row>
    <row r="1691" customFormat="false" ht="15" hidden="false" customHeight="false" outlineLevel="0" collapsed="false">
      <c r="A1691" s="10" t="s">
        <v>3371</v>
      </c>
      <c r="B1691" s="10" t="n">
        <v>1782</v>
      </c>
      <c r="C1691" s="8" t="n">
        <v>46017</v>
      </c>
      <c r="D1691" s="8" t="n">
        <v>46017</v>
      </c>
      <c r="E1691" s="10" t="n">
        <v>1000</v>
      </c>
      <c r="F1691" s="0" t="str">
        <f aca="false">INDEX(COA!$C$5:$C$19,MATCH(E1691,COA!$A$5:$A$19,0))</f>
        <v>Asset</v>
      </c>
      <c r="G1691" s="12" t="n">
        <v>0</v>
      </c>
      <c r="H1691" s="12" t="n">
        <v>5752.51</v>
      </c>
      <c r="I1691" s="10" t="s">
        <v>104</v>
      </c>
      <c r="J1691" s="10" t="s">
        <v>1636</v>
      </c>
      <c r="K1691" s="10" t="s">
        <v>1659</v>
      </c>
    </row>
    <row r="1692" customFormat="false" ht="15" hidden="false" customHeight="false" outlineLevel="0" collapsed="false">
      <c r="A1692" s="10" t="s">
        <v>3372</v>
      </c>
      <c r="B1692" s="10" t="n">
        <v>1783</v>
      </c>
      <c r="C1692" s="8" t="n">
        <v>46017</v>
      </c>
      <c r="D1692" s="8" t="n">
        <v>46013</v>
      </c>
      <c r="E1692" s="10" t="n">
        <v>2100</v>
      </c>
      <c r="F1692" s="0" t="str">
        <f aca="false">INDEX(COA!$C$5:$C$19,MATCH(E1692,COA!$A$5:$A$19,0))</f>
        <v>Liability</v>
      </c>
      <c r="G1692" s="12" t="n">
        <v>5235.48</v>
      </c>
      <c r="H1692" s="12" t="n">
        <v>0</v>
      </c>
      <c r="I1692" s="10" t="s">
        <v>97</v>
      </c>
      <c r="J1692" s="10" t="s">
        <v>1648</v>
      </c>
      <c r="K1692" s="10" t="s">
        <v>1677</v>
      </c>
    </row>
    <row r="1693" customFormat="false" ht="15" hidden="false" customHeight="false" outlineLevel="0" collapsed="false">
      <c r="A1693" s="10" t="s">
        <v>3373</v>
      </c>
      <c r="B1693" s="10" t="n">
        <v>1783</v>
      </c>
      <c r="C1693" s="8" t="n">
        <v>46017</v>
      </c>
      <c r="D1693" s="8" t="n">
        <v>46013</v>
      </c>
      <c r="E1693" s="10" t="n">
        <v>2100</v>
      </c>
      <c r="F1693" s="0" t="str">
        <f aca="false">INDEX(COA!$C$5:$C$19,MATCH(E1693,COA!$A$5:$A$19,0))</f>
        <v>Liability</v>
      </c>
      <c r="G1693" s="12" t="n">
        <v>2243.78</v>
      </c>
      <c r="H1693" s="12" t="n">
        <v>0</v>
      </c>
      <c r="I1693" s="10" t="s">
        <v>97</v>
      </c>
      <c r="J1693" s="10" t="s">
        <v>1648</v>
      </c>
      <c r="K1693" s="10" t="s">
        <v>1677</v>
      </c>
    </row>
    <row r="1694" customFormat="false" ht="15" hidden="false" customHeight="false" outlineLevel="0" collapsed="false">
      <c r="A1694" s="10" t="s">
        <v>3374</v>
      </c>
      <c r="B1694" s="10" t="n">
        <v>1783</v>
      </c>
      <c r="C1694" s="8" t="n">
        <v>46017</v>
      </c>
      <c r="D1694" s="8" t="n">
        <v>46013</v>
      </c>
      <c r="E1694" s="10" t="n">
        <v>6900</v>
      </c>
      <c r="F1694" s="0" t="str">
        <f aca="false">INDEX(COA!$C$5:$C$19,MATCH(E1694,COA!$A$5:$A$19,0))</f>
        <v>Expense</v>
      </c>
      <c r="G1694" s="12" t="n">
        <v>0</v>
      </c>
      <c r="H1694" s="12" t="n">
        <v>7479.26</v>
      </c>
      <c r="I1694" s="10" t="s">
        <v>97</v>
      </c>
      <c r="J1694" s="10" t="s">
        <v>1648</v>
      </c>
      <c r="K1694" s="10" t="s">
        <v>1677</v>
      </c>
    </row>
    <row r="1695" customFormat="false" ht="15" hidden="false" customHeight="false" outlineLevel="0" collapsed="false">
      <c r="A1695" s="10" t="s">
        <v>3375</v>
      </c>
      <c r="B1695" s="10" t="n">
        <v>1784</v>
      </c>
      <c r="C1695" s="8" t="n">
        <v>46017</v>
      </c>
      <c r="D1695" s="8" t="n">
        <v>46016</v>
      </c>
      <c r="E1695" s="10" t="n">
        <v>6900</v>
      </c>
      <c r="F1695" s="0" t="str">
        <f aca="false">INDEX(COA!$C$5:$C$19,MATCH(E1695,COA!$A$5:$A$19,0))</f>
        <v>Expense</v>
      </c>
      <c r="G1695" s="12" t="n">
        <v>3231.31</v>
      </c>
      <c r="H1695" s="12" t="n">
        <v>0</v>
      </c>
      <c r="I1695" s="10" t="s">
        <v>98</v>
      </c>
      <c r="J1695" s="10" t="s">
        <v>1648</v>
      </c>
      <c r="K1695" s="10" t="s">
        <v>1649</v>
      </c>
    </row>
    <row r="1696" customFormat="false" ht="15" hidden="false" customHeight="false" outlineLevel="0" collapsed="false">
      <c r="A1696" s="10" t="s">
        <v>3376</v>
      </c>
      <c r="B1696" s="10" t="n">
        <v>1784</v>
      </c>
      <c r="C1696" s="8" t="n">
        <v>46017</v>
      </c>
      <c r="D1696" s="8" t="n">
        <v>46016</v>
      </c>
      <c r="E1696" s="10" t="n">
        <v>2100</v>
      </c>
      <c r="F1696" s="0" t="str">
        <f aca="false">INDEX(COA!$C$5:$C$19,MATCH(E1696,COA!$A$5:$A$19,0))</f>
        <v>Liability</v>
      </c>
      <c r="G1696" s="12" t="n">
        <v>0</v>
      </c>
      <c r="H1696" s="12" t="n">
        <v>3231.31</v>
      </c>
      <c r="I1696" s="10" t="s">
        <v>98</v>
      </c>
      <c r="J1696" s="10" t="s">
        <v>1648</v>
      </c>
      <c r="K1696" s="10" t="s">
        <v>1649</v>
      </c>
    </row>
    <row r="1697" customFormat="false" ht="15" hidden="false" customHeight="false" outlineLevel="0" collapsed="false">
      <c r="A1697" s="10" t="s">
        <v>3377</v>
      </c>
      <c r="B1697" s="10" t="n">
        <v>1785</v>
      </c>
      <c r="C1697" s="8" t="n">
        <v>46019</v>
      </c>
      <c r="D1697" s="8" t="n">
        <v>46018</v>
      </c>
      <c r="E1697" s="10" t="n">
        <v>5000</v>
      </c>
      <c r="F1697" s="0" t="str">
        <f aca="false">INDEX(COA!$C$5:$C$19,MATCH(E1697,COA!$A$5:$A$19,0))</f>
        <v>Expense</v>
      </c>
      <c r="G1697" s="12" t="n">
        <v>93893.4</v>
      </c>
      <c r="H1697" s="12" t="n">
        <v>0</v>
      </c>
      <c r="I1697" s="10" t="s">
        <v>103</v>
      </c>
      <c r="J1697" s="10" t="s">
        <v>1636</v>
      </c>
      <c r="K1697" s="10" t="s">
        <v>1670</v>
      </c>
    </row>
    <row r="1698" customFormat="false" ht="15" hidden="false" customHeight="false" outlineLevel="0" collapsed="false">
      <c r="A1698" s="10" t="s">
        <v>3378</v>
      </c>
      <c r="B1698" s="10" t="n">
        <v>1785</v>
      </c>
      <c r="C1698" s="8" t="n">
        <v>46019</v>
      </c>
      <c r="D1698" s="8" t="n">
        <v>46018</v>
      </c>
      <c r="E1698" s="10" t="n">
        <v>5000</v>
      </c>
      <c r="F1698" s="0" t="str">
        <f aca="false">INDEX(COA!$C$5:$C$19,MATCH(E1698,COA!$A$5:$A$19,0))</f>
        <v>Expense</v>
      </c>
      <c r="G1698" s="12" t="n">
        <v>40240.03</v>
      </c>
      <c r="H1698" s="12" t="n">
        <v>0</v>
      </c>
      <c r="I1698" s="10" t="s">
        <v>103</v>
      </c>
      <c r="J1698" s="10" t="s">
        <v>1636</v>
      </c>
      <c r="K1698" s="10" t="s">
        <v>1670</v>
      </c>
    </row>
    <row r="1699" customFormat="false" ht="15" hidden="false" customHeight="false" outlineLevel="0" collapsed="false">
      <c r="A1699" s="10" t="s">
        <v>3379</v>
      </c>
      <c r="B1699" s="10" t="n">
        <v>1785</v>
      </c>
      <c r="C1699" s="8" t="n">
        <v>46019</v>
      </c>
      <c r="D1699" s="8" t="n">
        <v>46018</v>
      </c>
      <c r="E1699" s="10" t="n">
        <v>1200</v>
      </c>
      <c r="F1699" s="0" t="str">
        <f aca="false">INDEX(COA!$C$5:$C$19,MATCH(E1699,COA!$A$5:$A$19,0))</f>
        <v>Asset</v>
      </c>
      <c r="G1699" s="12" t="n">
        <v>0</v>
      </c>
      <c r="H1699" s="12" t="n">
        <v>134133.43</v>
      </c>
      <c r="I1699" s="10" t="s">
        <v>103</v>
      </c>
      <c r="J1699" s="10" t="s">
        <v>1636</v>
      </c>
      <c r="K1699" s="10" t="s">
        <v>1670</v>
      </c>
    </row>
    <row r="1700" customFormat="false" ht="15" hidden="false" customHeight="false" outlineLevel="0" collapsed="false">
      <c r="A1700" s="10" t="s">
        <v>3380</v>
      </c>
      <c r="B1700" s="10" t="n">
        <v>1786</v>
      </c>
      <c r="C1700" s="8" t="n">
        <v>46020</v>
      </c>
      <c r="D1700" s="8" t="n">
        <v>46016</v>
      </c>
      <c r="E1700" s="10" t="n">
        <v>6900</v>
      </c>
      <c r="F1700" s="0" t="str">
        <f aca="false">INDEX(COA!$C$5:$C$19,MATCH(E1700,COA!$A$5:$A$19,0))</f>
        <v>Expense</v>
      </c>
      <c r="G1700" s="12" t="n">
        <v>127823.32</v>
      </c>
      <c r="H1700" s="12" t="n">
        <v>0</v>
      </c>
      <c r="I1700" s="10" t="s">
        <v>98</v>
      </c>
      <c r="J1700" s="10" t="s">
        <v>1648</v>
      </c>
      <c r="K1700" s="10" t="s">
        <v>1649</v>
      </c>
    </row>
    <row r="1701" customFormat="false" ht="15" hidden="false" customHeight="false" outlineLevel="0" collapsed="false">
      <c r="A1701" s="10" t="s">
        <v>3381</v>
      </c>
      <c r="B1701" s="10" t="n">
        <v>1786</v>
      </c>
      <c r="C1701" s="8" t="n">
        <v>46020</v>
      </c>
      <c r="D1701" s="8" t="n">
        <v>46016</v>
      </c>
      <c r="E1701" s="10" t="n">
        <v>2100</v>
      </c>
      <c r="F1701" s="0" t="str">
        <f aca="false">INDEX(COA!$C$5:$C$19,MATCH(E1701,COA!$A$5:$A$19,0))</f>
        <v>Liability</v>
      </c>
      <c r="G1701" s="12" t="n">
        <v>0</v>
      </c>
      <c r="H1701" s="12" t="n">
        <v>127823.32</v>
      </c>
      <c r="I1701" s="10" t="s">
        <v>98</v>
      </c>
      <c r="J1701" s="10" t="s">
        <v>1648</v>
      </c>
      <c r="K1701" s="10" t="s">
        <v>1649</v>
      </c>
    </row>
    <row r="1702" customFormat="false" ht="15" hidden="false" customHeight="false" outlineLevel="0" collapsed="false">
      <c r="A1702" s="10" t="s">
        <v>3382</v>
      </c>
      <c r="B1702" s="10" t="n">
        <v>1787</v>
      </c>
      <c r="C1702" s="8" t="n">
        <v>46020</v>
      </c>
      <c r="D1702" s="8" t="n">
        <v>46018</v>
      </c>
      <c r="E1702" s="10" t="n">
        <v>2000</v>
      </c>
      <c r="F1702" s="0" t="str">
        <f aca="false">INDEX(COA!$C$5:$C$19,MATCH(E1702,COA!$A$5:$A$19,0))</f>
        <v>Liability</v>
      </c>
      <c r="G1702" s="12" t="n">
        <v>413.51</v>
      </c>
      <c r="H1702" s="12" t="n">
        <v>0</v>
      </c>
      <c r="I1702" s="10" t="s">
        <v>104</v>
      </c>
      <c r="J1702" s="10" t="s">
        <v>1636</v>
      </c>
      <c r="K1702" s="10" t="s">
        <v>1659</v>
      </c>
    </row>
    <row r="1703" customFormat="false" ht="15" hidden="false" customHeight="false" outlineLevel="0" collapsed="false">
      <c r="A1703" s="10" t="s">
        <v>3383</v>
      </c>
      <c r="B1703" s="10" t="n">
        <v>1787</v>
      </c>
      <c r="C1703" s="8" t="n">
        <v>46020</v>
      </c>
      <c r="D1703" s="8" t="n">
        <v>46018</v>
      </c>
      <c r="E1703" s="10" t="n">
        <v>1000</v>
      </c>
      <c r="F1703" s="0" t="str">
        <f aca="false">INDEX(COA!$C$5:$C$19,MATCH(E1703,COA!$A$5:$A$19,0))</f>
        <v>Asset</v>
      </c>
      <c r="G1703" s="12" t="n">
        <v>0</v>
      </c>
      <c r="H1703" s="12" t="n">
        <v>413.51</v>
      </c>
      <c r="I1703" s="10" t="s">
        <v>104</v>
      </c>
      <c r="J1703" s="10" t="s">
        <v>1636</v>
      </c>
      <c r="K1703" s="10" t="s">
        <v>1659</v>
      </c>
    </row>
    <row r="1704" customFormat="false" ht="15" hidden="false" customHeight="false" outlineLevel="0" collapsed="false">
      <c r="A1704" s="10" t="s">
        <v>3384</v>
      </c>
      <c r="B1704" s="10" t="n">
        <v>1788</v>
      </c>
      <c r="C1704" s="8" t="n">
        <v>46020</v>
      </c>
      <c r="D1704" s="8" t="n">
        <v>46019</v>
      </c>
      <c r="E1704" s="10" t="n">
        <v>1000</v>
      </c>
      <c r="F1704" s="0" t="str">
        <f aca="false">INDEX(COA!$C$5:$C$19,MATCH(E1704,COA!$A$5:$A$19,0))</f>
        <v>Asset</v>
      </c>
      <c r="G1704" s="12" t="n">
        <v>817</v>
      </c>
      <c r="H1704" s="12" t="n">
        <v>0</v>
      </c>
      <c r="I1704" s="10" t="s">
        <v>103</v>
      </c>
      <c r="J1704" s="10" t="s">
        <v>1636</v>
      </c>
      <c r="K1704" s="10" t="s">
        <v>1637</v>
      </c>
    </row>
    <row r="1705" customFormat="false" ht="15" hidden="false" customHeight="false" outlineLevel="0" collapsed="false">
      <c r="A1705" s="10" t="s">
        <v>3385</v>
      </c>
      <c r="B1705" s="10" t="n">
        <v>1788</v>
      </c>
      <c r="C1705" s="8" t="n">
        <v>46020</v>
      </c>
      <c r="D1705" s="8" t="n">
        <v>46019</v>
      </c>
      <c r="E1705" s="10" t="n">
        <v>1100</v>
      </c>
      <c r="F1705" s="0" t="str">
        <f aca="false">INDEX(COA!$C$5:$C$19,MATCH(E1705,COA!$A$5:$A$19,0))</f>
        <v>Asset</v>
      </c>
      <c r="G1705" s="12" t="n">
        <v>0</v>
      </c>
      <c r="H1705" s="12" t="n">
        <v>817</v>
      </c>
      <c r="I1705" s="10" t="s">
        <v>103</v>
      </c>
      <c r="J1705" s="10" t="s">
        <v>1636</v>
      </c>
      <c r="K1705" s="10" t="s">
        <v>1637</v>
      </c>
    </row>
    <row r="1706" customFormat="false" ht="15" hidden="false" customHeight="false" outlineLevel="0" collapsed="false">
      <c r="A1706" s="10" t="s">
        <v>3386</v>
      </c>
      <c r="B1706" s="10" t="n">
        <v>1789</v>
      </c>
      <c r="C1706" s="8" t="n">
        <v>46020</v>
      </c>
      <c r="D1706" s="8" t="n">
        <v>46017</v>
      </c>
      <c r="E1706" s="10" t="n">
        <v>1200</v>
      </c>
      <c r="F1706" s="0" t="str">
        <f aca="false">INDEX(COA!$C$5:$C$19,MATCH(E1706,COA!$A$5:$A$19,0))</f>
        <v>Asset</v>
      </c>
      <c r="G1706" s="12" t="n">
        <v>36714.35</v>
      </c>
      <c r="H1706" s="12" t="n">
        <v>0</v>
      </c>
      <c r="I1706" s="10" t="s">
        <v>102</v>
      </c>
      <c r="J1706" s="10" t="s">
        <v>1636</v>
      </c>
      <c r="K1706" s="10" t="s">
        <v>1655</v>
      </c>
    </row>
    <row r="1707" customFormat="false" ht="15" hidden="false" customHeight="false" outlineLevel="0" collapsed="false">
      <c r="A1707" s="10" t="s">
        <v>3387</v>
      </c>
      <c r="B1707" s="10" t="n">
        <v>1789</v>
      </c>
      <c r="C1707" s="8" t="n">
        <v>46020</v>
      </c>
      <c r="D1707" s="8" t="n">
        <v>46017</v>
      </c>
      <c r="E1707" s="10" t="n">
        <v>2000</v>
      </c>
      <c r="F1707" s="0" t="str">
        <f aca="false">INDEX(COA!$C$5:$C$19,MATCH(E1707,COA!$A$5:$A$19,0))</f>
        <v>Liability</v>
      </c>
      <c r="G1707" s="12" t="n">
        <v>0</v>
      </c>
      <c r="H1707" s="12" t="n">
        <v>36714.35</v>
      </c>
      <c r="I1707" s="10" t="s">
        <v>102</v>
      </c>
      <c r="J1707" s="10" t="s">
        <v>1636</v>
      </c>
      <c r="K1707" s="10" t="s">
        <v>1655</v>
      </c>
    </row>
    <row r="1708" customFormat="false" ht="15" hidden="false" customHeight="false" outlineLevel="0" collapsed="false">
      <c r="A1708" s="10" t="s">
        <v>3388</v>
      </c>
      <c r="B1708" s="10" t="n">
        <v>1790</v>
      </c>
      <c r="C1708" s="8" t="n">
        <v>46020</v>
      </c>
      <c r="D1708" s="8" t="n">
        <v>46019</v>
      </c>
      <c r="E1708" s="10" t="n">
        <v>2100</v>
      </c>
      <c r="F1708" s="0" t="str">
        <f aca="false">INDEX(COA!$C$5:$C$19,MATCH(E1708,COA!$A$5:$A$19,0))</f>
        <v>Liability</v>
      </c>
      <c r="G1708" s="12" t="n">
        <v>51956.1</v>
      </c>
      <c r="H1708" s="12" t="n">
        <v>0</v>
      </c>
      <c r="I1708" s="10" t="s">
        <v>98</v>
      </c>
      <c r="J1708" s="10" t="s">
        <v>1648</v>
      </c>
      <c r="K1708" s="10" t="s">
        <v>1677</v>
      </c>
    </row>
    <row r="1709" customFormat="false" ht="15" hidden="false" customHeight="false" outlineLevel="0" collapsed="false">
      <c r="A1709" s="10" t="s">
        <v>3389</v>
      </c>
      <c r="B1709" s="10" t="n">
        <v>1790</v>
      </c>
      <c r="C1709" s="8" t="n">
        <v>46020</v>
      </c>
      <c r="D1709" s="8" t="n">
        <v>46019</v>
      </c>
      <c r="E1709" s="10" t="n">
        <v>6900</v>
      </c>
      <c r="F1709" s="0" t="str">
        <f aca="false">INDEX(COA!$C$5:$C$19,MATCH(E1709,COA!$A$5:$A$19,0))</f>
        <v>Expense</v>
      </c>
      <c r="G1709" s="12" t="n">
        <v>0</v>
      </c>
      <c r="H1709" s="12" t="n">
        <v>51956.1</v>
      </c>
      <c r="I1709" s="10" t="s">
        <v>98</v>
      </c>
      <c r="J1709" s="10" t="s">
        <v>1648</v>
      </c>
      <c r="K1709" s="10" t="s">
        <v>1677</v>
      </c>
    </row>
    <row r="1710" customFormat="false" ht="15" hidden="false" customHeight="false" outlineLevel="0" collapsed="false">
      <c r="A1710" s="10" t="s">
        <v>3390</v>
      </c>
      <c r="B1710" s="10" t="n">
        <v>1791</v>
      </c>
      <c r="C1710" s="8" t="n">
        <v>46020</v>
      </c>
      <c r="D1710" s="8" t="n">
        <v>46020</v>
      </c>
      <c r="E1710" s="10" t="n">
        <v>1000</v>
      </c>
      <c r="F1710" s="0" t="str">
        <f aca="false">INDEX(COA!$C$5:$C$19,MATCH(E1710,COA!$A$5:$A$19,0))</f>
        <v>Asset</v>
      </c>
      <c r="G1710" s="12" t="n">
        <v>250000</v>
      </c>
      <c r="H1710" s="12" t="n">
        <v>0</v>
      </c>
      <c r="I1710" s="10" t="s">
        <v>99</v>
      </c>
      <c r="J1710" s="10" t="s">
        <v>1648</v>
      </c>
      <c r="K1710" s="10" t="s">
        <v>3391</v>
      </c>
    </row>
    <row r="1711" customFormat="false" ht="15" hidden="false" customHeight="false" outlineLevel="0" collapsed="false">
      <c r="A1711" s="10" t="s">
        <v>3392</v>
      </c>
      <c r="B1711" s="10" t="n">
        <v>1791</v>
      </c>
      <c r="C1711" s="8" t="n">
        <v>46020</v>
      </c>
      <c r="D1711" s="8" t="n">
        <v>46020</v>
      </c>
      <c r="E1711" s="10" t="n">
        <v>4000</v>
      </c>
      <c r="F1711" s="0" t="str">
        <f aca="false">INDEX(COA!$C$5:$C$19,MATCH(E1711,COA!$A$5:$A$19,0))</f>
        <v>Revenue</v>
      </c>
      <c r="G1711" s="12" t="n">
        <v>0</v>
      </c>
      <c r="H1711" s="12" t="n">
        <v>250000</v>
      </c>
      <c r="I1711" s="10" t="s">
        <v>99</v>
      </c>
      <c r="J1711" s="10" t="s">
        <v>1648</v>
      </c>
      <c r="K1711" s="10" t="s">
        <v>3391</v>
      </c>
    </row>
    <row r="1712" customFormat="false" ht="15" hidden="false" customHeight="false" outlineLevel="0" collapsed="false">
      <c r="A1712" s="10" t="s">
        <v>3393</v>
      </c>
      <c r="B1712" s="10" t="n">
        <v>1792</v>
      </c>
      <c r="C1712" s="8" t="n">
        <v>46021</v>
      </c>
      <c r="D1712" s="8" t="n">
        <v>46018</v>
      </c>
      <c r="E1712" s="10" t="n">
        <v>1100</v>
      </c>
      <c r="F1712" s="0" t="str">
        <f aca="false">INDEX(COA!$C$5:$C$19,MATCH(E1712,COA!$A$5:$A$19,0))</f>
        <v>Asset</v>
      </c>
      <c r="G1712" s="12" t="n">
        <v>238.26</v>
      </c>
      <c r="H1712" s="12" t="n">
        <v>0</v>
      </c>
      <c r="I1712" s="10" t="s">
        <v>103</v>
      </c>
      <c r="J1712" s="10" t="s">
        <v>1636</v>
      </c>
      <c r="K1712" s="10" t="s">
        <v>1640</v>
      </c>
    </row>
    <row r="1713" customFormat="false" ht="15" hidden="false" customHeight="false" outlineLevel="0" collapsed="false">
      <c r="A1713" s="10" t="s">
        <v>3394</v>
      </c>
      <c r="B1713" s="10" t="n">
        <v>1792</v>
      </c>
      <c r="C1713" s="8" t="n">
        <v>46021</v>
      </c>
      <c r="D1713" s="8" t="n">
        <v>46018</v>
      </c>
      <c r="E1713" s="10" t="n">
        <v>4000</v>
      </c>
      <c r="F1713" s="0" t="str">
        <f aca="false">INDEX(COA!$C$5:$C$19,MATCH(E1713,COA!$A$5:$A$19,0))</f>
        <v>Revenue</v>
      </c>
      <c r="G1713" s="12" t="n">
        <v>0</v>
      </c>
      <c r="H1713" s="12" t="n">
        <v>238.26</v>
      </c>
      <c r="I1713" s="10" t="s">
        <v>103</v>
      </c>
      <c r="J1713" s="10" t="s">
        <v>1636</v>
      </c>
      <c r="K1713" s="10" t="s">
        <v>1640</v>
      </c>
    </row>
    <row r="1714" customFormat="false" ht="15" hidden="false" customHeight="false" outlineLevel="0" collapsed="false">
      <c r="A1714" s="10" t="s">
        <v>3395</v>
      </c>
      <c r="B1714" s="10" t="n">
        <v>1793</v>
      </c>
      <c r="C1714" s="8" t="n">
        <v>46021</v>
      </c>
      <c r="D1714" s="8" t="n">
        <v>46021</v>
      </c>
      <c r="E1714" s="10" t="n">
        <v>6900</v>
      </c>
      <c r="F1714" s="0" t="str">
        <f aca="false">INDEX(COA!$C$5:$C$19,MATCH(E1714,COA!$A$5:$A$19,0))</f>
        <v>Expense</v>
      </c>
      <c r="G1714" s="12" t="n">
        <v>17623.64</v>
      </c>
      <c r="H1714" s="12" t="n">
        <v>0</v>
      </c>
      <c r="I1714" s="10" t="s">
        <v>97</v>
      </c>
      <c r="J1714" s="10" t="s">
        <v>1648</v>
      </c>
      <c r="K1714" s="10" t="s">
        <v>3396</v>
      </c>
    </row>
    <row r="1715" customFormat="false" ht="15" hidden="false" customHeight="false" outlineLevel="0" collapsed="false">
      <c r="A1715" s="10" t="s">
        <v>3397</v>
      </c>
      <c r="B1715" s="10" t="n">
        <v>1793</v>
      </c>
      <c r="C1715" s="8" t="n">
        <v>46021</v>
      </c>
      <c r="D1715" s="8" t="n">
        <v>46021</v>
      </c>
      <c r="E1715" s="10" t="n">
        <v>2100</v>
      </c>
      <c r="F1715" s="0" t="str">
        <f aca="false">INDEX(COA!$C$5:$C$19,MATCH(E1715,COA!$A$5:$A$19,0))</f>
        <v>Liability</v>
      </c>
      <c r="G1715" s="12" t="n">
        <v>0</v>
      </c>
      <c r="H1715" s="12" t="n">
        <v>18873.64</v>
      </c>
      <c r="I1715" s="10" t="s">
        <v>97</v>
      </c>
      <c r="J1715" s="10" t="s">
        <v>1648</v>
      </c>
      <c r="K1715" s="10" t="s">
        <v>3396</v>
      </c>
    </row>
    <row r="1716" customFormat="false" ht="15" hidden="false" customHeight="false" outlineLevel="0" collapsed="false">
      <c r="A1716" s="10" t="s">
        <v>3398</v>
      </c>
      <c r="B1716" s="10" t="n">
        <v>1794</v>
      </c>
      <c r="C1716" s="8" t="n">
        <v>46021</v>
      </c>
      <c r="D1716" s="8" t="n">
        <v>46020</v>
      </c>
      <c r="E1716" s="10" t="n">
        <v>1000</v>
      </c>
      <c r="F1716" s="0" t="str">
        <f aca="false">INDEX(COA!$C$5:$C$19,MATCH(E1716,COA!$A$5:$A$19,0))</f>
        <v>Asset</v>
      </c>
      <c r="G1716" s="12" t="n">
        <v>32999.26</v>
      </c>
      <c r="H1716" s="12" t="n">
        <v>0</v>
      </c>
      <c r="I1716" s="10" t="s">
        <v>103</v>
      </c>
      <c r="J1716" s="10" t="s">
        <v>1636</v>
      </c>
      <c r="K1716" s="10" t="s">
        <v>1637</v>
      </c>
    </row>
    <row r="1717" customFormat="false" ht="15" hidden="false" customHeight="false" outlineLevel="0" collapsed="false">
      <c r="A1717" s="10" t="s">
        <v>3399</v>
      </c>
      <c r="B1717" s="10" t="n">
        <v>1794</v>
      </c>
      <c r="C1717" s="8" t="n">
        <v>46021</v>
      </c>
      <c r="D1717" s="8" t="n">
        <v>46020</v>
      </c>
      <c r="E1717" s="10" t="n">
        <v>1100</v>
      </c>
      <c r="F1717" s="0" t="str">
        <f aca="false">INDEX(COA!$C$5:$C$19,MATCH(E1717,COA!$A$5:$A$19,0))</f>
        <v>Asset</v>
      </c>
      <c r="G1717" s="12" t="n">
        <v>0</v>
      </c>
      <c r="H1717" s="12" t="n">
        <v>32999.26</v>
      </c>
      <c r="I1717" s="10" t="s">
        <v>103</v>
      </c>
      <c r="J1717" s="10" t="s">
        <v>1636</v>
      </c>
      <c r="K1717" s="10" t="s">
        <v>1637</v>
      </c>
    </row>
    <row r="1718" customFormat="false" ht="15" hidden="false" customHeight="false" outlineLevel="0" collapsed="false">
      <c r="A1718" s="10" t="s">
        <v>3400</v>
      </c>
      <c r="B1718" s="10" t="n">
        <v>1795</v>
      </c>
      <c r="C1718" s="8" t="n">
        <v>46021</v>
      </c>
      <c r="D1718" s="8" t="n">
        <v>46021</v>
      </c>
      <c r="E1718" s="10" t="n">
        <v>1000</v>
      </c>
      <c r="F1718" s="0" t="str">
        <f aca="false">INDEX(COA!$C$5:$C$19,MATCH(E1718,COA!$A$5:$A$19,0))</f>
        <v>Asset</v>
      </c>
      <c r="G1718" s="12" t="n">
        <v>180000</v>
      </c>
      <c r="H1718" s="12" t="n">
        <v>0</v>
      </c>
      <c r="I1718" s="10" t="s">
        <v>99</v>
      </c>
      <c r="J1718" s="10" t="s">
        <v>1648</v>
      </c>
      <c r="K1718" s="10" t="s">
        <v>3391</v>
      </c>
    </row>
    <row r="1719" customFormat="false" ht="15" hidden="false" customHeight="false" outlineLevel="0" collapsed="false">
      <c r="A1719" s="10" t="s">
        <v>3401</v>
      </c>
      <c r="B1719" s="10" t="n">
        <v>1795</v>
      </c>
      <c r="C1719" s="8" t="n">
        <v>46021</v>
      </c>
      <c r="D1719" s="8" t="n">
        <v>46021</v>
      </c>
      <c r="E1719" s="10" t="n">
        <v>4000</v>
      </c>
      <c r="F1719" s="0" t="str">
        <f aca="false">INDEX(COA!$C$5:$C$19,MATCH(E1719,COA!$A$5:$A$19,0))</f>
        <v>Revenue</v>
      </c>
      <c r="G1719" s="12" t="n">
        <v>0</v>
      </c>
      <c r="H1719" s="12" t="n">
        <v>180000</v>
      </c>
      <c r="I1719" s="10" t="s">
        <v>99</v>
      </c>
      <c r="J1719" s="10" t="s">
        <v>1648</v>
      </c>
      <c r="K1719" s="10" t="s">
        <v>3391</v>
      </c>
    </row>
    <row r="1720" customFormat="false" ht="15" hidden="false" customHeight="false" outlineLevel="0" collapsed="false">
      <c r="A1720" s="10" t="s">
        <v>3402</v>
      </c>
      <c r="B1720" s="10" t="n">
        <v>1796</v>
      </c>
      <c r="C1720" s="8" t="n">
        <v>46021</v>
      </c>
      <c r="D1720" s="8" t="n">
        <v>46021</v>
      </c>
      <c r="E1720" s="10" t="n">
        <v>1000</v>
      </c>
      <c r="F1720" s="0" t="str">
        <f aca="false">INDEX(COA!$C$5:$C$19,MATCH(E1720,COA!$A$5:$A$19,0))</f>
        <v>Asset</v>
      </c>
      <c r="G1720" s="12" t="n">
        <v>320000</v>
      </c>
      <c r="H1720" s="12" t="n">
        <v>0</v>
      </c>
      <c r="I1720" s="10" t="s">
        <v>99</v>
      </c>
      <c r="J1720" s="10" t="s">
        <v>1648</v>
      </c>
    </row>
    <row r="1721" customFormat="false" ht="15" hidden="false" customHeight="false" outlineLevel="0" collapsed="false">
      <c r="A1721" s="10" t="s">
        <v>3403</v>
      </c>
      <c r="B1721" s="10" t="n">
        <v>1796</v>
      </c>
      <c r="C1721" s="8" t="n">
        <v>46021</v>
      </c>
      <c r="D1721" s="8" t="n">
        <v>46021</v>
      </c>
      <c r="E1721" s="10" t="n">
        <v>4000</v>
      </c>
      <c r="F1721" s="0" t="str">
        <f aca="false">INDEX(COA!$C$5:$C$19,MATCH(E1721,COA!$A$5:$A$19,0))</f>
        <v>Revenue</v>
      </c>
      <c r="G1721" s="12" t="n">
        <v>0</v>
      </c>
      <c r="H1721" s="12" t="n">
        <v>320000</v>
      </c>
      <c r="I1721" s="10" t="s">
        <v>99</v>
      </c>
      <c r="J1721" s="10" t="s">
        <v>1648</v>
      </c>
    </row>
    <row r="1722" customFormat="false" ht="15" hidden="false" customHeight="false" outlineLevel="0" collapsed="false">
      <c r="A1722" s="10" t="s">
        <v>3404</v>
      </c>
      <c r="B1722" s="10" t="n">
        <v>1797</v>
      </c>
      <c r="C1722" s="8" t="n">
        <v>46021</v>
      </c>
      <c r="D1722" s="8" t="n">
        <v>46020</v>
      </c>
      <c r="E1722" s="10" t="n">
        <v>1200</v>
      </c>
      <c r="F1722" s="0" t="str">
        <f aca="false">INDEX(COA!$C$5:$C$19,MATCH(E1722,COA!$A$5:$A$19,0))</f>
        <v>Asset</v>
      </c>
      <c r="G1722" s="12" t="n">
        <v>39969.79</v>
      </c>
      <c r="H1722" s="12" t="n">
        <v>0</v>
      </c>
      <c r="I1722" s="10" t="s">
        <v>102</v>
      </c>
      <c r="J1722" s="10" t="s">
        <v>1636</v>
      </c>
      <c r="K1722" s="10" t="s">
        <v>1655</v>
      </c>
    </row>
    <row r="1723" customFormat="false" ht="15" hidden="false" customHeight="false" outlineLevel="0" collapsed="false">
      <c r="A1723" s="10" t="s">
        <v>3405</v>
      </c>
      <c r="B1723" s="10" t="n">
        <v>1797</v>
      </c>
      <c r="C1723" s="8" t="n">
        <v>46021</v>
      </c>
      <c r="D1723" s="8" t="n">
        <v>46020</v>
      </c>
      <c r="E1723" s="10" t="n">
        <v>2000</v>
      </c>
      <c r="F1723" s="0" t="str">
        <f aca="false">INDEX(COA!$C$5:$C$19,MATCH(E1723,COA!$A$5:$A$19,0))</f>
        <v>Liability</v>
      </c>
      <c r="G1723" s="12" t="n">
        <v>0</v>
      </c>
      <c r="H1723" s="12" t="n">
        <v>39969.79</v>
      </c>
      <c r="I1723" s="10" t="s">
        <v>102</v>
      </c>
      <c r="J1723" s="10" t="s">
        <v>1636</v>
      </c>
      <c r="K1723" s="10" t="s">
        <v>1655</v>
      </c>
    </row>
    <row r="1724" customFormat="false" ht="15" hidden="false" customHeight="false" outlineLevel="0" collapsed="false">
      <c r="A1724" s="10" t="s">
        <v>3406</v>
      </c>
      <c r="B1724" s="10" t="n">
        <v>1798</v>
      </c>
      <c r="C1724" s="8" t="n">
        <v>46021</v>
      </c>
      <c r="D1724" s="8" t="n">
        <v>46019</v>
      </c>
      <c r="E1724" s="10" t="n">
        <v>1200</v>
      </c>
      <c r="F1724" s="0" t="str">
        <f aca="false">INDEX(COA!$C$5:$C$19,MATCH(E1724,COA!$A$5:$A$19,0))</f>
        <v>Asset</v>
      </c>
      <c r="G1724" s="12" t="n">
        <v>7410.96</v>
      </c>
      <c r="H1724" s="12" t="n">
        <v>0</v>
      </c>
      <c r="I1724" s="10" t="s">
        <v>102</v>
      </c>
      <c r="J1724" s="10" t="s">
        <v>1636</v>
      </c>
      <c r="K1724" s="10" t="s">
        <v>1655</v>
      </c>
    </row>
    <row r="1725" customFormat="false" ht="15" hidden="false" customHeight="false" outlineLevel="0" collapsed="false">
      <c r="A1725" s="10" t="s">
        <v>3407</v>
      </c>
      <c r="B1725" s="10" t="n">
        <v>1798</v>
      </c>
      <c r="C1725" s="8" t="n">
        <v>46021</v>
      </c>
      <c r="D1725" s="8" t="n">
        <v>46019</v>
      </c>
      <c r="E1725" s="10" t="n">
        <v>2000</v>
      </c>
      <c r="F1725" s="0" t="str">
        <f aca="false">INDEX(COA!$C$5:$C$19,MATCH(E1725,COA!$A$5:$A$19,0))</f>
        <v>Liability</v>
      </c>
      <c r="G1725" s="12" t="n">
        <v>0</v>
      </c>
      <c r="H1725" s="12" t="n">
        <v>7410.96</v>
      </c>
      <c r="I1725" s="10" t="s">
        <v>102</v>
      </c>
      <c r="J1725" s="10" t="s">
        <v>1636</v>
      </c>
      <c r="K1725" s="10" t="s">
        <v>1655</v>
      </c>
    </row>
    <row r="1726" customFormat="false" ht="15" hidden="false" customHeight="false" outlineLevel="0" collapsed="false">
      <c r="A1726" s="10" t="s">
        <v>3408</v>
      </c>
      <c r="B1726" s="10" t="n">
        <v>1799</v>
      </c>
      <c r="C1726" s="8" t="n">
        <v>46021</v>
      </c>
      <c r="D1726" s="8" t="n">
        <v>46021</v>
      </c>
      <c r="E1726" s="10" t="n">
        <v>1000</v>
      </c>
      <c r="F1726" s="0" t="str">
        <f aca="false">INDEX(COA!$C$5:$C$19,MATCH(E1726,COA!$A$5:$A$19,0))</f>
        <v>Asset</v>
      </c>
      <c r="G1726" s="12" t="n">
        <v>16356.88</v>
      </c>
      <c r="H1726" s="12" t="n">
        <v>0</v>
      </c>
      <c r="I1726" s="10" t="s">
        <v>103</v>
      </c>
      <c r="J1726" s="10" t="s">
        <v>1636</v>
      </c>
      <c r="K1726" s="10" t="s">
        <v>1637</v>
      </c>
    </row>
    <row r="1727" customFormat="false" ht="15" hidden="false" customHeight="false" outlineLevel="0" collapsed="false">
      <c r="A1727" s="10" t="s">
        <v>3409</v>
      </c>
      <c r="B1727" s="10" t="n">
        <v>1799</v>
      </c>
      <c r="C1727" s="8" t="n">
        <v>46021</v>
      </c>
      <c r="D1727" s="8" t="n">
        <v>46021</v>
      </c>
      <c r="E1727" s="10" t="n">
        <v>1100</v>
      </c>
      <c r="F1727" s="0" t="str">
        <f aca="false">INDEX(COA!$C$5:$C$19,MATCH(E1727,COA!$A$5:$A$19,0))</f>
        <v>Asset</v>
      </c>
      <c r="G1727" s="12" t="n">
        <v>0</v>
      </c>
      <c r="H1727" s="12" t="n">
        <v>16356.88</v>
      </c>
      <c r="I1727" s="10" t="s">
        <v>103</v>
      </c>
      <c r="J1727" s="10" t="s">
        <v>1636</v>
      </c>
      <c r="K1727" s="10" t="s">
        <v>1637</v>
      </c>
    </row>
    <row r="1728" customFormat="false" ht="15" hidden="false" customHeight="false" outlineLevel="0" collapsed="false">
      <c r="A1728" s="10" t="s">
        <v>3410</v>
      </c>
      <c r="B1728" s="10" t="n">
        <v>1800</v>
      </c>
      <c r="C1728" s="8" t="n">
        <v>46022</v>
      </c>
      <c r="D1728" s="8" t="n">
        <v>46022</v>
      </c>
      <c r="E1728" s="10" t="n">
        <v>1000</v>
      </c>
      <c r="F1728" s="0" t="str">
        <f aca="false">INDEX(COA!$C$5:$C$19,MATCH(E1728,COA!$A$5:$A$19,0))</f>
        <v>Asset</v>
      </c>
      <c r="G1728" s="12" t="n">
        <v>150000</v>
      </c>
      <c r="H1728" s="12" t="n">
        <v>0</v>
      </c>
      <c r="I1728" s="10" t="s">
        <v>99</v>
      </c>
      <c r="J1728" s="10" t="s">
        <v>1648</v>
      </c>
      <c r="K1728" s="10" t="s">
        <v>3411</v>
      </c>
    </row>
    <row r="1729" customFormat="false" ht="15" hidden="false" customHeight="false" outlineLevel="0" collapsed="false">
      <c r="A1729" s="10" t="s">
        <v>3412</v>
      </c>
      <c r="B1729" s="10" t="n">
        <v>1800</v>
      </c>
      <c r="C1729" s="8" t="n">
        <v>46022</v>
      </c>
      <c r="D1729" s="8" t="n">
        <v>46022</v>
      </c>
      <c r="E1729" s="10" t="n">
        <v>4000</v>
      </c>
      <c r="F1729" s="0" t="str">
        <f aca="false">INDEX(COA!$C$5:$C$19,MATCH(E1729,COA!$A$5:$A$19,0))</f>
        <v>Revenue</v>
      </c>
      <c r="G1729" s="12" t="n">
        <v>0</v>
      </c>
      <c r="H1729" s="12" t="n">
        <v>150000</v>
      </c>
      <c r="I1729" s="10" t="s">
        <v>99</v>
      </c>
      <c r="J1729" s="10" t="s">
        <v>1648</v>
      </c>
      <c r="K1729" s="10" t="s">
        <v>3411</v>
      </c>
    </row>
    <row r="1730" customFormat="false" ht="15" hidden="false" customHeight="false" outlineLevel="0" collapsed="false">
      <c r="A1730" s="10" t="s">
        <v>3413</v>
      </c>
      <c r="B1730" s="10" t="n">
        <v>1801</v>
      </c>
      <c r="C1730" s="8" t="n">
        <v>46022</v>
      </c>
      <c r="D1730" s="8" t="n">
        <v>46020</v>
      </c>
      <c r="E1730" s="10" t="n">
        <v>1100</v>
      </c>
      <c r="F1730" s="0" t="str">
        <f aca="false">INDEX(COA!$C$5:$C$19,MATCH(E1730,COA!$A$5:$A$19,0))</f>
        <v>Asset</v>
      </c>
      <c r="G1730" s="12" t="n">
        <v>523.92</v>
      </c>
      <c r="H1730" s="12" t="n">
        <v>0</v>
      </c>
      <c r="I1730" s="10" t="s">
        <v>103</v>
      </c>
      <c r="J1730" s="10" t="s">
        <v>1636</v>
      </c>
      <c r="K1730" s="10" t="s">
        <v>1640</v>
      </c>
    </row>
    <row r="1731" customFormat="false" ht="15" hidden="false" customHeight="false" outlineLevel="0" collapsed="false">
      <c r="A1731" s="10" t="s">
        <v>3414</v>
      </c>
      <c r="B1731" s="10" t="n">
        <v>1801</v>
      </c>
      <c r="C1731" s="8" t="n">
        <v>46022</v>
      </c>
      <c r="D1731" s="8" t="n">
        <v>46020</v>
      </c>
      <c r="E1731" s="10" t="n">
        <v>4000</v>
      </c>
      <c r="F1731" s="0" t="str">
        <f aca="false">INDEX(COA!$C$5:$C$19,MATCH(E1731,COA!$A$5:$A$19,0))</f>
        <v>Revenue</v>
      </c>
      <c r="G1731" s="12" t="n">
        <v>0</v>
      </c>
      <c r="H1731" s="12" t="n">
        <v>523.92</v>
      </c>
      <c r="I1731" s="10" t="s">
        <v>103</v>
      </c>
      <c r="J1731" s="10" t="s">
        <v>1636</v>
      </c>
      <c r="K1731" s="10" t="s">
        <v>1640</v>
      </c>
    </row>
    <row r="1732" customFormat="false" ht="15" hidden="false" customHeight="false" outlineLevel="0" collapsed="false">
      <c r="A1732" s="10" t="s">
        <v>3415</v>
      </c>
      <c r="B1732" s="10" t="n">
        <v>1802</v>
      </c>
      <c r="C1732" s="8" t="n">
        <v>46022</v>
      </c>
      <c r="D1732" s="8" t="n">
        <v>46022</v>
      </c>
      <c r="E1732" s="10" t="n">
        <v>1000</v>
      </c>
      <c r="F1732" s="0" t="str">
        <f aca="false">INDEX(COA!$C$5:$C$19,MATCH(E1732,COA!$A$5:$A$19,0))</f>
        <v>Asset</v>
      </c>
      <c r="G1732" s="12" t="n">
        <v>410000</v>
      </c>
      <c r="H1732" s="12" t="n">
        <v>0</v>
      </c>
      <c r="I1732" s="10" t="s">
        <v>99</v>
      </c>
      <c r="J1732" s="10" t="s">
        <v>1648</v>
      </c>
    </row>
    <row r="1733" customFormat="false" ht="15" hidden="false" customHeight="false" outlineLevel="0" collapsed="false">
      <c r="A1733" s="10" t="s">
        <v>3416</v>
      </c>
      <c r="B1733" s="10" t="n">
        <v>1802</v>
      </c>
      <c r="C1733" s="8" t="n">
        <v>46022</v>
      </c>
      <c r="D1733" s="8" t="n">
        <v>46022</v>
      </c>
      <c r="E1733" s="10" t="n">
        <v>4000</v>
      </c>
      <c r="F1733" s="0" t="str">
        <f aca="false">INDEX(COA!$C$5:$C$19,MATCH(E1733,COA!$A$5:$A$19,0))</f>
        <v>Revenue</v>
      </c>
      <c r="G1733" s="12" t="n">
        <v>0</v>
      </c>
      <c r="H1733" s="12" t="n">
        <v>410000</v>
      </c>
      <c r="I1733" s="10" t="s">
        <v>99</v>
      </c>
      <c r="J1733" s="10" t="s">
        <v>1648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7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4"/>
    <col collapsed="false" customWidth="true" hidden="false" outlineLevel="0" max="7" min="5" style="0" width="13"/>
    <col collapsed="false" customWidth="true" hidden="false" outlineLevel="0" max="9" min="8" style="0" width="14"/>
    <col collapsed="false" customWidth="true" hidden="false" outlineLevel="0" max="10" min="10" style="0" width="28"/>
    <col collapsed="false" customWidth="true" hidden="false" outlineLevel="0" max="13" min="11" style="0" width="14"/>
    <col collapsed="false" customWidth="true" hidden="false" outlineLevel="0" max="14" min="14" style="0" width="11"/>
    <col collapsed="false" customWidth="true" hidden="false" outlineLevel="0" max="23" min="15" style="0" width="14"/>
    <col collapsed="false" customWidth="true" hidden="false" outlineLevel="0" max="24" min="24" style="0" width="11"/>
    <col collapsed="false" customWidth="true" hidden="false" outlineLevel="0" max="26" min="25" style="0" width="14"/>
  </cols>
  <sheetData>
    <row r="1" customFormat="false" ht="17.35" hidden="false" customHeight="false" outlineLevel="0" collapsed="false">
      <c r="A1" s="5" t="s">
        <v>3417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3418</v>
      </c>
    </row>
    <row r="4" customFormat="false" ht="33.75" hidden="false" customHeight="true" outlineLevel="0" collapsed="false">
      <c r="A4" s="7" t="s">
        <v>1627</v>
      </c>
      <c r="B4" s="7" t="s">
        <v>3419</v>
      </c>
      <c r="C4" s="7" t="s">
        <v>3420</v>
      </c>
      <c r="D4" s="7" t="s">
        <v>3421</v>
      </c>
      <c r="E4" s="7" t="s">
        <v>3422</v>
      </c>
      <c r="F4" s="7" t="s">
        <v>1628</v>
      </c>
      <c r="G4" s="7" t="s">
        <v>1629</v>
      </c>
      <c r="H4" s="7" t="s">
        <v>1632</v>
      </c>
      <c r="I4" s="7" t="s">
        <v>1633</v>
      </c>
      <c r="J4" s="7" t="s">
        <v>1634</v>
      </c>
      <c r="K4" s="7" t="s">
        <v>3423</v>
      </c>
      <c r="L4" s="7" t="s">
        <v>3424</v>
      </c>
      <c r="M4" s="7" t="s">
        <v>3425</v>
      </c>
      <c r="N4" s="7" t="s">
        <v>3426</v>
      </c>
      <c r="O4" s="7" t="s">
        <v>3427</v>
      </c>
      <c r="P4" s="7" t="s">
        <v>3428</v>
      </c>
      <c r="Q4" s="7" t="s">
        <v>3429</v>
      </c>
      <c r="R4" s="7" t="s">
        <v>3430</v>
      </c>
      <c r="S4" s="7" t="s">
        <v>3431</v>
      </c>
      <c r="T4" s="7" t="s">
        <v>91</v>
      </c>
      <c r="U4" s="7" t="s">
        <v>92</v>
      </c>
      <c r="V4" s="7" t="s">
        <v>309</v>
      </c>
      <c r="W4" s="7" t="s">
        <v>3432</v>
      </c>
      <c r="X4" s="7" t="s">
        <v>3433</v>
      </c>
      <c r="Y4" s="7" t="s">
        <v>314</v>
      </c>
      <c r="Z4" s="7" t="s">
        <v>315</v>
      </c>
    </row>
    <row r="5" customFormat="false" ht="15" hidden="false" customHeight="false" outlineLevel="0" collapsed="false">
      <c r="A5" s="16" t="n">
        <v>1001</v>
      </c>
      <c r="B5" s="9" t="n">
        <f aca="false">COUNTIF(JE_Lines!$B$5:$B$1733,A5)</f>
        <v>2</v>
      </c>
      <c r="C5" s="17" t="n">
        <f aca="false">SUMIFS(JE_Lines!$G$5:$G$1733,JE_Lines!$B$5:$B$1733,A5)</f>
        <v>4474.19</v>
      </c>
      <c r="D5" s="17" t="n">
        <f aca="false">SUMIFS(JE_Lines!$H$5:$H$1733,JE_Lines!$B$5:$B$1733,A5)</f>
        <v>4474.19</v>
      </c>
      <c r="E5" s="17" t="n">
        <f aca="false">C5-D5</f>
        <v>0</v>
      </c>
      <c r="F5" s="18" t="n">
        <f aca="false">INDEX(JE_Lines!$C$5:$C$1733,MATCH(A5,JE_Lines!$B$5:$B$1733,0))</f>
        <v>45658</v>
      </c>
      <c r="G5" s="18" t="n">
        <f aca="false">INDEX(JE_Lines!$D$5:$D$1733,MATCH(A5,JE_Lines!$B$5:$B$1733,0))</f>
        <v>45657</v>
      </c>
      <c r="H5" s="0" t="str">
        <f aca="false">INDEX(JE_Lines!$I$5:$I$1733,MATCH(A5,JE_Lines!$B$5:$B$1733,0))</f>
        <v>SYS_AR</v>
      </c>
      <c r="I5" s="0" t="str">
        <f aca="false">INDEX(JE_Lines!$J$5:$J$1733,MATCH(A5,JE_Lines!$B$5:$B$1733,0))</f>
        <v>System</v>
      </c>
      <c r="J5" s="0" t="str">
        <f aca="false">IF(LEN(INDEX(JE_Lines!$K$5:$K$1733,MATCH(A5,JE_Lines!$B$5:$B$1733,0)))=0,"",INDEX(JE_Lines!$K$5:$K$1733,MATCH(A5,JE_Lines!$B$5:$B$1733,0)))</f>
        <v>Customer receipts</v>
      </c>
      <c r="K5" s="9" t="n">
        <f aca="false">F5-G5</f>
        <v>1</v>
      </c>
      <c r="L5" s="9" t="n">
        <f aca="false">COUNTIFS(JE_Lines!$B$5:$B$1733,A5,JE_Lines!$F$5:$F$1733,"Revenue")</f>
        <v>0</v>
      </c>
      <c r="M5" s="9" t="n">
        <f aca="false">COUNTIFS(JE_Lines!$B$5:$B$1733,A5,JE_Lines!$F$5:$F$1733,"Suspense")</f>
        <v>0</v>
      </c>
      <c r="N5" s="9" t="n">
        <f aca="false">IF(ABS(E5)&gt;Parameters!$B$23,1,0)</f>
        <v>0</v>
      </c>
      <c r="O5" s="9" t="n">
        <f aca="false">IF(WEEKDAY(F5,2)&gt;5,1,0)</f>
        <v>0</v>
      </c>
      <c r="P5" s="9" t="n">
        <f aca="false">IF(K5&gt;Parameters!$B$17,1,0)</f>
        <v>0</v>
      </c>
      <c r="Q5" s="9" t="n">
        <f aca="false">IF(AND(F5&lt;=Parameters!$B$6,F5&gt;Parameters!$B$6-Parameters!$B$18),1,0)</f>
        <v>0</v>
      </c>
      <c r="R5" s="9" t="n">
        <f aca="false">IF(COUNTIF(Parameters!$A$51:$A$58,H5)=0,1,0)</f>
        <v>0</v>
      </c>
      <c r="S5" s="9" t="n">
        <f aca="false">IF(AND(I5="Manual",L5&gt;0),1,0)</f>
        <v>0</v>
      </c>
      <c r="T5" s="9" t="n">
        <f aca="false">IF(AND(C5&gt;=Parameters!$B$22,ROUND(MOD(ROUND(C5,2),Parameters!$B$21),2)=0),1,0)</f>
        <v>0</v>
      </c>
      <c r="U5" s="9" t="n">
        <f aca="false">IF(LEN(TRIM(J5))=0,1,0)</f>
        <v>0</v>
      </c>
      <c r="V5" s="9" t="n">
        <f aca="false">IF(AND(I5="Manual",C5&lt;Parameters!$B$19,C5&gt;=Parameters!$B$19*(1-Parameters!$B$20)),1,0)</f>
        <v>0</v>
      </c>
      <c r="W5" s="9" t="n">
        <f aca="false">IF(AND(I5="Manual",M5&gt;0),1,0)</f>
        <v>0</v>
      </c>
      <c r="X5" s="9" t="n">
        <f aca="false">0</f>
        <v>0</v>
      </c>
      <c r="Y5" s="9" t="n">
        <f aca="false">N5*Parameters!$B$38+O5*Parameters!$B$39+P5*Parameters!$B$40+Q5*Parameters!$B$41+R5*Parameters!$B$42+S5*Parameters!$B$43+T5*Parameters!$B$44+U5*Parameters!$B$45+V5*Parameters!$B$46+W5*Parameters!$B$47+X5*Parameters!$B$48</f>
        <v>0</v>
      </c>
      <c r="Z5" s="0" t="str">
        <f aca="false">IF(Y5&gt;=Parameters!$B$25,"High","")</f>
        <v/>
      </c>
    </row>
    <row r="6" customFormat="false" ht="15" hidden="false" customHeight="false" outlineLevel="0" collapsed="false">
      <c r="A6" s="16" t="n">
        <v>1002</v>
      </c>
      <c r="B6" s="9" t="n">
        <f aca="false">COUNTIF(JE_Lines!$B$5:$B$1733,A6)</f>
        <v>2</v>
      </c>
      <c r="C6" s="17" t="n">
        <f aca="false">SUMIFS(JE_Lines!$G$5:$G$1733,JE_Lines!$B$5:$B$1733,A6)</f>
        <v>2895.32</v>
      </c>
      <c r="D6" s="17" t="n">
        <f aca="false">SUMIFS(JE_Lines!$H$5:$H$1733,JE_Lines!$B$5:$B$1733,A6)</f>
        <v>2895.32</v>
      </c>
      <c r="E6" s="17" t="n">
        <f aca="false">C6-D6</f>
        <v>0</v>
      </c>
      <c r="F6" s="18" t="n">
        <f aca="false">INDEX(JE_Lines!$C$5:$C$1733,MATCH(A6,JE_Lines!$B$5:$B$1733,0))</f>
        <v>45658</v>
      </c>
      <c r="G6" s="18" t="n">
        <f aca="false">INDEX(JE_Lines!$D$5:$D$1733,MATCH(A6,JE_Lines!$B$5:$B$1733,0))</f>
        <v>45656</v>
      </c>
      <c r="H6" s="0" t="str">
        <f aca="false">INDEX(JE_Lines!$I$5:$I$1733,MATCH(A6,JE_Lines!$B$5:$B$1733,0))</f>
        <v>SYS_AR</v>
      </c>
      <c r="I6" s="0" t="str">
        <f aca="false">INDEX(JE_Lines!$J$5:$J$1733,MATCH(A6,JE_Lines!$B$5:$B$1733,0))</f>
        <v>System</v>
      </c>
      <c r="J6" s="0" t="str">
        <f aca="false">IF(LEN(INDEX(JE_Lines!$K$5:$K$1733,MATCH(A6,JE_Lines!$B$5:$B$1733,0)))=0,"",INDEX(JE_Lines!$K$5:$K$1733,MATCH(A6,JE_Lines!$B$5:$B$1733,0)))</f>
        <v>Sales invoice batch</v>
      </c>
      <c r="K6" s="9" t="n">
        <f aca="false">F6-G6</f>
        <v>2</v>
      </c>
      <c r="L6" s="9" t="n">
        <f aca="false">COUNTIFS(JE_Lines!$B$5:$B$1733,A6,JE_Lines!$F$5:$F$1733,"Revenue")</f>
        <v>1</v>
      </c>
      <c r="M6" s="9" t="n">
        <f aca="false">COUNTIFS(JE_Lines!$B$5:$B$1733,A6,JE_Lines!$F$5:$F$1733,"Suspense")</f>
        <v>0</v>
      </c>
      <c r="N6" s="9" t="n">
        <f aca="false">IF(ABS(E6)&gt;Parameters!$B$23,1,0)</f>
        <v>0</v>
      </c>
      <c r="O6" s="9" t="n">
        <f aca="false">IF(WEEKDAY(F6,2)&gt;5,1,0)</f>
        <v>0</v>
      </c>
      <c r="P6" s="9" t="n">
        <f aca="false">IF(K6&gt;Parameters!$B$17,1,0)</f>
        <v>0</v>
      </c>
      <c r="Q6" s="9" t="n">
        <f aca="false">IF(AND(F6&lt;=Parameters!$B$6,F6&gt;Parameters!$B$6-Parameters!$B$18),1,0)</f>
        <v>0</v>
      </c>
      <c r="R6" s="9" t="n">
        <f aca="false">IF(COUNTIF(Parameters!$A$51:$A$58,H6)=0,1,0)</f>
        <v>0</v>
      </c>
      <c r="S6" s="9" t="n">
        <f aca="false">IF(AND(I6="Manual",L6&gt;0),1,0)</f>
        <v>0</v>
      </c>
      <c r="T6" s="9" t="n">
        <f aca="false">IF(AND(C6&gt;=Parameters!$B$22,ROUND(MOD(ROUND(C6,2),Parameters!$B$21),2)=0),1,0)</f>
        <v>0</v>
      </c>
      <c r="U6" s="9" t="n">
        <f aca="false">IF(LEN(TRIM(J6))=0,1,0)</f>
        <v>0</v>
      </c>
      <c r="V6" s="9" t="n">
        <f aca="false">IF(AND(I6="Manual",C6&lt;Parameters!$B$19,C6&gt;=Parameters!$B$19*(1-Parameters!$B$20)),1,0)</f>
        <v>0</v>
      </c>
      <c r="W6" s="9" t="n">
        <f aca="false">IF(AND(I6="Manual",M6&gt;0),1,0)</f>
        <v>0</v>
      </c>
      <c r="X6" s="9" t="n">
        <f aca="false">IF(A6-A5&gt;1,1,0)</f>
        <v>0</v>
      </c>
      <c r="Y6" s="9" t="n">
        <f aca="false">N6*Parameters!$B$38+O6*Parameters!$B$39+P6*Parameters!$B$40+Q6*Parameters!$B$41+R6*Parameters!$B$42+S6*Parameters!$B$43+T6*Parameters!$B$44+U6*Parameters!$B$45+V6*Parameters!$B$46+W6*Parameters!$B$47+X6*Parameters!$B$48</f>
        <v>0</v>
      </c>
      <c r="Z6" s="0" t="str">
        <f aca="false">IF(Y6&gt;=Parameters!$B$25,"High","")</f>
        <v/>
      </c>
    </row>
    <row r="7" customFormat="false" ht="15" hidden="false" customHeight="false" outlineLevel="0" collapsed="false">
      <c r="A7" s="16" t="n">
        <v>1003</v>
      </c>
      <c r="B7" s="9" t="n">
        <f aca="false">COUNTIF(JE_Lines!$B$5:$B$1733,A7)</f>
        <v>3</v>
      </c>
      <c r="C7" s="17" t="n">
        <f aca="false">SUMIFS(JE_Lines!$G$5:$G$1733,JE_Lines!$B$5:$B$1733,A7)</f>
        <v>14023.69</v>
      </c>
      <c r="D7" s="17" t="n">
        <f aca="false">SUMIFS(JE_Lines!$H$5:$H$1733,JE_Lines!$B$5:$B$1733,A7)</f>
        <v>14023.69</v>
      </c>
      <c r="E7" s="17" t="n">
        <f aca="false">C7-D7</f>
        <v>0</v>
      </c>
      <c r="F7" s="18" t="n">
        <f aca="false">INDEX(JE_Lines!$C$5:$C$1733,MATCH(A7,JE_Lines!$B$5:$B$1733,0))</f>
        <v>45658</v>
      </c>
      <c r="G7" s="18" t="n">
        <f aca="false">INDEX(JE_Lines!$D$5:$D$1733,MATCH(A7,JE_Lines!$B$5:$B$1733,0))</f>
        <v>45655</v>
      </c>
      <c r="H7" s="0" t="str">
        <f aca="false">INDEX(JE_Lines!$I$5:$I$1733,MATCH(A7,JE_Lines!$B$5:$B$1733,0))</f>
        <v>SYS_AR</v>
      </c>
      <c r="I7" s="0" t="str">
        <f aca="false">INDEX(JE_Lines!$J$5:$J$1733,MATCH(A7,JE_Lines!$B$5:$B$1733,0))</f>
        <v>System</v>
      </c>
      <c r="J7" s="0" t="str">
        <f aca="false">IF(LEN(INDEX(JE_Lines!$K$5:$K$1733,MATCH(A7,JE_Lines!$B$5:$B$1733,0)))=0,"",INDEX(JE_Lines!$K$5:$K$1733,MATCH(A7,JE_Lines!$B$5:$B$1733,0)))</f>
        <v>Sales invoice batch</v>
      </c>
      <c r="K7" s="9" t="n">
        <f aca="false">F7-G7</f>
        <v>3</v>
      </c>
      <c r="L7" s="9" t="n">
        <f aca="false">COUNTIFS(JE_Lines!$B$5:$B$1733,A7,JE_Lines!$F$5:$F$1733,"Revenue")</f>
        <v>1</v>
      </c>
      <c r="M7" s="9" t="n">
        <f aca="false">COUNTIFS(JE_Lines!$B$5:$B$1733,A7,JE_Lines!$F$5:$F$1733,"Suspense")</f>
        <v>0</v>
      </c>
      <c r="N7" s="9" t="n">
        <f aca="false">IF(ABS(E7)&gt;Parameters!$B$23,1,0)</f>
        <v>0</v>
      </c>
      <c r="O7" s="9" t="n">
        <f aca="false">IF(WEEKDAY(F7,2)&gt;5,1,0)</f>
        <v>0</v>
      </c>
      <c r="P7" s="9" t="n">
        <f aca="false">IF(K7&gt;Parameters!$B$17,1,0)</f>
        <v>0</v>
      </c>
      <c r="Q7" s="9" t="n">
        <f aca="false">IF(AND(F7&lt;=Parameters!$B$6,F7&gt;Parameters!$B$6-Parameters!$B$18),1,0)</f>
        <v>0</v>
      </c>
      <c r="R7" s="9" t="n">
        <f aca="false">IF(COUNTIF(Parameters!$A$51:$A$58,H7)=0,1,0)</f>
        <v>0</v>
      </c>
      <c r="S7" s="9" t="n">
        <f aca="false">IF(AND(I7="Manual",L7&gt;0),1,0)</f>
        <v>0</v>
      </c>
      <c r="T7" s="9" t="n">
        <f aca="false">IF(AND(C7&gt;=Parameters!$B$22,ROUND(MOD(ROUND(C7,2),Parameters!$B$21),2)=0),1,0)</f>
        <v>0</v>
      </c>
      <c r="U7" s="9" t="n">
        <f aca="false">IF(LEN(TRIM(J7))=0,1,0)</f>
        <v>0</v>
      </c>
      <c r="V7" s="9" t="n">
        <f aca="false">IF(AND(I7="Manual",C7&lt;Parameters!$B$19,C7&gt;=Parameters!$B$19*(1-Parameters!$B$20)),1,0)</f>
        <v>0</v>
      </c>
      <c r="W7" s="9" t="n">
        <f aca="false">IF(AND(I7="Manual",M7&gt;0),1,0)</f>
        <v>0</v>
      </c>
      <c r="X7" s="9" t="n">
        <f aca="false">IF(A7-A6&gt;1,1,0)</f>
        <v>0</v>
      </c>
      <c r="Y7" s="9" t="n">
        <f aca="false">N7*Parameters!$B$38+O7*Parameters!$B$39+P7*Parameters!$B$40+Q7*Parameters!$B$41+R7*Parameters!$B$42+S7*Parameters!$B$43+T7*Parameters!$B$44+U7*Parameters!$B$45+V7*Parameters!$B$46+W7*Parameters!$B$47+X7*Parameters!$B$48</f>
        <v>0</v>
      </c>
      <c r="Z7" s="0" t="str">
        <f aca="false">IF(Y7&gt;=Parameters!$B$25,"High","")</f>
        <v/>
      </c>
    </row>
    <row r="8" customFormat="false" ht="15" hidden="false" customHeight="false" outlineLevel="0" collapsed="false">
      <c r="A8" s="16" t="n">
        <v>1004</v>
      </c>
      <c r="B8" s="9" t="n">
        <f aca="false">COUNTIF(JE_Lines!$B$5:$B$1733,A8)</f>
        <v>2</v>
      </c>
      <c r="C8" s="17" t="n">
        <f aca="false">SUMIFS(JE_Lines!$G$5:$G$1733,JE_Lines!$B$5:$B$1733,A8)</f>
        <v>1008.74</v>
      </c>
      <c r="D8" s="17" t="n">
        <f aca="false">SUMIFS(JE_Lines!$H$5:$H$1733,JE_Lines!$B$5:$B$1733,A8)</f>
        <v>1008.74</v>
      </c>
      <c r="E8" s="17" t="n">
        <f aca="false">C8-D8</f>
        <v>0</v>
      </c>
      <c r="F8" s="18" t="n">
        <f aca="false">INDEX(JE_Lines!$C$5:$C$1733,MATCH(A8,JE_Lines!$B$5:$B$1733,0))</f>
        <v>45659</v>
      </c>
      <c r="G8" s="18" t="n">
        <f aca="false">INDEX(JE_Lines!$D$5:$D$1733,MATCH(A8,JE_Lines!$B$5:$B$1733,0))</f>
        <v>45657</v>
      </c>
      <c r="H8" s="0" t="str">
        <f aca="false">INDEX(JE_Lines!$I$5:$I$1733,MATCH(A8,JE_Lines!$B$5:$B$1733,0))</f>
        <v>SYS_AR</v>
      </c>
      <c r="I8" s="0" t="str">
        <f aca="false">INDEX(JE_Lines!$J$5:$J$1733,MATCH(A8,JE_Lines!$B$5:$B$1733,0))</f>
        <v>System</v>
      </c>
      <c r="J8" s="0" t="str">
        <f aca="false">IF(LEN(INDEX(JE_Lines!$K$5:$K$1733,MATCH(A8,JE_Lines!$B$5:$B$1733,0)))=0,"",INDEX(JE_Lines!$K$5:$K$1733,MATCH(A8,JE_Lines!$B$5:$B$1733,0)))</f>
        <v>Sales invoice batch</v>
      </c>
      <c r="K8" s="9" t="n">
        <f aca="false">F8-G8</f>
        <v>2</v>
      </c>
      <c r="L8" s="9" t="n">
        <f aca="false">COUNTIFS(JE_Lines!$B$5:$B$1733,A8,JE_Lines!$F$5:$F$1733,"Revenue")</f>
        <v>1</v>
      </c>
      <c r="M8" s="9" t="n">
        <f aca="false">COUNTIFS(JE_Lines!$B$5:$B$1733,A8,JE_Lines!$F$5:$F$1733,"Suspense")</f>
        <v>0</v>
      </c>
      <c r="N8" s="9" t="n">
        <f aca="false">IF(ABS(E8)&gt;Parameters!$B$23,1,0)</f>
        <v>0</v>
      </c>
      <c r="O8" s="9" t="n">
        <f aca="false">IF(WEEKDAY(F8,2)&gt;5,1,0)</f>
        <v>0</v>
      </c>
      <c r="P8" s="9" t="n">
        <f aca="false">IF(K8&gt;Parameters!$B$17,1,0)</f>
        <v>0</v>
      </c>
      <c r="Q8" s="9" t="n">
        <f aca="false">IF(AND(F8&lt;=Parameters!$B$6,F8&gt;Parameters!$B$6-Parameters!$B$18),1,0)</f>
        <v>0</v>
      </c>
      <c r="R8" s="9" t="n">
        <f aca="false">IF(COUNTIF(Parameters!$A$51:$A$58,H8)=0,1,0)</f>
        <v>0</v>
      </c>
      <c r="S8" s="9" t="n">
        <f aca="false">IF(AND(I8="Manual",L8&gt;0),1,0)</f>
        <v>0</v>
      </c>
      <c r="T8" s="9" t="n">
        <f aca="false">IF(AND(C8&gt;=Parameters!$B$22,ROUND(MOD(ROUND(C8,2),Parameters!$B$21),2)=0),1,0)</f>
        <v>0</v>
      </c>
      <c r="U8" s="9" t="n">
        <f aca="false">IF(LEN(TRIM(J8))=0,1,0)</f>
        <v>0</v>
      </c>
      <c r="V8" s="9" t="n">
        <f aca="false">IF(AND(I8="Manual",C8&lt;Parameters!$B$19,C8&gt;=Parameters!$B$19*(1-Parameters!$B$20)),1,0)</f>
        <v>0</v>
      </c>
      <c r="W8" s="9" t="n">
        <f aca="false">IF(AND(I8="Manual",M8&gt;0),1,0)</f>
        <v>0</v>
      </c>
      <c r="X8" s="9" t="n">
        <f aca="false">IF(A8-A7&gt;1,1,0)</f>
        <v>0</v>
      </c>
      <c r="Y8" s="9" t="n">
        <f aca="false">N8*Parameters!$B$38+O8*Parameters!$B$39+P8*Parameters!$B$40+Q8*Parameters!$B$41+R8*Parameters!$B$42+S8*Parameters!$B$43+T8*Parameters!$B$44+U8*Parameters!$B$45+V8*Parameters!$B$46+W8*Parameters!$B$47+X8*Parameters!$B$48</f>
        <v>0</v>
      </c>
      <c r="Z8" s="0" t="str">
        <f aca="false">IF(Y8&gt;=Parameters!$B$25,"High","")</f>
        <v/>
      </c>
    </row>
    <row r="9" customFormat="false" ht="15" hidden="false" customHeight="false" outlineLevel="0" collapsed="false">
      <c r="A9" s="16" t="n">
        <v>1005</v>
      </c>
      <c r="B9" s="9" t="n">
        <f aca="false">COUNTIF(JE_Lines!$B$5:$B$1733,A9)</f>
        <v>2</v>
      </c>
      <c r="C9" s="17" t="n">
        <f aca="false">SUMIFS(JE_Lines!$G$5:$G$1733,JE_Lines!$B$5:$B$1733,A9)</f>
        <v>233.11</v>
      </c>
      <c r="D9" s="17" t="n">
        <f aca="false">SUMIFS(JE_Lines!$H$5:$H$1733,JE_Lines!$B$5:$B$1733,A9)</f>
        <v>233.11</v>
      </c>
      <c r="E9" s="17" t="n">
        <f aca="false">C9-D9</f>
        <v>0</v>
      </c>
      <c r="F9" s="18" t="n">
        <f aca="false">INDEX(JE_Lines!$C$5:$C$1733,MATCH(A9,JE_Lines!$B$5:$B$1733,0))</f>
        <v>45659</v>
      </c>
      <c r="G9" s="18" t="n">
        <f aca="false">INDEX(JE_Lines!$D$5:$D$1733,MATCH(A9,JE_Lines!$B$5:$B$1733,0))</f>
        <v>45656</v>
      </c>
      <c r="H9" s="0" t="str">
        <f aca="false">INDEX(JE_Lines!$I$5:$I$1733,MATCH(A9,JE_Lines!$B$5:$B$1733,0))</f>
        <v>FIN02</v>
      </c>
      <c r="I9" s="0" t="str">
        <f aca="false">INDEX(JE_Lines!$J$5:$J$1733,MATCH(A9,JE_Lines!$B$5:$B$1733,0))</f>
        <v>Manual</v>
      </c>
      <c r="J9" s="0" t="str">
        <f aca="false">IF(LEN(INDEX(JE_Lines!$K$5:$K$1733,MATCH(A9,JE_Lines!$B$5:$B$1733,0)))=0,"",INDEX(JE_Lines!$K$5:$K$1733,MATCH(A9,JE_Lines!$B$5:$B$1733,0)))</f>
        <v>Accrual for sundry costs</v>
      </c>
      <c r="K9" s="9" t="n">
        <f aca="false">F9-G9</f>
        <v>3</v>
      </c>
      <c r="L9" s="9" t="n">
        <f aca="false">COUNTIFS(JE_Lines!$B$5:$B$1733,A9,JE_Lines!$F$5:$F$1733,"Revenue")</f>
        <v>0</v>
      </c>
      <c r="M9" s="9" t="n">
        <f aca="false">COUNTIFS(JE_Lines!$B$5:$B$1733,A9,JE_Lines!$F$5:$F$1733,"Suspense")</f>
        <v>0</v>
      </c>
      <c r="N9" s="9" t="n">
        <f aca="false">IF(ABS(E9)&gt;Parameters!$B$23,1,0)</f>
        <v>0</v>
      </c>
      <c r="O9" s="9" t="n">
        <f aca="false">IF(WEEKDAY(F9,2)&gt;5,1,0)</f>
        <v>0</v>
      </c>
      <c r="P9" s="9" t="n">
        <f aca="false">IF(K9&gt;Parameters!$B$17,1,0)</f>
        <v>0</v>
      </c>
      <c r="Q9" s="9" t="n">
        <f aca="false">IF(AND(F9&lt;=Parameters!$B$6,F9&gt;Parameters!$B$6-Parameters!$B$18),1,0)</f>
        <v>0</v>
      </c>
      <c r="R9" s="9" t="n">
        <f aca="false">IF(COUNTIF(Parameters!$A$51:$A$58,H9)=0,1,0)</f>
        <v>0</v>
      </c>
      <c r="S9" s="9" t="n">
        <f aca="false">IF(AND(I9="Manual",L9&gt;0),1,0)</f>
        <v>0</v>
      </c>
      <c r="T9" s="9" t="n">
        <f aca="false">IF(AND(C9&gt;=Parameters!$B$22,ROUND(MOD(ROUND(C9,2),Parameters!$B$21),2)=0),1,0)</f>
        <v>0</v>
      </c>
      <c r="U9" s="9" t="n">
        <f aca="false">IF(LEN(TRIM(J9))=0,1,0)</f>
        <v>0</v>
      </c>
      <c r="V9" s="9" t="n">
        <f aca="false">IF(AND(I9="Manual",C9&lt;Parameters!$B$19,C9&gt;=Parameters!$B$19*(1-Parameters!$B$20)),1,0)</f>
        <v>0</v>
      </c>
      <c r="W9" s="9" t="n">
        <f aca="false">IF(AND(I9="Manual",M9&gt;0),1,0)</f>
        <v>0</v>
      </c>
      <c r="X9" s="9" t="n">
        <f aca="false">IF(A9-A8&gt;1,1,0)</f>
        <v>0</v>
      </c>
      <c r="Y9" s="9" t="n">
        <f aca="false">N9*Parameters!$B$38+O9*Parameters!$B$39+P9*Parameters!$B$40+Q9*Parameters!$B$41+R9*Parameters!$B$42+S9*Parameters!$B$43+T9*Parameters!$B$44+U9*Parameters!$B$45+V9*Parameters!$B$46+W9*Parameters!$B$47+X9*Parameters!$B$48</f>
        <v>0</v>
      </c>
      <c r="Z9" s="0" t="str">
        <f aca="false">IF(Y9&gt;=Parameters!$B$25,"High","")</f>
        <v/>
      </c>
    </row>
    <row r="10" customFormat="false" ht="15" hidden="false" customHeight="false" outlineLevel="0" collapsed="false">
      <c r="A10" s="16" t="n">
        <v>1006</v>
      </c>
      <c r="B10" s="9" t="n">
        <f aca="false">COUNTIF(JE_Lines!$B$5:$B$1733,A10)</f>
        <v>2</v>
      </c>
      <c r="C10" s="17" t="n">
        <f aca="false">SUMIFS(JE_Lines!$G$5:$G$1733,JE_Lines!$B$5:$B$1733,A10)</f>
        <v>37000</v>
      </c>
      <c r="D10" s="17" t="n">
        <f aca="false">SUMIFS(JE_Lines!$H$5:$H$1733,JE_Lines!$B$5:$B$1733,A10)</f>
        <v>37000</v>
      </c>
      <c r="E10" s="17" t="n">
        <f aca="false">C10-D10</f>
        <v>0</v>
      </c>
      <c r="F10" s="18" t="n">
        <f aca="false">INDEX(JE_Lines!$C$5:$C$1733,MATCH(A10,JE_Lines!$B$5:$B$1733,0))</f>
        <v>45659</v>
      </c>
      <c r="G10" s="18" t="n">
        <f aca="false">INDEX(JE_Lines!$D$5:$D$1733,MATCH(A10,JE_Lines!$B$5:$B$1733,0))</f>
        <v>45659</v>
      </c>
      <c r="H10" s="0" t="str">
        <f aca="false">INDEX(JE_Lines!$I$5:$I$1733,MATCH(A10,JE_Lines!$B$5:$B$1733,0))</f>
        <v>FIN01</v>
      </c>
      <c r="I10" s="0" t="str">
        <f aca="false">INDEX(JE_Lines!$J$5:$J$1733,MATCH(A10,JE_Lines!$B$5:$B$1733,0))</f>
        <v>Manual</v>
      </c>
      <c r="J10" s="0" t="str">
        <f aca="false">IF(LEN(INDEX(JE_Lines!$K$5:$K$1733,MATCH(A10,JE_Lines!$B$5:$B$1733,0)))=0,"",INDEX(JE_Lines!$K$5:$K$1733,MATCH(A10,JE_Lines!$B$5:$B$1733,0)))</f>
        <v>Round accrual 3</v>
      </c>
      <c r="K10" s="9" t="n">
        <f aca="false">F10-G10</f>
        <v>0</v>
      </c>
      <c r="L10" s="9" t="n">
        <f aca="false">COUNTIFS(JE_Lines!$B$5:$B$1733,A10,JE_Lines!$F$5:$F$1733,"Revenue")</f>
        <v>0</v>
      </c>
      <c r="M10" s="9" t="n">
        <f aca="false">COUNTIFS(JE_Lines!$B$5:$B$1733,A10,JE_Lines!$F$5:$F$1733,"Suspense")</f>
        <v>0</v>
      </c>
      <c r="N10" s="9" t="n">
        <f aca="false">IF(ABS(E10)&gt;Parameters!$B$23,1,0)</f>
        <v>0</v>
      </c>
      <c r="O10" s="9" t="n">
        <f aca="false">IF(WEEKDAY(F10,2)&gt;5,1,0)</f>
        <v>0</v>
      </c>
      <c r="P10" s="9" t="n">
        <f aca="false">IF(K10&gt;Parameters!$B$17,1,0)</f>
        <v>0</v>
      </c>
      <c r="Q10" s="9" t="n">
        <f aca="false">IF(AND(F10&lt;=Parameters!$B$6,F10&gt;Parameters!$B$6-Parameters!$B$18),1,0)</f>
        <v>0</v>
      </c>
      <c r="R10" s="9" t="n">
        <f aca="false">IF(COUNTIF(Parameters!$A$51:$A$58,H10)=0,1,0)</f>
        <v>0</v>
      </c>
      <c r="S10" s="9" t="n">
        <f aca="false">IF(AND(I10="Manual",L10&gt;0),1,0)</f>
        <v>0</v>
      </c>
      <c r="T10" s="9" t="n">
        <f aca="false">IF(AND(C10&gt;=Parameters!$B$22,ROUND(MOD(ROUND(C10,2),Parameters!$B$21),2)=0),1,0)</f>
        <v>1</v>
      </c>
      <c r="U10" s="9" t="n">
        <f aca="false">IF(LEN(TRIM(J10))=0,1,0)</f>
        <v>0</v>
      </c>
      <c r="V10" s="9" t="n">
        <f aca="false">IF(AND(I10="Manual",C10&lt;Parameters!$B$19,C10&gt;=Parameters!$B$19*(1-Parameters!$B$20)),1,0)</f>
        <v>0</v>
      </c>
      <c r="W10" s="9" t="n">
        <f aca="false">IF(AND(I10="Manual",M10&gt;0),1,0)</f>
        <v>0</v>
      </c>
      <c r="X10" s="9" t="n">
        <f aca="false">IF(A10-A9&gt;1,1,0)</f>
        <v>0</v>
      </c>
      <c r="Y10" s="9" t="n">
        <f aca="false">N10*Parameters!$B$38+O10*Parameters!$B$39+P10*Parameters!$B$40+Q10*Parameters!$B$41+R10*Parameters!$B$42+S10*Parameters!$B$43+T10*Parameters!$B$44+U10*Parameters!$B$45+V10*Parameters!$B$46+W10*Parameters!$B$47+X10*Parameters!$B$48</f>
        <v>2</v>
      </c>
      <c r="Z10" s="0" t="str">
        <f aca="false">IF(Y10&gt;=Parameters!$B$25,"High","")</f>
        <v/>
      </c>
    </row>
    <row r="11" customFormat="false" ht="15" hidden="false" customHeight="false" outlineLevel="0" collapsed="false">
      <c r="A11" s="16" t="n">
        <v>1007</v>
      </c>
      <c r="B11" s="9" t="n">
        <f aca="false">COUNTIF(JE_Lines!$B$5:$B$1733,A11)</f>
        <v>3</v>
      </c>
      <c r="C11" s="17" t="n">
        <f aca="false">SUMIFS(JE_Lines!$G$5:$G$1733,JE_Lines!$B$5:$B$1733,A11)</f>
        <v>12742.41</v>
      </c>
      <c r="D11" s="17" t="n">
        <f aca="false">SUMIFS(JE_Lines!$H$5:$H$1733,JE_Lines!$B$5:$B$1733,A11)</f>
        <v>12742.41</v>
      </c>
      <c r="E11" s="17" t="n">
        <f aca="false">C11-D11</f>
        <v>0</v>
      </c>
      <c r="F11" s="18" t="n">
        <f aca="false">INDEX(JE_Lines!$C$5:$C$1733,MATCH(A11,JE_Lines!$B$5:$B$1733,0))</f>
        <v>45660</v>
      </c>
      <c r="G11" s="18" t="n">
        <f aca="false">INDEX(JE_Lines!$D$5:$D$1733,MATCH(A11,JE_Lines!$B$5:$B$1733,0))</f>
        <v>45657</v>
      </c>
      <c r="H11" s="0" t="str">
        <f aca="false">INDEX(JE_Lines!$I$5:$I$1733,MATCH(A11,JE_Lines!$B$5:$B$1733,0))</f>
        <v>SYS_AP</v>
      </c>
      <c r="I11" s="0" t="str">
        <f aca="false">INDEX(JE_Lines!$J$5:$J$1733,MATCH(A11,JE_Lines!$B$5:$B$1733,0))</f>
        <v>System</v>
      </c>
      <c r="J11" s="0" t="str">
        <f aca="false">IF(LEN(INDEX(JE_Lines!$K$5:$K$1733,MATCH(A11,JE_Lines!$B$5:$B$1733,0)))=0,"",INDEX(JE_Lines!$K$5:$K$1733,MATCH(A11,JE_Lines!$B$5:$B$1733,0)))</f>
        <v>Supplier invoices</v>
      </c>
      <c r="K11" s="9" t="n">
        <f aca="false">F11-G11</f>
        <v>3</v>
      </c>
      <c r="L11" s="9" t="n">
        <f aca="false">COUNTIFS(JE_Lines!$B$5:$B$1733,A11,JE_Lines!$F$5:$F$1733,"Revenue")</f>
        <v>0</v>
      </c>
      <c r="M11" s="9" t="n">
        <f aca="false">COUNTIFS(JE_Lines!$B$5:$B$1733,A11,JE_Lines!$F$5:$F$1733,"Suspense")</f>
        <v>0</v>
      </c>
      <c r="N11" s="9" t="n">
        <f aca="false">IF(ABS(E11)&gt;Parameters!$B$23,1,0)</f>
        <v>0</v>
      </c>
      <c r="O11" s="9" t="n">
        <f aca="false">IF(WEEKDAY(F11,2)&gt;5,1,0)</f>
        <v>0</v>
      </c>
      <c r="P11" s="9" t="n">
        <f aca="false">IF(K11&gt;Parameters!$B$17,1,0)</f>
        <v>0</v>
      </c>
      <c r="Q11" s="9" t="n">
        <f aca="false">IF(AND(F11&lt;=Parameters!$B$6,F11&gt;Parameters!$B$6-Parameters!$B$18),1,0)</f>
        <v>0</v>
      </c>
      <c r="R11" s="9" t="n">
        <f aca="false">IF(COUNTIF(Parameters!$A$51:$A$58,H11)=0,1,0)</f>
        <v>0</v>
      </c>
      <c r="S11" s="9" t="n">
        <f aca="false">IF(AND(I11="Manual",L11&gt;0),1,0)</f>
        <v>0</v>
      </c>
      <c r="T11" s="9" t="n">
        <f aca="false">IF(AND(C11&gt;=Parameters!$B$22,ROUND(MOD(ROUND(C11,2),Parameters!$B$21),2)=0),1,0)</f>
        <v>0</v>
      </c>
      <c r="U11" s="9" t="n">
        <f aca="false">IF(LEN(TRIM(J11))=0,1,0)</f>
        <v>0</v>
      </c>
      <c r="V11" s="9" t="n">
        <f aca="false">IF(AND(I11="Manual",C11&lt;Parameters!$B$19,C11&gt;=Parameters!$B$19*(1-Parameters!$B$20)),1,0)</f>
        <v>0</v>
      </c>
      <c r="W11" s="9" t="n">
        <f aca="false">IF(AND(I11="Manual",M11&gt;0),1,0)</f>
        <v>0</v>
      </c>
      <c r="X11" s="9" t="n">
        <f aca="false">IF(A11-A10&gt;1,1,0)</f>
        <v>0</v>
      </c>
      <c r="Y11" s="9" t="n">
        <f aca="false">N11*Parameters!$B$38+O11*Parameters!$B$39+P11*Parameters!$B$40+Q11*Parameters!$B$41+R11*Parameters!$B$42+S11*Parameters!$B$43+T11*Parameters!$B$44+U11*Parameters!$B$45+V11*Parameters!$B$46+W11*Parameters!$B$47+X11*Parameters!$B$48</f>
        <v>0</v>
      </c>
      <c r="Z11" s="0" t="str">
        <f aca="false">IF(Y11&gt;=Parameters!$B$25,"High","")</f>
        <v/>
      </c>
    </row>
    <row r="12" customFormat="false" ht="15" hidden="false" customHeight="false" outlineLevel="0" collapsed="false">
      <c r="A12" s="16" t="n">
        <v>1008</v>
      </c>
      <c r="B12" s="9" t="n">
        <f aca="false">COUNTIF(JE_Lines!$B$5:$B$1733,A12)</f>
        <v>3</v>
      </c>
      <c r="C12" s="17" t="n">
        <f aca="false">SUMIFS(JE_Lines!$G$5:$G$1733,JE_Lines!$B$5:$B$1733,A12)</f>
        <v>115525.82</v>
      </c>
      <c r="D12" s="17" t="n">
        <f aca="false">SUMIFS(JE_Lines!$H$5:$H$1733,JE_Lines!$B$5:$B$1733,A12)</f>
        <v>115525.82</v>
      </c>
      <c r="E12" s="17" t="n">
        <f aca="false">C12-D12</f>
        <v>0</v>
      </c>
      <c r="F12" s="18" t="n">
        <f aca="false">INDEX(JE_Lines!$C$5:$C$1733,MATCH(A12,JE_Lines!$B$5:$B$1733,0))</f>
        <v>45660</v>
      </c>
      <c r="G12" s="18" t="n">
        <f aca="false">INDEX(JE_Lines!$D$5:$D$1733,MATCH(A12,JE_Lines!$B$5:$B$1733,0))</f>
        <v>45658</v>
      </c>
      <c r="H12" s="0" t="str">
        <f aca="false">INDEX(JE_Lines!$I$5:$I$1733,MATCH(A12,JE_Lines!$B$5:$B$1733,0))</f>
        <v>SYS_PAY</v>
      </c>
      <c r="I12" s="0" t="str">
        <f aca="false">INDEX(JE_Lines!$J$5:$J$1733,MATCH(A12,JE_Lines!$B$5:$B$1733,0))</f>
        <v>System</v>
      </c>
      <c r="J12" s="0" t="str">
        <f aca="false">IF(LEN(INDEX(JE_Lines!$K$5:$K$1733,MATCH(A12,JE_Lines!$B$5:$B$1733,0)))=0,"",INDEX(JE_Lines!$K$5:$K$1733,MATCH(A12,JE_Lines!$B$5:$B$1733,0)))</f>
        <v>Supplier payments</v>
      </c>
      <c r="K12" s="9" t="n">
        <f aca="false">F12-G12</f>
        <v>2</v>
      </c>
      <c r="L12" s="9" t="n">
        <f aca="false">COUNTIFS(JE_Lines!$B$5:$B$1733,A12,JE_Lines!$F$5:$F$1733,"Revenue")</f>
        <v>0</v>
      </c>
      <c r="M12" s="9" t="n">
        <f aca="false">COUNTIFS(JE_Lines!$B$5:$B$1733,A12,JE_Lines!$F$5:$F$1733,"Suspense")</f>
        <v>0</v>
      </c>
      <c r="N12" s="9" t="n">
        <f aca="false">IF(ABS(E12)&gt;Parameters!$B$23,1,0)</f>
        <v>0</v>
      </c>
      <c r="O12" s="9" t="n">
        <f aca="false">IF(WEEKDAY(F12,2)&gt;5,1,0)</f>
        <v>0</v>
      </c>
      <c r="P12" s="9" t="n">
        <f aca="false">IF(K12&gt;Parameters!$B$17,1,0)</f>
        <v>0</v>
      </c>
      <c r="Q12" s="9" t="n">
        <f aca="false">IF(AND(F12&lt;=Parameters!$B$6,F12&gt;Parameters!$B$6-Parameters!$B$18),1,0)</f>
        <v>0</v>
      </c>
      <c r="R12" s="9" t="n">
        <f aca="false">IF(COUNTIF(Parameters!$A$51:$A$58,H12)=0,1,0)</f>
        <v>0</v>
      </c>
      <c r="S12" s="9" t="n">
        <f aca="false">IF(AND(I12="Manual",L12&gt;0),1,0)</f>
        <v>0</v>
      </c>
      <c r="T12" s="9" t="n">
        <f aca="false">IF(AND(C12&gt;=Parameters!$B$22,ROUND(MOD(ROUND(C12,2),Parameters!$B$21),2)=0),1,0)</f>
        <v>0</v>
      </c>
      <c r="U12" s="9" t="n">
        <f aca="false">IF(LEN(TRIM(J12))=0,1,0)</f>
        <v>0</v>
      </c>
      <c r="V12" s="9" t="n">
        <f aca="false">IF(AND(I12="Manual",C12&lt;Parameters!$B$19,C12&gt;=Parameters!$B$19*(1-Parameters!$B$20)),1,0)</f>
        <v>0</v>
      </c>
      <c r="W12" s="9" t="n">
        <f aca="false">IF(AND(I12="Manual",M12&gt;0),1,0)</f>
        <v>0</v>
      </c>
      <c r="X12" s="9" t="n">
        <f aca="false">IF(A12-A11&gt;1,1,0)</f>
        <v>0</v>
      </c>
      <c r="Y12" s="9" t="n">
        <f aca="false">N12*Parameters!$B$38+O12*Parameters!$B$39+P12*Parameters!$B$40+Q12*Parameters!$B$41+R12*Parameters!$B$42+S12*Parameters!$B$43+T12*Parameters!$B$44+U12*Parameters!$B$45+V12*Parameters!$B$46+W12*Parameters!$B$47+X12*Parameters!$B$48</f>
        <v>0</v>
      </c>
      <c r="Z12" s="0" t="str">
        <f aca="false">IF(Y12&gt;=Parameters!$B$25,"High","")</f>
        <v/>
      </c>
    </row>
    <row r="13" customFormat="false" ht="15" hidden="false" customHeight="false" outlineLevel="0" collapsed="false">
      <c r="A13" s="16" t="n">
        <v>1009</v>
      </c>
      <c r="B13" s="9" t="n">
        <f aca="false">COUNTIF(JE_Lines!$B$5:$B$1733,A13)</f>
        <v>3</v>
      </c>
      <c r="C13" s="17" t="n">
        <f aca="false">SUMIFS(JE_Lines!$G$5:$G$1733,JE_Lines!$B$5:$B$1733,A13)</f>
        <v>2509.81</v>
      </c>
      <c r="D13" s="17" t="n">
        <f aca="false">SUMIFS(JE_Lines!$H$5:$H$1733,JE_Lines!$B$5:$B$1733,A13)</f>
        <v>2509.81</v>
      </c>
      <c r="E13" s="17" t="n">
        <f aca="false">C13-D13</f>
        <v>0</v>
      </c>
      <c r="F13" s="18" t="n">
        <f aca="false">INDEX(JE_Lines!$C$5:$C$1733,MATCH(A13,JE_Lines!$B$5:$B$1733,0))</f>
        <v>45663</v>
      </c>
      <c r="G13" s="18" t="n">
        <f aca="false">INDEX(JE_Lines!$D$5:$D$1733,MATCH(A13,JE_Lines!$B$5:$B$1733,0))</f>
        <v>45661</v>
      </c>
      <c r="H13" s="0" t="str">
        <f aca="false">INDEX(JE_Lines!$I$5:$I$1733,MATCH(A13,JE_Lines!$B$5:$B$1733,0))</f>
        <v>SYS_PAY</v>
      </c>
      <c r="I13" s="0" t="str">
        <f aca="false">INDEX(JE_Lines!$J$5:$J$1733,MATCH(A13,JE_Lines!$B$5:$B$1733,0))</f>
        <v>System</v>
      </c>
      <c r="J13" s="0" t="str">
        <f aca="false">IF(LEN(INDEX(JE_Lines!$K$5:$K$1733,MATCH(A13,JE_Lines!$B$5:$B$1733,0)))=0,"",INDEX(JE_Lines!$K$5:$K$1733,MATCH(A13,JE_Lines!$B$5:$B$1733,0)))</f>
        <v>Supplier payments</v>
      </c>
      <c r="K13" s="9" t="n">
        <f aca="false">F13-G13</f>
        <v>2</v>
      </c>
      <c r="L13" s="9" t="n">
        <f aca="false">COUNTIFS(JE_Lines!$B$5:$B$1733,A13,JE_Lines!$F$5:$F$1733,"Revenue")</f>
        <v>0</v>
      </c>
      <c r="M13" s="9" t="n">
        <f aca="false">COUNTIFS(JE_Lines!$B$5:$B$1733,A13,JE_Lines!$F$5:$F$1733,"Suspense")</f>
        <v>0</v>
      </c>
      <c r="N13" s="9" t="n">
        <f aca="false">IF(ABS(E13)&gt;Parameters!$B$23,1,0)</f>
        <v>0</v>
      </c>
      <c r="O13" s="9" t="n">
        <f aca="false">IF(WEEKDAY(F13,2)&gt;5,1,0)</f>
        <v>0</v>
      </c>
      <c r="P13" s="9" t="n">
        <f aca="false">IF(K13&gt;Parameters!$B$17,1,0)</f>
        <v>0</v>
      </c>
      <c r="Q13" s="9" t="n">
        <f aca="false">IF(AND(F13&lt;=Parameters!$B$6,F13&gt;Parameters!$B$6-Parameters!$B$18),1,0)</f>
        <v>0</v>
      </c>
      <c r="R13" s="9" t="n">
        <f aca="false">IF(COUNTIF(Parameters!$A$51:$A$58,H13)=0,1,0)</f>
        <v>0</v>
      </c>
      <c r="S13" s="9" t="n">
        <f aca="false">IF(AND(I13="Manual",L13&gt;0),1,0)</f>
        <v>0</v>
      </c>
      <c r="T13" s="9" t="n">
        <f aca="false">IF(AND(C13&gt;=Parameters!$B$22,ROUND(MOD(ROUND(C13,2),Parameters!$B$21),2)=0),1,0)</f>
        <v>0</v>
      </c>
      <c r="U13" s="9" t="n">
        <f aca="false">IF(LEN(TRIM(J13))=0,1,0)</f>
        <v>0</v>
      </c>
      <c r="V13" s="9" t="n">
        <f aca="false">IF(AND(I13="Manual",C13&lt;Parameters!$B$19,C13&gt;=Parameters!$B$19*(1-Parameters!$B$20)),1,0)</f>
        <v>0</v>
      </c>
      <c r="W13" s="9" t="n">
        <f aca="false">IF(AND(I13="Manual",M13&gt;0),1,0)</f>
        <v>0</v>
      </c>
      <c r="X13" s="9" t="n">
        <f aca="false">IF(A13-A12&gt;1,1,0)</f>
        <v>0</v>
      </c>
      <c r="Y13" s="9" t="n">
        <f aca="false">N13*Parameters!$B$38+O13*Parameters!$B$39+P13*Parameters!$B$40+Q13*Parameters!$B$41+R13*Parameters!$B$42+S13*Parameters!$B$43+T13*Parameters!$B$44+U13*Parameters!$B$45+V13*Parameters!$B$46+W13*Parameters!$B$47+X13*Parameters!$B$48</f>
        <v>0</v>
      </c>
      <c r="Z13" s="0" t="str">
        <f aca="false">IF(Y13&gt;=Parameters!$B$25,"High","")</f>
        <v/>
      </c>
    </row>
    <row r="14" customFormat="false" ht="15" hidden="false" customHeight="false" outlineLevel="0" collapsed="false">
      <c r="A14" s="16" t="n">
        <v>1010</v>
      </c>
      <c r="B14" s="9" t="n">
        <f aca="false">COUNTIF(JE_Lines!$B$5:$B$1733,A14)</f>
        <v>2</v>
      </c>
      <c r="C14" s="17" t="n">
        <f aca="false">SUMIFS(JE_Lines!$G$5:$G$1733,JE_Lines!$B$5:$B$1733,A14)</f>
        <v>20143</v>
      </c>
      <c r="D14" s="17" t="n">
        <f aca="false">SUMIFS(JE_Lines!$H$5:$H$1733,JE_Lines!$B$5:$B$1733,A14)</f>
        <v>20143</v>
      </c>
      <c r="E14" s="17" t="n">
        <f aca="false">C14-D14</f>
        <v>0</v>
      </c>
      <c r="F14" s="18" t="n">
        <f aca="false">INDEX(JE_Lines!$C$5:$C$1733,MATCH(A14,JE_Lines!$B$5:$B$1733,0))</f>
        <v>45663</v>
      </c>
      <c r="G14" s="18" t="n">
        <f aca="false">INDEX(JE_Lines!$D$5:$D$1733,MATCH(A14,JE_Lines!$B$5:$B$1733,0))</f>
        <v>45663</v>
      </c>
      <c r="H14" s="0" t="str">
        <f aca="false">INDEX(JE_Lines!$I$5:$I$1733,MATCH(A14,JE_Lines!$B$5:$B$1733,0))</f>
        <v>SYS_AP</v>
      </c>
      <c r="I14" s="0" t="str">
        <f aca="false">INDEX(JE_Lines!$J$5:$J$1733,MATCH(A14,JE_Lines!$B$5:$B$1733,0))</f>
        <v>System</v>
      </c>
      <c r="J14" s="0" t="str">
        <f aca="false">IF(LEN(INDEX(JE_Lines!$K$5:$K$1733,MATCH(A14,JE_Lines!$B$5:$B$1733,0)))=0,"",INDEX(JE_Lines!$K$5:$K$1733,MATCH(A14,JE_Lines!$B$5:$B$1733,0)))</f>
        <v>Supplier invoices</v>
      </c>
      <c r="K14" s="9" t="n">
        <f aca="false">F14-G14</f>
        <v>0</v>
      </c>
      <c r="L14" s="9" t="n">
        <f aca="false">COUNTIFS(JE_Lines!$B$5:$B$1733,A14,JE_Lines!$F$5:$F$1733,"Revenue")</f>
        <v>0</v>
      </c>
      <c r="M14" s="9" t="n">
        <f aca="false">COUNTIFS(JE_Lines!$B$5:$B$1733,A14,JE_Lines!$F$5:$F$1733,"Suspense")</f>
        <v>0</v>
      </c>
      <c r="N14" s="9" t="n">
        <f aca="false">IF(ABS(E14)&gt;Parameters!$B$23,1,0)</f>
        <v>0</v>
      </c>
      <c r="O14" s="9" t="n">
        <f aca="false">IF(WEEKDAY(F14,2)&gt;5,1,0)</f>
        <v>0</v>
      </c>
      <c r="P14" s="9" t="n">
        <f aca="false">IF(K14&gt;Parameters!$B$17,1,0)</f>
        <v>0</v>
      </c>
      <c r="Q14" s="9" t="n">
        <f aca="false">IF(AND(F14&lt;=Parameters!$B$6,F14&gt;Parameters!$B$6-Parameters!$B$18),1,0)</f>
        <v>0</v>
      </c>
      <c r="R14" s="9" t="n">
        <f aca="false">IF(COUNTIF(Parameters!$A$51:$A$58,H14)=0,1,0)</f>
        <v>0</v>
      </c>
      <c r="S14" s="9" t="n">
        <f aca="false">IF(AND(I14="Manual",L14&gt;0),1,0)</f>
        <v>0</v>
      </c>
      <c r="T14" s="9" t="n">
        <f aca="false">IF(AND(C14&gt;=Parameters!$B$22,ROUND(MOD(ROUND(C14,2),Parameters!$B$21),2)=0),1,0)</f>
        <v>0</v>
      </c>
      <c r="U14" s="9" t="n">
        <f aca="false">IF(LEN(TRIM(J14))=0,1,0)</f>
        <v>0</v>
      </c>
      <c r="V14" s="9" t="n">
        <f aca="false">IF(AND(I14="Manual",C14&lt;Parameters!$B$19,C14&gt;=Parameters!$B$19*(1-Parameters!$B$20)),1,0)</f>
        <v>0</v>
      </c>
      <c r="W14" s="9" t="n">
        <f aca="false">IF(AND(I14="Manual",M14&gt;0),1,0)</f>
        <v>0</v>
      </c>
      <c r="X14" s="9" t="n">
        <f aca="false">IF(A14-A13&gt;1,1,0)</f>
        <v>0</v>
      </c>
      <c r="Y14" s="9" t="n">
        <f aca="false">N14*Parameters!$B$38+O14*Parameters!$B$39+P14*Parameters!$B$40+Q14*Parameters!$B$41+R14*Parameters!$B$42+S14*Parameters!$B$43+T14*Parameters!$B$44+U14*Parameters!$B$45+V14*Parameters!$B$46+W14*Parameters!$B$47+X14*Parameters!$B$48</f>
        <v>0</v>
      </c>
      <c r="Z14" s="0" t="str">
        <f aca="false">IF(Y14&gt;=Parameters!$B$25,"High","")</f>
        <v/>
      </c>
    </row>
    <row r="15" customFormat="false" ht="15" hidden="false" customHeight="false" outlineLevel="0" collapsed="false">
      <c r="A15" s="16" t="n">
        <v>1011</v>
      </c>
      <c r="B15" s="9" t="n">
        <f aca="false">COUNTIF(JE_Lines!$B$5:$B$1733,A15)</f>
        <v>2</v>
      </c>
      <c r="C15" s="17" t="n">
        <f aca="false">SUMIFS(JE_Lines!$G$5:$G$1733,JE_Lines!$B$5:$B$1733,A15)</f>
        <v>107970.06</v>
      </c>
      <c r="D15" s="17" t="n">
        <f aca="false">SUMIFS(JE_Lines!$H$5:$H$1733,JE_Lines!$B$5:$B$1733,A15)</f>
        <v>107970.06</v>
      </c>
      <c r="E15" s="17" t="n">
        <f aca="false">C15-D15</f>
        <v>0</v>
      </c>
      <c r="F15" s="18" t="n">
        <f aca="false">INDEX(JE_Lines!$C$5:$C$1733,MATCH(A15,JE_Lines!$B$5:$B$1733,0))</f>
        <v>45664</v>
      </c>
      <c r="G15" s="18" t="n">
        <f aca="false">INDEX(JE_Lines!$D$5:$D$1733,MATCH(A15,JE_Lines!$B$5:$B$1733,0))</f>
        <v>45664</v>
      </c>
      <c r="H15" s="0" t="str">
        <f aca="false">INDEX(JE_Lines!$I$5:$I$1733,MATCH(A15,JE_Lines!$B$5:$B$1733,0))</f>
        <v>SYS_PAY</v>
      </c>
      <c r="I15" s="0" t="str">
        <f aca="false">INDEX(JE_Lines!$J$5:$J$1733,MATCH(A15,JE_Lines!$B$5:$B$1733,0))</f>
        <v>System</v>
      </c>
      <c r="J15" s="0" t="str">
        <f aca="false">IF(LEN(INDEX(JE_Lines!$K$5:$K$1733,MATCH(A15,JE_Lines!$B$5:$B$1733,0)))=0,"",INDEX(JE_Lines!$K$5:$K$1733,MATCH(A15,JE_Lines!$B$5:$B$1733,0)))</f>
        <v>Supplier payments</v>
      </c>
      <c r="K15" s="9" t="n">
        <f aca="false">F15-G15</f>
        <v>0</v>
      </c>
      <c r="L15" s="9" t="n">
        <f aca="false">COUNTIFS(JE_Lines!$B$5:$B$1733,A15,JE_Lines!$F$5:$F$1733,"Revenue")</f>
        <v>0</v>
      </c>
      <c r="M15" s="9" t="n">
        <f aca="false">COUNTIFS(JE_Lines!$B$5:$B$1733,A15,JE_Lines!$F$5:$F$1733,"Suspense")</f>
        <v>0</v>
      </c>
      <c r="N15" s="9" t="n">
        <f aca="false">IF(ABS(E15)&gt;Parameters!$B$23,1,0)</f>
        <v>0</v>
      </c>
      <c r="O15" s="9" t="n">
        <f aca="false">IF(WEEKDAY(F15,2)&gt;5,1,0)</f>
        <v>0</v>
      </c>
      <c r="P15" s="9" t="n">
        <f aca="false">IF(K15&gt;Parameters!$B$17,1,0)</f>
        <v>0</v>
      </c>
      <c r="Q15" s="9" t="n">
        <f aca="false">IF(AND(F15&lt;=Parameters!$B$6,F15&gt;Parameters!$B$6-Parameters!$B$18),1,0)</f>
        <v>0</v>
      </c>
      <c r="R15" s="9" t="n">
        <f aca="false">IF(COUNTIF(Parameters!$A$51:$A$58,H15)=0,1,0)</f>
        <v>0</v>
      </c>
      <c r="S15" s="9" t="n">
        <f aca="false">IF(AND(I15="Manual",L15&gt;0),1,0)</f>
        <v>0</v>
      </c>
      <c r="T15" s="9" t="n">
        <f aca="false">IF(AND(C15&gt;=Parameters!$B$22,ROUND(MOD(ROUND(C15,2),Parameters!$B$21),2)=0),1,0)</f>
        <v>0</v>
      </c>
      <c r="U15" s="9" t="n">
        <f aca="false">IF(LEN(TRIM(J15))=0,1,0)</f>
        <v>0</v>
      </c>
      <c r="V15" s="9" t="n">
        <f aca="false">IF(AND(I15="Manual",C15&lt;Parameters!$B$19,C15&gt;=Parameters!$B$19*(1-Parameters!$B$20)),1,0)</f>
        <v>0</v>
      </c>
      <c r="W15" s="9" t="n">
        <f aca="false">IF(AND(I15="Manual",M15&gt;0),1,0)</f>
        <v>0</v>
      </c>
      <c r="X15" s="9" t="n">
        <f aca="false">IF(A15-A14&gt;1,1,0)</f>
        <v>0</v>
      </c>
      <c r="Y15" s="9" t="n">
        <f aca="false">N15*Parameters!$B$38+O15*Parameters!$B$39+P15*Parameters!$B$40+Q15*Parameters!$B$41+R15*Parameters!$B$42+S15*Parameters!$B$43+T15*Parameters!$B$44+U15*Parameters!$B$45+V15*Parameters!$B$46+W15*Parameters!$B$47+X15*Parameters!$B$48</f>
        <v>0</v>
      </c>
      <c r="Z15" s="0" t="str">
        <f aca="false">IF(Y15&gt;=Parameters!$B$25,"High","")</f>
        <v/>
      </c>
    </row>
    <row r="16" customFormat="false" ht="15" hidden="false" customHeight="false" outlineLevel="0" collapsed="false">
      <c r="A16" s="16" t="n">
        <v>1012</v>
      </c>
      <c r="B16" s="9" t="n">
        <f aca="false">COUNTIF(JE_Lines!$B$5:$B$1733,A16)</f>
        <v>2</v>
      </c>
      <c r="C16" s="17" t="n">
        <f aca="false">SUMIFS(JE_Lines!$G$5:$G$1733,JE_Lines!$B$5:$B$1733,A16)</f>
        <v>662.96</v>
      </c>
      <c r="D16" s="17" t="n">
        <f aca="false">SUMIFS(JE_Lines!$H$5:$H$1733,JE_Lines!$B$5:$B$1733,A16)</f>
        <v>662.96</v>
      </c>
      <c r="E16" s="17" t="n">
        <f aca="false">C16-D16</f>
        <v>0</v>
      </c>
      <c r="F16" s="18" t="n">
        <f aca="false">INDEX(JE_Lines!$C$5:$C$1733,MATCH(A16,JE_Lines!$B$5:$B$1733,0))</f>
        <v>45664</v>
      </c>
      <c r="G16" s="18" t="n">
        <f aca="false">INDEX(JE_Lines!$D$5:$D$1733,MATCH(A16,JE_Lines!$B$5:$B$1733,0))</f>
        <v>45663</v>
      </c>
      <c r="H16" s="0" t="str">
        <f aca="false">INDEX(JE_Lines!$I$5:$I$1733,MATCH(A16,JE_Lines!$B$5:$B$1733,0))</f>
        <v>SYS_AR</v>
      </c>
      <c r="I16" s="0" t="str">
        <f aca="false">INDEX(JE_Lines!$J$5:$J$1733,MATCH(A16,JE_Lines!$B$5:$B$1733,0))</f>
        <v>System</v>
      </c>
      <c r="J16" s="0" t="str">
        <f aca="false">IF(LEN(INDEX(JE_Lines!$K$5:$K$1733,MATCH(A16,JE_Lines!$B$5:$B$1733,0)))=0,"",INDEX(JE_Lines!$K$5:$K$1733,MATCH(A16,JE_Lines!$B$5:$B$1733,0)))</f>
        <v>Cost of sales posting</v>
      </c>
      <c r="K16" s="9" t="n">
        <f aca="false">F16-G16</f>
        <v>1</v>
      </c>
      <c r="L16" s="9" t="n">
        <f aca="false">COUNTIFS(JE_Lines!$B$5:$B$1733,A16,JE_Lines!$F$5:$F$1733,"Revenue")</f>
        <v>0</v>
      </c>
      <c r="M16" s="9" t="n">
        <f aca="false">COUNTIFS(JE_Lines!$B$5:$B$1733,A16,JE_Lines!$F$5:$F$1733,"Suspense")</f>
        <v>0</v>
      </c>
      <c r="N16" s="9" t="n">
        <f aca="false">IF(ABS(E16)&gt;Parameters!$B$23,1,0)</f>
        <v>0</v>
      </c>
      <c r="O16" s="9" t="n">
        <f aca="false">IF(WEEKDAY(F16,2)&gt;5,1,0)</f>
        <v>0</v>
      </c>
      <c r="P16" s="9" t="n">
        <f aca="false">IF(K16&gt;Parameters!$B$17,1,0)</f>
        <v>0</v>
      </c>
      <c r="Q16" s="9" t="n">
        <f aca="false">IF(AND(F16&lt;=Parameters!$B$6,F16&gt;Parameters!$B$6-Parameters!$B$18),1,0)</f>
        <v>0</v>
      </c>
      <c r="R16" s="9" t="n">
        <f aca="false">IF(COUNTIF(Parameters!$A$51:$A$58,H16)=0,1,0)</f>
        <v>0</v>
      </c>
      <c r="S16" s="9" t="n">
        <f aca="false">IF(AND(I16="Manual",L16&gt;0),1,0)</f>
        <v>0</v>
      </c>
      <c r="T16" s="9" t="n">
        <f aca="false">IF(AND(C16&gt;=Parameters!$B$22,ROUND(MOD(ROUND(C16,2),Parameters!$B$21),2)=0),1,0)</f>
        <v>0</v>
      </c>
      <c r="U16" s="9" t="n">
        <f aca="false">IF(LEN(TRIM(J16))=0,1,0)</f>
        <v>0</v>
      </c>
      <c r="V16" s="9" t="n">
        <f aca="false">IF(AND(I16="Manual",C16&lt;Parameters!$B$19,C16&gt;=Parameters!$B$19*(1-Parameters!$B$20)),1,0)</f>
        <v>0</v>
      </c>
      <c r="W16" s="9" t="n">
        <f aca="false">IF(AND(I16="Manual",M16&gt;0),1,0)</f>
        <v>0</v>
      </c>
      <c r="X16" s="9" t="n">
        <f aca="false">IF(A16-A15&gt;1,1,0)</f>
        <v>0</v>
      </c>
      <c r="Y16" s="9" t="n">
        <f aca="false">N16*Parameters!$B$38+O16*Parameters!$B$39+P16*Parameters!$B$40+Q16*Parameters!$B$41+R16*Parameters!$B$42+S16*Parameters!$B$43+T16*Parameters!$B$44+U16*Parameters!$B$45+V16*Parameters!$B$46+W16*Parameters!$B$47+X16*Parameters!$B$48</f>
        <v>0</v>
      </c>
      <c r="Z16" s="0" t="str">
        <f aca="false">IF(Y16&gt;=Parameters!$B$25,"High","")</f>
        <v/>
      </c>
    </row>
    <row r="17" customFormat="false" ht="15" hidden="false" customHeight="false" outlineLevel="0" collapsed="false">
      <c r="A17" s="16" t="n">
        <v>1013</v>
      </c>
      <c r="B17" s="9" t="n">
        <f aca="false">COUNTIF(JE_Lines!$B$5:$B$1733,A17)</f>
        <v>2</v>
      </c>
      <c r="C17" s="17" t="n">
        <f aca="false">SUMIFS(JE_Lines!$G$5:$G$1733,JE_Lines!$B$5:$B$1733,A17)</f>
        <v>777.69</v>
      </c>
      <c r="D17" s="17" t="n">
        <f aca="false">SUMIFS(JE_Lines!$H$5:$H$1733,JE_Lines!$B$5:$B$1733,A17)</f>
        <v>777.69</v>
      </c>
      <c r="E17" s="17" t="n">
        <f aca="false">C17-D17</f>
        <v>0</v>
      </c>
      <c r="F17" s="18" t="n">
        <f aca="false">INDEX(JE_Lines!$C$5:$C$1733,MATCH(A17,JE_Lines!$B$5:$B$1733,0))</f>
        <v>45664</v>
      </c>
      <c r="G17" s="18" t="n">
        <f aca="false">INDEX(JE_Lines!$D$5:$D$1733,MATCH(A17,JE_Lines!$B$5:$B$1733,0))</f>
        <v>45662</v>
      </c>
      <c r="H17" s="0" t="str">
        <f aca="false">INDEX(JE_Lines!$I$5:$I$1733,MATCH(A17,JE_Lines!$B$5:$B$1733,0))</f>
        <v>SYS_AP</v>
      </c>
      <c r="I17" s="0" t="str">
        <f aca="false">INDEX(JE_Lines!$J$5:$J$1733,MATCH(A17,JE_Lines!$B$5:$B$1733,0))</f>
        <v>System</v>
      </c>
      <c r="J17" s="0" t="str">
        <f aca="false">IF(LEN(INDEX(JE_Lines!$K$5:$K$1733,MATCH(A17,JE_Lines!$B$5:$B$1733,0)))=0,"",INDEX(JE_Lines!$K$5:$K$1733,MATCH(A17,JE_Lines!$B$5:$B$1733,0)))</f>
        <v>Supplier invoices</v>
      </c>
      <c r="K17" s="9" t="n">
        <f aca="false">F17-G17</f>
        <v>2</v>
      </c>
      <c r="L17" s="9" t="n">
        <f aca="false">COUNTIFS(JE_Lines!$B$5:$B$1733,A17,JE_Lines!$F$5:$F$1733,"Revenue")</f>
        <v>0</v>
      </c>
      <c r="M17" s="9" t="n">
        <f aca="false">COUNTIFS(JE_Lines!$B$5:$B$1733,A17,JE_Lines!$F$5:$F$1733,"Suspense")</f>
        <v>0</v>
      </c>
      <c r="N17" s="9" t="n">
        <f aca="false">IF(ABS(E17)&gt;Parameters!$B$23,1,0)</f>
        <v>0</v>
      </c>
      <c r="O17" s="9" t="n">
        <f aca="false">IF(WEEKDAY(F17,2)&gt;5,1,0)</f>
        <v>0</v>
      </c>
      <c r="P17" s="9" t="n">
        <f aca="false">IF(K17&gt;Parameters!$B$17,1,0)</f>
        <v>0</v>
      </c>
      <c r="Q17" s="9" t="n">
        <f aca="false">IF(AND(F17&lt;=Parameters!$B$6,F17&gt;Parameters!$B$6-Parameters!$B$18),1,0)</f>
        <v>0</v>
      </c>
      <c r="R17" s="9" t="n">
        <f aca="false">IF(COUNTIF(Parameters!$A$51:$A$58,H17)=0,1,0)</f>
        <v>0</v>
      </c>
      <c r="S17" s="9" t="n">
        <f aca="false">IF(AND(I17="Manual",L17&gt;0),1,0)</f>
        <v>0</v>
      </c>
      <c r="T17" s="9" t="n">
        <f aca="false">IF(AND(C17&gt;=Parameters!$B$22,ROUND(MOD(ROUND(C17,2),Parameters!$B$21),2)=0),1,0)</f>
        <v>0</v>
      </c>
      <c r="U17" s="9" t="n">
        <f aca="false">IF(LEN(TRIM(J17))=0,1,0)</f>
        <v>0</v>
      </c>
      <c r="V17" s="9" t="n">
        <f aca="false">IF(AND(I17="Manual",C17&lt;Parameters!$B$19,C17&gt;=Parameters!$B$19*(1-Parameters!$B$20)),1,0)</f>
        <v>0</v>
      </c>
      <c r="W17" s="9" t="n">
        <f aca="false">IF(AND(I17="Manual",M17&gt;0),1,0)</f>
        <v>0</v>
      </c>
      <c r="X17" s="9" t="n">
        <f aca="false">IF(A17-A16&gt;1,1,0)</f>
        <v>0</v>
      </c>
      <c r="Y17" s="9" t="n">
        <f aca="false">N17*Parameters!$B$38+O17*Parameters!$B$39+P17*Parameters!$B$40+Q17*Parameters!$B$41+R17*Parameters!$B$42+S17*Parameters!$B$43+T17*Parameters!$B$44+U17*Parameters!$B$45+V17*Parameters!$B$46+W17*Parameters!$B$47+X17*Parameters!$B$48</f>
        <v>0</v>
      </c>
      <c r="Z17" s="0" t="str">
        <f aca="false">IF(Y17&gt;=Parameters!$B$25,"High","")</f>
        <v/>
      </c>
    </row>
    <row r="18" customFormat="false" ht="15" hidden="false" customHeight="false" outlineLevel="0" collapsed="false">
      <c r="A18" s="16" t="n">
        <v>1014</v>
      </c>
      <c r="B18" s="9" t="n">
        <f aca="false">COUNTIF(JE_Lines!$B$5:$B$1733,A18)</f>
        <v>2</v>
      </c>
      <c r="C18" s="17" t="n">
        <f aca="false">SUMIFS(JE_Lines!$G$5:$G$1733,JE_Lines!$B$5:$B$1733,A18)</f>
        <v>2719.24</v>
      </c>
      <c r="D18" s="17" t="n">
        <f aca="false">SUMIFS(JE_Lines!$H$5:$H$1733,JE_Lines!$B$5:$B$1733,A18)</f>
        <v>2719.24</v>
      </c>
      <c r="E18" s="17" t="n">
        <f aca="false">C18-D18</f>
        <v>0</v>
      </c>
      <c r="F18" s="18" t="n">
        <f aca="false">INDEX(JE_Lines!$C$5:$C$1733,MATCH(A18,JE_Lines!$B$5:$B$1733,0))</f>
        <v>45665</v>
      </c>
      <c r="G18" s="18" t="n">
        <f aca="false">INDEX(JE_Lines!$D$5:$D$1733,MATCH(A18,JE_Lines!$B$5:$B$1733,0))</f>
        <v>45664</v>
      </c>
      <c r="H18" s="0" t="str">
        <f aca="false">INDEX(JE_Lines!$I$5:$I$1733,MATCH(A18,JE_Lines!$B$5:$B$1733,0))</f>
        <v>SYS_AR</v>
      </c>
      <c r="I18" s="0" t="str">
        <f aca="false">INDEX(JE_Lines!$J$5:$J$1733,MATCH(A18,JE_Lines!$B$5:$B$1733,0))</f>
        <v>System</v>
      </c>
      <c r="J18" s="0" t="str">
        <f aca="false">IF(LEN(INDEX(JE_Lines!$K$5:$K$1733,MATCH(A18,JE_Lines!$B$5:$B$1733,0)))=0,"",INDEX(JE_Lines!$K$5:$K$1733,MATCH(A18,JE_Lines!$B$5:$B$1733,0)))</f>
        <v>Sales invoice batch</v>
      </c>
      <c r="K18" s="9" t="n">
        <f aca="false">F18-G18</f>
        <v>1</v>
      </c>
      <c r="L18" s="9" t="n">
        <f aca="false">COUNTIFS(JE_Lines!$B$5:$B$1733,A18,JE_Lines!$F$5:$F$1733,"Revenue")</f>
        <v>1</v>
      </c>
      <c r="M18" s="9" t="n">
        <f aca="false">COUNTIFS(JE_Lines!$B$5:$B$1733,A18,JE_Lines!$F$5:$F$1733,"Suspense")</f>
        <v>0</v>
      </c>
      <c r="N18" s="9" t="n">
        <f aca="false">IF(ABS(E18)&gt;Parameters!$B$23,1,0)</f>
        <v>0</v>
      </c>
      <c r="O18" s="9" t="n">
        <f aca="false">IF(WEEKDAY(F18,2)&gt;5,1,0)</f>
        <v>0</v>
      </c>
      <c r="P18" s="9" t="n">
        <f aca="false">IF(K18&gt;Parameters!$B$17,1,0)</f>
        <v>0</v>
      </c>
      <c r="Q18" s="9" t="n">
        <f aca="false">IF(AND(F18&lt;=Parameters!$B$6,F18&gt;Parameters!$B$6-Parameters!$B$18),1,0)</f>
        <v>0</v>
      </c>
      <c r="R18" s="9" t="n">
        <f aca="false">IF(COUNTIF(Parameters!$A$51:$A$58,H18)=0,1,0)</f>
        <v>0</v>
      </c>
      <c r="S18" s="9" t="n">
        <f aca="false">IF(AND(I18="Manual",L18&gt;0),1,0)</f>
        <v>0</v>
      </c>
      <c r="T18" s="9" t="n">
        <f aca="false">IF(AND(C18&gt;=Parameters!$B$22,ROUND(MOD(ROUND(C18,2),Parameters!$B$21),2)=0),1,0)</f>
        <v>0</v>
      </c>
      <c r="U18" s="9" t="n">
        <f aca="false">IF(LEN(TRIM(J18))=0,1,0)</f>
        <v>0</v>
      </c>
      <c r="V18" s="9" t="n">
        <f aca="false">IF(AND(I18="Manual",C18&lt;Parameters!$B$19,C18&gt;=Parameters!$B$19*(1-Parameters!$B$20)),1,0)</f>
        <v>0</v>
      </c>
      <c r="W18" s="9" t="n">
        <f aca="false">IF(AND(I18="Manual",M18&gt;0),1,0)</f>
        <v>0</v>
      </c>
      <c r="X18" s="9" t="n">
        <f aca="false">IF(A18-A17&gt;1,1,0)</f>
        <v>0</v>
      </c>
      <c r="Y18" s="9" t="n">
        <f aca="false">N18*Parameters!$B$38+O18*Parameters!$B$39+P18*Parameters!$B$40+Q18*Parameters!$B$41+R18*Parameters!$B$42+S18*Parameters!$B$43+T18*Parameters!$B$44+U18*Parameters!$B$45+V18*Parameters!$B$46+W18*Parameters!$B$47+X18*Parameters!$B$48</f>
        <v>0</v>
      </c>
      <c r="Z18" s="0" t="str">
        <f aca="false">IF(Y18&gt;=Parameters!$B$25,"High","")</f>
        <v/>
      </c>
    </row>
    <row r="19" customFormat="false" ht="15" hidden="false" customHeight="false" outlineLevel="0" collapsed="false">
      <c r="A19" s="16" t="n">
        <v>1015</v>
      </c>
      <c r="B19" s="9" t="n">
        <f aca="false">COUNTIF(JE_Lines!$B$5:$B$1733,A19)</f>
        <v>3</v>
      </c>
      <c r="C19" s="17" t="n">
        <f aca="false">SUMIFS(JE_Lines!$G$5:$G$1733,JE_Lines!$B$5:$B$1733,A19)</f>
        <v>3812.93</v>
      </c>
      <c r="D19" s="17" t="n">
        <f aca="false">SUMIFS(JE_Lines!$H$5:$H$1733,JE_Lines!$B$5:$B$1733,A19)</f>
        <v>3812.93</v>
      </c>
      <c r="E19" s="17" t="n">
        <f aca="false">C19-D19</f>
        <v>0</v>
      </c>
      <c r="F19" s="18" t="n">
        <f aca="false">INDEX(JE_Lines!$C$5:$C$1733,MATCH(A19,JE_Lines!$B$5:$B$1733,0))</f>
        <v>45665</v>
      </c>
      <c r="G19" s="18" t="n">
        <f aca="false">INDEX(JE_Lines!$D$5:$D$1733,MATCH(A19,JE_Lines!$B$5:$B$1733,0))</f>
        <v>45661</v>
      </c>
      <c r="H19" s="0" t="str">
        <f aca="false">INDEX(JE_Lines!$I$5:$I$1733,MATCH(A19,JE_Lines!$B$5:$B$1733,0))</f>
        <v>FIN03</v>
      </c>
      <c r="I19" s="0" t="str">
        <f aca="false">INDEX(JE_Lines!$J$5:$J$1733,MATCH(A19,JE_Lines!$B$5:$B$1733,0))</f>
        <v>Manual</v>
      </c>
      <c r="J19" s="0" t="str">
        <f aca="false">IF(LEN(INDEX(JE_Lines!$K$5:$K$1733,MATCH(A19,JE_Lines!$B$5:$B$1733,0)))=0,"",INDEX(JE_Lines!$K$5:$K$1733,MATCH(A19,JE_Lines!$B$5:$B$1733,0)))</f>
        <v>Accrual reversal</v>
      </c>
      <c r="K19" s="9" t="n">
        <f aca="false">F19-G19</f>
        <v>4</v>
      </c>
      <c r="L19" s="9" t="n">
        <f aca="false">COUNTIFS(JE_Lines!$B$5:$B$1733,A19,JE_Lines!$F$5:$F$1733,"Revenue")</f>
        <v>0</v>
      </c>
      <c r="M19" s="9" t="n">
        <f aca="false">COUNTIFS(JE_Lines!$B$5:$B$1733,A19,JE_Lines!$F$5:$F$1733,"Suspense")</f>
        <v>0</v>
      </c>
      <c r="N19" s="9" t="n">
        <f aca="false">IF(ABS(E19)&gt;Parameters!$B$23,1,0)</f>
        <v>0</v>
      </c>
      <c r="O19" s="9" t="n">
        <f aca="false">IF(WEEKDAY(F19,2)&gt;5,1,0)</f>
        <v>0</v>
      </c>
      <c r="P19" s="9" t="n">
        <f aca="false">IF(K19&gt;Parameters!$B$17,1,0)</f>
        <v>0</v>
      </c>
      <c r="Q19" s="9" t="n">
        <f aca="false">IF(AND(F19&lt;=Parameters!$B$6,F19&gt;Parameters!$B$6-Parameters!$B$18),1,0)</f>
        <v>0</v>
      </c>
      <c r="R19" s="9" t="n">
        <f aca="false">IF(COUNTIF(Parameters!$A$51:$A$58,H19)=0,1,0)</f>
        <v>0</v>
      </c>
      <c r="S19" s="9" t="n">
        <f aca="false">IF(AND(I19="Manual",L19&gt;0),1,0)</f>
        <v>0</v>
      </c>
      <c r="T19" s="9" t="n">
        <f aca="false">IF(AND(C19&gt;=Parameters!$B$22,ROUND(MOD(ROUND(C19,2),Parameters!$B$21),2)=0),1,0)</f>
        <v>0</v>
      </c>
      <c r="U19" s="9" t="n">
        <f aca="false">IF(LEN(TRIM(J19))=0,1,0)</f>
        <v>0</v>
      </c>
      <c r="V19" s="9" t="n">
        <f aca="false">IF(AND(I19="Manual",C19&lt;Parameters!$B$19,C19&gt;=Parameters!$B$19*(1-Parameters!$B$20)),1,0)</f>
        <v>0</v>
      </c>
      <c r="W19" s="9" t="n">
        <f aca="false">IF(AND(I19="Manual",M19&gt;0),1,0)</f>
        <v>0</v>
      </c>
      <c r="X19" s="9" t="n">
        <f aca="false">IF(A19-A18&gt;1,1,0)</f>
        <v>0</v>
      </c>
      <c r="Y19" s="9" t="n">
        <f aca="false">N19*Parameters!$B$38+O19*Parameters!$B$39+P19*Parameters!$B$40+Q19*Parameters!$B$41+R19*Parameters!$B$42+S19*Parameters!$B$43+T19*Parameters!$B$44+U19*Parameters!$B$45+V19*Parameters!$B$46+W19*Parameters!$B$47+X19*Parameters!$B$48</f>
        <v>0</v>
      </c>
      <c r="Z19" s="0" t="str">
        <f aca="false">IF(Y19&gt;=Parameters!$B$25,"High","")</f>
        <v/>
      </c>
    </row>
    <row r="20" customFormat="false" ht="15" hidden="false" customHeight="false" outlineLevel="0" collapsed="false">
      <c r="A20" s="16" t="n">
        <v>1016</v>
      </c>
      <c r="B20" s="9" t="n">
        <f aca="false">COUNTIF(JE_Lines!$B$5:$B$1733,A20)</f>
        <v>2</v>
      </c>
      <c r="C20" s="17" t="n">
        <f aca="false">SUMIFS(JE_Lines!$G$5:$G$1733,JE_Lines!$B$5:$B$1733,A20)</f>
        <v>362.9</v>
      </c>
      <c r="D20" s="17" t="n">
        <f aca="false">SUMIFS(JE_Lines!$H$5:$H$1733,JE_Lines!$B$5:$B$1733,A20)</f>
        <v>362.9</v>
      </c>
      <c r="E20" s="17" t="n">
        <f aca="false">C20-D20</f>
        <v>0</v>
      </c>
      <c r="F20" s="18" t="n">
        <f aca="false">INDEX(JE_Lines!$C$5:$C$1733,MATCH(A20,JE_Lines!$B$5:$B$1733,0))</f>
        <v>45665</v>
      </c>
      <c r="G20" s="18" t="n">
        <f aca="false">INDEX(JE_Lines!$D$5:$D$1733,MATCH(A20,JE_Lines!$B$5:$B$1733,0))</f>
        <v>45662</v>
      </c>
      <c r="H20" s="0" t="str">
        <f aca="false">INDEX(JE_Lines!$I$5:$I$1733,MATCH(A20,JE_Lines!$B$5:$B$1733,0))</f>
        <v>SYS_AR</v>
      </c>
      <c r="I20" s="0" t="str">
        <f aca="false">INDEX(JE_Lines!$J$5:$J$1733,MATCH(A20,JE_Lines!$B$5:$B$1733,0))</f>
        <v>System</v>
      </c>
      <c r="J20" s="0" t="str">
        <f aca="false">IF(LEN(INDEX(JE_Lines!$K$5:$K$1733,MATCH(A20,JE_Lines!$B$5:$B$1733,0)))=0,"",INDEX(JE_Lines!$K$5:$K$1733,MATCH(A20,JE_Lines!$B$5:$B$1733,0)))</f>
        <v>Sales invoice batch</v>
      </c>
      <c r="K20" s="9" t="n">
        <f aca="false">F20-G20</f>
        <v>3</v>
      </c>
      <c r="L20" s="9" t="n">
        <f aca="false">COUNTIFS(JE_Lines!$B$5:$B$1733,A20,JE_Lines!$F$5:$F$1733,"Revenue")</f>
        <v>1</v>
      </c>
      <c r="M20" s="9" t="n">
        <f aca="false">COUNTIFS(JE_Lines!$B$5:$B$1733,A20,JE_Lines!$F$5:$F$1733,"Suspense")</f>
        <v>0</v>
      </c>
      <c r="N20" s="9" t="n">
        <f aca="false">IF(ABS(E20)&gt;Parameters!$B$23,1,0)</f>
        <v>0</v>
      </c>
      <c r="O20" s="9" t="n">
        <f aca="false">IF(WEEKDAY(F20,2)&gt;5,1,0)</f>
        <v>0</v>
      </c>
      <c r="P20" s="9" t="n">
        <f aca="false">IF(K20&gt;Parameters!$B$17,1,0)</f>
        <v>0</v>
      </c>
      <c r="Q20" s="9" t="n">
        <f aca="false">IF(AND(F20&lt;=Parameters!$B$6,F20&gt;Parameters!$B$6-Parameters!$B$18),1,0)</f>
        <v>0</v>
      </c>
      <c r="R20" s="9" t="n">
        <f aca="false">IF(COUNTIF(Parameters!$A$51:$A$58,H20)=0,1,0)</f>
        <v>0</v>
      </c>
      <c r="S20" s="9" t="n">
        <f aca="false">IF(AND(I20="Manual",L20&gt;0),1,0)</f>
        <v>0</v>
      </c>
      <c r="T20" s="9" t="n">
        <f aca="false">IF(AND(C20&gt;=Parameters!$B$22,ROUND(MOD(ROUND(C20,2),Parameters!$B$21),2)=0),1,0)</f>
        <v>0</v>
      </c>
      <c r="U20" s="9" t="n">
        <f aca="false">IF(LEN(TRIM(J20))=0,1,0)</f>
        <v>0</v>
      </c>
      <c r="V20" s="9" t="n">
        <f aca="false">IF(AND(I20="Manual",C20&lt;Parameters!$B$19,C20&gt;=Parameters!$B$19*(1-Parameters!$B$20)),1,0)</f>
        <v>0</v>
      </c>
      <c r="W20" s="9" t="n">
        <f aca="false">IF(AND(I20="Manual",M20&gt;0),1,0)</f>
        <v>0</v>
      </c>
      <c r="X20" s="9" t="n">
        <f aca="false">IF(A20-A19&gt;1,1,0)</f>
        <v>0</v>
      </c>
      <c r="Y20" s="9" t="n">
        <f aca="false">N20*Parameters!$B$38+O20*Parameters!$B$39+P20*Parameters!$B$40+Q20*Parameters!$B$41+R20*Parameters!$B$42+S20*Parameters!$B$43+T20*Parameters!$B$44+U20*Parameters!$B$45+V20*Parameters!$B$46+W20*Parameters!$B$47+X20*Parameters!$B$48</f>
        <v>0</v>
      </c>
      <c r="Z20" s="0" t="str">
        <f aca="false">IF(Y20&gt;=Parameters!$B$25,"High","")</f>
        <v/>
      </c>
    </row>
    <row r="21" customFormat="false" ht="15" hidden="false" customHeight="false" outlineLevel="0" collapsed="false">
      <c r="A21" s="16" t="n">
        <v>1017</v>
      </c>
      <c r="B21" s="9" t="n">
        <f aca="false">COUNTIF(JE_Lines!$B$5:$B$1733,A21)</f>
        <v>2</v>
      </c>
      <c r="C21" s="17" t="n">
        <f aca="false">SUMIFS(JE_Lines!$G$5:$G$1733,JE_Lines!$B$5:$B$1733,A21)</f>
        <v>48024.65</v>
      </c>
      <c r="D21" s="17" t="n">
        <f aca="false">SUMIFS(JE_Lines!$H$5:$H$1733,JE_Lines!$B$5:$B$1733,A21)</f>
        <v>48024.65</v>
      </c>
      <c r="E21" s="17" t="n">
        <f aca="false">C21-D21</f>
        <v>0</v>
      </c>
      <c r="F21" s="18" t="n">
        <f aca="false">INDEX(JE_Lines!$C$5:$C$1733,MATCH(A21,JE_Lines!$B$5:$B$1733,0))</f>
        <v>45666</v>
      </c>
      <c r="G21" s="18" t="n">
        <f aca="false">INDEX(JE_Lines!$D$5:$D$1733,MATCH(A21,JE_Lines!$B$5:$B$1733,0))</f>
        <v>45665</v>
      </c>
      <c r="H21" s="0" t="str">
        <f aca="false">INDEX(JE_Lines!$I$5:$I$1733,MATCH(A21,JE_Lines!$B$5:$B$1733,0))</f>
        <v>FIN05</v>
      </c>
      <c r="I21" s="0" t="str">
        <f aca="false">INDEX(JE_Lines!$J$5:$J$1733,MATCH(A21,JE_Lines!$B$5:$B$1733,0))</f>
        <v>Manual</v>
      </c>
      <c r="J21" s="0" t="str">
        <f aca="false">IF(LEN(INDEX(JE_Lines!$K$5:$K$1733,MATCH(A21,JE_Lines!$B$5:$B$1733,0)))=0,"",INDEX(JE_Lines!$K$5:$K$1733,MATCH(A21,JE_Lines!$B$5:$B$1733,0)))</f>
        <v>Accrual for sundry costs</v>
      </c>
      <c r="K21" s="9" t="n">
        <f aca="false">F21-G21</f>
        <v>1</v>
      </c>
      <c r="L21" s="9" t="n">
        <f aca="false">COUNTIFS(JE_Lines!$B$5:$B$1733,A21,JE_Lines!$F$5:$F$1733,"Revenue")</f>
        <v>0</v>
      </c>
      <c r="M21" s="9" t="n">
        <f aca="false">COUNTIFS(JE_Lines!$B$5:$B$1733,A21,JE_Lines!$F$5:$F$1733,"Suspense")</f>
        <v>0</v>
      </c>
      <c r="N21" s="9" t="n">
        <f aca="false">IF(ABS(E21)&gt;Parameters!$B$23,1,0)</f>
        <v>0</v>
      </c>
      <c r="O21" s="9" t="n">
        <f aca="false">IF(WEEKDAY(F21,2)&gt;5,1,0)</f>
        <v>0</v>
      </c>
      <c r="P21" s="9" t="n">
        <f aca="false">IF(K21&gt;Parameters!$B$17,1,0)</f>
        <v>0</v>
      </c>
      <c r="Q21" s="9" t="n">
        <f aca="false">IF(AND(F21&lt;=Parameters!$B$6,F21&gt;Parameters!$B$6-Parameters!$B$18),1,0)</f>
        <v>0</v>
      </c>
      <c r="R21" s="9" t="n">
        <f aca="false">IF(COUNTIF(Parameters!$A$51:$A$58,H21)=0,1,0)</f>
        <v>0</v>
      </c>
      <c r="S21" s="9" t="n">
        <f aca="false">IF(AND(I21="Manual",L21&gt;0),1,0)</f>
        <v>0</v>
      </c>
      <c r="T21" s="9" t="n">
        <f aca="false">IF(AND(C21&gt;=Parameters!$B$22,ROUND(MOD(ROUND(C21,2),Parameters!$B$21),2)=0),1,0)</f>
        <v>0</v>
      </c>
      <c r="U21" s="9" t="n">
        <f aca="false">IF(LEN(TRIM(J21))=0,1,0)</f>
        <v>0</v>
      </c>
      <c r="V21" s="9" t="n">
        <f aca="false">IF(AND(I21="Manual",C21&lt;Parameters!$B$19,C21&gt;=Parameters!$B$19*(1-Parameters!$B$20)),1,0)</f>
        <v>1</v>
      </c>
      <c r="W21" s="9" t="n">
        <f aca="false">IF(AND(I21="Manual",M21&gt;0),1,0)</f>
        <v>0</v>
      </c>
      <c r="X21" s="9" t="n">
        <f aca="false">IF(A21-A20&gt;1,1,0)</f>
        <v>0</v>
      </c>
      <c r="Y21" s="9" t="n">
        <f aca="false">N21*Parameters!$B$38+O21*Parameters!$B$39+P21*Parameters!$B$40+Q21*Parameters!$B$41+R21*Parameters!$B$42+S21*Parameters!$B$43+T21*Parameters!$B$44+U21*Parameters!$B$45+V21*Parameters!$B$46+W21*Parameters!$B$47+X21*Parameters!$B$48</f>
        <v>3</v>
      </c>
      <c r="Z21" s="0" t="str">
        <f aca="false">IF(Y21&gt;=Parameters!$B$25,"High","")</f>
        <v/>
      </c>
    </row>
    <row r="22" customFormat="false" ht="15" hidden="false" customHeight="false" outlineLevel="0" collapsed="false">
      <c r="A22" s="16" t="n">
        <v>1018</v>
      </c>
      <c r="B22" s="9" t="n">
        <f aca="false">COUNTIF(JE_Lines!$B$5:$B$1733,A22)</f>
        <v>2</v>
      </c>
      <c r="C22" s="17" t="n">
        <f aca="false">SUMIFS(JE_Lines!$G$5:$G$1733,JE_Lines!$B$5:$B$1733,A22)</f>
        <v>432.42</v>
      </c>
      <c r="D22" s="17" t="n">
        <f aca="false">SUMIFS(JE_Lines!$H$5:$H$1733,JE_Lines!$B$5:$B$1733,A22)</f>
        <v>432.42</v>
      </c>
      <c r="E22" s="17" t="n">
        <f aca="false">C22-D22</f>
        <v>0</v>
      </c>
      <c r="F22" s="18" t="n">
        <f aca="false">INDEX(JE_Lines!$C$5:$C$1733,MATCH(A22,JE_Lines!$B$5:$B$1733,0))</f>
        <v>45666</v>
      </c>
      <c r="G22" s="18" t="n">
        <f aca="false">INDEX(JE_Lines!$D$5:$D$1733,MATCH(A22,JE_Lines!$B$5:$B$1733,0))</f>
        <v>45666</v>
      </c>
      <c r="H22" s="0" t="str">
        <f aca="false">INDEX(JE_Lines!$I$5:$I$1733,MATCH(A22,JE_Lines!$B$5:$B$1733,0))</f>
        <v>SYS_AR</v>
      </c>
      <c r="I22" s="0" t="str">
        <f aca="false">INDEX(JE_Lines!$J$5:$J$1733,MATCH(A22,JE_Lines!$B$5:$B$1733,0))</f>
        <v>System</v>
      </c>
      <c r="J22" s="0" t="str">
        <f aca="false">IF(LEN(INDEX(JE_Lines!$K$5:$K$1733,MATCH(A22,JE_Lines!$B$5:$B$1733,0)))=0,"",INDEX(JE_Lines!$K$5:$K$1733,MATCH(A22,JE_Lines!$B$5:$B$1733,0)))</f>
        <v>Sales invoice batch</v>
      </c>
      <c r="K22" s="9" t="n">
        <f aca="false">F22-G22</f>
        <v>0</v>
      </c>
      <c r="L22" s="9" t="n">
        <f aca="false">COUNTIFS(JE_Lines!$B$5:$B$1733,A22,JE_Lines!$F$5:$F$1733,"Revenue")</f>
        <v>1</v>
      </c>
      <c r="M22" s="9" t="n">
        <f aca="false">COUNTIFS(JE_Lines!$B$5:$B$1733,A22,JE_Lines!$F$5:$F$1733,"Suspense")</f>
        <v>0</v>
      </c>
      <c r="N22" s="9" t="n">
        <f aca="false">IF(ABS(E22)&gt;Parameters!$B$23,1,0)</f>
        <v>0</v>
      </c>
      <c r="O22" s="9" t="n">
        <f aca="false">IF(WEEKDAY(F22,2)&gt;5,1,0)</f>
        <v>0</v>
      </c>
      <c r="P22" s="9" t="n">
        <f aca="false">IF(K22&gt;Parameters!$B$17,1,0)</f>
        <v>0</v>
      </c>
      <c r="Q22" s="9" t="n">
        <f aca="false">IF(AND(F22&lt;=Parameters!$B$6,F22&gt;Parameters!$B$6-Parameters!$B$18),1,0)</f>
        <v>0</v>
      </c>
      <c r="R22" s="9" t="n">
        <f aca="false">IF(COUNTIF(Parameters!$A$51:$A$58,H22)=0,1,0)</f>
        <v>0</v>
      </c>
      <c r="S22" s="9" t="n">
        <f aca="false">IF(AND(I22="Manual",L22&gt;0),1,0)</f>
        <v>0</v>
      </c>
      <c r="T22" s="9" t="n">
        <f aca="false">IF(AND(C22&gt;=Parameters!$B$22,ROUND(MOD(ROUND(C22,2),Parameters!$B$21),2)=0),1,0)</f>
        <v>0</v>
      </c>
      <c r="U22" s="9" t="n">
        <f aca="false">IF(LEN(TRIM(J22))=0,1,0)</f>
        <v>0</v>
      </c>
      <c r="V22" s="9" t="n">
        <f aca="false">IF(AND(I22="Manual",C22&lt;Parameters!$B$19,C22&gt;=Parameters!$B$19*(1-Parameters!$B$20)),1,0)</f>
        <v>0</v>
      </c>
      <c r="W22" s="9" t="n">
        <f aca="false">IF(AND(I22="Manual",M22&gt;0),1,0)</f>
        <v>0</v>
      </c>
      <c r="X22" s="9" t="n">
        <f aca="false">IF(A22-A21&gt;1,1,0)</f>
        <v>0</v>
      </c>
      <c r="Y22" s="9" t="n">
        <f aca="false">N22*Parameters!$B$38+O22*Parameters!$B$39+P22*Parameters!$B$40+Q22*Parameters!$B$41+R22*Parameters!$B$42+S22*Parameters!$B$43+T22*Parameters!$B$44+U22*Parameters!$B$45+V22*Parameters!$B$46+W22*Parameters!$B$47+X22*Parameters!$B$48</f>
        <v>0</v>
      </c>
      <c r="Z22" s="0" t="str">
        <f aca="false">IF(Y22&gt;=Parameters!$B$25,"High","")</f>
        <v/>
      </c>
    </row>
    <row r="23" customFormat="false" ht="15" hidden="false" customHeight="false" outlineLevel="0" collapsed="false">
      <c r="A23" s="16" t="n">
        <v>1019</v>
      </c>
      <c r="B23" s="9" t="n">
        <f aca="false">COUNTIF(JE_Lines!$B$5:$B$1733,A23)</f>
        <v>2</v>
      </c>
      <c r="C23" s="17" t="n">
        <f aca="false">SUMIFS(JE_Lines!$G$5:$G$1733,JE_Lines!$B$5:$B$1733,A23)</f>
        <v>1448.7</v>
      </c>
      <c r="D23" s="17" t="n">
        <f aca="false">SUMIFS(JE_Lines!$H$5:$H$1733,JE_Lines!$B$5:$B$1733,A23)</f>
        <v>1448.7</v>
      </c>
      <c r="E23" s="17" t="n">
        <f aca="false">C23-D23</f>
        <v>0</v>
      </c>
      <c r="F23" s="18" t="n">
        <f aca="false">INDEX(JE_Lines!$C$5:$C$1733,MATCH(A23,JE_Lines!$B$5:$B$1733,0))</f>
        <v>45666</v>
      </c>
      <c r="G23" s="18" t="n">
        <f aca="false">INDEX(JE_Lines!$D$5:$D$1733,MATCH(A23,JE_Lines!$B$5:$B$1733,0))</f>
        <v>45664</v>
      </c>
      <c r="H23" s="0" t="str">
        <f aca="false">INDEX(JE_Lines!$I$5:$I$1733,MATCH(A23,JE_Lines!$B$5:$B$1733,0))</f>
        <v>SYS_AP</v>
      </c>
      <c r="I23" s="0" t="str">
        <f aca="false">INDEX(JE_Lines!$J$5:$J$1733,MATCH(A23,JE_Lines!$B$5:$B$1733,0))</f>
        <v>System</v>
      </c>
      <c r="J23" s="0" t="str">
        <f aca="false">IF(LEN(INDEX(JE_Lines!$K$5:$K$1733,MATCH(A23,JE_Lines!$B$5:$B$1733,0)))=0,"",INDEX(JE_Lines!$K$5:$K$1733,MATCH(A23,JE_Lines!$B$5:$B$1733,0)))</f>
        <v>Supplier invoices</v>
      </c>
      <c r="K23" s="9" t="n">
        <f aca="false">F23-G23</f>
        <v>2</v>
      </c>
      <c r="L23" s="9" t="n">
        <f aca="false">COUNTIFS(JE_Lines!$B$5:$B$1733,A23,JE_Lines!$F$5:$F$1733,"Revenue")</f>
        <v>0</v>
      </c>
      <c r="M23" s="9" t="n">
        <f aca="false">COUNTIFS(JE_Lines!$B$5:$B$1733,A23,JE_Lines!$F$5:$F$1733,"Suspense")</f>
        <v>0</v>
      </c>
      <c r="N23" s="9" t="n">
        <f aca="false">IF(ABS(E23)&gt;Parameters!$B$23,1,0)</f>
        <v>0</v>
      </c>
      <c r="O23" s="9" t="n">
        <f aca="false">IF(WEEKDAY(F23,2)&gt;5,1,0)</f>
        <v>0</v>
      </c>
      <c r="P23" s="9" t="n">
        <f aca="false">IF(K23&gt;Parameters!$B$17,1,0)</f>
        <v>0</v>
      </c>
      <c r="Q23" s="9" t="n">
        <f aca="false">IF(AND(F23&lt;=Parameters!$B$6,F23&gt;Parameters!$B$6-Parameters!$B$18),1,0)</f>
        <v>0</v>
      </c>
      <c r="R23" s="9" t="n">
        <f aca="false">IF(COUNTIF(Parameters!$A$51:$A$58,H23)=0,1,0)</f>
        <v>0</v>
      </c>
      <c r="S23" s="9" t="n">
        <f aca="false">IF(AND(I23="Manual",L23&gt;0),1,0)</f>
        <v>0</v>
      </c>
      <c r="T23" s="9" t="n">
        <f aca="false">IF(AND(C23&gt;=Parameters!$B$22,ROUND(MOD(ROUND(C23,2),Parameters!$B$21),2)=0),1,0)</f>
        <v>0</v>
      </c>
      <c r="U23" s="9" t="n">
        <f aca="false">IF(LEN(TRIM(J23))=0,1,0)</f>
        <v>0</v>
      </c>
      <c r="V23" s="9" t="n">
        <f aca="false">IF(AND(I23="Manual",C23&lt;Parameters!$B$19,C23&gt;=Parameters!$B$19*(1-Parameters!$B$20)),1,0)</f>
        <v>0</v>
      </c>
      <c r="W23" s="9" t="n">
        <f aca="false">IF(AND(I23="Manual",M23&gt;0),1,0)</f>
        <v>0</v>
      </c>
      <c r="X23" s="9" t="n">
        <f aca="false">IF(A23-A22&gt;1,1,0)</f>
        <v>0</v>
      </c>
      <c r="Y23" s="9" t="n">
        <f aca="false">N23*Parameters!$B$38+O23*Parameters!$B$39+P23*Parameters!$B$40+Q23*Parameters!$B$41+R23*Parameters!$B$42+S23*Parameters!$B$43+T23*Parameters!$B$44+U23*Parameters!$B$45+V23*Parameters!$B$46+W23*Parameters!$B$47+X23*Parameters!$B$48</f>
        <v>0</v>
      </c>
      <c r="Z23" s="0" t="str">
        <f aca="false">IF(Y23&gt;=Parameters!$B$25,"High","")</f>
        <v/>
      </c>
    </row>
    <row r="24" customFormat="false" ht="15" hidden="false" customHeight="false" outlineLevel="0" collapsed="false">
      <c r="A24" s="16" t="n">
        <v>1020</v>
      </c>
      <c r="B24" s="9" t="n">
        <f aca="false">COUNTIF(JE_Lines!$B$5:$B$1733,A24)</f>
        <v>2</v>
      </c>
      <c r="C24" s="17" t="n">
        <f aca="false">SUMIFS(JE_Lines!$G$5:$G$1733,JE_Lines!$B$5:$B$1733,A24)</f>
        <v>20376.07</v>
      </c>
      <c r="D24" s="17" t="n">
        <f aca="false">SUMIFS(JE_Lines!$H$5:$H$1733,JE_Lines!$B$5:$B$1733,A24)</f>
        <v>20376.07</v>
      </c>
      <c r="E24" s="17" t="n">
        <f aca="false">C24-D24</f>
        <v>0</v>
      </c>
      <c r="F24" s="18" t="n">
        <f aca="false">INDEX(JE_Lines!$C$5:$C$1733,MATCH(A24,JE_Lines!$B$5:$B$1733,0))</f>
        <v>45667</v>
      </c>
      <c r="G24" s="18" t="n">
        <f aca="false">INDEX(JE_Lines!$D$5:$D$1733,MATCH(A24,JE_Lines!$B$5:$B$1733,0))</f>
        <v>45665</v>
      </c>
      <c r="H24" s="0" t="str">
        <f aca="false">INDEX(JE_Lines!$I$5:$I$1733,MATCH(A24,JE_Lines!$B$5:$B$1733,0))</f>
        <v>SYS_AP</v>
      </c>
      <c r="I24" s="0" t="str">
        <f aca="false">INDEX(JE_Lines!$J$5:$J$1733,MATCH(A24,JE_Lines!$B$5:$B$1733,0))</f>
        <v>System</v>
      </c>
      <c r="J24" s="0" t="str">
        <f aca="false">IF(LEN(INDEX(JE_Lines!$K$5:$K$1733,MATCH(A24,JE_Lines!$B$5:$B$1733,0)))=0,"",INDEX(JE_Lines!$K$5:$K$1733,MATCH(A24,JE_Lines!$B$5:$B$1733,0)))</f>
        <v>Utilities invoices</v>
      </c>
      <c r="K24" s="9" t="n">
        <f aca="false">F24-G24</f>
        <v>2</v>
      </c>
      <c r="L24" s="9" t="n">
        <f aca="false">COUNTIFS(JE_Lines!$B$5:$B$1733,A24,JE_Lines!$F$5:$F$1733,"Revenue")</f>
        <v>0</v>
      </c>
      <c r="M24" s="9" t="n">
        <f aca="false">COUNTIFS(JE_Lines!$B$5:$B$1733,A24,JE_Lines!$F$5:$F$1733,"Suspense")</f>
        <v>0</v>
      </c>
      <c r="N24" s="9" t="n">
        <f aca="false">IF(ABS(E24)&gt;Parameters!$B$23,1,0)</f>
        <v>0</v>
      </c>
      <c r="O24" s="9" t="n">
        <f aca="false">IF(WEEKDAY(F24,2)&gt;5,1,0)</f>
        <v>0</v>
      </c>
      <c r="P24" s="9" t="n">
        <f aca="false">IF(K24&gt;Parameters!$B$17,1,0)</f>
        <v>0</v>
      </c>
      <c r="Q24" s="9" t="n">
        <f aca="false">IF(AND(F24&lt;=Parameters!$B$6,F24&gt;Parameters!$B$6-Parameters!$B$18),1,0)</f>
        <v>0</v>
      </c>
      <c r="R24" s="9" t="n">
        <f aca="false">IF(COUNTIF(Parameters!$A$51:$A$58,H24)=0,1,0)</f>
        <v>0</v>
      </c>
      <c r="S24" s="9" t="n">
        <f aca="false">IF(AND(I24="Manual",L24&gt;0),1,0)</f>
        <v>0</v>
      </c>
      <c r="T24" s="9" t="n">
        <f aca="false">IF(AND(C24&gt;=Parameters!$B$22,ROUND(MOD(ROUND(C24,2),Parameters!$B$21),2)=0),1,0)</f>
        <v>0</v>
      </c>
      <c r="U24" s="9" t="n">
        <f aca="false">IF(LEN(TRIM(J24))=0,1,0)</f>
        <v>0</v>
      </c>
      <c r="V24" s="9" t="n">
        <f aca="false">IF(AND(I24="Manual",C24&lt;Parameters!$B$19,C24&gt;=Parameters!$B$19*(1-Parameters!$B$20)),1,0)</f>
        <v>0</v>
      </c>
      <c r="W24" s="9" t="n">
        <f aca="false">IF(AND(I24="Manual",M24&gt;0),1,0)</f>
        <v>0</v>
      </c>
      <c r="X24" s="9" t="n">
        <f aca="false">IF(A24-A23&gt;1,1,0)</f>
        <v>0</v>
      </c>
      <c r="Y24" s="9" t="n">
        <f aca="false">N24*Parameters!$B$38+O24*Parameters!$B$39+P24*Parameters!$B$40+Q24*Parameters!$B$41+R24*Parameters!$B$42+S24*Parameters!$B$43+T24*Parameters!$B$44+U24*Parameters!$B$45+V24*Parameters!$B$46+W24*Parameters!$B$47+X24*Parameters!$B$48</f>
        <v>0</v>
      </c>
      <c r="Z24" s="0" t="str">
        <f aca="false">IF(Y24&gt;=Parameters!$B$25,"High","")</f>
        <v/>
      </c>
    </row>
    <row r="25" customFormat="false" ht="15" hidden="false" customHeight="false" outlineLevel="0" collapsed="false">
      <c r="A25" s="16" t="n">
        <v>1021</v>
      </c>
      <c r="B25" s="9" t="n">
        <f aca="false">COUNTIF(JE_Lines!$B$5:$B$1733,A25)</f>
        <v>2</v>
      </c>
      <c r="C25" s="17" t="n">
        <f aca="false">SUMIFS(JE_Lines!$G$5:$G$1733,JE_Lines!$B$5:$B$1733,A25)</f>
        <v>34637.94</v>
      </c>
      <c r="D25" s="17" t="n">
        <f aca="false">SUMIFS(JE_Lines!$H$5:$H$1733,JE_Lines!$B$5:$B$1733,A25)</f>
        <v>34637.94</v>
      </c>
      <c r="E25" s="17" t="n">
        <f aca="false">C25-D25</f>
        <v>0</v>
      </c>
      <c r="F25" s="18" t="n">
        <f aca="false">INDEX(JE_Lines!$C$5:$C$1733,MATCH(A25,JE_Lines!$B$5:$B$1733,0))</f>
        <v>45670</v>
      </c>
      <c r="G25" s="18" t="n">
        <f aca="false">INDEX(JE_Lines!$D$5:$D$1733,MATCH(A25,JE_Lines!$B$5:$B$1733,0))</f>
        <v>45666</v>
      </c>
      <c r="H25" s="0" t="str">
        <f aca="false">INDEX(JE_Lines!$I$5:$I$1733,MATCH(A25,JE_Lines!$B$5:$B$1733,0))</f>
        <v>SYS_PAY</v>
      </c>
      <c r="I25" s="0" t="str">
        <f aca="false">INDEX(JE_Lines!$J$5:$J$1733,MATCH(A25,JE_Lines!$B$5:$B$1733,0))</f>
        <v>System</v>
      </c>
      <c r="J25" s="0" t="str">
        <f aca="false">IF(LEN(INDEX(JE_Lines!$K$5:$K$1733,MATCH(A25,JE_Lines!$B$5:$B$1733,0)))=0,"",INDEX(JE_Lines!$K$5:$K$1733,MATCH(A25,JE_Lines!$B$5:$B$1733,0)))</f>
        <v>Supplier payments</v>
      </c>
      <c r="K25" s="9" t="n">
        <f aca="false">F25-G25</f>
        <v>4</v>
      </c>
      <c r="L25" s="9" t="n">
        <f aca="false">COUNTIFS(JE_Lines!$B$5:$B$1733,A25,JE_Lines!$F$5:$F$1733,"Revenue")</f>
        <v>0</v>
      </c>
      <c r="M25" s="9" t="n">
        <f aca="false">COUNTIFS(JE_Lines!$B$5:$B$1733,A25,JE_Lines!$F$5:$F$1733,"Suspense")</f>
        <v>0</v>
      </c>
      <c r="N25" s="9" t="n">
        <f aca="false">IF(ABS(E25)&gt;Parameters!$B$23,1,0)</f>
        <v>0</v>
      </c>
      <c r="O25" s="9" t="n">
        <f aca="false">IF(WEEKDAY(F25,2)&gt;5,1,0)</f>
        <v>0</v>
      </c>
      <c r="P25" s="9" t="n">
        <f aca="false">IF(K25&gt;Parameters!$B$17,1,0)</f>
        <v>0</v>
      </c>
      <c r="Q25" s="9" t="n">
        <f aca="false">IF(AND(F25&lt;=Parameters!$B$6,F25&gt;Parameters!$B$6-Parameters!$B$18),1,0)</f>
        <v>0</v>
      </c>
      <c r="R25" s="9" t="n">
        <f aca="false">IF(COUNTIF(Parameters!$A$51:$A$58,H25)=0,1,0)</f>
        <v>0</v>
      </c>
      <c r="S25" s="9" t="n">
        <f aca="false">IF(AND(I25="Manual",L25&gt;0),1,0)</f>
        <v>0</v>
      </c>
      <c r="T25" s="9" t="n">
        <f aca="false">IF(AND(C25&gt;=Parameters!$B$22,ROUND(MOD(ROUND(C25,2),Parameters!$B$21),2)=0),1,0)</f>
        <v>0</v>
      </c>
      <c r="U25" s="9" t="n">
        <f aca="false">IF(LEN(TRIM(J25))=0,1,0)</f>
        <v>0</v>
      </c>
      <c r="V25" s="9" t="n">
        <f aca="false">IF(AND(I25="Manual",C25&lt;Parameters!$B$19,C25&gt;=Parameters!$B$19*(1-Parameters!$B$20)),1,0)</f>
        <v>0</v>
      </c>
      <c r="W25" s="9" t="n">
        <f aca="false">IF(AND(I25="Manual",M25&gt;0),1,0)</f>
        <v>0</v>
      </c>
      <c r="X25" s="9" t="n">
        <f aca="false">IF(A25-A24&gt;1,1,0)</f>
        <v>0</v>
      </c>
      <c r="Y25" s="9" t="n">
        <f aca="false">N25*Parameters!$B$38+O25*Parameters!$B$39+P25*Parameters!$B$40+Q25*Parameters!$B$41+R25*Parameters!$B$42+S25*Parameters!$B$43+T25*Parameters!$B$44+U25*Parameters!$B$45+V25*Parameters!$B$46+W25*Parameters!$B$47+X25*Parameters!$B$48</f>
        <v>0</v>
      </c>
      <c r="Z25" s="0" t="str">
        <f aca="false">IF(Y25&gt;=Parameters!$B$25,"High","")</f>
        <v/>
      </c>
    </row>
    <row r="26" customFormat="false" ht="15" hidden="false" customHeight="false" outlineLevel="0" collapsed="false">
      <c r="A26" s="16" t="n">
        <v>1022</v>
      </c>
      <c r="B26" s="9" t="n">
        <f aca="false">COUNTIF(JE_Lines!$B$5:$B$1733,A26)</f>
        <v>3</v>
      </c>
      <c r="C26" s="17" t="n">
        <f aca="false">SUMIFS(JE_Lines!$G$5:$G$1733,JE_Lines!$B$5:$B$1733,A26)</f>
        <v>113596.93</v>
      </c>
      <c r="D26" s="17" t="n">
        <f aca="false">SUMIFS(JE_Lines!$H$5:$H$1733,JE_Lines!$B$5:$B$1733,A26)</f>
        <v>113596.93</v>
      </c>
      <c r="E26" s="17" t="n">
        <f aca="false">C26-D26</f>
        <v>0</v>
      </c>
      <c r="F26" s="18" t="n">
        <f aca="false">INDEX(JE_Lines!$C$5:$C$1733,MATCH(A26,JE_Lines!$B$5:$B$1733,0))</f>
        <v>45670</v>
      </c>
      <c r="G26" s="18" t="n">
        <f aca="false">INDEX(JE_Lines!$D$5:$D$1733,MATCH(A26,JE_Lines!$B$5:$B$1733,0))</f>
        <v>45668</v>
      </c>
      <c r="H26" s="0" t="str">
        <f aca="false">INDEX(JE_Lines!$I$5:$I$1733,MATCH(A26,JE_Lines!$B$5:$B$1733,0))</f>
        <v>SYS_AP</v>
      </c>
      <c r="I26" s="0" t="str">
        <f aca="false">INDEX(JE_Lines!$J$5:$J$1733,MATCH(A26,JE_Lines!$B$5:$B$1733,0))</f>
        <v>System</v>
      </c>
      <c r="J26" s="0" t="str">
        <f aca="false">IF(LEN(INDEX(JE_Lines!$K$5:$K$1733,MATCH(A26,JE_Lines!$B$5:$B$1733,0)))=0,"",INDEX(JE_Lines!$K$5:$K$1733,MATCH(A26,JE_Lines!$B$5:$B$1733,0)))</f>
        <v>Supplier invoices</v>
      </c>
      <c r="K26" s="9" t="n">
        <f aca="false">F26-G26</f>
        <v>2</v>
      </c>
      <c r="L26" s="9" t="n">
        <f aca="false">COUNTIFS(JE_Lines!$B$5:$B$1733,A26,JE_Lines!$F$5:$F$1733,"Revenue")</f>
        <v>0</v>
      </c>
      <c r="M26" s="9" t="n">
        <f aca="false">COUNTIFS(JE_Lines!$B$5:$B$1733,A26,JE_Lines!$F$5:$F$1733,"Suspense")</f>
        <v>0</v>
      </c>
      <c r="N26" s="9" t="n">
        <f aca="false">IF(ABS(E26)&gt;Parameters!$B$23,1,0)</f>
        <v>0</v>
      </c>
      <c r="O26" s="9" t="n">
        <f aca="false">IF(WEEKDAY(F26,2)&gt;5,1,0)</f>
        <v>0</v>
      </c>
      <c r="P26" s="9" t="n">
        <f aca="false">IF(K26&gt;Parameters!$B$17,1,0)</f>
        <v>0</v>
      </c>
      <c r="Q26" s="9" t="n">
        <f aca="false">IF(AND(F26&lt;=Parameters!$B$6,F26&gt;Parameters!$B$6-Parameters!$B$18),1,0)</f>
        <v>0</v>
      </c>
      <c r="R26" s="9" t="n">
        <f aca="false">IF(COUNTIF(Parameters!$A$51:$A$58,H26)=0,1,0)</f>
        <v>0</v>
      </c>
      <c r="S26" s="9" t="n">
        <f aca="false">IF(AND(I26="Manual",L26&gt;0),1,0)</f>
        <v>0</v>
      </c>
      <c r="T26" s="9" t="n">
        <f aca="false">IF(AND(C26&gt;=Parameters!$B$22,ROUND(MOD(ROUND(C26,2),Parameters!$B$21),2)=0),1,0)</f>
        <v>0</v>
      </c>
      <c r="U26" s="9" t="n">
        <f aca="false">IF(LEN(TRIM(J26))=0,1,0)</f>
        <v>0</v>
      </c>
      <c r="V26" s="9" t="n">
        <f aca="false">IF(AND(I26="Manual",C26&lt;Parameters!$B$19,C26&gt;=Parameters!$B$19*(1-Parameters!$B$20)),1,0)</f>
        <v>0</v>
      </c>
      <c r="W26" s="9" t="n">
        <f aca="false">IF(AND(I26="Manual",M26&gt;0),1,0)</f>
        <v>0</v>
      </c>
      <c r="X26" s="9" t="n">
        <f aca="false">IF(A26-A25&gt;1,1,0)</f>
        <v>0</v>
      </c>
      <c r="Y26" s="9" t="n">
        <f aca="false">N26*Parameters!$B$38+O26*Parameters!$B$39+P26*Parameters!$B$40+Q26*Parameters!$B$41+R26*Parameters!$B$42+S26*Parameters!$B$43+T26*Parameters!$B$44+U26*Parameters!$B$45+V26*Parameters!$B$46+W26*Parameters!$B$47+X26*Parameters!$B$48</f>
        <v>0</v>
      </c>
      <c r="Z26" s="0" t="str">
        <f aca="false">IF(Y26&gt;=Parameters!$B$25,"High","")</f>
        <v/>
      </c>
    </row>
    <row r="27" customFormat="false" ht="15" hidden="false" customHeight="false" outlineLevel="0" collapsed="false">
      <c r="A27" s="16" t="n">
        <v>1023</v>
      </c>
      <c r="B27" s="9" t="n">
        <f aca="false">COUNTIF(JE_Lines!$B$5:$B$1733,A27)</f>
        <v>2</v>
      </c>
      <c r="C27" s="17" t="n">
        <f aca="false">SUMIFS(JE_Lines!$G$5:$G$1733,JE_Lines!$B$5:$B$1733,A27)</f>
        <v>98149.67</v>
      </c>
      <c r="D27" s="17" t="n">
        <f aca="false">SUMIFS(JE_Lines!$H$5:$H$1733,JE_Lines!$B$5:$B$1733,A27)</f>
        <v>98149.67</v>
      </c>
      <c r="E27" s="17" t="n">
        <f aca="false">C27-D27</f>
        <v>0</v>
      </c>
      <c r="F27" s="18" t="n">
        <f aca="false">INDEX(JE_Lines!$C$5:$C$1733,MATCH(A27,JE_Lines!$B$5:$B$1733,0))</f>
        <v>45671</v>
      </c>
      <c r="G27" s="18" t="n">
        <f aca="false">INDEX(JE_Lines!$D$5:$D$1733,MATCH(A27,JE_Lines!$B$5:$B$1733,0))</f>
        <v>45670</v>
      </c>
      <c r="H27" s="0" t="str">
        <f aca="false">INDEX(JE_Lines!$I$5:$I$1733,MATCH(A27,JE_Lines!$B$5:$B$1733,0))</f>
        <v>SYS_AR</v>
      </c>
      <c r="I27" s="0" t="str">
        <f aca="false">INDEX(JE_Lines!$J$5:$J$1733,MATCH(A27,JE_Lines!$B$5:$B$1733,0))</f>
        <v>System</v>
      </c>
      <c r="J27" s="0" t="str">
        <f aca="false">IF(LEN(INDEX(JE_Lines!$K$5:$K$1733,MATCH(A27,JE_Lines!$B$5:$B$1733,0)))=0,"",INDEX(JE_Lines!$K$5:$K$1733,MATCH(A27,JE_Lines!$B$5:$B$1733,0)))</f>
        <v>Cost of sales posting</v>
      </c>
      <c r="K27" s="9" t="n">
        <f aca="false">F27-G27</f>
        <v>1</v>
      </c>
      <c r="L27" s="9" t="n">
        <f aca="false">COUNTIFS(JE_Lines!$B$5:$B$1733,A27,JE_Lines!$F$5:$F$1733,"Revenue")</f>
        <v>0</v>
      </c>
      <c r="M27" s="9" t="n">
        <f aca="false">COUNTIFS(JE_Lines!$B$5:$B$1733,A27,JE_Lines!$F$5:$F$1733,"Suspense")</f>
        <v>0</v>
      </c>
      <c r="N27" s="9" t="n">
        <f aca="false">IF(ABS(E27)&gt;Parameters!$B$23,1,0)</f>
        <v>0</v>
      </c>
      <c r="O27" s="9" t="n">
        <f aca="false">IF(WEEKDAY(F27,2)&gt;5,1,0)</f>
        <v>0</v>
      </c>
      <c r="P27" s="9" t="n">
        <f aca="false">IF(K27&gt;Parameters!$B$17,1,0)</f>
        <v>0</v>
      </c>
      <c r="Q27" s="9" t="n">
        <f aca="false">IF(AND(F27&lt;=Parameters!$B$6,F27&gt;Parameters!$B$6-Parameters!$B$18),1,0)</f>
        <v>0</v>
      </c>
      <c r="R27" s="9" t="n">
        <f aca="false">IF(COUNTIF(Parameters!$A$51:$A$58,H27)=0,1,0)</f>
        <v>0</v>
      </c>
      <c r="S27" s="9" t="n">
        <f aca="false">IF(AND(I27="Manual",L27&gt;0),1,0)</f>
        <v>0</v>
      </c>
      <c r="T27" s="9" t="n">
        <f aca="false">IF(AND(C27&gt;=Parameters!$B$22,ROUND(MOD(ROUND(C27,2),Parameters!$B$21),2)=0),1,0)</f>
        <v>0</v>
      </c>
      <c r="U27" s="9" t="n">
        <f aca="false">IF(LEN(TRIM(J27))=0,1,0)</f>
        <v>0</v>
      </c>
      <c r="V27" s="9" t="n">
        <f aca="false">IF(AND(I27="Manual",C27&lt;Parameters!$B$19,C27&gt;=Parameters!$B$19*(1-Parameters!$B$20)),1,0)</f>
        <v>0</v>
      </c>
      <c r="W27" s="9" t="n">
        <f aca="false">IF(AND(I27="Manual",M27&gt;0),1,0)</f>
        <v>0</v>
      </c>
      <c r="X27" s="9" t="n">
        <f aca="false">IF(A27-A26&gt;1,1,0)</f>
        <v>0</v>
      </c>
      <c r="Y27" s="9" t="n">
        <f aca="false">N27*Parameters!$B$38+O27*Parameters!$B$39+P27*Parameters!$B$40+Q27*Parameters!$B$41+R27*Parameters!$B$42+S27*Parameters!$B$43+T27*Parameters!$B$44+U27*Parameters!$B$45+V27*Parameters!$B$46+W27*Parameters!$B$47+X27*Parameters!$B$48</f>
        <v>0</v>
      </c>
      <c r="Z27" s="0" t="str">
        <f aca="false">IF(Y27&gt;=Parameters!$B$25,"High","")</f>
        <v/>
      </c>
    </row>
    <row r="28" customFormat="false" ht="15" hidden="false" customHeight="false" outlineLevel="0" collapsed="false">
      <c r="A28" s="16" t="n">
        <v>1024</v>
      </c>
      <c r="B28" s="9" t="n">
        <f aca="false">COUNTIF(JE_Lines!$B$5:$B$1733,A28)</f>
        <v>2</v>
      </c>
      <c r="C28" s="17" t="n">
        <f aca="false">SUMIFS(JE_Lines!$G$5:$G$1733,JE_Lines!$B$5:$B$1733,A28)</f>
        <v>1355.07</v>
      </c>
      <c r="D28" s="17" t="n">
        <f aca="false">SUMIFS(JE_Lines!$H$5:$H$1733,JE_Lines!$B$5:$B$1733,A28)</f>
        <v>1355.07</v>
      </c>
      <c r="E28" s="17" t="n">
        <f aca="false">C28-D28</f>
        <v>0</v>
      </c>
      <c r="F28" s="18" t="n">
        <f aca="false">INDEX(JE_Lines!$C$5:$C$1733,MATCH(A28,JE_Lines!$B$5:$B$1733,0))</f>
        <v>45671</v>
      </c>
      <c r="G28" s="18" t="n">
        <f aca="false">INDEX(JE_Lines!$D$5:$D$1733,MATCH(A28,JE_Lines!$B$5:$B$1733,0))</f>
        <v>45668</v>
      </c>
      <c r="H28" s="0" t="str">
        <f aca="false">INDEX(JE_Lines!$I$5:$I$1733,MATCH(A28,JE_Lines!$B$5:$B$1733,0))</f>
        <v>SYS_PAY</v>
      </c>
      <c r="I28" s="0" t="str">
        <f aca="false">INDEX(JE_Lines!$J$5:$J$1733,MATCH(A28,JE_Lines!$B$5:$B$1733,0))</f>
        <v>System</v>
      </c>
      <c r="J28" s="0" t="str">
        <f aca="false">IF(LEN(INDEX(JE_Lines!$K$5:$K$1733,MATCH(A28,JE_Lines!$B$5:$B$1733,0)))=0,"",INDEX(JE_Lines!$K$5:$K$1733,MATCH(A28,JE_Lines!$B$5:$B$1733,0)))</f>
        <v>Supplier payments</v>
      </c>
      <c r="K28" s="9" t="n">
        <f aca="false">F28-G28</f>
        <v>3</v>
      </c>
      <c r="L28" s="9" t="n">
        <f aca="false">COUNTIFS(JE_Lines!$B$5:$B$1733,A28,JE_Lines!$F$5:$F$1733,"Revenue")</f>
        <v>0</v>
      </c>
      <c r="M28" s="9" t="n">
        <f aca="false">COUNTIFS(JE_Lines!$B$5:$B$1733,A28,JE_Lines!$F$5:$F$1733,"Suspense")</f>
        <v>0</v>
      </c>
      <c r="N28" s="9" t="n">
        <f aca="false">IF(ABS(E28)&gt;Parameters!$B$23,1,0)</f>
        <v>0</v>
      </c>
      <c r="O28" s="9" t="n">
        <f aca="false">IF(WEEKDAY(F28,2)&gt;5,1,0)</f>
        <v>0</v>
      </c>
      <c r="P28" s="9" t="n">
        <f aca="false">IF(K28&gt;Parameters!$B$17,1,0)</f>
        <v>0</v>
      </c>
      <c r="Q28" s="9" t="n">
        <f aca="false">IF(AND(F28&lt;=Parameters!$B$6,F28&gt;Parameters!$B$6-Parameters!$B$18),1,0)</f>
        <v>0</v>
      </c>
      <c r="R28" s="9" t="n">
        <f aca="false">IF(COUNTIF(Parameters!$A$51:$A$58,H28)=0,1,0)</f>
        <v>0</v>
      </c>
      <c r="S28" s="9" t="n">
        <f aca="false">IF(AND(I28="Manual",L28&gt;0),1,0)</f>
        <v>0</v>
      </c>
      <c r="T28" s="9" t="n">
        <f aca="false">IF(AND(C28&gt;=Parameters!$B$22,ROUND(MOD(ROUND(C28,2),Parameters!$B$21),2)=0),1,0)</f>
        <v>0</v>
      </c>
      <c r="U28" s="9" t="n">
        <f aca="false">IF(LEN(TRIM(J28))=0,1,0)</f>
        <v>0</v>
      </c>
      <c r="V28" s="9" t="n">
        <f aca="false">IF(AND(I28="Manual",C28&lt;Parameters!$B$19,C28&gt;=Parameters!$B$19*(1-Parameters!$B$20)),1,0)</f>
        <v>0</v>
      </c>
      <c r="W28" s="9" t="n">
        <f aca="false">IF(AND(I28="Manual",M28&gt;0),1,0)</f>
        <v>0</v>
      </c>
      <c r="X28" s="9" t="n">
        <f aca="false">IF(A28-A27&gt;1,1,0)</f>
        <v>0</v>
      </c>
      <c r="Y28" s="9" t="n">
        <f aca="false">N28*Parameters!$B$38+O28*Parameters!$B$39+P28*Parameters!$B$40+Q28*Parameters!$B$41+R28*Parameters!$B$42+S28*Parameters!$B$43+T28*Parameters!$B$44+U28*Parameters!$B$45+V28*Parameters!$B$46+W28*Parameters!$B$47+X28*Parameters!$B$48</f>
        <v>0</v>
      </c>
      <c r="Z28" s="0" t="str">
        <f aca="false">IF(Y28&gt;=Parameters!$B$25,"High","")</f>
        <v/>
      </c>
    </row>
    <row r="29" customFormat="false" ht="15" hidden="false" customHeight="false" outlineLevel="0" collapsed="false">
      <c r="A29" s="16" t="n">
        <v>1025</v>
      </c>
      <c r="B29" s="9" t="n">
        <f aca="false">COUNTIF(JE_Lines!$B$5:$B$1733,A29)</f>
        <v>2</v>
      </c>
      <c r="C29" s="17" t="n">
        <f aca="false">SUMIFS(JE_Lines!$G$5:$G$1733,JE_Lines!$B$5:$B$1733,A29)</f>
        <v>139982.35</v>
      </c>
      <c r="D29" s="17" t="n">
        <f aca="false">SUMIFS(JE_Lines!$H$5:$H$1733,JE_Lines!$B$5:$B$1733,A29)</f>
        <v>139982.35</v>
      </c>
      <c r="E29" s="17" t="n">
        <f aca="false">C29-D29</f>
        <v>0</v>
      </c>
      <c r="F29" s="18" t="n">
        <f aca="false">INDEX(JE_Lines!$C$5:$C$1733,MATCH(A29,JE_Lines!$B$5:$B$1733,0))</f>
        <v>45672</v>
      </c>
      <c r="G29" s="18" t="n">
        <f aca="false">INDEX(JE_Lines!$D$5:$D$1733,MATCH(A29,JE_Lines!$B$5:$B$1733,0))</f>
        <v>45670</v>
      </c>
      <c r="H29" s="0" t="str">
        <f aca="false">INDEX(JE_Lines!$I$5:$I$1733,MATCH(A29,JE_Lines!$B$5:$B$1733,0))</f>
        <v>SYS_AR</v>
      </c>
      <c r="I29" s="0" t="str">
        <f aca="false">INDEX(JE_Lines!$J$5:$J$1733,MATCH(A29,JE_Lines!$B$5:$B$1733,0))</f>
        <v>System</v>
      </c>
      <c r="J29" s="0" t="str">
        <f aca="false">IF(LEN(INDEX(JE_Lines!$K$5:$K$1733,MATCH(A29,JE_Lines!$B$5:$B$1733,0)))=0,"",INDEX(JE_Lines!$K$5:$K$1733,MATCH(A29,JE_Lines!$B$5:$B$1733,0)))</f>
        <v>Customer receipts</v>
      </c>
      <c r="K29" s="9" t="n">
        <f aca="false">F29-G29</f>
        <v>2</v>
      </c>
      <c r="L29" s="9" t="n">
        <f aca="false">COUNTIFS(JE_Lines!$B$5:$B$1733,A29,JE_Lines!$F$5:$F$1733,"Revenue")</f>
        <v>0</v>
      </c>
      <c r="M29" s="9" t="n">
        <f aca="false">COUNTIFS(JE_Lines!$B$5:$B$1733,A29,JE_Lines!$F$5:$F$1733,"Suspense")</f>
        <v>0</v>
      </c>
      <c r="N29" s="9" t="n">
        <f aca="false">IF(ABS(E29)&gt;Parameters!$B$23,1,0)</f>
        <v>0</v>
      </c>
      <c r="O29" s="9" t="n">
        <f aca="false">IF(WEEKDAY(F29,2)&gt;5,1,0)</f>
        <v>0</v>
      </c>
      <c r="P29" s="9" t="n">
        <f aca="false">IF(K29&gt;Parameters!$B$17,1,0)</f>
        <v>0</v>
      </c>
      <c r="Q29" s="9" t="n">
        <f aca="false">IF(AND(F29&lt;=Parameters!$B$6,F29&gt;Parameters!$B$6-Parameters!$B$18),1,0)</f>
        <v>0</v>
      </c>
      <c r="R29" s="9" t="n">
        <f aca="false">IF(COUNTIF(Parameters!$A$51:$A$58,H29)=0,1,0)</f>
        <v>0</v>
      </c>
      <c r="S29" s="9" t="n">
        <f aca="false">IF(AND(I29="Manual",L29&gt;0),1,0)</f>
        <v>0</v>
      </c>
      <c r="T29" s="9" t="n">
        <f aca="false">IF(AND(C29&gt;=Parameters!$B$22,ROUND(MOD(ROUND(C29,2),Parameters!$B$21),2)=0),1,0)</f>
        <v>0</v>
      </c>
      <c r="U29" s="9" t="n">
        <f aca="false">IF(LEN(TRIM(J29))=0,1,0)</f>
        <v>0</v>
      </c>
      <c r="V29" s="9" t="n">
        <f aca="false">IF(AND(I29="Manual",C29&lt;Parameters!$B$19,C29&gt;=Parameters!$B$19*(1-Parameters!$B$20)),1,0)</f>
        <v>0</v>
      </c>
      <c r="W29" s="9" t="n">
        <f aca="false">IF(AND(I29="Manual",M29&gt;0),1,0)</f>
        <v>0</v>
      </c>
      <c r="X29" s="9" t="n">
        <f aca="false">IF(A29-A28&gt;1,1,0)</f>
        <v>0</v>
      </c>
      <c r="Y29" s="9" t="n">
        <f aca="false">N29*Parameters!$B$38+O29*Parameters!$B$39+P29*Parameters!$B$40+Q29*Parameters!$B$41+R29*Parameters!$B$42+S29*Parameters!$B$43+T29*Parameters!$B$44+U29*Parameters!$B$45+V29*Parameters!$B$46+W29*Parameters!$B$47+X29*Parameters!$B$48</f>
        <v>0</v>
      </c>
      <c r="Z29" s="0" t="str">
        <f aca="false">IF(Y29&gt;=Parameters!$B$25,"High","")</f>
        <v/>
      </c>
    </row>
    <row r="30" customFormat="false" ht="15" hidden="false" customHeight="false" outlineLevel="0" collapsed="false">
      <c r="A30" s="16" t="n">
        <v>1026</v>
      </c>
      <c r="B30" s="9" t="n">
        <f aca="false">COUNTIF(JE_Lines!$B$5:$B$1733,A30)</f>
        <v>2</v>
      </c>
      <c r="C30" s="17" t="n">
        <f aca="false">SUMIFS(JE_Lines!$G$5:$G$1733,JE_Lines!$B$5:$B$1733,A30)</f>
        <v>55074.2</v>
      </c>
      <c r="D30" s="17" t="n">
        <f aca="false">SUMIFS(JE_Lines!$H$5:$H$1733,JE_Lines!$B$5:$B$1733,A30)</f>
        <v>55074.2</v>
      </c>
      <c r="E30" s="17" t="n">
        <f aca="false">C30-D30</f>
        <v>0</v>
      </c>
      <c r="F30" s="18" t="n">
        <f aca="false">INDEX(JE_Lines!$C$5:$C$1733,MATCH(A30,JE_Lines!$B$5:$B$1733,0))</f>
        <v>45672</v>
      </c>
      <c r="G30" s="18" t="n">
        <f aca="false">INDEX(JE_Lines!$D$5:$D$1733,MATCH(A30,JE_Lines!$B$5:$B$1733,0))</f>
        <v>45671</v>
      </c>
      <c r="H30" s="0" t="str">
        <f aca="false">INDEX(JE_Lines!$I$5:$I$1733,MATCH(A30,JE_Lines!$B$5:$B$1733,0))</f>
        <v>SYS_PAY</v>
      </c>
      <c r="I30" s="0" t="str">
        <f aca="false">INDEX(JE_Lines!$J$5:$J$1733,MATCH(A30,JE_Lines!$B$5:$B$1733,0))</f>
        <v>System</v>
      </c>
      <c r="J30" s="0" t="str">
        <f aca="false">IF(LEN(INDEX(JE_Lines!$K$5:$K$1733,MATCH(A30,JE_Lines!$B$5:$B$1733,0)))=0,"",INDEX(JE_Lines!$K$5:$K$1733,MATCH(A30,JE_Lines!$B$5:$B$1733,0)))</f>
        <v>Supplier payments</v>
      </c>
      <c r="K30" s="9" t="n">
        <f aca="false">F30-G30</f>
        <v>1</v>
      </c>
      <c r="L30" s="9" t="n">
        <f aca="false">COUNTIFS(JE_Lines!$B$5:$B$1733,A30,JE_Lines!$F$5:$F$1733,"Revenue")</f>
        <v>0</v>
      </c>
      <c r="M30" s="9" t="n">
        <f aca="false">COUNTIFS(JE_Lines!$B$5:$B$1733,A30,JE_Lines!$F$5:$F$1733,"Suspense")</f>
        <v>0</v>
      </c>
      <c r="N30" s="9" t="n">
        <f aca="false">IF(ABS(E30)&gt;Parameters!$B$23,1,0)</f>
        <v>0</v>
      </c>
      <c r="O30" s="9" t="n">
        <f aca="false">IF(WEEKDAY(F30,2)&gt;5,1,0)</f>
        <v>0</v>
      </c>
      <c r="P30" s="9" t="n">
        <f aca="false">IF(K30&gt;Parameters!$B$17,1,0)</f>
        <v>0</v>
      </c>
      <c r="Q30" s="9" t="n">
        <f aca="false">IF(AND(F30&lt;=Parameters!$B$6,F30&gt;Parameters!$B$6-Parameters!$B$18),1,0)</f>
        <v>0</v>
      </c>
      <c r="R30" s="9" t="n">
        <f aca="false">IF(COUNTIF(Parameters!$A$51:$A$58,H30)=0,1,0)</f>
        <v>0</v>
      </c>
      <c r="S30" s="9" t="n">
        <f aca="false">IF(AND(I30="Manual",L30&gt;0),1,0)</f>
        <v>0</v>
      </c>
      <c r="T30" s="9" t="n">
        <f aca="false">IF(AND(C30&gt;=Parameters!$B$22,ROUND(MOD(ROUND(C30,2),Parameters!$B$21),2)=0),1,0)</f>
        <v>0</v>
      </c>
      <c r="U30" s="9" t="n">
        <f aca="false">IF(LEN(TRIM(J30))=0,1,0)</f>
        <v>0</v>
      </c>
      <c r="V30" s="9" t="n">
        <f aca="false">IF(AND(I30="Manual",C30&lt;Parameters!$B$19,C30&gt;=Parameters!$B$19*(1-Parameters!$B$20)),1,0)</f>
        <v>0</v>
      </c>
      <c r="W30" s="9" t="n">
        <f aca="false">IF(AND(I30="Manual",M30&gt;0),1,0)</f>
        <v>0</v>
      </c>
      <c r="X30" s="9" t="n">
        <f aca="false">IF(A30-A29&gt;1,1,0)</f>
        <v>0</v>
      </c>
      <c r="Y30" s="9" t="n">
        <f aca="false">N30*Parameters!$B$38+O30*Parameters!$B$39+P30*Parameters!$B$40+Q30*Parameters!$B$41+R30*Parameters!$B$42+S30*Parameters!$B$43+T30*Parameters!$B$44+U30*Parameters!$B$45+V30*Parameters!$B$46+W30*Parameters!$B$47+X30*Parameters!$B$48</f>
        <v>0</v>
      </c>
      <c r="Z30" s="0" t="str">
        <f aca="false">IF(Y30&gt;=Parameters!$B$25,"High","")</f>
        <v/>
      </c>
    </row>
    <row r="31" customFormat="false" ht="15" hidden="false" customHeight="false" outlineLevel="0" collapsed="false">
      <c r="A31" s="16" t="n">
        <v>1027</v>
      </c>
      <c r="B31" s="9" t="n">
        <f aca="false">COUNTIF(JE_Lines!$B$5:$B$1733,A31)</f>
        <v>3</v>
      </c>
      <c r="C31" s="17" t="n">
        <f aca="false">SUMIFS(JE_Lines!$G$5:$G$1733,JE_Lines!$B$5:$B$1733,A31)</f>
        <v>46075.17</v>
      </c>
      <c r="D31" s="17" t="n">
        <f aca="false">SUMIFS(JE_Lines!$H$5:$H$1733,JE_Lines!$B$5:$B$1733,A31)</f>
        <v>46075.17</v>
      </c>
      <c r="E31" s="17" t="n">
        <f aca="false">C31-D31</f>
        <v>0</v>
      </c>
      <c r="F31" s="18" t="n">
        <f aca="false">INDEX(JE_Lines!$C$5:$C$1733,MATCH(A31,JE_Lines!$B$5:$B$1733,0))</f>
        <v>45672</v>
      </c>
      <c r="G31" s="18" t="n">
        <f aca="false">INDEX(JE_Lines!$D$5:$D$1733,MATCH(A31,JE_Lines!$B$5:$B$1733,0))</f>
        <v>45672</v>
      </c>
      <c r="H31" s="0" t="str">
        <f aca="false">INDEX(JE_Lines!$I$5:$I$1733,MATCH(A31,JE_Lines!$B$5:$B$1733,0))</f>
        <v>SYS_AR</v>
      </c>
      <c r="I31" s="0" t="str">
        <f aca="false">INDEX(JE_Lines!$J$5:$J$1733,MATCH(A31,JE_Lines!$B$5:$B$1733,0))</f>
        <v>System</v>
      </c>
      <c r="J31" s="0" t="str">
        <f aca="false">IF(LEN(INDEX(JE_Lines!$K$5:$K$1733,MATCH(A31,JE_Lines!$B$5:$B$1733,0)))=0,"",INDEX(JE_Lines!$K$5:$K$1733,MATCH(A31,JE_Lines!$B$5:$B$1733,0)))</f>
        <v>Cost of sales posting</v>
      </c>
      <c r="K31" s="9" t="n">
        <f aca="false">F31-G31</f>
        <v>0</v>
      </c>
      <c r="L31" s="9" t="n">
        <f aca="false">COUNTIFS(JE_Lines!$B$5:$B$1733,A31,JE_Lines!$F$5:$F$1733,"Revenue")</f>
        <v>0</v>
      </c>
      <c r="M31" s="9" t="n">
        <f aca="false">COUNTIFS(JE_Lines!$B$5:$B$1733,A31,JE_Lines!$F$5:$F$1733,"Suspense")</f>
        <v>0</v>
      </c>
      <c r="N31" s="9" t="n">
        <f aca="false">IF(ABS(E31)&gt;Parameters!$B$23,1,0)</f>
        <v>0</v>
      </c>
      <c r="O31" s="9" t="n">
        <f aca="false">IF(WEEKDAY(F31,2)&gt;5,1,0)</f>
        <v>0</v>
      </c>
      <c r="P31" s="9" t="n">
        <f aca="false">IF(K31&gt;Parameters!$B$17,1,0)</f>
        <v>0</v>
      </c>
      <c r="Q31" s="9" t="n">
        <f aca="false">IF(AND(F31&lt;=Parameters!$B$6,F31&gt;Parameters!$B$6-Parameters!$B$18),1,0)</f>
        <v>0</v>
      </c>
      <c r="R31" s="9" t="n">
        <f aca="false">IF(COUNTIF(Parameters!$A$51:$A$58,H31)=0,1,0)</f>
        <v>0</v>
      </c>
      <c r="S31" s="9" t="n">
        <f aca="false">IF(AND(I31="Manual",L31&gt;0),1,0)</f>
        <v>0</v>
      </c>
      <c r="T31" s="9" t="n">
        <f aca="false">IF(AND(C31&gt;=Parameters!$B$22,ROUND(MOD(ROUND(C31,2),Parameters!$B$21),2)=0),1,0)</f>
        <v>0</v>
      </c>
      <c r="U31" s="9" t="n">
        <f aca="false">IF(LEN(TRIM(J31))=0,1,0)</f>
        <v>0</v>
      </c>
      <c r="V31" s="9" t="n">
        <f aca="false">IF(AND(I31="Manual",C31&lt;Parameters!$B$19,C31&gt;=Parameters!$B$19*(1-Parameters!$B$20)),1,0)</f>
        <v>0</v>
      </c>
      <c r="W31" s="9" t="n">
        <f aca="false">IF(AND(I31="Manual",M31&gt;0),1,0)</f>
        <v>0</v>
      </c>
      <c r="X31" s="9" t="n">
        <f aca="false">IF(A31-A30&gt;1,1,0)</f>
        <v>0</v>
      </c>
      <c r="Y31" s="9" t="n">
        <f aca="false">N31*Parameters!$B$38+O31*Parameters!$B$39+P31*Parameters!$B$40+Q31*Parameters!$B$41+R31*Parameters!$B$42+S31*Parameters!$B$43+T31*Parameters!$B$44+U31*Parameters!$B$45+V31*Parameters!$B$46+W31*Parameters!$B$47+X31*Parameters!$B$48</f>
        <v>0</v>
      </c>
      <c r="Z31" s="0" t="str">
        <f aca="false">IF(Y31&gt;=Parameters!$B$25,"High","")</f>
        <v/>
      </c>
    </row>
    <row r="32" customFormat="false" ht="15" hidden="false" customHeight="false" outlineLevel="0" collapsed="false">
      <c r="A32" s="16" t="n">
        <v>1028</v>
      </c>
      <c r="B32" s="9" t="n">
        <f aca="false">COUNTIF(JE_Lines!$B$5:$B$1733,A32)</f>
        <v>3</v>
      </c>
      <c r="C32" s="17" t="n">
        <f aca="false">SUMIFS(JE_Lines!$G$5:$G$1733,JE_Lines!$B$5:$B$1733,A32)</f>
        <v>15612.35</v>
      </c>
      <c r="D32" s="17" t="n">
        <f aca="false">SUMIFS(JE_Lines!$H$5:$H$1733,JE_Lines!$B$5:$B$1733,A32)</f>
        <v>15612.35</v>
      </c>
      <c r="E32" s="17" t="n">
        <f aca="false">C32-D32</f>
        <v>0</v>
      </c>
      <c r="F32" s="18" t="n">
        <f aca="false">INDEX(JE_Lines!$C$5:$C$1733,MATCH(A32,JE_Lines!$B$5:$B$1733,0))</f>
        <v>45672</v>
      </c>
      <c r="G32" s="18" t="n">
        <f aca="false">INDEX(JE_Lines!$D$5:$D$1733,MATCH(A32,JE_Lines!$B$5:$B$1733,0))</f>
        <v>45668</v>
      </c>
      <c r="H32" s="0" t="str">
        <f aca="false">INDEX(JE_Lines!$I$5:$I$1733,MATCH(A32,JE_Lines!$B$5:$B$1733,0))</f>
        <v>SYS_AR</v>
      </c>
      <c r="I32" s="0" t="str">
        <f aca="false">INDEX(JE_Lines!$J$5:$J$1733,MATCH(A32,JE_Lines!$B$5:$B$1733,0))</f>
        <v>System</v>
      </c>
      <c r="J32" s="0" t="str">
        <f aca="false">IF(LEN(INDEX(JE_Lines!$K$5:$K$1733,MATCH(A32,JE_Lines!$B$5:$B$1733,0)))=0,"",INDEX(JE_Lines!$K$5:$K$1733,MATCH(A32,JE_Lines!$B$5:$B$1733,0)))</f>
        <v>Customer receipts</v>
      </c>
      <c r="K32" s="9" t="n">
        <f aca="false">F32-G32</f>
        <v>4</v>
      </c>
      <c r="L32" s="9" t="n">
        <f aca="false">COUNTIFS(JE_Lines!$B$5:$B$1733,A32,JE_Lines!$F$5:$F$1733,"Revenue")</f>
        <v>0</v>
      </c>
      <c r="M32" s="9" t="n">
        <f aca="false">COUNTIFS(JE_Lines!$B$5:$B$1733,A32,JE_Lines!$F$5:$F$1733,"Suspense")</f>
        <v>0</v>
      </c>
      <c r="N32" s="9" t="n">
        <f aca="false">IF(ABS(E32)&gt;Parameters!$B$23,1,0)</f>
        <v>0</v>
      </c>
      <c r="O32" s="9" t="n">
        <f aca="false">IF(WEEKDAY(F32,2)&gt;5,1,0)</f>
        <v>0</v>
      </c>
      <c r="P32" s="9" t="n">
        <f aca="false">IF(K32&gt;Parameters!$B$17,1,0)</f>
        <v>0</v>
      </c>
      <c r="Q32" s="9" t="n">
        <f aca="false">IF(AND(F32&lt;=Parameters!$B$6,F32&gt;Parameters!$B$6-Parameters!$B$18),1,0)</f>
        <v>0</v>
      </c>
      <c r="R32" s="9" t="n">
        <f aca="false">IF(COUNTIF(Parameters!$A$51:$A$58,H32)=0,1,0)</f>
        <v>0</v>
      </c>
      <c r="S32" s="9" t="n">
        <f aca="false">IF(AND(I32="Manual",L32&gt;0),1,0)</f>
        <v>0</v>
      </c>
      <c r="T32" s="9" t="n">
        <f aca="false">IF(AND(C32&gt;=Parameters!$B$22,ROUND(MOD(ROUND(C32,2),Parameters!$B$21),2)=0),1,0)</f>
        <v>0</v>
      </c>
      <c r="U32" s="9" t="n">
        <f aca="false">IF(LEN(TRIM(J32))=0,1,0)</f>
        <v>0</v>
      </c>
      <c r="V32" s="9" t="n">
        <f aca="false">IF(AND(I32="Manual",C32&lt;Parameters!$B$19,C32&gt;=Parameters!$B$19*(1-Parameters!$B$20)),1,0)</f>
        <v>0</v>
      </c>
      <c r="W32" s="9" t="n">
        <f aca="false">IF(AND(I32="Manual",M32&gt;0),1,0)</f>
        <v>0</v>
      </c>
      <c r="X32" s="9" t="n">
        <f aca="false">IF(A32-A31&gt;1,1,0)</f>
        <v>0</v>
      </c>
      <c r="Y32" s="9" t="n">
        <f aca="false">N32*Parameters!$B$38+O32*Parameters!$B$39+P32*Parameters!$B$40+Q32*Parameters!$B$41+R32*Parameters!$B$42+S32*Parameters!$B$43+T32*Parameters!$B$44+U32*Parameters!$B$45+V32*Parameters!$B$46+W32*Parameters!$B$47+X32*Parameters!$B$48</f>
        <v>0</v>
      </c>
      <c r="Z32" s="0" t="str">
        <f aca="false">IF(Y32&gt;=Parameters!$B$25,"High","")</f>
        <v/>
      </c>
    </row>
    <row r="33" customFormat="false" ht="15" hidden="false" customHeight="false" outlineLevel="0" collapsed="false">
      <c r="A33" s="16" t="n">
        <v>1029</v>
      </c>
      <c r="B33" s="9" t="n">
        <f aca="false">COUNTIF(JE_Lines!$B$5:$B$1733,A33)</f>
        <v>3</v>
      </c>
      <c r="C33" s="17" t="n">
        <f aca="false">SUMIFS(JE_Lines!$G$5:$G$1733,JE_Lines!$B$5:$B$1733,A33)</f>
        <v>51323.13</v>
      </c>
      <c r="D33" s="17" t="n">
        <f aca="false">SUMIFS(JE_Lines!$H$5:$H$1733,JE_Lines!$B$5:$B$1733,A33)</f>
        <v>51323.13</v>
      </c>
      <c r="E33" s="17" t="n">
        <f aca="false">C33-D33</f>
        <v>0</v>
      </c>
      <c r="F33" s="18" t="n">
        <f aca="false">INDEX(JE_Lines!$C$5:$C$1733,MATCH(A33,JE_Lines!$B$5:$B$1733,0))</f>
        <v>45672</v>
      </c>
      <c r="G33" s="18" t="n">
        <f aca="false">INDEX(JE_Lines!$D$5:$D$1733,MATCH(A33,JE_Lines!$B$5:$B$1733,0))</f>
        <v>45670</v>
      </c>
      <c r="H33" s="0" t="str">
        <f aca="false">INDEX(JE_Lines!$I$5:$I$1733,MATCH(A33,JE_Lines!$B$5:$B$1733,0))</f>
        <v>SYS_AP</v>
      </c>
      <c r="I33" s="0" t="str">
        <f aca="false">INDEX(JE_Lines!$J$5:$J$1733,MATCH(A33,JE_Lines!$B$5:$B$1733,0))</f>
        <v>System</v>
      </c>
      <c r="J33" s="0" t="str">
        <f aca="false">IF(LEN(INDEX(JE_Lines!$K$5:$K$1733,MATCH(A33,JE_Lines!$B$5:$B$1733,0)))=0,"",INDEX(JE_Lines!$K$5:$K$1733,MATCH(A33,JE_Lines!$B$5:$B$1733,0)))</f>
        <v>Supplier invoices</v>
      </c>
      <c r="K33" s="9" t="n">
        <f aca="false">F33-G33</f>
        <v>2</v>
      </c>
      <c r="L33" s="9" t="n">
        <f aca="false">COUNTIFS(JE_Lines!$B$5:$B$1733,A33,JE_Lines!$F$5:$F$1733,"Revenue")</f>
        <v>0</v>
      </c>
      <c r="M33" s="9" t="n">
        <f aca="false">COUNTIFS(JE_Lines!$B$5:$B$1733,A33,JE_Lines!$F$5:$F$1733,"Suspense")</f>
        <v>0</v>
      </c>
      <c r="N33" s="9" t="n">
        <f aca="false">IF(ABS(E33)&gt;Parameters!$B$23,1,0)</f>
        <v>0</v>
      </c>
      <c r="O33" s="9" t="n">
        <f aca="false">IF(WEEKDAY(F33,2)&gt;5,1,0)</f>
        <v>0</v>
      </c>
      <c r="P33" s="9" t="n">
        <f aca="false">IF(K33&gt;Parameters!$B$17,1,0)</f>
        <v>0</v>
      </c>
      <c r="Q33" s="9" t="n">
        <f aca="false">IF(AND(F33&lt;=Parameters!$B$6,F33&gt;Parameters!$B$6-Parameters!$B$18),1,0)</f>
        <v>0</v>
      </c>
      <c r="R33" s="9" t="n">
        <f aca="false">IF(COUNTIF(Parameters!$A$51:$A$58,H33)=0,1,0)</f>
        <v>0</v>
      </c>
      <c r="S33" s="9" t="n">
        <f aca="false">IF(AND(I33="Manual",L33&gt;0),1,0)</f>
        <v>0</v>
      </c>
      <c r="T33" s="9" t="n">
        <f aca="false">IF(AND(C33&gt;=Parameters!$B$22,ROUND(MOD(ROUND(C33,2),Parameters!$B$21),2)=0),1,0)</f>
        <v>0</v>
      </c>
      <c r="U33" s="9" t="n">
        <f aca="false">IF(LEN(TRIM(J33))=0,1,0)</f>
        <v>0</v>
      </c>
      <c r="V33" s="9" t="n">
        <f aca="false">IF(AND(I33="Manual",C33&lt;Parameters!$B$19,C33&gt;=Parameters!$B$19*(1-Parameters!$B$20)),1,0)</f>
        <v>0</v>
      </c>
      <c r="W33" s="9" t="n">
        <f aca="false">IF(AND(I33="Manual",M33&gt;0),1,0)</f>
        <v>0</v>
      </c>
      <c r="X33" s="9" t="n">
        <f aca="false">IF(A33-A32&gt;1,1,0)</f>
        <v>0</v>
      </c>
      <c r="Y33" s="9" t="n">
        <f aca="false">N33*Parameters!$B$38+O33*Parameters!$B$39+P33*Parameters!$B$40+Q33*Parameters!$B$41+R33*Parameters!$B$42+S33*Parameters!$B$43+T33*Parameters!$B$44+U33*Parameters!$B$45+V33*Parameters!$B$46+W33*Parameters!$B$47+X33*Parameters!$B$48</f>
        <v>0</v>
      </c>
      <c r="Z33" s="0" t="str">
        <f aca="false">IF(Y33&gt;=Parameters!$B$25,"High","")</f>
        <v/>
      </c>
    </row>
    <row r="34" customFormat="false" ht="15" hidden="false" customHeight="false" outlineLevel="0" collapsed="false">
      <c r="A34" s="16" t="n">
        <v>1030</v>
      </c>
      <c r="B34" s="9" t="n">
        <f aca="false">COUNTIF(JE_Lines!$B$5:$B$1733,A34)</f>
        <v>2</v>
      </c>
      <c r="C34" s="17" t="n">
        <f aca="false">SUMIFS(JE_Lines!$G$5:$G$1733,JE_Lines!$B$5:$B$1733,A34)</f>
        <v>994.33</v>
      </c>
      <c r="D34" s="17" t="n">
        <f aca="false">SUMIFS(JE_Lines!$H$5:$H$1733,JE_Lines!$B$5:$B$1733,A34)</f>
        <v>994.33</v>
      </c>
      <c r="E34" s="17" t="n">
        <f aca="false">C34-D34</f>
        <v>0</v>
      </c>
      <c r="F34" s="18" t="n">
        <f aca="false">INDEX(JE_Lines!$C$5:$C$1733,MATCH(A34,JE_Lines!$B$5:$B$1733,0))</f>
        <v>45673</v>
      </c>
      <c r="G34" s="18" t="n">
        <f aca="false">INDEX(JE_Lines!$D$5:$D$1733,MATCH(A34,JE_Lines!$B$5:$B$1733,0))</f>
        <v>45671</v>
      </c>
      <c r="H34" s="0" t="str">
        <f aca="false">INDEX(JE_Lines!$I$5:$I$1733,MATCH(A34,JE_Lines!$B$5:$B$1733,0))</f>
        <v>SYS_AR</v>
      </c>
      <c r="I34" s="0" t="str">
        <f aca="false">INDEX(JE_Lines!$J$5:$J$1733,MATCH(A34,JE_Lines!$B$5:$B$1733,0))</f>
        <v>System</v>
      </c>
      <c r="J34" s="0" t="str">
        <f aca="false">IF(LEN(INDEX(JE_Lines!$K$5:$K$1733,MATCH(A34,JE_Lines!$B$5:$B$1733,0)))=0,"",INDEX(JE_Lines!$K$5:$K$1733,MATCH(A34,JE_Lines!$B$5:$B$1733,0)))</f>
        <v>Sales invoice batch</v>
      </c>
      <c r="K34" s="9" t="n">
        <f aca="false">F34-G34</f>
        <v>2</v>
      </c>
      <c r="L34" s="9" t="n">
        <f aca="false">COUNTIFS(JE_Lines!$B$5:$B$1733,A34,JE_Lines!$F$5:$F$1733,"Revenue")</f>
        <v>1</v>
      </c>
      <c r="M34" s="9" t="n">
        <f aca="false">COUNTIFS(JE_Lines!$B$5:$B$1733,A34,JE_Lines!$F$5:$F$1733,"Suspense")</f>
        <v>0</v>
      </c>
      <c r="N34" s="9" t="n">
        <f aca="false">IF(ABS(E34)&gt;Parameters!$B$23,1,0)</f>
        <v>0</v>
      </c>
      <c r="O34" s="9" t="n">
        <f aca="false">IF(WEEKDAY(F34,2)&gt;5,1,0)</f>
        <v>0</v>
      </c>
      <c r="P34" s="9" t="n">
        <f aca="false">IF(K34&gt;Parameters!$B$17,1,0)</f>
        <v>0</v>
      </c>
      <c r="Q34" s="9" t="n">
        <f aca="false">IF(AND(F34&lt;=Parameters!$B$6,F34&gt;Parameters!$B$6-Parameters!$B$18),1,0)</f>
        <v>0</v>
      </c>
      <c r="R34" s="9" t="n">
        <f aca="false">IF(COUNTIF(Parameters!$A$51:$A$58,H34)=0,1,0)</f>
        <v>0</v>
      </c>
      <c r="S34" s="9" t="n">
        <f aca="false">IF(AND(I34="Manual",L34&gt;0),1,0)</f>
        <v>0</v>
      </c>
      <c r="T34" s="9" t="n">
        <f aca="false">IF(AND(C34&gt;=Parameters!$B$22,ROUND(MOD(ROUND(C34,2),Parameters!$B$21),2)=0),1,0)</f>
        <v>0</v>
      </c>
      <c r="U34" s="9" t="n">
        <f aca="false">IF(LEN(TRIM(J34))=0,1,0)</f>
        <v>0</v>
      </c>
      <c r="V34" s="9" t="n">
        <f aca="false">IF(AND(I34="Manual",C34&lt;Parameters!$B$19,C34&gt;=Parameters!$B$19*(1-Parameters!$B$20)),1,0)</f>
        <v>0</v>
      </c>
      <c r="W34" s="9" t="n">
        <f aca="false">IF(AND(I34="Manual",M34&gt;0),1,0)</f>
        <v>0</v>
      </c>
      <c r="X34" s="9" t="n">
        <f aca="false">IF(A34-A33&gt;1,1,0)</f>
        <v>0</v>
      </c>
      <c r="Y34" s="9" t="n">
        <f aca="false">N34*Parameters!$B$38+O34*Parameters!$B$39+P34*Parameters!$B$40+Q34*Parameters!$B$41+R34*Parameters!$B$42+S34*Parameters!$B$43+T34*Parameters!$B$44+U34*Parameters!$B$45+V34*Parameters!$B$46+W34*Parameters!$B$47+X34*Parameters!$B$48</f>
        <v>0</v>
      </c>
      <c r="Z34" s="0" t="str">
        <f aca="false">IF(Y34&gt;=Parameters!$B$25,"High","")</f>
        <v/>
      </c>
    </row>
    <row r="35" customFormat="false" ht="15" hidden="false" customHeight="false" outlineLevel="0" collapsed="false">
      <c r="A35" s="16" t="n">
        <v>1031</v>
      </c>
      <c r="B35" s="9" t="n">
        <f aca="false">COUNTIF(JE_Lines!$B$5:$B$1733,A35)</f>
        <v>2</v>
      </c>
      <c r="C35" s="17" t="n">
        <f aca="false">SUMIFS(JE_Lines!$G$5:$G$1733,JE_Lines!$B$5:$B$1733,A35)</f>
        <v>18858.8</v>
      </c>
      <c r="D35" s="17" t="n">
        <f aca="false">SUMIFS(JE_Lines!$H$5:$H$1733,JE_Lines!$B$5:$B$1733,A35)</f>
        <v>18858.8</v>
      </c>
      <c r="E35" s="17" t="n">
        <f aca="false">C35-D35</f>
        <v>0</v>
      </c>
      <c r="F35" s="18" t="n">
        <f aca="false">INDEX(JE_Lines!$C$5:$C$1733,MATCH(A35,JE_Lines!$B$5:$B$1733,0))</f>
        <v>45673</v>
      </c>
      <c r="G35" s="18" t="n">
        <f aca="false">INDEX(JE_Lines!$D$5:$D$1733,MATCH(A35,JE_Lines!$B$5:$B$1733,0))</f>
        <v>45671</v>
      </c>
      <c r="H35" s="0" t="str">
        <f aca="false">INDEX(JE_Lines!$I$5:$I$1733,MATCH(A35,JE_Lines!$B$5:$B$1733,0))</f>
        <v>SYS_AP</v>
      </c>
      <c r="I35" s="0" t="str">
        <f aca="false">INDEX(JE_Lines!$J$5:$J$1733,MATCH(A35,JE_Lines!$B$5:$B$1733,0))</f>
        <v>System</v>
      </c>
      <c r="J35" s="0" t="str">
        <f aca="false">IF(LEN(INDEX(JE_Lines!$K$5:$K$1733,MATCH(A35,JE_Lines!$B$5:$B$1733,0)))=0,"",INDEX(JE_Lines!$K$5:$K$1733,MATCH(A35,JE_Lines!$B$5:$B$1733,0)))</f>
        <v>Fixed asset additions</v>
      </c>
      <c r="K35" s="9" t="n">
        <f aca="false">F35-G35</f>
        <v>2</v>
      </c>
      <c r="L35" s="9" t="n">
        <f aca="false">COUNTIFS(JE_Lines!$B$5:$B$1733,A35,JE_Lines!$F$5:$F$1733,"Revenue")</f>
        <v>0</v>
      </c>
      <c r="M35" s="9" t="n">
        <f aca="false">COUNTIFS(JE_Lines!$B$5:$B$1733,A35,JE_Lines!$F$5:$F$1733,"Suspense")</f>
        <v>0</v>
      </c>
      <c r="N35" s="9" t="n">
        <f aca="false">IF(ABS(E35)&gt;Parameters!$B$23,1,0)</f>
        <v>0</v>
      </c>
      <c r="O35" s="9" t="n">
        <f aca="false">IF(WEEKDAY(F35,2)&gt;5,1,0)</f>
        <v>0</v>
      </c>
      <c r="P35" s="9" t="n">
        <f aca="false">IF(K35&gt;Parameters!$B$17,1,0)</f>
        <v>0</v>
      </c>
      <c r="Q35" s="9" t="n">
        <f aca="false">IF(AND(F35&lt;=Parameters!$B$6,F35&gt;Parameters!$B$6-Parameters!$B$18),1,0)</f>
        <v>0</v>
      </c>
      <c r="R35" s="9" t="n">
        <f aca="false">IF(COUNTIF(Parameters!$A$51:$A$58,H35)=0,1,0)</f>
        <v>0</v>
      </c>
      <c r="S35" s="9" t="n">
        <f aca="false">IF(AND(I35="Manual",L35&gt;0),1,0)</f>
        <v>0</v>
      </c>
      <c r="T35" s="9" t="n">
        <f aca="false">IF(AND(C35&gt;=Parameters!$B$22,ROUND(MOD(ROUND(C35,2),Parameters!$B$21),2)=0),1,0)</f>
        <v>0</v>
      </c>
      <c r="U35" s="9" t="n">
        <f aca="false">IF(LEN(TRIM(J35))=0,1,0)</f>
        <v>0</v>
      </c>
      <c r="V35" s="9" t="n">
        <f aca="false">IF(AND(I35="Manual",C35&lt;Parameters!$B$19,C35&gt;=Parameters!$B$19*(1-Parameters!$B$20)),1,0)</f>
        <v>0</v>
      </c>
      <c r="W35" s="9" t="n">
        <f aca="false">IF(AND(I35="Manual",M35&gt;0),1,0)</f>
        <v>0</v>
      </c>
      <c r="X35" s="9" t="n">
        <f aca="false">IF(A35-A34&gt;1,1,0)</f>
        <v>0</v>
      </c>
      <c r="Y35" s="9" t="n">
        <f aca="false">N35*Parameters!$B$38+O35*Parameters!$B$39+P35*Parameters!$B$40+Q35*Parameters!$B$41+R35*Parameters!$B$42+S35*Parameters!$B$43+T35*Parameters!$B$44+U35*Parameters!$B$45+V35*Parameters!$B$46+W35*Parameters!$B$47+X35*Parameters!$B$48</f>
        <v>0</v>
      </c>
      <c r="Z35" s="0" t="str">
        <f aca="false">IF(Y35&gt;=Parameters!$B$25,"High","")</f>
        <v/>
      </c>
    </row>
    <row r="36" customFormat="false" ht="15" hidden="false" customHeight="false" outlineLevel="0" collapsed="false">
      <c r="A36" s="16" t="n">
        <v>1032</v>
      </c>
      <c r="B36" s="9" t="n">
        <f aca="false">COUNTIF(JE_Lines!$B$5:$B$1733,A36)</f>
        <v>2</v>
      </c>
      <c r="C36" s="17" t="n">
        <f aca="false">SUMIFS(JE_Lines!$G$5:$G$1733,JE_Lines!$B$5:$B$1733,A36)</f>
        <v>12219.41</v>
      </c>
      <c r="D36" s="17" t="n">
        <f aca="false">SUMIFS(JE_Lines!$H$5:$H$1733,JE_Lines!$B$5:$B$1733,A36)</f>
        <v>12219.41</v>
      </c>
      <c r="E36" s="17" t="n">
        <f aca="false">C36-D36</f>
        <v>0</v>
      </c>
      <c r="F36" s="18" t="n">
        <f aca="false">INDEX(JE_Lines!$C$5:$C$1733,MATCH(A36,JE_Lines!$B$5:$B$1733,0))</f>
        <v>45674</v>
      </c>
      <c r="G36" s="18" t="n">
        <f aca="false">INDEX(JE_Lines!$D$5:$D$1733,MATCH(A36,JE_Lines!$B$5:$B$1733,0))</f>
        <v>45672</v>
      </c>
      <c r="H36" s="0" t="str">
        <f aca="false">INDEX(JE_Lines!$I$5:$I$1733,MATCH(A36,JE_Lines!$B$5:$B$1733,0))</f>
        <v>SYS_AP</v>
      </c>
      <c r="I36" s="0" t="str">
        <f aca="false">INDEX(JE_Lines!$J$5:$J$1733,MATCH(A36,JE_Lines!$B$5:$B$1733,0))</f>
        <v>System</v>
      </c>
      <c r="J36" s="0" t="str">
        <f aca="false">IF(LEN(INDEX(JE_Lines!$K$5:$K$1733,MATCH(A36,JE_Lines!$B$5:$B$1733,0)))=0,"",INDEX(JE_Lines!$K$5:$K$1733,MATCH(A36,JE_Lines!$B$5:$B$1733,0)))</f>
        <v>Supplier invoices</v>
      </c>
      <c r="K36" s="9" t="n">
        <f aca="false">F36-G36</f>
        <v>2</v>
      </c>
      <c r="L36" s="9" t="n">
        <f aca="false">COUNTIFS(JE_Lines!$B$5:$B$1733,A36,JE_Lines!$F$5:$F$1733,"Revenue")</f>
        <v>0</v>
      </c>
      <c r="M36" s="9" t="n">
        <f aca="false">COUNTIFS(JE_Lines!$B$5:$B$1733,A36,JE_Lines!$F$5:$F$1733,"Suspense")</f>
        <v>0</v>
      </c>
      <c r="N36" s="9" t="n">
        <f aca="false">IF(ABS(E36)&gt;Parameters!$B$23,1,0)</f>
        <v>0</v>
      </c>
      <c r="O36" s="9" t="n">
        <f aca="false">IF(WEEKDAY(F36,2)&gt;5,1,0)</f>
        <v>0</v>
      </c>
      <c r="P36" s="9" t="n">
        <f aca="false">IF(K36&gt;Parameters!$B$17,1,0)</f>
        <v>0</v>
      </c>
      <c r="Q36" s="9" t="n">
        <f aca="false">IF(AND(F36&lt;=Parameters!$B$6,F36&gt;Parameters!$B$6-Parameters!$B$18),1,0)</f>
        <v>0</v>
      </c>
      <c r="R36" s="9" t="n">
        <f aca="false">IF(COUNTIF(Parameters!$A$51:$A$58,H36)=0,1,0)</f>
        <v>0</v>
      </c>
      <c r="S36" s="9" t="n">
        <f aca="false">IF(AND(I36="Manual",L36&gt;0),1,0)</f>
        <v>0</v>
      </c>
      <c r="T36" s="9" t="n">
        <f aca="false">IF(AND(C36&gt;=Parameters!$B$22,ROUND(MOD(ROUND(C36,2),Parameters!$B$21),2)=0),1,0)</f>
        <v>0</v>
      </c>
      <c r="U36" s="9" t="n">
        <f aca="false">IF(LEN(TRIM(J36))=0,1,0)</f>
        <v>0</v>
      </c>
      <c r="V36" s="9" t="n">
        <f aca="false">IF(AND(I36="Manual",C36&lt;Parameters!$B$19,C36&gt;=Parameters!$B$19*(1-Parameters!$B$20)),1,0)</f>
        <v>0</v>
      </c>
      <c r="W36" s="9" t="n">
        <f aca="false">IF(AND(I36="Manual",M36&gt;0),1,0)</f>
        <v>0</v>
      </c>
      <c r="X36" s="9" t="n">
        <f aca="false">IF(A36-A35&gt;1,1,0)</f>
        <v>0</v>
      </c>
      <c r="Y36" s="9" t="n">
        <f aca="false">N36*Parameters!$B$38+O36*Parameters!$B$39+P36*Parameters!$B$40+Q36*Parameters!$B$41+R36*Parameters!$B$42+S36*Parameters!$B$43+T36*Parameters!$B$44+U36*Parameters!$B$45+V36*Parameters!$B$46+W36*Parameters!$B$47+X36*Parameters!$B$48</f>
        <v>0</v>
      </c>
      <c r="Z36" s="0" t="str">
        <f aca="false">IF(Y36&gt;=Parameters!$B$25,"High","")</f>
        <v/>
      </c>
    </row>
    <row r="37" customFormat="false" ht="15" hidden="false" customHeight="false" outlineLevel="0" collapsed="false">
      <c r="A37" s="16" t="n">
        <v>1033</v>
      </c>
      <c r="B37" s="9" t="n">
        <f aca="false">COUNTIF(JE_Lines!$B$5:$B$1733,A37)</f>
        <v>2</v>
      </c>
      <c r="C37" s="17" t="n">
        <f aca="false">SUMIFS(JE_Lines!$G$5:$G$1733,JE_Lines!$B$5:$B$1733,A37)</f>
        <v>34428.78</v>
      </c>
      <c r="D37" s="17" t="n">
        <f aca="false">SUMIFS(JE_Lines!$H$5:$H$1733,JE_Lines!$B$5:$B$1733,A37)</f>
        <v>34428.78</v>
      </c>
      <c r="E37" s="17" t="n">
        <f aca="false">C37-D37</f>
        <v>0</v>
      </c>
      <c r="F37" s="18" t="n">
        <f aca="false">INDEX(JE_Lines!$C$5:$C$1733,MATCH(A37,JE_Lines!$B$5:$B$1733,0))</f>
        <v>45674</v>
      </c>
      <c r="G37" s="18" t="n">
        <f aca="false">INDEX(JE_Lines!$D$5:$D$1733,MATCH(A37,JE_Lines!$B$5:$B$1733,0))</f>
        <v>45674</v>
      </c>
      <c r="H37" s="0" t="str">
        <f aca="false">INDEX(JE_Lines!$I$5:$I$1733,MATCH(A37,JE_Lines!$B$5:$B$1733,0))</f>
        <v>FIN03</v>
      </c>
      <c r="I37" s="0" t="str">
        <f aca="false">INDEX(JE_Lines!$J$5:$J$1733,MATCH(A37,JE_Lines!$B$5:$B$1733,0))</f>
        <v>Manual</v>
      </c>
      <c r="J37" s="0" t="str">
        <f aca="false">IF(LEN(INDEX(JE_Lines!$K$5:$K$1733,MATCH(A37,JE_Lines!$B$5:$B$1733,0)))=0,"",INDEX(JE_Lines!$K$5:$K$1733,MATCH(A37,JE_Lines!$B$5:$B$1733,0)))</f>
        <v/>
      </c>
      <c r="K37" s="9" t="n">
        <f aca="false">F37-G37</f>
        <v>0</v>
      </c>
      <c r="L37" s="9" t="n">
        <f aca="false">COUNTIFS(JE_Lines!$B$5:$B$1733,A37,JE_Lines!$F$5:$F$1733,"Revenue")</f>
        <v>0</v>
      </c>
      <c r="M37" s="9" t="n">
        <f aca="false">COUNTIFS(JE_Lines!$B$5:$B$1733,A37,JE_Lines!$F$5:$F$1733,"Suspense")</f>
        <v>0</v>
      </c>
      <c r="N37" s="9" t="n">
        <f aca="false">IF(ABS(E37)&gt;Parameters!$B$23,1,0)</f>
        <v>0</v>
      </c>
      <c r="O37" s="9" t="n">
        <f aca="false">IF(WEEKDAY(F37,2)&gt;5,1,0)</f>
        <v>0</v>
      </c>
      <c r="P37" s="9" t="n">
        <f aca="false">IF(K37&gt;Parameters!$B$17,1,0)</f>
        <v>0</v>
      </c>
      <c r="Q37" s="9" t="n">
        <f aca="false">IF(AND(F37&lt;=Parameters!$B$6,F37&gt;Parameters!$B$6-Parameters!$B$18),1,0)</f>
        <v>0</v>
      </c>
      <c r="R37" s="9" t="n">
        <f aca="false">IF(COUNTIF(Parameters!$A$51:$A$58,H37)=0,1,0)</f>
        <v>0</v>
      </c>
      <c r="S37" s="9" t="n">
        <f aca="false">IF(AND(I37="Manual",L37&gt;0),1,0)</f>
        <v>0</v>
      </c>
      <c r="T37" s="9" t="n">
        <f aca="false">IF(AND(C37&gt;=Parameters!$B$22,ROUND(MOD(ROUND(C37,2),Parameters!$B$21),2)=0),1,0)</f>
        <v>0</v>
      </c>
      <c r="U37" s="9" t="n">
        <f aca="false">IF(LEN(TRIM(J37))=0,1,0)</f>
        <v>1</v>
      </c>
      <c r="V37" s="9" t="n">
        <f aca="false">IF(AND(I37="Manual",C37&lt;Parameters!$B$19,C37&gt;=Parameters!$B$19*(1-Parameters!$B$20)),1,0)</f>
        <v>0</v>
      </c>
      <c r="W37" s="9" t="n">
        <f aca="false">IF(AND(I37="Manual",M37&gt;0),1,0)</f>
        <v>0</v>
      </c>
      <c r="X37" s="9" t="n">
        <f aca="false">IF(A37-A36&gt;1,1,0)</f>
        <v>0</v>
      </c>
      <c r="Y37" s="9" t="n">
        <f aca="false">N37*Parameters!$B$38+O37*Parameters!$B$39+P37*Parameters!$B$40+Q37*Parameters!$B$41+R37*Parameters!$B$42+S37*Parameters!$B$43+T37*Parameters!$B$44+U37*Parameters!$B$45+V37*Parameters!$B$46+W37*Parameters!$B$47+X37*Parameters!$B$48</f>
        <v>2</v>
      </c>
      <c r="Z37" s="0" t="str">
        <f aca="false">IF(Y37&gt;=Parameters!$B$25,"High","")</f>
        <v/>
      </c>
    </row>
    <row r="38" customFormat="false" ht="15" hidden="false" customHeight="false" outlineLevel="0" collapsed="false">
      <c r="A38" s="16" t="n">
        <v>1034</v>
      </c>
      <c r="B38" s="9" t="n">
        <f aca="false">COUNTIF(JE_Lines!$B$5:$B$1733,A38)</f>
        <v>2</v>
      </c>
      <c r="C38" s="17" t="n">
        <f aca="false">SUMIFS(JE_Lines!$G$5:$G$1733,JE_Lines!$B$5:$B$1733,A38)</f>
        <v>71785.26</v>
      </c>
      <c r="D38" s="17" t="n">
        <f aca="false">SUMIFS(JE_Lines!$H$5:$H$1733,JE_Lines!$B$5:$B$1733,A38)</f>
        <v>71785.26</v>
      </c>
      <c r="E38" s="17" t="n">
        <f aca="false">C38-D38</f>
        <v>0</v>
      </c>
      <c r="F38" s="18" t="n">
        <f aca="false">INDEX(JE_Lines!$C$5:$C$1733,MATCH(A38,JE_Lines!$B$5:$B$1733,0))</f>
        <v>45674</v>
      </c>
      <c r="G38" s="18" t="n">
        <f aca="false">INDEX(JE_Lines!$D$5:$D$1733,MATCH(A38,JE_Lines!$B$5:$B$1733,0))</f>
        <v>45670</v>
      </c>
      <c r="H38" s="0" t="str">
        <f aca="false">INDEX(JE_Lines!$I$5:$I$1733,MATCH(A38,JE_Lines!$B$5:$B$1733,0))</f>
        <v>FIN01</v>
      </c>
      <c r="I38" s="0" t="str">
        <f aca="false">INDEX(JE_Lines!$J$5:$J$1733,MATCH(A38,JE_Lines!$B$5:$B$1733,0))</f>
        <v>Manual</v>
      </c>
      <c r="J38" s="0" t="str">
        <f aca="false">IF(LEN(INDEX(JE_Lines!$K$5:$K$1733,MATCH(A38,JE_Lines!$B$5:$B$1733,0)))=0,"",INDEX(JE_Lines!$K$5:$K$1733,MATCH(A38,JE_Lines!$B$5:$B$1733,0)))</f>
        <v>Accrual for sundry costs</v>
      </c>
      <c r="K38" s="9" t="n">
        <f aca="false">F38-G38</f>
        <v>4</v>
      </c>
      <c r="L38" s="9" t="n">
        <f aca="false">COUNTIFS(JE_Lines!$B$5:$B$1733,A38,JE_Lines!$F$5:$F$1733,"Revenue")</f>
        <v>0</v>
      </c>
      <c r="M38" s="9" t="n">
        <f aca="false">COUNTIFS(JE_Lines!$B$5:$B$1733,A38,JE_Lines!$F$5:$F$1733,"Suspense")</f>
        <v>0</v>
      </c>
      <c r="N38" s="9" t="n">
        <f aca="false">IF(ABS(E38)&gt;Parameters!$B$23,1,0)</f>
        <v>0</v>
      </c>
      <c r="O38" s="9" t="n">
        <f aca="false">IF(WEEKDAY(F38,2)&gt;5,1,0)</f>
        <v>0</v>
      </c>
      <c r="P38" s="9" t="n">
        <f aca="false">IF(K38&gt;Parameters!$B$17,1,0)</f>
        <v>0</v>
      </c>
      <c r="Q38" s="9" t="n">
        <f aca="false">IF(AND(F38&lt;=Parameters!$B$6,F38&gt;Parameters!$B$6-Parameters!$B$18),1,0)</f>
        <v>0</v>
      </c>
      <c r="R38" s="9" t="n">
        <f aca="false">IF(COUNTIF(Parameters!$A$51:$A$58,H38)=0,1,0)</f>
        <v>0</v>
      </c>
      <c r="S38" s="9" t="n">
        <f aca="false">IF(AND(I38="Manual",L38&gt;0),1,0)</f>
        <v>0</v>
      </c>
      <c r="T38" s="9" t="n">
        <f aca="false">IF(AND(C38&gt;=Parameters!$B$22,ROUND(MOD(ROUND(C38,2),Parameters!$B$21),2)=0),1,0)</f>
        <v>0</v>
      </c>
      <c r="U38" s="9" t="n">
        <f aca="false">IF(LEN(TRIM(J38))=0,1,0)</f>
        <v>0</v>
      </c>
      <c r="V38" s="9" t="n">
        <f aca="false">IF(AND(I38="Manual",C38&lt;Parameters!$B$19,C38&gt;=Parameters!$B$19*(1-Parameters!$B$20)),1,0)</f>
        <v>0</v>
      </c>
      <c r="W38" s="9" t="n">
        <f aca="false">IF(AND(I38="Manual",M38&gt;0),1,0)</f>
        <v>0</v>
      </c>
      <c r="X38" s="9" t="n">
        <f aca="false">IF(A38-A37&gt;1,1,0)</f>
        <v>0</v>
      </c>
      <c r="Y38" s="9" t="n">
        <f aca="false">N38*Parameters!$B$38+O38*Parameters!$B$39+P38*Parameters!$B$40+Q38*Parameters!$B$41+R38*Parameters!$B$42+S38*Parameters!$B$43+T38*Parameters!$B$44+U38*Parameters!$B$45+V38*Parameters!$B$46+W38*Parameters!$B$47+X38*Parameters!$B$48</f>
        <v>0</v>
      </c>
      <c r="Z38" s="0" t="str">
        <f aca="false">IF(Y38&gt;=Parameters!$B$25,"High","")</f>
        <v/>
      </c>
    </row>
    <row r="39" customFormat="false" ht="15" hidden="false" customHeight="false" outlineLevel="0" collapsed="false">
      <c r="A39" s="16" t="n">
        <v>1035</v>
      </c>
      <c r="B39" s="9" t="n">
        <f aca="false">COUNTIF(JE_Lines!$B$5:$B$1733,A39)</f>
        <v>2</v>
      </c>
      <c r="C39" s="17" t="n">
        <f aca="false">SUMIFS(JE_Lines!$G$5:$G$1733,JE_Lines!$B$5:$B$1733,A39)</f>
        <v>111700.56</v>
      </c>
      <c r="D39" s="17" t="n">
        <f aca="false">SUMIFS(JE_Lines!$H$5:$H$1733,JE_Lines!$B$5:$B$1733,A39)</f>
        <v>111700.56</v>
      </c>
      <c r="E39" s="17" t="n">
        <f aca="false">C39-D39</f>
        <v>0</v>
      </c>
      <c r="F39" s="18" t="n">
        <f aca="false">INDEX(JE_Lines!$C$5:$C$1733,MATCH(A39,JE_Lines!$B$5:$B$1733,0))</f>
        <v>45674</v>
      </c>
      <c r="G39" s="18" t="n">
        <f aca="false">INDEX(JE_Lines!$D$5:$D$1733,MATCH(A39,JE_Lines!$B$5:$B$1733,0))</f>
        <v>45672</v>
      </c>
      <c r="H39" s="0" t="str">
        <f aca="false">INDEX(JE_Lines!$I$5:$I$1733,MATCH(A39,JE_Lines!$B$5:$B$1733,0))</f>
        <v>SYS_AR</v>
      </c>
      <c r="I39" s="0" t="str">
        <f aca="false">INDEX(JE_Lines!$J$5:$J$1733,MATCH(A39,JE_Lines!$B$5:$B$1733,0))</f>
        <v>System</v>
      </c>
      <c r="J39" s="0" t="str">
        <f aca="false">IF(LEN(INDEX(JE_Lines!$K$5:$K$1733,MATCH(A39,JE_Lines!$B$5:$B$1733,0)))=0,"",INDEX(JE_Lines!$K$5:$K$1733,MATCH(A39,JE_Lines!$B$5:$B$1733,0)))</f>
        <v>Customer receipts</v>
      </c>
      <c r="K39" s="9" t="n">
        <f aca="false">F39-G39</f>
        <v>2</v>
      </c>
      <c r="L39" s="9" t="n">
        <f aca="false">COUNTIFS(JE_Lines!$B$5:$B$1733,A39,JE_Lines!$F$5:$F$1733,"Revenue")</f>
        <v>0</v>
      </c>
      <c r="M39" s="9" t="n">
        <f aca="false">COUNTIFS(JE_Lines!$B$5:$B$1733,A39,JE_Lines!$F$5:$F$1733,"Suspense")</f>
        <v>0</v>
      </c>
      <c r="N39" s="9" t="n">
        <f aca="false">IF(ABS(E39)&gt;Parameters!$B$23,1,0)</f>
        <v>0</v>
      </c>
      <c r="O39" s="9" t="n">
        <f aca="false">IF(WEEKDAY(F39,2)&gt;5,1,0)</f>
        <v>0</v>
      </c>
      <c r="P39" s="9" t="n">
        <f aca="false">IF(K39&gt;Parameters!$B$17,1,0)</f>
        <v>0</v>
      </c>
      <c r="Q39" s="9" t="n">
        <f aca="false">IF(AND(F39&lt;=Parameters!$B$6,F39&gt;Parameters!$B$6-Parameters!$B$18),1,0)</f>
        <v>0</v>
      </c>
      <c r="R39" s="9" t="n">
        <f aca="false">IF(COUNTIF(Parameters!$A$51:$A$58,H39)=0,1,0)</f>
        <v>0</v>
      </c>
      <c r="S39" s="9" t="n">
        <f aca="false">IF(AND(I39="Manual",L39&gt;0),1,0)</f>
        <v>0</v>
      </c>
      <c r="T39" s="9" t="n">
        <f aca="false">IF(AND(C39&gt;=Parameters!$B$22,ROUND(MOD(ROUND(C39,2),Parameters!$B$21),2)=0),1,0)</f>
        <v>0</v>
      </c>
      <c r="U39" s="9" t="n">
        <f aca="false">IF(LEN(TRIM(J39))=0,1,0)</f>
        <v>0</v>
      </c>
      <c r="V39" s="9" t="n">
        <f aca="false">IF(AND(I39="Manual",C39&lt;Parameters!$B$19,C39&gt;=Parameters!$B$19*(1-Parameters!$B$20)),1,0)</f>
        <v>0</v>
      </c>
      <c r="W39" s="9" t="n">
        <f aca="false">IF(AND(I39="Manual",M39&gt;0),1,0)</f>
        <v>0</v>
      </c>
      <c r="X39" s="9" t="n">
        <f aca="false">IF(A39-A38&gt;1,1,0)</f>
        <v>0</v>
      </c>
      <c r="Y39" s="9" t="n">
        <f aca="false">N39*Parameters!$B$38+O39*Parameters!$B$39+P39*Parameters!$B$40+Q39*Parameters!$B$41+R39*Parameters!$B$42+S39*Parameters!$B$43+T39*Parameters!$B$44+U39*Parameters!$B$45+V39*Parameters!$B$46+W39*Parameters!$B$47+X39*Parameters!$B$48</f>
        <v>0</v>
      </c>
      <c r="Z39" s="0" t="str">
        <f aca="false">IF(Y39&gt;=Parameters!$B$25,"High","")</f>
        <v/>
      </c>
    </row>
    <row r="40" customFormat="false" ht="15" hidden="false" customHeight="false" outlineLevel="0" collapsed="false">
      <c r="A40" s="16" t="n">
        <v>1036</v>
      </c>
      <c r="B40" s="9" t="n">
        <f aca="false">COUNTIF(JE_Lines!$B$5:$B$1733,A40)</f>
        <v>2</v>
      </c>
      <c r="C40" s="17" t="n">
        <f aca="false">SUMIFS(JE_Lines!$G$5:$G$1733,JE_Lines!$B$5:$B$1733,A40)</f>
        <v>9230.62</v>
      </c>
      <c r="D40" s="17" t="n">
        <f aca="false">SUMIFS(JE_Lines!$H$5:$H$1733,JE_Lines!$B$5:$B$1733,A40)</f>
        <v>9230.62</v>
      </c>
      <c r="E40" s="17" t="n">
        <f aca="false">C40-D40</f>
        <v>0</v>
      </c>
      <c r="F40" s="18" t="n">
        <f aca="false">INDEX(JE_Lines!$C$5:$C$1733,MATCH(A40,JE_Lines!$B$5:$B$1733,0))</f>
        <v>45674</v>
      </c>
      <c r="G40" s="18" t="n">
        <f aca="false">INDEX(JE_Lines!$D$5:$D$1733,MATCH(A40,JE_Lines!$B$5:$B$1733,0))</f>
        <v>45670</v>
      </c>
      <c r="H40" s="0" t="str">
        <f aca="false">INDEX(JE_Lines!$I$5:$I$1733,MATCH(A40,JE_Lines!$B$5:$B$1733,0))</f>
        <v>SYS_AR</v>
      </c>
      <c r="I40" s="0" t="str">
        <f aca="false">INDEX(JE_Lines!$J$5:$J$1733,MATCH(A40,JE_Lines!$B$5:$B$1733,0))</f>
        <v>System</v>
      </c>
      <c r="J40" s="0" t="str">
        <f aca="false">IF(LEN(INDEX(JE_Lines!$K$5:$K$1733,MATCH(A40,JE_Lines!$B$5:$B$1733,0)))=0,"",INDEX(JE_Lines!$K$5:$K$1733,MATCH(A40,JE_Lines!$B$5:$B$1733,0)))</f>
        <v>Cost of sales posting</v>
      </c>
      <c r="K40" s="9" t="n">
        <f aca="false">F40-G40</f>
        <v>4</v>
      </c>
      <c r="L40" s="9" t="n">
        <f aca="false">COUNTIFS(JE_Lines!$B$5:$B$1733,A40,JE_Lines!$F$5:$F$1733,"Revenue")</f>
        <v>0</v>
      </c>
      <c r="M40" s="9" t="n">
        <f aca="false">COUNTIFS(JE_Lines!$B$5:$B$1733,A40,JE_Lines!$F$5:$F$1733,"Suspense")</f>
        <v>0</v>
      </c>
      <c r="N40" s="9" t="n">
        <f aca="false">IF(ABS(E40)&gt;Parameters!$B$23,1,0)</f>
        <v>0</v>
      </c>
      <c r="O40" s="9" t="n">
        <f aca="false">IF(WEEKDAY(F40,2)&gt;5,1,0)</f>
        <v>0</v>
      </c>
      <c r="P40" s="9" t="n">
        <f aca="false">IF(K40&gt;Parameters!$B$17,1,0)</f>
        <v>0</v>
      </c>
      <c r="Q40" s="9" t="n">
        <f aca="false">IF(AND(F40&lt;=Parameters!$B$6,F40&gt;Parameters!$B$6-Parameters!$B$18),1,0)</f>
        <v>0</v>
      </c>
      <c r="R40" s="9" t="n">
        <f aca="false">IF(COUNTIF(Parameters!$A$51:$A$58,H40)=0,1,0)</f>
        <v>0</v>
      </c>
      <c r="S40" s="9" t="n">
        <f aca="false">IF(AND(I40="Manual",L40&gt;0),1,0)</f>
        <v>0</v>
      </c>
      <c r="T40" s="9" t="n">
        <f aca="false">IF(AND(C40&gt;=Parameters!$B$22,ROUND(MOD(ROUND(C40,2),Parameters!$B$21),2)=0),1,0)</f>
        <v>0</v>
      </c>
      <c r="U40" s="9" t="n">
        <f aca="false">IF(LEN(TRIM(J40))=0,1,0)</f>
        <v>0</v>
      </c>
      <c r="V40" s="9" t="n">
        <f aca="false">IF(AND(I40="Manual",C40&lt;Parameters!$B$19,C40&gt;=Parameters!$B$19*(1-Parameters!$B$20)),1,0)</f>
        <v>0</v>
      </c>
      <c r="W40" s="9" t="n">
        <f aca="false">IF(AND(I40="Manual",M40&gt;0),1,0)</f>
        <v>0</v>
      </c>
      <c r="X40" s="9" t="n">
        <f aca="false">IF(A40-A39&gt;1,1,0)</f>
        <v>0</v>
      </c>
      <c r="Y40" s="9" t="n">
        <f aca="false">N40*Parameters!$B$38+O40*Parameters!$B$39+P40*Parameters!$B$40+Q40*Parameters!$B$41+R40*Parameters!$B$42+S40*Parameters!$B$43+T40*Parameters!$B$44+U40*Parameters!$B$45+V40*Parameters!$B$46+W40*Parameters!$B$47+X40*Parameters!$B$48</f>
        <v>0</v>
      </c>
      <c r="Z40" s="0" t="str">
        <f aca="false">IF(Y40&gt;=Parameters!$B$25,"High","")</f>
        <v/>
      </c>
    </row>
    <row r="41" customFormat="false" ht="15" hidden="false" customHeight="false" outlineLevel="0" collapsed="false">
      <c r="A41" s="16" t="n">
        <v>1037</v>
      </c>
      <c r="B41" s="9" t="n">
        <f aca="false">COUNTIF(JE_Lines!$B$5:$B$1733,A41)</f>
        <v>2</v>
      </c>
      <c r="C41" s="17" t="n">
        <f aca="false">SUMIFS(JE_Lines!$G$5:$G$1733,JE_Lines!$B$5:$B$1733,A41)</f>
        <v>4993.54</v>
      </c>
      <c r="D41" s="17" t="n">
        <f aca="false">SUMIFS(JE_Lines!$H$5:$H$1733,JE_Lines!$B$5:$B$1733,A41)</f>
        <v>4993.54</v>
      </c>
      <c r="E41" s="17" t="n">
        <f aca="false">C41-D41</f>
        <v>0</v>
      </c>
      <c r="F41" s="18" t="n">
        <f aca="false">INDEX(JE_Lines!$C$5:$C$1733,MATCH(A41,JE_Lines!$B$5:$B$1733,0))</f>
        <v>45674</v>
      </c>
      <c r="G41" s="18" t="n">
        <f aca="false">INDEX(JE_Lines!$D$5:$D$1733,MATCH(A41,JE_Lines!$B$5:$B$1733,0))</f>
        <v>45674</v>
      </c>
      <c r="H41" s="0" t="str">
        <f aca="false">INDEX(JE_Lines!$I$5:$I$1733,MATCH(A41,JE_Lines!$B$5:$B$1733,0))</f>
        <v>SYS_AR</v>
      </c>
      <c r="I41" s="0" t="str">
        <f aca="false">INDEX(JE_Lines!$J$5:$J$1733,MATCH(A41,JE_Lines!$B$5:$B$1733,0))</f>
        <v>System</v>
      </c>
      <c r="J41" s="0" t="str">
        <f aca="false">IF(LEN(INDEX(JE_Lines!$K$5:$K$1733,MATCH(A41,JE_Lines!$B$5:$B$1733,0)))=0,"",INDEX(JE_Lines!$K$5:$K$1733,MATCH(A41,JE_Lines!$B$5:$B$1733,0)))</f>
        <v>Cost of sales posting</v>
      </c>
      <c r="K41" s="9" t="n">
        <f aca="false">F41-G41</f>
        <v>0</v>
      </c>
      <c r="L41" s="9" t="n">
        <f aca="false">COUNTIFS(JE_Lines!$B$5:$B$1733,A41,JE_Lines!$F$5:$F$1733,"Revenue")</f>
        <v>0</v>
      </c>
      <c r="M41" s="9" t="n">
        <f aca="false">COUNTIFS(JE_Lines!$B$5:$B$1733,A41,JE_Lines!$F$5:$F$1733,"Suspense")</f>
        <v>0</v>
      </c>
      <c r="N41" s="9" t="n">
        <f aca="false">IF(ABS(E41)&gt;Parameters!$B$23,1,0)</f>
        <v>0</v>
      </c>
      <c r="O41" s="9" t="n">
        <f aca="false">IF(WEEKDAY(F41,2)&gt;5,1,0)</f>
        <v>0</v>
      </c>
      <c r="P41" s="9" t="n">
        <f aca="false">IF(K41&gt;Parameters!$B$17,1,0)</f>
        <v>0</v>
      </c>
      <c r="Q41" s="9" t="n">
        <f aca="false">IF(AND(F41&lt;=Parameters!$B$6,F41&gt;Parameters!$B$6-Parameters!$B$18),1,0)</f>
        <v>0</v>
      </c>
      <c r="R41" s="9" t="n">
        <f aca="false">IF(COUNTIF(Parameters!$A$51:$A$58,H41)=0,1,0)</f>
        <v>0</v>
      </c>
      <c r="S41" s="9" t="n">
        <f aca="false">IF(AND(I41="Manual",L41&gt;0),1,0)</f>
        <v>0</v>
      </c>
      <c r="T41" s="9" t="n">
        <f aca="false">IF(AND(C41&gt;=Parameters!$B$22,ROUND(MOD(ROUND(C41,2),Parameters!$B$21),2)=0),1,0)</f>
        <v>0</v>
      </c>
      <c r="U41" s="9" t="n">
        <f aca="false">IF(LEN(TRIM(J41))=0,1,0)</f>
        <v>0</v>
      </c>
      <c r="V41" s="9" t="n">
        <f aca="false">IF(AND(I41="Manual",C41&lt;Parameters!$B$19,C41&gt;=Parameters!$B$19*(1-Parameters!$B$20)),1,0)</f>
        <v>0</v>
      </c>
      <c r="W41" s="9" t="n">
        <f aca="false">IF(AND(I41="Manual",M41&gt;0),1,0)</f>
        <v>0</v>
      </c>
      <c r="X41" s="9" t="n">
        <f aca="false">IF(A41-A40&gt;1,1,0)</f>
        <v>0</v>
      </c>
      <c r="Y41" s="9" t="n">
        <f aca="false">N41*Parameters!$B$38+O41*Parameters!$B$39+P41*Parameters!$B$40+Q41*Parameters!$B$41+R41*Parameters!$B$42+S41*Parameters!$B$43+T41*Parameters!$B$44+U41*Parameters!$B$45+V41*Parameters!$B$46+W41*Parameters!$B$47+X41*Parameters!$B$48</f>
        <v>0</v>
      </c>
      <c r="Z41" s="0" t="str">
        <f aca="false">IF(Y41&gt;=Parameters!$B$25,"High","")</f>
        <v/>
      </c>
    </row>
    <row r="42" customFormat="false" ht="15" hidden="false" customHeight="false" outlineLevel="0" collapsed="false">
      <c r="A42" s="16" t="n">
        <v>1038</v>
      </c>
      <c r="B42" s="9" t="n">
        <f aca="false">COUNTIF(JE_Lines!$B$5:$B$1733,A42)</f>
        <v>2</v>
      </c>
      <c r="C42" s="17" t="n">
        <f aca="false">SUMIFS(JE_Lines!$G$5:$G$1733,JE_Lines!$B$5:$B$1733,A42)</f>
        <v>27029.59</v>
      </c>
      <c r="D42" s="17" t="n">
        <f aca="false">SUMIFS(JE_Lines!$H$5:$H$1733,JE_Lines!$B$5:$B$1733,A42)</f>
        <v>27029.59</v>
      </c>
      <c r="E42" s="17" t="n">
        <f aca="false">C42-D42</f>
        <v>0</v>
      </c>
      <c r="F42" s="18" t="n">
        <f aca="false">INDEX(JE_Lines!$C$5:$C$1733,MATCH(A42,JE_Lines!$B$5:$B$1733,0))</f>
        <v>45675</v>
      </c>
      <c r="G42" s="18" t="n">
        <f aca="false">INDEX(JE_Lines!$D$5:$D$1733,MATCH(A42,JE_Lines!$B$5:$B$1733,0))</f>
        <v>45672</v>
      </c>
      <c r="H42" s="0" t="str">
        <f aca="false">INDEX(JE_Lines!$I$5:$I$1733,MATCH(A42,JE_Lines!$B$5:$B$1733,0))</f>
        <v>SYS_PAY</v>
      </c>
      <c r="I42" s="0" t="str">
        <f aca="false">INDEX(JE_Lines!$J$5:$J$1733,MATCH(A42,JE_Lines!$B$5:$B$1733,0))</f>
        <v>System</v>
      </c>
      <c r="J42" s="0" t="str">
        <f aca="false">IF(LEN(INDEX(JE_Lines!$K$5:$K$1733,MATCH(A42,JE_Lines!$B$5:$B$1733,0)))=0,"",INDEX(JE_Lines!$K$5:$K$1733,MATCH(A42,JE_Lines!$B$5:$B$1733,0)))</f>
        <v>Supplier payments</v>
      </c>
      <c r="K42" s="9" t="n">
        <f aca="false">F42-G42</f>
        <v>3</v>
      </c>
      <c r="L42" s="9" t="n">
        <f aca="false">COUNTIFS(JE_Lines!$B$5:$B$1733,A42,JE_Lines!$F$5:$F$1733,"Revenue")</f>
        <v>0</v>
      </c>
      <c r="M42" s="9" t="n">
        <f aca="false">COUNTIFS(JE_Lines!$B$5:$B$1733,A42,JE_Lines!$F$5:$F$1733,"Suspense")</f>
        <v>0</v>
      </c>
      <c r="N42" s="9" t="n">
        <f aca="false">IF(ABS(E42)&gt;Parameters!$B$23,1,0)</f>
        <v>0</v>
      </c>
      <c r="O42" s="9" t="n">
        <f aca="false">IF(WEEKDAY(F42,2)&gt;5,1,0)</f>
        <v>1</v>
      </c>
      <c r="P42" s="9" t="n">
        <f aca="false">IF(K42&gt;Parameters!$B$17,1,0)</f>
        <v>0</v>
      </c>
      <c r="Q42" s="9" t="n">
        <f aca="false">IF(AND(F42&lt;=Parameters!$B$6,F42&gt;Parameters!$B$6-Parameters!$B$18),1,0)</f>
        <v>0</v>
      </c>
      <c r="R42" s="9" t="n">
        <f aca="false">IF(COUNTIF(Parameters!$A$51:$A$58,H42)=0,1,0)</f>
        <v>0</v>
      </c>
      <c r="S42" s="9" t="n">
        <f aca="false">IF(AND(I42="Manual",L42&gt;0),1,0)</f>
        <v>0</v>
      </c>
      <c r="T42" s="9" t="n">
        <f aca="false">IF(AND(C42&gt;=Parameters!$B$22,ROUND(MOD(ROUND(C42,2),Parameters!$B$21),2)=0),1,0)</f>
        <v>0</v>
      </c>
      <c r="U42" s="9" t="n">
        <f aca="false">IF(LEN(TRIM(J42))=0,1,0)</f>
        <v>0</v>
      </c>
      <c r="V42" s="9" t="n">
        <f aca="false">IF(AND(I42="Manual",C42&lt;Parameters!$B$19,C42&gt;=Parameters!$B$19*(1-Parameters!$B$20)),1,0)</f>
        <v>0</v>
      </c>
      <c r="W42" s="9" t="n">
        <f aca="false">IF(AND(I42="Manual",M42&gt;0),1,0)</f>
        <v>0</v>
      </c>
      <c r="X42" s="9" t="n">
        <f aca="false">IF(A42-A41&gt;1,1,0)</f>
        <v>0</v>
      </c>
      <c r="Y42" s="9" t="n">
        <f aca="false">N42*Parameters!$B$38+O42*Parameters!$B$39+P42*Parameters!$B$40+Q42*Parameters!$B$41+R42*Parameters!$B$42+S42*Parameters!$B$43+T42*Parameters!$B$44+U42*Parameters!$B$45+V42*Parameters!$B$46+W42*Parameters!$B$47+X42*Parameters!$B$48</f>
        <v>2</v>
      </c>
      <c r="Z42" s="0" t="str">
        <f aca="false">IF(Y42&gt;=Parameters!$B$25,"High","")</f>
        <v/>
      </c>
    </row>
    <row r="43" customFormat="false" ht="15" hidden="false" customHeight="false" outlineLevel="0" collapsed="false">
      <c r="A43" s="16" t="n">
        <v>1039</v>
      </c>
      <c r="B43" s="9" t="n">
        <f aca="false">COUNTIF(JE_Lines!$B$5:$B$1733,A43)</f>
        <v>3</v>
      </c>
      <c r="C43" s="17" t="n">
        <f aca="false">SUMIFS(JE_Lines!$G$5:$G$1733,JE_Lines!$B$5:$B$1733,A43)</f>
        <v>797.96</v>
      </c>
      <c r="D43" s="17" t="n">
        <f aca="false">SUMIFS(JE_Lines!$H$5:$H$1733,JE_Lines!$B$5:$B$1733,A43)</f>
        <v>797.96</v>
      </c>
      <c r="E43" s="17" t="n">
        <f aca="false">C43-D43</f>
        <v>0</v>
      </c>
      <c r="F43" s="18" t="n">
        <f aca="false">INDEX(JE_Lines!$C$5:$C$1733,MATCH(A43,JE_Lines!$B$5:$B$1733,0))</f>
        <v>45677</v>
      </c>
      <c r="G43" s="18" t="n">
        <f aca="false">INDEX(JE_Lines!$D$5:$D$1733,MATCH(A43,JE_Lines!$B$5:$B$1733,0))</f>
        <v>45676</v>
      </c>
      <c r="H43" s="0" t="str">
        <f aca="false">INDEX(JE_Lines!$I$5:$I$1733,MATCH(A43,JE_Lines!$B$5:$B$1733,0))</f>
        <v>SYS_AR</v>
      </c>
      <c r="I43" s="0" t="str">
        <f aca="false">INDEX(JE_Lines!$J$5:$J$1733,MATCH(A43,JE_Lines!$B$5:$B$1733,0))</f>
        <v>System</v>
      </c>
      <c r="J43" s="0" t="str">
        <f aca="false">IF(LEN(INDEX(JE_Lines!$K$5:$K$1733,MATCH(A43,JE_Lines!$B$5:$B$1733,0)))=0,"",INDEX(JE_Lines!$K$5:$K$1733,MATCH(A43,JE_Lines!$B$5:$B$1733,0)))</f>
        <v>Customer receipts</v>
      </c>
      <c r="K43" s="9" t="n">
        <f aca="false">F43-G43</f>
        <v>1</v>
      </c>
      <c r="L43" s="9" t="n">
        <f aca="false">COUNTIFS(JE_Lines!$B$5:$B$1733,A43,JE_Lines!$F$5:$F$1733,"Revenue")</f>
        <v>0</v>
      </c>
      <c r="M43" s="9" t="n">
        <f aca="false">COUNTIFS(JE_Lines!$B$5:$B$1733,A43,JE_Lines!$F$5:$F$1733,"Suspense")</f>
        <v>0</v>
      </c>
      <c r="N43" s="9" t="n">
        <f aca="false">IF(ABS(E43)&gt;Parameters!$B$23,1,0)</f>
        <v>0</v>
      </c>
      <c r="O43" s="9" t="n">
        <f aca="false">IF(WEEKDAY(F43,2)&gt;5,1,0)</f>
        <v>0</v>
      </c>
      <c r="P43" s="9" t="n">
        <f aca="false">IF(K43&gt;Parameters!$B$17,1,0)</f>
        <v>0</v>
      </c>
      <c r="Q43" s="9" t="n">
        <f aca="false">IF(AND(F43&lt;=Parameters!$B$6,F43&gt;Parameters!$B$6-Parameters!$B$18),1,0)</f>
        <v>0</v>
      </c>
      <c r="R43" s="9" t="n">
        <f aca="false">IF(COUNTIF(Parameters!$A$51:$A$58,H43)=0,1,0)</f>
        <v>0</v>
      </c>
      <c r="S43" s="9" t="n">
        <f aca="false">IF(AND(I43="Manual",L43&gt;0),1,0)</f>
        <v>0</v>
      </c>
      <c r="T43" s="9" t="n">
        <f aca="false">IF(AND(C43&gt;=Parameters!$B$22,ROUND(MOD(ROUND(C43,2),Parameters!$B$21),2)=0),1,0)</f>
        <v>0</v>
      </c>
      <c r="U43" s="9" t="n">
        <f aca="false">IF(LEN(TRIM(J43))=0,1,0)</f>
        <v>0</v>
      </c>
      <c r="V43" s="9" t="n">
        <f aca="false">IF(AND(I43="Manual",C43&lt;Parameters!$B$19,C43&gt;=Parameters!$B$19*(1-Parameters!$B$20)),1,0)</f>
        <v>0</v>
      </c>
      <c r="W43" s="9" t="n">
        <f aca="false">IF(AND(I43="Manual",M43&gt;0),1,0)</f>
        <v>0</v>
      </c>
      <c r="X43" s="9" t="n">
        <f aca="false">IF(A43-A42&gt;1,1,0)</f>
        <v>0</v>
      </c>
      <c r="Y43" s="9" t="n">
        <f aca="false">N43*Parameters!$B$38+O43*Parameters!$B$39+P43*Parameters!$B$40+Q43*Parameters!$B$41+R43*Parameters!$B$42+S43*Parameters!$B$43+T43*Parameters!$B$44+U43*Parameters!$B$45+V43*Parameters!$B$46+W43*Parameters!$B$47+X43*Parameters!$B$48</f>
        <v>0</v>
      </c>
      <c r="Z43" s="0" t="str">
        <f aca="false">IF(Y43&gt;=Parameters!$B$25,"High","")</f>
        <v/>
      </c>
    </row>
    <row r="44" customFormat="false" ht="15" hidden="false" customHeight="false" outlineLevel="0" collapsed="false">
      <c r="A44" s="16" t="n">
        <v>1040</v>
      </c>
      <c r="B44" s="9" t="n">
        <f aca="false">COUNTIF(JE_Lines!$B$5:$B$1733,A44)</f>
        <v>2</v>
      </c>
      <c r="C44" s="17" t="n">
        <f aca="false">SUMIFS(JE_Lines!$G$5:$G$1733,JE_Lines!$B$5:$B$1733,A44)</f>
        <v>499.57</v>
      </c>
      <c r="D44" s="17" t="n">
        <f aca="false">SUMIFS(JE_Lines!$H$5:$H$1733,JE_Lines!$B$5:$B$1733,A44)</f>
        <v>499.57</v>
      </c>
      <c r="E44" s="17" t="n">
        <f aca="false">C44-D44</f>
        <v>0</v>
      </c>
      <c r="F44" s="18" t="n">
        <f aca="false">INDEX(JE_Lines!$C$5:$C$1733,MATCH(A44,JE_Lines!$B$5:$B$1733,0))</f>
        <v>45677</v>
      </c>
      <c r="G44" s="18" t="n">
        <f aca="false">INDEX(JE_Lines!$D$5:$D$1733,MATCH(A44,JE_Lines!$B$5:$B$1733,0))</f>
        <v>45676</v>
      </c>
      <c r="H44" s="0" t="str">
        <f aca="false">INDEX(JE_Lines!$I$5:$I$1733,MATCH(A44,JE_Lines!$B$5:$B$1733,0))</f>
        <v>SYS_AR</v>
      </c>
      <c r="I44" s="0" t="str">
        <f aca="false">INDEX(JE_Lines!$J$5:$J$1733,MATCH(A44,JE_Lines!$B$5:$B$1733,0))</f>
        <v>System</v>
      </c>
      <c r="J44" s="0" t="str">
        <f aca="false">IF(LEN(INDEX(JE_Lines!$K$5:$K$1733,MATCH(A44,JE_Lines!$B$5:$B$1733,0)))=0,"",INDEX(JE_Lines!$K$5:$K$1733,MATCH(A44,JE_Lines!$B$5:$B$1733,0)))</f>
        <v>Customer receipts</v>
      </c>
      <c r="K44" s="9" t="n">
        <f aca="false">F44-G44</f>
        <v>1</v>
      </c>
      <c r="L44" s="9" t="n">
        <f aca="false">COUNTIFS(JE_Lines!$B$5:$B$1733,A44,JE_Lines!$F$5:$F$1733,"Revenue")</f>
        <v>0</v>
      </c>
      <c r="M44" s="9" t="n">
        <f aca="false">COUNTIFS(JE_Lines!$B$5:$B$1733,A44,JE_Lines!$F$5:$F$1733,"Suspense")</f>
        <v>0</v>
      </c>
      <c r="N44" s="9" t="n">
        <f aca="false">IF(ABS(E44)&gt;Parameters!$B$23,1,0)</f>
        <v>0</v>
      </c>
      <c r="O44" s="9" t="n">
        <f aca="false">IF(WEEKDAY(F44,2)&gt;5,1,0)</f>
        <v>0</v>
      </c>
      <c r="P44" s="9" t="n">
        <f aca="false">IF(K44&gt;Parameters!$B$17,1,0)</f>
        <v>0</v>
      </c>
      <c r="Q44" s="9" t="n">
        <f aca="false">IF(AND(F44&lt;=Parameters!$B$6,F44&gt;Parameters!$B$6-Parameters!$B$18),1,0)</f>
        <v>0</v>
      </c>
      <c r="R44" s="9" t="n">
        <f aca="false">IF(COUNTIF(Parameters!$A$51:$A$58,H44)=0,1,0)</f>
        <v>0</v>
      </c>
      <c r="S44" s="9" t="n">
        <f aca="false">IF(AND(I44="Manual",L44&gt;0),1,0)</f>
        <v>0</v>
      </c>
      <c r="T44" s="9" t="n">
        <f aca="false">IF(AND(C44&gt;=Parameters!$B$22,ROUND(MOD(ROUND(C44,2),Parameters!$B$21),2)=0),1,0)</f>
        <v>0</v>
      </c>
      <c r="U44" s="9" t="n">
        <f aca="false">IF(LEN(TRIM(J44))=0,1,0)</f>
        <v>0</v>
      </c>
      <c r="V44" s="9" t="n">
        <f aca="false">IF(AND(I44="Manual",C44&lt;Parameters!$B$19,C44&gt;=Parameters!$B$19*(1-Parameters!$B$20)),1,0)</f>
        <v>0</v>
      </c>
      <c r="W44" s="9" t="n">
        <f aca="false">IF(AND(I44="Manual",M44&gt;0),1,0)</f>
        <v>0</v>
      </c>
      <c r="X44" s="9" t="n">
        <f aca="false">IF(A44-A43&gt;1,1,0)</f>
        <v>0</v>
      </c>
      <c r="Y44" s="9" t="n">
        <f aca="false">N44*Parameters!$B$38+O44*Parameters!$B$39+P44*Parameters!$B$40+Q44*Parameters!$B$41+R44*Parameters!$B$42+S44*Parameters!$B$43+T44*Parameters!$B$44+U44*Parameters!$B$45+V44*Parameters!$B$46+W44*Parameters!$B$47+X44*Parameters!$B$48</f>
        <v>0</v>
      </c>
      <c r="Z44" s="0" t="str">
        <f aca="false">IF(Y44&gt;=Parameters!$B$25,"High","")</f>
        <v/>
      </c>
    </row>
    <row r="45" customFormat="false" ht="15" hidden="false" customHeight="false" outlineLevel="0" collapsed="false">
      <c r="A45" s="16" t="n">
        <v>1041</v>
      </c>
      <c r="B45" s="9" t="n">
        <f aca="false">COUNTIF(JE_Lines!$B$5:$B$1733,A45)</f>
        <v>2</v>
      </c>
      <c r="C45" s="17" t="n">
        <f aca="false">SUMIFS(JE_Lines!$G$5:$G$1733,JE_Lines!$B$5:$B$1733,A45)</f>
        <v>5695.93</v>
      </c>
      <c r="D45" s="17" t="n">
        <f aca="false">SUMIFS(JE_Lines!$H$5:$H$1733,JE_Lines!$B$5:$B$1733,A45)</f>
        <v>5695.93</v>
      </c>
      <c r="E45" s="17" t="n">
        <f aca="false">C45-D45</f>
        <v>0</v>
      </c>
      <c r="F45" s="18" t="n">
        <f aca="false">INDEX(JE_Lines!$C$5:$C$1733,MATCH(A45,JE_Lines!$B$5:$B$1733,0))</f>
        <v>45677</v>
      </c>
      <c r="G45" s="18" t="n">
        <f aca="false">INDEX(JE_Lines!$D$5:$D$1733,MATCH(A45,JE_Lines!$B$5:$B$1733,0))</f>
        <v>45673</v>
      </c>
      <c r="H45" s="0" t="str">
        <f aca="false">INDEX(JE_Lines!$I$5:$I$1733,MATCH(A45,JE_Lines!$B$5:$B$1733,0))</f>
        <v>SYS_PAY</v>
      </c>
      <c r="I45" s="0" t="str">
        <f aca="false">INDEX(JE_Lines!$J$5:$J$1733,MATCH(A45,JE_Lines!$B$5:$B$1733,0))</f>
        <v>System</v>
      </c>
      <c r="J45" s="0" t="str">
        <f aca="false">IF(LEN(INDEX(JE_Lines!$K$5:$K$1733,MATCH(A45,JE_Lines!$B$5:$B$1733,0)))=0,"",INDEX(JE_Lines!$K$5:$K$1733,MATCH(A45,JE_Lines!$B$5:$B$1733,0)))</f>
        <v>Supplier payments</v>
      </c>
      <c r="K45" s="9" t="n">
        <f aca="false">F45-G45</f>
        <v>4</v>
      </c>
      <c r="L45" s="9" t="n">
        <f aca="false">COUNTIFS(JE_Lines!$B$5:$B$1733,A45,JE_Lines!$F$5:$F$1733,"Revenue")</f>
        <v>0</v>
      </c>
      <c r="M45" s="9" t="n">
        <f aca="false">COUNTIFS(JE_Lines!$B$5:$B$1733,A45,JE_Lines!$F$5:$F$1733,"Suspense")</f>
        <v>0</v>
      </c>
      <c r="N45" s="9" t="n">
        <f aca="false">IF(ABS(E45)&gt;Parameters!$B$23,1,0)</f>
        <v>0</v>
      </c>
      <c r="O45" s="9" t="n">
        <f aca="false">IF(WEEKDAY(F45,2)&gt;5,1,0)</f>
        <v>0</v>
      </c>
      <c r="P45" s="9" t="n">
        <f aca="false">IF(K45&gt;Parameters!$B$17,1,0)</f>
        <v>0</v>
      </c>
      <c r="Q45" s="9" t="n">
        <f aca="false">IF(AND(F45&lt;=Parameters!$B$6,F45&gt;Parameters!$B$6-Parameters!$B$18),1,0)</f>
        <v>0</v>
      </c>
      <c r="R45" s="9" t="n">
        <f aca="false">IF(COUNTIF(Parameters!$A$51:$A$58,H45)=0,1,0)</f>
        <v>0</v>
      </c>
      <c r="S45" s="9" t="n">
        <f aca="false">IF(AND(I45="Manual",L45&gt;0),1,0)</f>
        <v>0</v>
      </c>
      <c r="T45" s="9" t="n">
        <f aca="false">IF(AND(C45&gt;=Parameters!$B$22,ROUND(MOD(ROUND(C45,2),Parameters!$B$21),2)=0),1,0)</f>
        <v>0</v>
      </c>
      <c r="U45" s="9" t="n">
        <f aca="false">IF(LEN(TRIM(J45))=0,1,0)</f>
        <v>0</v>
      </c>
      <c r="V45" s="9" t="n">
        <f aca="false">IF(AND(I45="Manual",C45&lt;Parameters!$B$19,C45&gt;=Parameters!$B$19*(1-Parameters!$B$20)),1,0)</f>
        <v>0</v>
      </c>
      <c r="W45" s="9" t="n">
        <f aca="false">IF(AND(I45="Manual",M45&gt;0),1,0)</f>
        <v>0</v>
      </c>
      <c r="X45" s="9" t="n">
        <f aca="false">IF(A45-A44&gt;1,1,0)</f>
        <v>0</v>
      </c>
      <c r="Y45" s="9" t="n">
        <f aca="false">N45*Parameters!$B$38+O45*Parameters!$B$39+P45*Parameters!$B$40+Q45*Parameters!$B$41+R45*Parameters!$B$42+S45*Parameters!$B$43+T45*Parameters!$B$44+U45*Parameters!$B$45+V45*Parameters!$B$46+W45*Parameters!$B$47+X45*Parameters!$B$48</f>
        <v>0</v>
      </c>
      <c r="Z45" s="0" t="str">
        <f aca="false">IF(Y45&gt;=Parameters!$B$25,"High","")</f>
        <v/>
      </c>
    </row>
    <row r="46" customFormat="false" ht="15" hidden="false" customHeight="false" outlineLevel="0" collapsed="false">
      <c r="A46" s="16" t="n">
        <v>1042</v>
      </c>
      <c r="B46" s="9" t="n">
        <f aca="false">COUNTIF(JE_Lines!$B$5:$B$1733,A46)</f>
        <v>2</v>
      </c>
      <c r="C46" s="17" t="n">
        <f aca="false">SUMIFS(JE_Lines!$G$5:$G$1733,JE_Lines!$B$5:$B$1733,A46)</f>
        <v>752.05</v>
      </c>
      <c r="D46" s="17" t="n">
        <f aca="false">SUMIFS(JE_Lines!$H$5:$H$1733,JE_Lines!$B$5:$B$1733,A46)</f>
        <v>752.05</v>
      </c>
      <c r="E46" s="17" t="n">
        <f aca="false">C46-D46</f>
        <v>0</v>
      </c>
      <c r="F46" s="18" t="n">
        <f aca="false">INDEX(JE_Lines!$C$5:$C$1733,MATCH(A46,JE_Lines!$B$5:$B$1733,0))</f>
        <v>45678</v>
      </c>
      <c r="G46" s="18" t="n">
        <f aca="false">INDEX(JE_Lines!$D$5:$D$1733,MATCH(A46,JE_Lines!$B$5:$B$1733,0))</f>
        <v>45675</v>
      </c>
      <c r="H46" s="0" t="str">
        <f aca="false">INDEX(JE_Lines!$I$5:$I$1733,MATCH(A46,JE_Lines!$B$5:$B$1733,0))</f>
        <v>SYS_AR</v>
      </c>
      <c r="I46" s="0" t="str">
        <f aca="false">INDEX(JE_Lines!$J$5:$J$1733,MATCH(A46,JE_Lines!$B$5:$B$1733,0))</f>
        <v>System</v>
      </c>
      <c r="J46" s="0" t="str">
        <f aca="false">IF(LEN(INDEX(JE_Lines!$K$5:$K$1733,MATCH(A46,JE_Lines!$B$5:$B$1733,0)))=0,"",INDEX(JE_Lines!$K$5:$K$1733,MATCH(A46,JE_Lines!$B$5:$B$1733,0)))</f>
        <v>Customer receipts</v>
      </c>
      <c r="K46" s="9" t="n">
        <f aca="false">F46-G46</f>
        <v>3</v>
      </c>
      <c r="L46" s="9" t="n">
        <f aca="false">COUNTIFS(JE_Lines!$B$5:$B$1733,A46,JE_Lines!$F$5:$F$1733,"Revenue")</f>
        <v>0</v>
      </c>
      <c r="M46" s="9" t="n">
        <f aca="false">COUNTIFS(JE_Lines!$B$5:$B$1733,A46,JE_Lines!$F$5:$F$1733,"Suspense")</f>
        <v>0</v>
      </c>
      <c r="N46" s="9" t="n">
        <f aca="false">IF(ABS(E46)&gt;Parameters!$B$23,1,0)</f>
        <v>0</v>
      </c>
      <c r="O46" s="9" t="n">
        <f aca="false">IF(WEEKDAY(F46,2)&gt;5,1,0)</f>
        <v>0</v>
      </c>
      <c r="P46" s="9" t="n">
        <f aca="false">IF(K46&gt;Parameters!$B$17,1,0)</f>
        <v>0</v>
      </c>
      <c r="Q46" s="9" t="n">
        <f aca="false">IF(AND(F46&lt;=Parameters!$B$6,F46&gt;Parameters!$B$6-Parameters!$B$18),1,0)</f>
        <v>0</v>
      </c>
      <c r="R46" s="9" t="n">
        <f aca="false">IF(COUNTIF(Parameters!$A$51:$A$58,H46)=0,1,0)</f>
        <v>0</v>
      </c>
      <c r="S46" s="9" t="n">
        <f aca="false">IF(AND(I46="Manual",L46&gt;0),1,0)</f>
        <v>0</v>
      </c>
      <c r="T46" s="9" t="n">
        <f aca="false">IF(AND(C46&gt;=Parameters!$B$22,ROUND(MOD(ROUND(C46,2),Parameters!$B$21),2)=0),1,0)</f>
        <v>0</v>
      </c>
      <c r="U46" s="9" t="n">
        <f aca="false">IF(LEN(TRIM(J46))=0,1,0)</f>
        <v>0</v>
      </c>
      <c r="V46" s="9" t="n">
        <f aca="false">IF(AND(I46="Manual",C46&lt;Parameters!$B$19,C46&gt;=Parameters!$B$19*(1-Parameters!$B$20)),1,0)</f>
        <v>0</v>
      </c>
      <c r="W46" s="9" t="n">
        <f aca="false">IF(AND(I46="Manual",M46&gt;0),1,0)</f>
        <v>0</v>
      </c>
      <c r="X46" s="9" t="n">
        <f aca="false">IF(A46-A45&gt;1,1,0)</f>
        <v>0</v>
      </c>
      <c r="Y46" s="9" t="n">
        <f aca="false">N46*Parameters!$B$38+O46*Parameters!$B$39+P46*Parameters!$B$40+Q46*Parameters!$B$41+R46*Parameters!$B$42+S46*Parameters!$B$43+T46*Parameters!$B$44+U46*Parameters!$B$45+V46*Parameters!$B$46+W46*Parameters!$B$47+X46*Parameters!$B$48</f>
        <v>0</v>
      </c>
      <c r="Z46" s="0" t="str">
        <f aca="false">IF(Y46&gt;=Parameters!$B$25,"High","")</f>
        <v/>
      </c>
    </row>
    <row r="47" customFormat="false" ht="15" hidden="false" customHeight="false" outlineLevel="0" collapsed="false">
      <c r="A47" s="16" t="n">
        <v>1043</v>
      </c>
      <c r="B47" s="9" t="n">
        <f aca="false">COUNTIF(JE_Lines!$B$5:$B$1733,A47)</f>
        <v>2</v>
      </c>
      <c r="C47" s="17" t="n">
        <f aca="false">SUMIFS(JE_Lines!$G$5:$G$1733,JE_Lines!$B$5:$B$1733,A47)</f>
        <v>1554.26</v>
      </c>
      <c r="D47" s="17" t="n">
        <f aca="false">SUMIFS(JE_Lines!$H$5:$H$1733,JE_Lines!$B$5:$B$1733,A47)</f>
        <v>1554.26</v>
      </c>
      <c r="E47" s="17" t="n">
        <f aca="false">C47-D47</f>
        <v>0</v>
      </c>
      <c r="F47" s="18" t="n">
        <f aca="false">INDEX(JE_Lines!$C$5:$C$1733,MATCH(A47,JE_Lines!$B$5:$B$1733,0))</f>
        <v>45678</v>
      </c>
      <c r="G47" s="18" t="n">
        <f aca="false">INDEX(JE_Lines!$D$5:$D$1733,MATCH(A47,JE_Lines!$B$5:$B$1733,0))</f>
        <v>45676</v>
      </c>
      <c r="H47" s="0" t="str">
        <f aca="false">INDEX(JE_Lines!$I$5:$I$1733,MATCH(A47,JE_Lines!$B$5:$B$1733,0))</f>
        <v>SYS_AR</v>
      </c>
      <c r="I47" s="0" t="str">
        <f aca="false">INDEX(JE_Lines!$J$5:$J$1733,MATCH(A47,JE_Lines!$B$5:$B$1733,0))</f>
        <v>System</v>
      </c>
      <c r="J47" s="0" t="str">
        <f aca="false">IF(LEN(INDEX(JE_Lines!$K$5:$K$1733,MATCH(A47,JE_Lines!$B$5:$B$1733,0)))=0,"",INDEX(JE_Lines!$K$5:$K$1733,MATCH(A47,JE_Lines!$B$5:$B$1733,0)))</f>
        <v>Sales invoice batch</v>
      </c>
      <c r="K47" s="9" t="n">
        <f aca="false">F47-G47</f>
        <v>2</v>
      </c>
      <c r="L47" s="9" t="n">
        <f aca="false">COUNTIFS(JE_Lines!$B$5:$B$1733,A47,JE_Lines!$F$5:$F$1733,"Revenue")</f>
        <v>1</v>
      </c>
      <c r="M47" s="9" t="n">
        <f aca="false">COUNTIFS(JE_Lines!$B$5:$B$1733,A47,JE_Lines!$F$5:$F$1733,"Suspense")</f>
        <v>0</v>
      </c>
      <c r="N47" s="9" t="n">
        <f aca="false">IF(ABS(E47)&gt;Parameters!$B$23,1,0)</f>
        <v>0</v>
      </c>
      <c r="O47" s="9" t="n">
        <f aca="false">IF(WEEKDAY(F47,2)&gt;5,1,0)</f>
        <v>0</v>
      </c>
      <c r="P47" s="9" t="n">
        <f aca="false">IF(K47&gt;Parameters!$B$17,1,0)</f>
        <v>0</v>
      </c>
      <c r="Q47" s="9" t="n">
        <f aca="false">IF(AND(F47&lt;=Parameters!$B$6,F47&gt;Parameters!$B$6-Parameters!$B$18),1,0)</f>
        <v>0</v>
      </c>
      <c r="R47" s="9" t="n">
        <f aca="false">IF(COUNTIF(Parameters!$A$51:$A$58,H47)=0,1,0)</f>
        <v>0</v>
      </c>
      <c r="S47" s="9" t="n">
        <f aca="false">IF(AND(I47="Manual",L47&gt;0),1,0)</f>
        <v>0</v>
      </c>
      <c r="T47" s="9" t="n">
        <f aca="false">IF(AND(C47&gt;=Parameters!$B$22,ROUND(MOD(ROUND(C47,2),Parameters!$B$21),2)=0),1,0)</f>
        <v>0</v>
      </c>
      <c r="U47" s="9" t="n">
        <f aca="false">IF(LEN(TRIM(J47))=0,1,0)</f>
        <v>0</v>
      </c>
      <c r="V47" s="9" t="n">
        <f aca="false">IF(AND(I47="Manual",C47&lt;Parameters!$B$19,C47&gt;=Parameters!$B$19*(1-Parameters!$B$20)),1,0)</f>
        <v>0</v>
      </c>
      <c r="W47" s="9" t="n">
        <f aca="false">IF(AND(I47="Manual",M47&gt;0),1,0)</f>
        <v>0</v>
      </c>
      <c r="X47" s="9" t="n">
        <f aca="false">IF(A47-A46&gt;1,1,0)</f>
        <v>0</v>
      </c>
      <c r="Y47" s="9" t="n">
        <f aca="false">N47*Parameters!$B$38+O47*Parameters!$B$39+P47*Parameters!$B$40+Q47*Parameters!$B$41+R47*Parameters!$B$42+S47*Parameters!$B$43+T47*Parameters!$B$44+U47*Parameters!$B$45+V47*Parameters!$B$46+W47*Parameters!$B$47+X47*Parameters!$B$48</f>
        <v>0</v>
      </c>
      <c r="Z47" s="0" t="str">
        <f aca="false">IF(Y47&gt;=Parameters!$B$25,"High","")</f>
        <v/>
      </c>
    </row>
    <row r="48" customFormat="false" ht="15" hidden="false" customHeight="false" outlineLevel="0" collapsed="false">
      <c r="A48" s="16" t="n">
        <v>1044</v>
      </c>
      <c r="B48" s="9" t="n">
        <f aca="false">COUNTIF(JE_Lines!$B$5:$B$1733,A48)</f>
        <v>2</v>
      </c>
      <c r="C48" s="17" t="n">
        <f aca="false">SUMIFS(JE_Lines!$G$5:$G$1733,JE_Lines!$B$5:$B$1733,A48)</f>
        <v>30234.87</v>
      </c>
      <c r="D48" s="17" t="n">
        <f aca="false">SUMIFS(JE_Lines!$H$5:$H$1733,JE_Lines!$B$5:$B$1733,A48)</f>
        <v>30234.87</v>
      </c>
      <c r="E48" s="17" t="n">
        <f aca="false">C48-D48</f>
        <v>0</v>
      </c>
      <c r="F48" s="18" t="n">
        <f aca="false">INDEX(JE_Lines!$C$5:$C$1733,MATCH(A48,JE_Lines!$B$5:$B$1733,0))</f>
        <v>45678</v>
      </c>
      <c r="G48" s="18" t="n">
        <f aca="false">INDEX(JE_Lines!$D$5:$D$1733,MATCH(A48,JE_Lines!$B$5:$B$1733,0))</f>
        <v>45678</v>
      </c>
      <c r="H48" s="0" t="str">
        <f aca="false">INDEX(JE_Lines!$I$5:$I$1733,MATCH(A48,JE_Lines!$B$5:$B$1733,0))</f>
        <v>FIN05</v>
      </c>
      <c r="I48" s="0" t="str">
        <f aca="false">INDEX(JE_Lines!$J$5:$J$1733,MATCH(A48,JE_Lines!$B$5:$B$1733,0))</f>
        <v>Manual</v>
      </c>
      <c r="J48" s="0" t="str">
        <f aca="false">IF(LEN(INDEX(JE_Lines!$K$5:$K$1733,MATCH(A48,JE_Lines!$B$5:$B$1733,0)))=0,"",INDEX(JE_Lines!$K$5:$K$1733,MATCH(A48,JE_Lines!$B$5:$B$1733,0)))</f>
        <v>Suspense clearing 3</v>
      </c>
      <c r="K48" s="9" t="n">
        <f aca="false">F48-G48</f>
        <v>0</v>
      </c>
      <c r="L48" s="9" t="n">
        <f aca="false">COUNTIFS(JE_Lines!$B$5:$B$1733,A48,JE_Lines!$F$5:$F$1733,"Revenue")</f>
        <v>0</v>
      </c>
      <c r="M48" s="9" t="n">
        <f aca="false">COUNTIFS(JE_Lines!$B$5:$B$1733,A48,JE_Lines!$F$5:$F$1733,"Suspense")</f>
        <v>1</v>
      </c>
      <c r="N48" s="9" t="n">
        <f aca="false">IF(ABS(E48)&gt;Parameters!$B$23,1,0)</f>
        <v>0</v>
      </c>
      <c r="O48" s="9" t="n">
        <f aca="false">IF(WEEKDAY(F48,2)&gt;5,1,0)</f>
        <v>0</v>
      </c>
      <c r="P48" s="9" t="n">
        <f aca="false">IF(K48&gt;Parameters!$B$17,1,0)</f>
        <v>0</v>
      </c>
      <c r="Q48" s="9" t="n">
        <f aca="false">IF(AND(F48&lt;=Parameters!$B$6,F48&gt;Parameters!$B$6-Parameters!$B$18),1,0)</f>
        <v>0</v>
      </c>
      <c r="R48" s="9" t="n">
        <f aca="false">IF(COUNTIF(Parameters!$A$51:$A$58,H48)=0,1,0)</f>
        <v>0</v>
      </c>
      <c r="S48" s="9" t="n">
        <f aca="false">IF(AND(I48="Manual",L48&gt;0),1,0)</f>
        <v>0</v>
      </c>
      <c r="T48" s="9" t="n">
        <f aca="false">IF(AND(C48&gt;=Parameters!$B$22,ROUND(MOD(ROUND(C48,2),Parameters!$B$21),2)=0),1,0)</f>
        <v>0</v>
      </c>
      <c r="U48" s="9" t="n">
        <f aca="false">IF(LEN(TRIM(J48))=0,1,0)</f>
        <v>0</v>
      </c>
      <c r="V48" s="9" t="n">
        <f aca="false">IF(AND(I48="Manual",C48&lt;Parameters!$B$19,C48&gt;=Parameters!$B$19*(1-Parameters!$B$20)),1,0)</f>
        <v>0</v>
      </c>
      <c r="W48" s="9" t="n">
        <f aca="false">IF(AND(I48="Manual",M48&gt;0),1,0)</f>
        <v>1</v>
      </c>
      <c r="X48" s="9" t="n">
        <f aca="false">IF(A48-A47&gt;1,1,0)</f>
        <v>0</v>
      </c>
      <c r="Y48" s="9" t="n">
        <f aca="false">N48*Parameters!$B$38+O48*Parameters!$B$39+P48*Parameters!$B$40+Q48*Parameters!$B$41+R48*Parameters!$B$42+S48*Parameters!$B$43+T48*Parameters!$B$44+U48*Parameters!$B$45+V48*Parameters!$B$46+W48*Parameters!$B$47+X48*Parameters!$B$48</f>
        <v>2</v>
      </c>
      <c r="Z48" s="0" t="str">
        <f aca="false">IF(Y48&gt;=Parameters!$B$25,"High","")</f>
        <v/>
      </c>
    </row>
    <row r="49" customFormat="false" ht="15" hidden="false" customHeight="false" outlineLevel="0" collapsed="false">
      <c r="A49" s="16" t="n">
        <v>1045</v>
      </c>
      <c r="B49" s="9" t="n">
        <f aca="false">COUNTIF(JE_Lines!$B$5:$B$1733,A49)</f>
        <v>3</v>
      </c>
      <c r="C49" s="17" t="n">
        <f aca="false">SUMIFS(JE_Lines!$G$5:$G$1733,JE_Lines!$B$5:$B$1733,A49)</f>
        <v>3252.45</v>
      </c>
      <c r="D49" s="17" t="n">
        <f aca="false">SUMIFS(JE_Lines!$H$5:$H$1733,JE_Lines!$B$5:$B$1733,A49)</f>
        <v>3252.45</v>
      </c>
      <c r="E49" s="17" t="n">
        <f aca="false">C49-D49</f>
        <v>0</v>
      </c>
      <c r="F49" s="18" t="n">
        <f aca="false">INDEX(JE_Lines!$C$5:$C$1733,MATCH(A49,JE_Lines!$B$5:$B$1733,0))</f>
        <v>45678</v>
      </c>
      <c r="G49" s="18" t="n">
        <f aca="false">INDEX(JE_Lines!$D$5:$D$1733,MATCH(A49,JE_Lines!$B$5:$B$1733,0))</f>
        <v>45677</v>
      </c>
      <c r="H49" s="0" t="str">
        <f aca="false">INDEX(JE_Lines!$I$5:$I$1733,MATCH(A49,JE_Lines!$B$5:$B$1733,0))</f>
        <v>SYS_AR</v>
      </c>
      <c r="I49" s="0" t="str">
        <f aca="false">INDEX(JE_Lines!$J$5:$J$1733,MATCH(A49,JE_Lines!$B$5:$B$1733,0))</f>
        <v>System</v>
      </c>
      <c r="J49" s="0" t="str">
        <f aca="false">IF(LEN(INDEX(JE_Lines!$K$5:$K$1733,MATCH(A49,JE_Lines!$B$5:$B$1733,0)))=0,"",INDEX(JE_Lines!$K$5:$K$1733,MATCH(A49,JE_Lines!$B$5:$B$1733,0)))</f>
        <v>Customer receipts</v>
      </c>
      <c r="K49" s="9" t="n">
        <f aca="false">F49-G49</f>
        <v>1</v>
      </c>
      <c r="L49" s="9" t="n">
        <f aca="false">COUNTIFS(JE_Lines!$B$5:$B$1733,A49,JE_Lines!$F$5:$F$1733,"Revenue")</f>
        <v>0</v>
      </c>
      <c r="M49" s="9" t="n">
        <f aca="false">COUNTIFS(JE_Lines!$B$5:$B$1733,A49,JE_Lines!$F$5:$F$1733,"Suspense")</f>
        <v>0</v>
      </c>
      <c r="N49" s="9" t="n">
        <f aca="false">IF(ABS(E49)&gt;Parameters!$B$23,1,0)</f>
        <v>0</v>
      </c>
      <c r="O49" s="9" t="n">
        <f aca="false">IF(WEEKDAY(F49,2)&gt;5,1,0)</f>
        <v>0</v>
      </c>
      <c r="P49" s="9" t="n">
        <f aca="false">IF(K49&gt;Parameters!$B$17,1,0)</f>
        <v>0</v>
      </c>
      <c r="Q49" s="9" t="n">
        <f aca="false">IF(AND(F49&lt;=Parameters!$B$6,F49&gt;Parameters!$B$6-Parameters!$B$18),1,0)</f>
        <v>0</v>
      </c>
      <c r="R49" s="9" t="n">
        <f aca="false">IF(COUNTIF(Parameters!$A$51:$A$58,H49)=0,1,0)</f>
        <v>0</v>
      </c>
      <c r="S49" s="9" t="n">
        <f aca="false">IF(AND(I49="Manual",L49&gt;0),1,0)</f>
        <v>0</v>
      </c>
      <c r="T49" s="9" t="n">
        <f aca="false">IF(AND(C49&gt;=Parameters!$B$22,ROUND(MOD(ROUND(C49,2),Parameters!$B$21),2)=0),1,0)</f>
        <v>0</v>
      </c>
      <c r="U49" s="9" t="n">
        <f aca="false">IF(LEN(TRIM(J49))=0,1,0)</f>
        <v>0</v>
      </c>
      <c r="V49" s="9" t="n">
        <f aca="false">IF(AND(I49="Manual",C49&lt;Parameters!$B$19,C49&gt;=Parameters!$B$19*(1-Parameters!$B$20)),1,0)</f>
        <v>0</v>
      </c>
      <c r="W49" s="9" t="n">
        <f aca="false">IF(AND(I49="Manual",M49&gt;0),1,0)</f>
        <v>0</v>
      </c>
      <c r="X49" s="9" t="n">
        <f aca="false">IF(A49-A48&gt;1,1,0)</f>
        <v>0</v>
      </c>
      <c r="Y49" s="9" t="n">
        <f aca="false">N49*Parameters!$B$38+O49*Parameters!$B$39+P49*Parameters!$B$40+Q49*Parameters!$B$41+R49*Parameters!$B$42+S49*Parameters!$B$43+T49*Parameters!$B$44+U49*Parameters!$B$45+V49*Parameters!$B$46+W49*Parameters!$B$47+X49*Parameters!$B$48</f>
        <v>0</v>
      </c>
      <c r="Z49" s="0" t="str">
        <f aca="false">IF(Y49&gt;=Parameters!$B$25,"High","")</f>
        <v/>
      </c>
    </row>
    <row r="50" customFormat="false" ht="15" hidden="false" customHeight="false" outlineLevel="0" collapsed="false">
      <c r="A50" s="16" t="n">
        <v>1046</v>
      </c>
      <c r="B50" s="9" t="n">
        <f aca="false">COUNTIF(JE_Lines!$B$5:$B$1733,A50)</f>
        <v>2</v>
      </c>
      <c r="C50" s="17" t="n">
        <f aca="false">SUMIFS(JE_Lines!$G$5:$G$1733,JE_Lines!$B$5:$B$1733,A50)</f>
        <v>17416.13</v>
      </c>
      <c r="D50" s="17" t="n">
        <f aca="false">SUMIFS(JE_Lines!$H$5:$H$1733,JE_Lines!$B$5:$B$1733,A50)</f>
        <v>17416.13</v>
      </c>
      <c r="E50" s="17" t="n">
        <f aca="false">C50-D50</f>
        <v>0</v>
      </c>
      <c r="F50" s="18" t="n">
        <f aca="false">INDEX(JE_Lines!$C$5:$C$1733,MATCH(A50,JE_Lines!$B$5:$B$1733,0))</f>
        <v>45679</v>
      </c>
      <c r="G50" s="18" t="n">
        <f aca="false">INDEX(JE_Lines!$D$5:$D$1733,MATCH(A50,JE_Lines!$B$5:$B$1733,0))</f>
        <v>45678</v>
      </c>
      <c r="H50" s="0" t="str">
        <f aca="false">INDEX(JE_Lines!$I$5:$I$1733,MATCH(A50,JE_Lines!$B$5:$B$1733,0))</f>
        <v>SYS_PAY</v>
      </c>
      <c r="I50" s="0" t="str">
        <f aca="false">INDEX(JE_Lines!$J$5:$J$1733,MATCH(A50,JE_Lines!$B$5:$B$1733,0))</f>
        <v>System</v>
      </c>
      <c r="J50" s="0" t="str">
        <f aca="false">IF(LEN(INDEX(JE_Lines!$K$5:$K$1733,MATCH(A50,JE_Lines!$B$5:$B$1733,0)))=0,"",INDEX(JE_Lines!$K$5:$K$1733,MATCH(A50,JE_Lines!$B$5:$B$1733,0)))</f>
        <v>Supplier payments</v>
      </c>
      <c r="K50" s="9" t="n">
        <f aca="false">F50-G50</f>
        <v>1</v>
      </c>
      <c r="L50" s="9" t="n">
        <f aca="false">COUNTIFS(JE_Lines!$B$5:$B$1733,A50,JE_Lines!$F$5:$F$1733,"Revenue")</f>
        <v>0</v>
      </c>
      <c r="M50" s="9" t="n">
        <f aca="false">COUNTIFS(JE_Lines!$B$5:$B$1733,A50,JE_Lines!$F$5:$F$1733,"Suspense")</f>
        <v>0</v>
      </c>
      <c r="N50" s="9" t="n">
        <f aca="false">IF(ABS(E50)&gt;Parameters!$B$23,1,0)</f>
        <v>0</v>
      </c>
      <c r="O50" s="9" t="n">
        <f aca="false">IF(WEEKDAY(F50,2)&gt;5,1,0)</f>
        <v>0</v>
      </c>
      <c r="P50" s="9" t="n">
        <f aca="false">IF(K50&gt;Parameters!$B$17,1,0)</f>
        <v>0</v>
      </c>
      <c r="Q50" s="9" t="n">
        <f aca="false">IF(AND(F50&lt;=Parameters!$B$6,F50&gt;Parameters!$B$6-Parameters!$B$18),1,0)</f>
        <v>0</v>
      </c>
      <c r="R50" s="9" t="n">
        <f aca="false">IF(COUNTIF(Parameters!$A$51:$A$58,H50)=0,1,0)</f>
        <v>0</v>
      </c>
      <c r="S50" s="9" t="n">
        <f aca="false">IF(AND(I50="Manual",L50&gt;0),1,0)</f>
        <v>0</v>
      </c>
      <c r="T50" s="9" t="n">
        <f aca="false">IF(AND(C50&gt;=Parameters!$B$22,ROUND(MOD(ROUND(C50,2),Parameters!$B$21),2)=0),1,0)</f>
        <v>0</v>
      </c>
      <c r="U50" s="9" t="n">
        <f aca="false">IF(LEN(TRIM(J50))=0,1,0)</f>
        <v>0</v>
      </c>
      <c r="V50" s="9" t="n">
        <f aca="false">IF(AND(I50="Manual",C50&lt;Parameters!$B$19,C50&gt;=Parameters!$B$19*(1-Parameters!$B$20)),1,0)</f>
        <v>0</v>
      </c>
      <c r="W50" s="9" t="n">
        <f aca="false">IF(AND(I50="Manual",M50&gt;0),1,0)</f>
        <v>0</v>
      </c>
      <c r="X50" s="9" t="n">
        <f aca="false">IF(A50-A49&gt;1,1,0)</f>
        <v>0</v>
      </c>
      <c r="Y50" s="9" t="n">
        <f aca="false">N50*Parameters!$B$38+O50*Parameters!$B$39+P50*Parameters!$B$40+Q50*Parameters!$B$41+R50*Parameters!$B$42+S50*Parameters!$B$43+T50*Parameters!$B$44+U50*Parameters!$B$45+V50*Parameters!$B$46+W50*Parameters!$B$47+X50*Parameters!$B$48</f>
        <v>0</v>
      </c>
      <c r="Z50" s="0" t="str">
        <f aca="false">IF(Y50&gt;=Parameters!$B$25,"High","")</f>
        <v/>
      </c>
    </row>
    <row r="51" customFormat="false" ht="15" hidden="false" customHeight="false" outlineLevel="0" collapsed="false">
      <c r="A51" s="16" t="n">
        <v>1047</v>
      </c>
      <c r="B51" s="9" t="n">
        <f aca="false">COUNTIF(JE_Lines!$B$5:$B$1733,A51)</f>
        <v>2</v>
      </c>
      <c r="C51" s="17" t="n">
        <f aca="false">SUMIFS(JE_Lines!$G$5:$G$1733,JE_Lines!$B$5:$B$1733,A51)</f>
        <v>33706.17</v>
      </c>
      <c r="D51" s="17" t="n">
        <f aca="false">SUMIFS(JE_Lines!$H$5:$H$1733,JE_Lines!$B$5:$B$1733,A51)</f>
        <v>33706.17</v>
      </c>
      <c r="E51" s="17" t="n">
        <f aca="false">C51-D51</f>
        <v>0</v>
      </c>
      <c r="F51" s="18" t="n">
        <f aca="false">INDEX(JE_Lines!$C$5:$C$1733,MATCH(A51,JE_Lines!$B$5:$B$1733,0))</f>
        <v>45679</v>
      </c>
      <c r="G51" s="18" t="n">
        <f aca="false">INDEX(JE_Lines!$D$5:$D$1733,MATCH(A51,JE_Lines!$B$5:$B$1733,0))</f>
        <v>45679</v>
      </c>
      <c r="H51" s="0" t="str">
        <f aca="false">INDEX(JE_Lines!$I$5:$I$1733,MATCH(A51,JE_Lines!$B$5:$B$1733,0))</f>
        <v>SYS_AR</v>
      </c>
      <c r="I51" s="0" t="str">
        <f aca="false">INDEX(JE_Lines!$J$5:$J$1733,MATCH(A51,JE_Lines!$B$5:$B$1733,0))</f>
        <v>System</v>
      </c>
      <c r="J51" s="0" t="str">
        <f aca="false">IF(LEN(INDEX(JE_Lines!$K$5:$K$1733,MATCH(A51,JE_Lines!$B$5:$B$1733,0)))=0,"",INDEX(JE_Lines!$K$5:$K$1733,MATCH(A51,JE_Lines!$B$5:$B$1733,0)))</f>
        <v>Cost of sales posting</v>
      </c>
      <c r="K51" s="9" t="n">
        <f aca="false">F51-G51</f>
        <v>0</v>
      </c>
      <c r="L51" s="9" t="n">
        <f aca="false">COUNTIFS(JE_Lines!$B$5:$B$1733,A51,JE_Lines!$F$5:$F$1733,"Revenue")</f>
        <v>0</v>
      </c>
      <c r="M51" s="9" t="n">
        <f aca="false">COUNTIFS(JE_Lines!$B$5:$B$1733,A51,JE_Lines!$F$5:$F$1733,"Suspense")</f>
        <v>0</v>
      </c>
      <c r="N51" s="9" t="n">
        <f aca="false">IF(ABS(E51)&gt;Parameters!$B$23,1,0)</f>
        <v>0</v>
      </c>
      <c r="O51" s="9" t="n">
        <f aca="false">IF(WEEKDAY(F51,2)&gt;5,1,0)</f>
        <v>0</v>
      </c>
      <c r="P51" s="9" t="n">
        <f aca="false">IF(K51&gt;Parameters!$B$17,1,0)</f>
        <v>0</v>
      </c>
      <c r="Q51" s="9" t="n">
        <f aca="false">IF(AND(F51&lt;=Parameters!$B$6,F51&gt;Parameters!$B$6-Parameters!$B$18),1,0)</f>
        <v>0</v>
      </c>
      <c r="R51" s="9" t="n">
        <f aca="false">IF(COUNTIF(Parameters!$A$51:$A$58,H51)=0,1,0)</f>
        <v>0</v>
      </c>
      <c r="S51" s="9" t="n">
        <f aca="false">IF(AND(I51="Manual",L51&gt;0),1,0)</f>
        <v>0</v>
      </c>
      <c r="T51" s="9" t="n">
        <f aca="false">IF(AND(C51&gt;=Parameters!$B$22,ROUND(MOD(ROUND(C51,2),Parameters!$B$21),2)=0),1,0)</f>
        <v>0</v>
      </c>
      <c r="U51" s="9" t="n">
        <f aca="false">IF(LEN(TRIM(J51))=0,1,0)</f>
        <v>0</v>
      </c>
      <c r="V51" s="9" t="n">
        <f aca="false">IF(AND(I51="Manual",C51&lt;Parameters!$B$19,C51&gt;=Parameters!$B$19*(1-Parameters!$B$20)),1,0)</f>
        <v>0</v>
      </c>
      <c r="W51" s="9" t="n">
        <f aca="false">IF(AND(I51="Manual",M51&gt;0),1,0)</f>
        <v>0</v>
      </c>
      <c r="X51" s="9" t="n">
        <f aca="false">IF(A51-A50&gt;1,1,0)</f>
        <v>0</v>
      </c>
      <c r="Y51" s="9" t="n">
        <f aca="false">N51*Parameters!$B$38+O51*Parameters!$B$39+P51*Parameters!$B$40+Q51*Parameters!$B$41+R51*Parameters!$B$42+S51*Parameters!$B$43+T51*Parameters!$B$44+U51*Parameters!$B$45+V51*Parameters!$B$46+W51*Parameters!$B$47+X51*Parameters!$B$48</f>
        <v>0</v>
      </c>
      <c r="Z51" s="0" t="str">
        <f aca="false">IF(Y51&gt;=Parameters!$B$25,"High","")</f>
        <v/>
      </c>
    </row>
    <row r="52" customFormat="false" ht="15" hidden="false" customHeight="false" outlineLevel="0" collapsed="false">
      <c r="A52" s="16" t="n">
        <v>1048</v>
      </c>
      <c r="B52" s="9" t="n">
        <f aca="false">COUNTIF(JE_Lines!$B$5:$B$1733,A52)</f>
        <v>3</v>
      </c>
      <c r="C52" s="17" t="n">
        <f aca="false">SUMIFS(JE_Lines!$G$5:$G$1733,JE_Lines!$B$5:$B$1733,A52)</f>
        <v>690.05</v>
      </c>
      <c r="D52" s="17" t="n">
        <f aca="false">SUMIFS(JE_Lines!$H$5:$H$1733,JE_Lines!$B$5:$B$1733,A52)</f>
        <v>690.05</v>
      </c>
      <c r="E52" s="17" t="n">
        <f aca="false">C52-D52</f>
        <v>0</v>
      </c>
      <c r="F52" s="18" t="n">
        <f aca="false">INDEX(JE_Lines!$C$5:$C$1733,MATCH(A52,JE_Lines!$B$5:$B$1733,0))</f>
        <v>45679</v>
      </c>
      <c r="G52" s="18" t="n">
        <f aca="false">INDEX(JE_Lines!$D$5:$D$1733,MATCH(A52,JE_Lines!$B$5:$B$1733,0))</f>
        <v>45679</v>
      </c>
      <c r="H52" s="0" t="str">
        <f aca="false">INDEX(JE_Lines!$I$5:$I$1733,MATCH(A52,JE_Lines!$B$5:$B$1733,0))</f>
        <v>SYS_AR</v>
      </c>
      <c r="I52" s="0" t="str">
        <f aca="false">INDEX(JE_Lines!$J$5:$J$1733,MATCH(A52,JE_Lines!$B$5:$B$1733,0))</f>
        <v>System</v>
      </c>
      <c r="J52" s="0" t="str">
        <f aca="false">IF(LEN(INDEX(JE_Lines!$K$5:$K$1733,MATCH(A52,JE_Lines!$B$5:$B$1733,0)))=0,"",INDEX(JE_Lines!$K$5:$K$1733,MATCH(A52,JE_Lines!$B$5:$B$1733,0)))</f>
        <v>Sales invoice batch</v>
      </c>
      <c r="K52" s="9" t="n">
        <f aca="false">F52-G52</f>
        <v>0</v>
      </c>
      <c r="L52" s="9" t="n">
        <f aca="false">COUNTIFS(JE_Lines!$B$5:$B$1733,A52,JE_Lines!$F$5:$F$1733,"Revenue")</f>
        <v>1</v>
      </c>
      <c r="M52" s="9" t="n">
        <f aca="false">COUNTIFS(JE_Lines!$B$5:$B$1733,A52,JE_Lines!$F$5:$F$1733,"Suspense")</f>
        <v>0</v>
      </c>
      <c r="N52" s="9" t="n">
        <f aca="false">IF(ABS(E52)&gt;Parameters!$B$23,1,0)</f>
        <v>0</v>
      </c>
      <c r="O52" s="9" t="n">
        <f aca="false">IF(WEEKDAY(F52,2)&gt;5,1,0)</f>
        <v>0</v>
      </c>
      <c r="P52" s="9" t="n">
        <f aca="false">IF(K52&gt;Parameters!$B$17,1,0)</f>
        <v>0</v>
      </c>
      <c r="Q52" s="9" t="n">
        <f aca="false">IF(AND(F52&lt;=Parameters!$B$6,F52&gt;Parameters!$B$6-Parameters!$B$18),1,0)</f>
        <v>0</v>
      </c>
      <c r="R52" s="9" t="n">
        <f aca="false">IF(COUNTIF(Parameters!$A$51:$A$58,H52)=0,1,0)</f>
        <v>0</v>
      </c>
      <c r="S52" s="9" t="n">
        <f aca="false">IF(AND(I52="Manual",L52&gt;0),1,0)</f>
        <v>0</v>
      </c>
      <c r="T52" s="9" t="n">
        <f aca="false">IF(AND(C52&gt;=Parameters!$B$22,ROUND(MOD(ROUND(C52,2),Parameters!$B$21),2)=0),1,0)</f>
        <v>0</v>
      </c>
      <c r="U52" s="9" t="n">
        <f aca="false">IF(LEN(TRIM(J52))=0,1,0)</f>
        <v>0</v>
      </c>
      <c r="V52" s="9" t="n">
        <f aca="false">IF(AND(I52="Manual",C52&lt;Parameters!$B$19,C52&gt;=Parameters!$B$19*(1-Parameters!$B$20)),1,0)</f>
        <v>0</v>
      </c>
      <c r="W52" s="9" t="n">
        <f aca="false">IF(AND(I52="Manual",M52&gt;0),1,0)</f>
        <v>0</v>
      </c>
      <c r="X52" s="9" t="n">
        <f aca="false">IF(A52-A51&gt;1,1,0)</f>
        <v>0</v>
      </c>
      <c r="Y52" s="9" t="n">
        <f aca="false">N52*Parameters!$B$38+O52*Parameters!$B$39+P52*Parameters!$B$40+Q52*Parameters!$B$41+R52*Parameters!$B$42+S52*Parameters!$B$43+T52*Parameters!$B$44+U52*Parameters!$B$45+V52*Parameters!$B$46+W52*Parameters!$B$47+X52*Parameters!$B$48</f>
        <v>0</v>
      </c>
      <c r="Z52" s="0" t="str">
        <f aca="false">IF(Y52&gt;=Parameters!$B$25,"High","")</f>
        <v/>
      </c>
    </row>
    <row r="53" customFormat="false" ht="15" hidden="false" customHeight="false" outlineLevel="0" collapsed="false">
      <c r="A53" s="16" t="n">
        <v>1049</v>
      </c>
      <c r="B53" s="9" t="n">
        <f aca="false">COUNTIF(JE_Lines!$B$5:$B$1733,A53)</f>
        <v>2</v>
      </c>
      <c r="C53" s="17" t="n">
        <f aca="false">SUMIFS(JE_Lines!$G$5:$G$1733,JE_Lines!$B$5:$B$1733,A53)</f>
        <v>661.93</v>
      </c>
      <c r="D53" s="17" t="n">
        <f aca="false">SUMIFS(JE_Lines!$H$5:$H$1733,JE_Lines!$B$5:$B$1733,A53)</f>
        <v>661.93</v>
      </c>
      <c r="E53" s="17" t="n">
        <f aca="false">C53-D53</f>
        <v>0</v>
      </c>
      <c r="F53" s="18" t="n">
        <f aca="false">INDEX(JE_Lines!$C$5:$C$1733,MATCH(A53,JE_Lines!$B$5:$B$1733,0))</f>
        <v>45680</v>
      </c>
      <c r="G53" s="18" t="n">
        <f aca="false">INDEX(JE_Lines!$D$5:$D$1733,MATCH(A53,JE_Lines!$B$5:$B$1733,0))</f>
        <v>45677</v>
      </c>
      <c r="H53" s="0" t="str">
        <f aca="false">INDEX(JE_Lines!$I$5:$I$1733,MATCH(A53,JE_Lines!$B$5:$B$1733,0))</f>
        <v>SYS_AR</v>
      </c>
      <c r="I53" s="0" t="str">
        <f aca="false">INDEX(JE_Lines!$J$5:$J$1733,MATCH(A53,JE_Lines!$B$5:$B$1733,0))</f>
        <v>System</v>
      </c>
      <c r="J53" s="0" t="str">
        <f aca="false">IF(LEN(INDEX(JE_Lines!$K$5:$K$1733,MATCH(A53,JE_Lines!$B$5:$B$1733,0)))=0,"",INDEX(JE_Lines!$K$5:$K$1733,MATCH(A53,JE_Lines!$B$5:$B$1733,0)))</f>
        <v>Customer receipts</v>
      </c>
      <c r="K53" s="9" t="n">
        <f aca="false">F53-G53</f>
        <v>3</v>
      </c>
      <c r="L53" s="9" t="n">
        <f aca="false">COUNTIFS(JE_Lines!$B$5:$B$1733,A53,JE_Lines!$F$5:$F$1733,"Revenue")</f>
        <v>0</v>
      </c>
      <c r="M53" s="9" t="n">
        <f aca="false">COUNTIFS(JE_Lines!$B$5:$B$1733,A53,JE_Lines!$F$5:$F$1733,"Suspense")</f>
        <v>0</v>
      </c>
      <c r="N53" s="9" t="n">
        <f aca="false">IF(ABS(E53)&gt;Parameters!$B$23,1,0)</f>
        <v>0</v>
      </c>
      <c r="O53" s="9" t="n">
        <f aca="false">IF(WEEKDAY(F53,2)&gt;5,1,0)</f>
        <v>0</v>
      </c>
      <c r="P53" s="9" t="n">
        <f aca="false">IF(K53&gt;Parameters!$B$17,1,0)</f>
        <v>0</v>
      </c>
      <c r="Q53" s="9" t="n">
        <f aca="false">IF(AND(F53&lt;=Parameters!$B$6,F53&gt;Parameters!$B$6-Parameters!$B$18),1,0)</f>
        <v>0</v>
      </c>
      <c r="R53" s="9" t="n">
        <f aca="false">IF(COUNTIF(Parameters!$A$51:$A$58,H53)=0,1,0)</f>
        <v>0</v>
      </c>
      <c r="S53" s="9" t="n">
        <f aca="false">IF(AND(I53="Manual",L53&gt;0),1,0)</f>
        <v>0</v>
      </c>
      <c r="T53" s="9" t="n">
        <f aca="false">IF(AND(C53&gt;=Parameters!$B$22,ROUND(MOD(ROUND(C53,2),Parameters!$B$21),2)=0),1,0)</f>
        <v>0</v>
      </c>
      <c r="U53" s="9" t="n">
        <f aca="false">IF(LEN(TRIM(J53))=0,1,0)</f>
        <v>0</v>
      </c>
      <c r="V53" s="9" t="n">
        <f aca="false">IF(AND(I53="Manual",C53&lt;Parameters!$B$19,C53&gt;=Parameters!$B$19*(1-Parameters!$B$20)),1,0)</f>
        <v>0</v>
      </c>
      <c r="W53" s="9" t="n">
        <f aca="false">IF(AND(I53="Manual",M53&gt;0),1,0)</f>
        <v>0</v>
      </c>
      <c r="X53" s="9" t="n">
        <f aca="false">IF(A53-A52&gt;1,1,0)</f>
        <v>0</v>
      </c>
      <c r="Y53" s="9" t="n">
        <f aca="false">N53*Parameters!$B$38+O53*Parameters!$B$39+P53*Parameters!$B$40+Q53*Parameters!$B$41+R53*Parameters!$B$42+S53*Parameters!$B$43+T53*Parameters!$B$44+U53*Parameters!$B$45+V53*Parameters!$B$46+W53*Parameters!$B$47+X53*Parameters!$B$48</f>
        <v>0</v>
      </c>
      <c r="Z53" s="0" t="str">
        <f aca="false">IF(Y53&gt;=Parameters!$B$25,"High","")</f>
        <v/>
      </c>
    </row>
    <row r="54" customFormat="false" ht="15" hidden="false" customHeight="false" outlineLevel="0" collapsed="false">
      <c r="A54" s="16" t="n">
        <v>1050</v>
      </c>
      <c r="B54" s="9" t="n">
        <f aca="false">COUNTIF(JE_Lines!$B$5:$B$1733,A54)</f>
        <v>2</v>
      </c>
      <c r="C54" s="17" t="n">
        <f aca="false">SUMIFS(JE_Lines!$G$5:$G$1733,JE_Lines!$B$5:$B$1733,A54)</f>
        <v>111563.27</v>
      </c>
      <c r="D54" s="17" t="n">
        <f aca="false">SUMIFS(JE_Lines!$H$5:$H$1733,JE_Lines!$B$5:$B$1733,A54)</f>
        <v>111563.27</v>
      </c>
      <c r="E54" s="17" t="n">
        <f aca="false">C54-D54</f>
        <v>0</v>
      </c>
      <c r="F54" s="18" t="n">
        <f aca="false">INDEX(JE_Lines!$C$5:$C$1733,MATCH(A54,JE_Lines!$B$5:$B$1733,0))</f>
        <v>45680</v>
      </c>
      <c r="G54" s="18" t="n">
        <f aca="false">INDEX(JE_Lines!$D$5:$D$1733,MATCH(A54,JE_Lines!$B$5:$B$1733,0))</f>
        <v>45676</v>
      </c>
      <c r="H54" s="0" t="str">
        <f aca="false">INDEX(JE_Lines!$I$5:$I$1733,MATCH(A54,JE_Lines!$B$5:$B$1733,0))</f>
        <v>SYS_AR</v>
      </c>
      <c r="I54" s="0" t="str">
        <f aca="false">INDEX(JE_Lines!$J$5:$J$1733,MATCH(A54,JE_Lines!$B$5:$B$1733,0))</f>
        <v>System</v>
      </c>
      <c r="J54" s="0" t="str">
        <f aca="false">IF(LEN(INDEX(JE_Lines!$K$5:$K$1733,MATCH(A54,JE_Lines!$B$5:$B$1733,0)))=0,"",INDEX(JE_Lines!$K$5:$K$1733,MATCH(A54,JE_Lines!$B$5:$B$1733,0)))</f>
        <v>Customer receipts</v>
      </c>
      <c r="K54" s="9" t="n">
        <f aca="false">F54-G54</f>
        <v>4</v>
      </c>
      <c r="L54" s="9" t="n">
        <f aca="false">COUNTIFS(JE_Lines!$B$5:$B$1733,A54,JE_Lines!$F$5:$F$1733,"Revenue")</f>
        <v>0</v>
      </c>
      <c r="M54" s="9" t="n">
        <f aca="false">COUNTIFS(JE_Lines!$B$5:$B$1733,A54,JE_Lines!$F$5:$F$1733,"Suspense")</f>
        <v>0</v>
      </c>
      <c r="N54" s="9" t="n">
        <f aca="false">IF(ABS(E54)&gt;Parameters!$B$23,1,0)</f>
        <v>0</v>
      </c>
      <c r="O54" s="9" t="n">
        <f aca="false">IF(WEEKDAY(F54,2)&gt;5,1,0)</f>
        <v>0</v>
      </c>
      <c r="P54" s="9" t="n">
        <f aca="false">IF(K54&gt;Parameters!$B$17,1,0)</f>
        <v>0</v>
      </c>
      <c r="Q54" s="9" t="n">
        <f aca="false">IF(AND(F54&lt;=Parameters!$B$6,F54&gt;Parameters!$B$6-Parameters!$B$18),1,0)</f>
        <v>0</v>
      </c>
      <c r="R54" s="9" t="n">
        <f aca="false">IF(COUNTIF(Parameters!$A$51:$A$58,H54)=0,1,0)</f>
        <v>0</v>
      </c>
      <c r="S54" s="9" t="n">
        <f aca="false">IF(AND(I54="Manual",L54&gt;0),1,0)</f>
        <v>0</v>
      </c>
      <c r="T54" s="9" t="n">
        <f aca="false">IF(AND(C54&gt;=Parameters!$B$22,ROUND(MOD(ROUND(C54,2),Parameters!$B$21),2)=0),1,0)</f>
        <v>0</v>
      </c>
      <c r="U54" s="9" t="n">
        <f aca="false">IF(LEN(TRIM(J54))=0,1,0)</f>
        <v>0</v>
      </c>
      <c r="V54" s="9" t="n">
        <f aca="false">IF(AND(I54="Manual",C54&lt;Parameters!$B$19,C54&gt;=Parameters!$B$19*(1-Parameters!$B$20)),1,0)</f>
        <v>0</v>
      </c>
      <c r="W54" s="9" t="n">
        <f aca="false">IF(AND(I54="Manual",M54&gt;0),1,0)</f>
        <v>0</v>
      </c>
      <c r="X54" s="9" t="n">
        <f aca="false">IF(A54-A53&gt;1,1,0)</f>
        <v>0</v>
      </c>
      <c r="Y54" s="9" t="n">
        <f aca="false">N54*Parameters!$B$38+O54*Parameters!$B$39+P54*Parameters!$B$40+Q54*Parameters!$B$41+R54*Parameters!$B$42+S54*Parameters!$B$43+T54*Parameters!$B$44+U54*Parameters!$B$45+V54*Parameters!$B$46+W54*Parameters!$B$47+X54*Parameters!$B$48</f>
        <v>0</v>
      </c>
      <c r="Z54" s="0" t="str">
        <f aca="false">IF(Y54&gt;=Parameters!$B$25,"High","")</f>
        <v/>
      </c>
    </row>
    <row r="55" customFormat="false" ht="15" hidden="false" customHeight="false" outlineLevel="0" collapsed="false">
      <c r="A55" s="16" t="n">
        <v>1051</v>
      </c>
      <c r="B55" s="9" t="n">
        <f aca="false">COUNTIF(JE_Lines!$B$5:$B$1733,A55)</f>
        <v>2</v>
      </c>
      <c r="C55" s="17" t="n">
        <f aca="false">SUMIFS(JE_Lines!$G$5:$G$1733,JE_Lines!$B$5:$B$1733,A55)</f>
        <v>45000</v>
      </c>
      <c r="D55" s="17" t="n">
        <f aca="false">SUMIFS(JE_Lines!$H$5:$H$1733,JE_Lines!$B$5:$B$1733,A55)</f>
        <v>45000</v>
      </c>
      <c r="E55" s="17" t="n">
        <f aca="false">C55-D55</f>
        <v>0</v>
      </c>
      <c r="F55" s="18" t="n">
        <f aca="false">INDEX(JE_Lines!$C$5:$C$1733,MATCH(A55,JE_Lines!$B$5:$B$1733,0))</f>
        <v>45680</v>
      </c>
      <c r="G55" s="18" t="n">
        <f aca="false">INDEX(JE_Lines!$D$5:$D$1733,MATCH(A55,JE_Lines!$B$5:$B$1733,0))</f>
        <v>45680</v>
      </c>
      <c r="H55" s="0" t="str">
        <f aca="false">INDEX(JE_Lines!$I$5:$I$1733,MATCH(A55,JE_Lines!$B$5:$B$1733,0))</f>
        <v>FIN05</v>
      </c>
      <c r="I55" s="0" t="str">
        <f aca="false">INDEX(JE_Lines!$J$5:$J$1733,MATCH(A55,JE_Lines!$B$5:$B$1733,0))</f>
        <v>Manual</v>
      </c>
      <c r="J55" s="0" t="str">
        <f aca="false">IF(LEN(INDEX(JE_Lines!$K$5:$K$1733,MATCH(A55,JE_Lines!$B$5:$B$1733,0)))=0,"",INDEX(JE_Lines!$K$5:$K$1733,MATCH(A55,JE_Lines!$B$5:$B$1733,0)))</f>
        <v>Round accrual 1</v>
      </c>
      <c r="K55" s="9" t="n">
        <f aca="false">F55-G55</f>
        <v>0</v>
      </c>
      <c r="L55" s="9" t="n">
        <f aca="false">COUNTIFS(JE_Lines!$B$5:$B$1733,A55,JE_Lines!$F$5:$F$1733,"Revenue")</f>
        <v>0</v>
      </c>
      <c r="M55" s="9" t="n">
        <f aca="false">COUNTIFS(JE_Lines!$B$5:$B$1733,A55,JE_Lines!$F$5:$F$1733,"Suspense")</f>
        <v>0</v>
      </c>
      <c r="N55" s="9" t="n">
        <f aca="false">IF(ABS(E55)&gt;Parameters!$B$23,1,0)</f>
        <v>0</v>
      </c>
      <c r="O55" s="9" t="n">
        <f aca="false">IF(WEEKDAY(F55,2)&gt;5,1,0)</f>
        <v>0</v>
      </c>
      <c r="P55" s="9" t="n">
        <f aca="false">IF(K55&gt;Parameters!$B$17,1,0)</f>
        <v>0</v>
      </c>
      <c r="Q55" s="9" t="n">
        <f aca="false">IF(AND(F55&lt;=Parameters!$B$6,F55&gt;Parameters!$B$6-Parameters!$B$18),1,0)</f>
        <v>0</v>
      </c>
      <c r="R55" s="9" t="n">
        <f aca="false">IF(COUNTIF(Parameters!$A$51:$A$58,H55)=0,1,0)</f>
        <v>0</v>
      </c>
      <c r="S55" s="9" t="n">
        <f aca="false">IF(AND(I55="Manual",L55&gt;0),1,0)</f>
        <v>0</v>
      </c>
      <c r="T55" s="9" t="n">
        <f aca="false">IF(AND(C55&gt;=Parameters!$B$22,ROUND(MOD(ROUND(C55,2),Parameters!$B$21),2)=0),1,0)</f>
        <v>1</v>
      </c>
      <c r="U55" s="9" t="n">
        <f aca="false">IF(LEN(TRIM(J55))=0,1,0)</f>
        <v>0</v>
      </c>
      <c r="V55" s="9" t="n">
        <f aca="false">IF(AND(I55="Manual",C55&lt;Parameters!$B$19,C55&gt;=Parameters!$B$19*(1-Parameters!$B$20)),1,0)</f>
        <v>0</v>
      </c>
      <c r="W55" s="9" t="n">
        <f aca="false">IF(AND(I55="Manual",M55&gt;0),1,0)</f>
        <v>0</v>
      </c>
      <c r="X55" s="9" t="n">
        <f aca="false">IF(A55-A54&gt;1,1,0)</f>
        <v>0</v>
      </c>
      <c r="Y55" s="9" t="n">
        <f aca="false">N55*Parameters!$B$38+O55*Parameters!$B$39+P55*Parameters!$B$40+Q55*Parameters!$B$41+R55*Parameters!$B$42+S55*Parameters!$B$43+T55*Parameters!$B$44+U55*Parameters!$B$45+V55*Parameters!$B$46+W55*Parameters!$B$47+X55*Parameters!$B$48</f>
        <v>2</v>
      </c>
      <c r="Z55" s="0" t="str">
        <f aca="false">IF(Y55&gt;=Parameters!$B$25,"High","")</f>
        <v/>
      </c>
    </row>
    <row r="56" customFormat="false" ht="15" hidden="false" customHeight="false" outlineLevel="0" collapsed="false">
      <c r="A56" s="16" t="n">
        <v>1052</v>
      </c>
      <c r="B56" s="9" t="n">
        <f aca="false">COUNTIF(JE_Lines!$B$5:$B$1733,A56)</f>
        <v>2</v>
      </c>
      <c r="C56" s="17" t="n">
        <f aca="false">SUMIFS(JE_Lines!$G$5:$G$1733,JE_Lines!$B$5:$B$1733,A56)</f>
        <v>70722.06</v>
      </c>
      <c r="D56" s="17" t="n">
        <f aca="false">SUMIFS(JE_Lines!$H$5:$H$1733,JE_Lines!$B$5:$B$1733,A56)</f>
        <v>70722.06</v>
      </c>
      <c r="E56" s="17" t="n">
        <f aca="false">C56-D56</f>
        <v>0</v>
      </c>
      <c r="F56" s="18" t="n">
        <f aca="false">INDEX(JE_Lines!$C$5:$C$1733,MATCH(A56,JE_Lines!$B$5:$B$1733,0))</f>
        <v>45680</v>
      </c>
      <c r="G56" s="18" t="n">
        <f aca="false">INDEX(JE_Lines!$D$5:$D$1733,MATCH(A56,JE_Lines!$B$5:$B$1733,0))</f>
        <v>45678</v>
      </c>
      <c r="H56" s="0" t="str">
        <f aca="false">INDEX(JE_Lines!$I$5:$I$1733,MATCH(A56,JE_Lines!$B$5:$B$1733,0))</f>
        <v>SYS_AR</v>
      </c>
      <c r="I56" s="0" t="str">
        <f aca="false">INDEX(JE_Lines!$J$5:$J$1733,MATCH(A56,JE_Lines!$B$5:$B$1733,0))</f>
        <v>System</v>
      </c>
      <c r="J56" s="0" t="str">
        <f aca="false">IF(LEN(INDEX(JE_Lines!$K$5:$K$1733,MATCH(A56,JE_Lines!$B$5:$B$1733,0)))=0,"",INDEX(JE_Lines!$K$5:$K$1733,MATCH(A56,JE_Lines!$B$5:$B$1733,0)))</f>
        <v>Customer receipts</v>
      </c>
      <c r="K56" s="9" t="n">
        <f aca="false">F56-G56</f>
        <v>2</v>
      </c>
      <c r="L56" s="9" t="n">
        <f aca="false">COUNTIFS(JE_Lines!$B$5:$B$1733,A56,JE_Lines!$F$5:$F$1733,"Revenue")</f>
        <v>0</v>
      </c>
      <c r="M56" s="9" t="n">
        <f aca="false">COUNTIFS(JE_Lines!$B$5:$B$1733,A56,JE_Lines!$F$5:$F$1733,"Suspense")</f>
        <v>0</v>
      </c>
      <c r="N56" s="9" t="n">
        <f aca="false">IF(ABS(E56)&gt;Parameters!$B$23,1,0)</f>
        <v>0</v>
      </c>
      <c r="O56" s="9" t="n">
        <f aca="false">IF(WEEKDAY(F56,2)&gt;5,1,0)</f>
        <v>0</v>
      </c>
      <c r="P56" s="9" t="n">
        <f aca="false">IF(K56&gt;Parameters!$B$17,1,0)</f>
        <v>0</v>
      </c>
      <c r="Q56" s="9" t="n">
        <f aca="false">IF(AND(F56&lt;=Parameters!$B$6,F56&gt;Parameters!$B$6-Parameters!$B$18),1,0)</f>
        <v>0</v>
      </c>
      <c r="R56" s="9" t="n">
        <f aca="false">IF(COUNTIF(Parameters!$A$51:$A$58,H56)=0,1,0)</f>
        <v>0</v>
      </c>
      <c r="S56" s="9" t="n">
        <f aca="false">IF(AND(I56="Manual",L56&gt;0),1,0)</f>
        <v>0</v>
      </c>
      <c r="T56" s="9" t="n">
        <f aca="false">IF(AND(C56&gt;=Parameters!$B$22,ROUND(MOD(ROUND(C56,2),Parameters!$B$21),2)=0),1,0)</f>
        <v>0</v>
      </c>
      <c r="U56" s="9" t="n">
        <f aca="false">IF(LEN(TRIM(J56))=0,1,0)</f>
        <v>0</v>
      </c>
      <c r="V56" s="9" t="n">
        <f aca="false">IF(AND(I56="Manual",C56&lt;Parameters!$B$19,C56&gt;=Parameters!$B$19*(1-Parameters!$B$20)),1,0)</f>
        <v>0</v>
      </c>
      <c r="W56" s="9" t="n">
        <f aca="false">IF(AND(I56="Manual",M56&gt;0),1,0)</f>
        <v>0</v>
      </c>
      <c r="X56" s="9" t="n">
        <f aca="false">IF(A56-A55&gt;1,1,0)</f>
        <v>0</v>
      </c>
      <c r="Y56" s="9" t="n">
        <f aca="false">N56*Parameters!$B$38+O56*Parameters!$B$39+P56*Parameters!$B$40+Q56*Parameters!$B$41+R56*Parameters!$B$42+S56*Parameters!$B$43+T56*Parameters!$B$44+U56*Parameters!$B$45+V56*Parameters!$B$46+W56*Parameters!$B$47+X56*Parameters!$B$48</f>
        <v>0</v>
      </c>
      <c r="Z56" s="0" t="str">
        <f aca="false">IF(Y56&gt;=Parameters!$B$25,"High","")</f>
        <v/>
      </c>
    </row>
    <row r="57" customFormat="false" ht="15" hidden="false" customHeight="false" outlineLevel="0" collapsed="false">
      <c r="A57" s="16" t="n">
        <v>1053</v>
      </c>
      <c r="B57" s="9" t="n">
        <f aca="false">COUNTIF(JE_Lines!$B$5:$B$1733,A57)</f>
        <v>2</v>
      </c>
      <c r="C57" s="17" t="n">
        <f aca="false">SUMIFS(JE_Lines!$G$5:$G$1733,JE_Lines!$B$5:$B$1733,A57)</f>
        <v>44483.01</v>
      </c>
      <c r="D57" s="17" t="n">
        <f aca="false">SUMIFS(JE_Lines!$H$5:$H$1733,JE_Lines!$B$5:$B$1733,A57)</f>
        <v>44483.01</v>
      </c>
      <c r="E57" s="17" t="n">
        <f aca="false">C57-D57</f>
        <v>0</v>
      </c>
      <c r="F57" s="18" t="n">
        <f aca="false">INDEX(JE_Lines!$C$5:$C$1733,MATCH(A57,JE_Lines!$B$5:$B$1733,0))</f>
        <v>45680</v>
      </c>
      <c r="G57" s="18" t="n">
        <f aca="false">INDEX(JE_Lines!$D$5:$D$1733,MATCH(A57,JE_Lines!$B$5:$B$1733,0))</f>
        <v>45680</v>
      </c>
      <c r="H57" s="0" t="str">
        <f aca="false">INDEX(JE_Lines!$I$5:$I$1733,MATCH(A57,JE_Lines!$B$5:$B$1733,0))</f>
        <v>SYS_AR</v>
      </c>
      <c r="I57" s="0" t="str">
        <f aca="false">INDEX(JE_Lines!$J$5:$J$1733,MATCH(A57,JE_Lines!$B$5:$B$1733,0))</f>
        <v>System</v>
      </c>
      <c r="J57" s="0" t="str">
        <f aca="false">IF(LEN(INDEX(JE_Lines!$K$5:$K$1733,MATCH(A57,JE_Lines!$B$5:$B$1733,0)))=0,"",INDEX(JE_Lines!$K$5:$K$1733,MATCH(A57,JE_Lines!$B$5:$B$1733,0)))</f>
        <v/>
      </c>
      <c r="K57" s="9" t="n">
        <f aca="false">F57-G57</f>
        <v>0</v>
      </c>
      <c r="L57" s="9" t="n">
        <f aca="false">COUNTIFS(JE_Lines!$B$5:$B$1733,A57,JE_Lines!$F$5:$F$1733,"Revenue")</f>
        <v>0</v>
      </c>
      <c r="M57" s="9" t="n">
        <f aca="false">COUNTIFS(JE_Lines!$B$5:$B$1733,A57,JE_Lines!$F$5:$F$1733,"Suspense")</f>
        <v>0</v>
      </c>
      <c r="N57" s="9" t="n">
        <f aca="false">IF(ABS(E57)&gt;Parameters!$B$23,1,0)</f>
        <v>0</v>
      </c>
      <c r="O57" s="9" t="n">
        <f aca="false">IF(WEEKDAY(F57,2)&gt;5,1,0)</f>
        <v>0</v>
      </c>
      <c r="P57" s="9" t="n">
        <f aca="false">IF(K57&gt;Parameters!$B$17,1,0)</f>
        <v>0</v>
      </c>
      <c r="Q57" s="9" t="n">
        <f aca="false">IF(AND(F57&lt;=Parameters!$B$6,F57&gt;Parameters!$B$6-Parameters!$B$18),1,0)</f>
        <v>0</v>
      </c>
      <c r="R57" s="9" t="n">
        <f aca="false">IF(COUNTIF(Parameters!$A$51:$A$58,H57)=0,1,0)</f>
        <v>0</v>
      </c>
      <c r="S57" s="9" t="n">
        <f aca="false">IF(AND(I57="Manual",L57&gt;0),1,0)</f>
        <v>0</v>
      </c>
      <c r="T57" s="9" t="n">
        <f aca="false">IF(AND(C57&gt;=Parameters!$B$22,ROUND(MOD(ROUND(C57,2),Parameters!$B$21),2)=0),1,0)</f>
        <v>0</v>
      </c>
      <c r="U57" s="9" t="n">
        <f aca="false">IF(LEN(TRIM(J57))=0,1,0)</f>
        <v>1</v>
      </c>
      <c r="V57" s="9" t="n">
        <f aca="false">IF(AND(I57="Manual",C57&lt;Parameters!$B$19,C57&gt;=Parameters!$B$19*(1-Parameters!$B$20)),1,0)</f>
        <v>0</v>
      </c>
      <c r="W57" s="9" t="n">
        <f aca="false">IF(AND(I57="Manual",M57&gt;0),1,0)</f>
        <v>0</v>
      </c>
      <c r="X57" s="9" t="n">
        <f aca="false">IF(A57-A56&gt;1,1,0)</f>
        <v>0</v>
      </c>
      <c r="Y57" s="9" t="n">
        <f aca="false">N57*Parameters!$B$38+O57*Parameters!$B$39+P57*Parameters!$B$40+Q57*Parameters!$B$41+R57*Parameters!$B$42+S57*Parameters!$B$43+T57*Parameters!$B$44+U57*Parameters!$B$45+V57*Parameters!$B$46+W57*Parameters!$B$47+X57*Parameters!$B$48</f>
        <v>2</v>
      </c>
      <c r="Z57" s="0" t="str">
        <f aca="false">IF(Y57&gt;=Parameters!$B$25,"High","")</f>
        <v/>
      </c>
    </row>
    <row r="58" customFormat="false" ht="15" hidden="false" customHeight="false" outlineLevel="0" collapsed="false">
      <c r="A58" s="16" t="n">
        <v>1054</v>
      </c>
      <c r="B58" s="9" t="n">
        <f aca="false">COUNTIF(JE_Lines!$B$5:$B$1733,A58)</f>
        <v>2</v>
      </c>
      <c r="C58" s="17" t="n">
        <f aca="false">SUMIFS(JE_Lines!$G$5:$G$1733,JE_Lines!$B$5:$B$1733,A58)</f>
        <v>1513.51</v>
      </c>
      <c r="D58" s="17" t="n">
        <f aca="false">SUMIFS(JE_Lines!$H$5:$H$1733,JE_Lines!$B$5:$B$1733,A58)</f>
        <v>1513.51</v>
      </c>
      <c r="E58" s="17" t="n">
        <f aca="false">C58-D58</f>
        <v>0</v>
      </c>
      <c r="F58" s="18" t="n">
        <f aca="false">INDEX(JE_Lines!$C$5:$C$1733,MATCH(A58,JE_Lines!$B$5:$B$1733,0))</f>
        <v>45681</v>
      </c>
      <c r="G58" s="18" t="n">
        <f aca="false">INDEX(JE_Lines!$D$5:$D$1733,MATCH(A58,JE_Lines!$B$5:$B$1733,0))</f>
        <v>45678</v>
      </c>
      <c r="H58" s="0" t="str">
        <f aca="false">INDEX(JE_Lines!$I$5:$I$1733,MATCH(A58,JE_Lines!$B$5:$B$1733,0))</f>
        <v>SYS_AR</v>
      </c>
      <c r="I58" s="0" t="str">
        <f aca="false">INDEX(JE_Lines!$J$5:$J$1733,MATCH(A58,JE_Lines!$B$5:$B$1733,0))</f>
        <v>System</v>
      </c>
      <c r="J58" s="0" t="str">
        <f aca="false">IF(LEN(INDEX(JE_Lines!$K$5:$K$1733,MATCH(A58,JE_Lines!$B$5:$B$1733,0)))=0,"",INDEX(JE_Lines!$K$5:$K$1733,MATCH(A58,JE_Lines!$B$5:$B$1733,0)))</f>
        <v>Sales invoice batch</v>
      </c>
      <c r="K58" s="9" t="n">
        <f aca="false">F58-G58</f>
        <v>3</v>
      </c>
      <c r="L58" s="9" t="n">
        <f aca="false">COUNTIFS(JE_Lines!$B$5:$B$1733,A58,JE_Lines!$F$5:$F$1733,"Revenue")</f>
        <v>1</v>
      </c>
      <c r="M58" s="9" t="n">
        <f aca="false">COUNTIFS(JE_Lines!$B$5:$B$1733,A58,JE_Lines!$F$5:$F$1733,"Suspense")</f>
        <v>0</v>
      </c>
      <c r="N58" s="9" t="n">
        <f aca="false">IF(ABS(E58)&gt;Parameters!$B$23,1,0)</f>
        <v>0</v>
      </c>
      <c r="O58" s="9" t="n">
        <f aca="false">IF(WEEKDAY(F58,2)&gt;5,1,0)</f>
        <v>0</v>
      </c>
      <c r="P58" s="9" t="n">
        <f aca="false">IF(K58&gt;Parameters!$B$17,1,0)</f>
        <v>0</v>
      </c>
      <c r="Q58" s="9" t="n">
        <f aca="false">IF(AND(F58&lt;=Parameters!$B$6,F58&gt;Parameters!$B$6-Parameters!$B$18),1,0)</f>
        <v>0</v>
      </c>
      <c r="R58" s="9" t="n">
        <f aca="false">IF(COUNTIF(Parameters!$A$51:$A$58,H58)=0,1,0)</f>
        <v>0</v>
      </c>
      <c r="S58" s="9" t="n">
        <f aca="false">IF(AND(I58="Manual",L58&gt;0),1,0)</f>
        <v>0</v>
      </c>
      <c r="T58" s="9" t="n">
        <f aca="false">IF(AND(C58&gt;=Parameters!$B$22,ROUND(MOD(ROUND(C58,2),Parameters!$B$21),2)=0),1,0)</f>
        <v>0</v>
      </c>
      <c r="U58" s="9" t="n">
        <f aca="false">IF(LEN(TRIM(J58))=0,1,0)</f>
        <v>0</v>
      </c>
      <c r="V58" s="9" t="n">
        <f aca="false">IF(AND(I58="Manual",C58&lt;Parameters!$B$19,C58&gt;=Parameters!$B$19*(1-Parameters!$B$20)),1,0)</f>
        <v>0</v>
      </c>
      <c r="W58" s="9" t="n">
        <f aca="false">IF(AND(I58="Manual",M58&gt;0),1,0)</f>
        <v>0</v>
      </c>
      <c r="X58" s="9" t="n">
        <f aca="false">IF(A58-A57&gt;1,1,0)</f>
        <v>0</v>
      </c>
      <c r="Y58" s="9" t="n">
        <f aca="false">N58*Parameters!$B$38+O58*Parameters!$B$39+P58*Parameters!$B$40+Q58*Parameters!$B$41+R58*Parameters!$B$42+S58*Parameters!$B$43+T58*Parameters!$B$44+U58*Parameters!$B$45+V58*Parameters!$B$46+W58*Parameters!$B$47+X58*Parameters!$B$48</f>
        <v>0</v>
      </c>
      <c r="Z58" s="0" t="str">
        <f aca="false">IF(Y58&gt;=Parameters!$B$25,"High","")</f>
        <v/>
      </c>
    </row>
    <row r="59" customFormat="false" ht="15" hidden="false" customHeight="false" outlineLevel="0" collapsed="false">
      <c r="A59" s="16" t="n">
        <v>1055</v>
      </c>
      <c r="B59" s="9" t="n">
        <f aca="false">COUNTIF(JE_Lines!$B$5:$B$1733,A59)</f>
        <v>2</v>
      </c>
      <c r="C59" s="17" t="n">
        <f aca="false">SUMIFS(JE_Lines!$G$5:$G$1733,JE_Lines!$B$5:$B$1733,A59)</f>
        <v>366.88</v>
      </c>
      <c r="D59" s="17" t="n">
        <f aca="false">SUMIFS(JE_Lines!$H$5:$H$1733,JE_Lines!$B$5:$B$1733,A59)</f>
        <v>366.88</v>
      </c>
      <c r="E59" s="17" t="n">
        <f aca="false">C59-D59</f>
        <v>0</v>
      </c>
      <c r="F59" s="18" t="n">
        <f aca="false">INDEX(JE_Lines!$C$5:$C$1733,MATCH(A59,JE_Lines!$B$5:$B$1733,0))</f>
        <v>45681</v>
      </c>
      <c r="G59" s="18" t="n">
        <f aca="false">INDEX(JE_Lines!$D$5:$D$1733,MATCH(A59,JE_Lines!$B$5:$B$1733,0))</f>
        <v>45681</v>
      </c>
      <c r="H59" s="0" t="str">
        <f aca="false">INDEX(JE_Lines!$I$5:$I$1733,MATCH(A59,JE_Lines!$B$5:$B$1733,0))</f>
        <v>FIN05</v>
      </c>
      <c r="I59" s="0" t="str">
        <f aca="false">INDEX(JE_Lines!$J$5:$J$1733,MATCH(A59,JE_Lines!$B$5:$B$1733,0))</f>
        <v>Manual</v>
      </c>
      <c r="J59" s="0" t="str">
        <f aca="false">IF(LEN(INDEX(JE_Lines!$K$5:$K$1733,MATCH(A59,JE_Lines!$B$5:$B$1733,0)))=0,"",INDEX(JE_Lines!$K$5:$K$1733,MATCH(A59,JE_Lines!$B$5:$B$1733,0)))</f>
        <v>Accrual reversal</v>
      </c>
      <c r="K59" s="9" t="n">
        <f aca="false">F59-G59</f>
        <v>0</v>
      </c>
      <c r="L59" s="9" t="n">
        <f aca="false">COUNTIFS(JE_Lines!$B$5:$B$1733,A59,JE_Lines!$F$5:$F$1733,"Revenue")</f>
        <v>0</v>
      </c>
      <c r="M59" s="9" t="n">
        <f aca="false">COUNTIFS(JE_Lines!$B$5:$B$1733,A59,JE_Lines!$F$5:$F$1733,"Suspense")</f>
        <v>0</v>
      </c>
      <c r="N59" s="9" t="n">
        <f aca="false">IF(ABS(E59)&gt;Parameters!$B$23,1,0)</f>
        <v>0</v>
      </c>
      <c r="O59" s="9" t="n">
        <f aca="false">IF(WEEKDAY(F59,2)&gt;5,1,0)</f>
        <v>0</v>
      </c>
      <c r="P59" s="9" t="n">
        <f aca="false">IF(K59&gt;Parameters!$B$17,1,0)</f>
        <v>0</v>
      </c>
      <c r="Q59" s="9" t="n">
        <f aca="false">IF(AND(F59&lt;=Parameters!$B$6,F59&gt;Parameters!$B$6-Parameters!$B$18),1,0)</f>
        <v>0</v>
      </c>
      <c r="R59" s="9" t="n">
        <f aca="false">IF(COUNTIF(Parameters!$A$51:$A$58,H59)=0,1,0)</f>
        <v>0</v>
      </c>
      <c r="S59" s="9" t="n">
        <f aca="false">IF(AND(I59="Manual",L59&gt;0),1,0)</f>
        <v>0</v>
      </c>
      <c r="T59" s="9" t="n">
        <f aca="false">IF(AND(C59&gt;=Parameters!$B$22,ROUND(MOD(ROUND(C59,2),Parameters!$B$21),2)=0),1,0)</f>
        <v>0</v>
      </c>
      <c r="U59" s="9" t="n">
        <f aca="false">IF(LEN(TRIM(J59))=0,1,0)</f>
        <v>0</v>
      </c>
      <c r="V59" s="9" t="n">
        <f aca="false">IF(AND(I59="Manual",C59&lt;Parameters!$B$19,C59&gt;=Parameters!$B$19*(1-Parameters!$B$20)),1,0)</f>
        <v>0</v>
      </c>
      <c r="W59" s="9" t="n">
        <f aca="false">IF(AND(I59="Manual",M59&gt;0),1,0)</f>
        <v>0</v>
      </c>
      <c r="X59" s="9" t="n">
        <f aca="false">IF(A59-A58&gt;1,1,0)</f>
        <v>0</v>
      </c>
      <c r="Y59" s="9" t="n">
        <f aca="false">N59*Parameters!$B$38+O59*Parameters!$B$39+P59*Parameters!$B$40+Q59*Parameters!$B$41+R59*Parameters!$B$42+S59*Parameters!$B$43+T59*Parameters!$B$44+U59*Parameters!$B$45+V59*Parameters!$B$46+W59*Parameters!$B$47+X59*Parameters!$B$48</f>
        <v>0</v>
      </c>
      <c r="Z59" s="0" t="str">
        <f aca="false">IF(Y59&gt;=Parameters!$B$25,"High","")</f>
        <v/>
      </c>
    </row>
    <row r="60" customFormat="false" ht="15" hidden="false" customHeight="false" outlineLevel="0" collapsed="false">
      <c r="A60" s="16" t="n">
        <v>1056</v>
      </c>
      <c r="B60" s="9" t="n">
        <f aca="false">COUNTIF(JE_Lines!$B$5:$B$1733,A60)</f>
        <v>2</v>
      </c>
      <c r="C60" s="17" t="n">
        <f aca="false">SUMIFS(JE_Lines!$G$5:$G$1733,JE_Lines!$B$5:$B$1733,A60)</f>
        <v>824.81</v>
      </c>
      <c r="D60" s="17" t="n">
        <f aca="false">SUMIFS(JE_Lines!$H$5:$H$1733,JE_Lines!$B$5:$B$1733,A60)</f>
        <v>824.81</v>
      </c>
      <c r="E60" s="17" t="n">
        <f aca="false">C60-D60</f>
        <v>0</v>
      </c>
      <c r="F60" s="18" t="n">
        <f aca="false">INDEX(JE_Lines!$C$5:$C$1733,MATCH(A60,JE_Lines!$B$5:$B$1733,0))</f>
        <v>45681</v>
      </c>
      <c r="G60" s="18" t="n">
        <f aca="false">INDEX(JE_Lines!$D$5:$D$1733,MATCH(A60,JE_Lines!$B$5:$B$1733,0))</f>
        <v>45678</v>
      </c>
      <c r="H60" s="0" t="str">
        <f aca="false">INDEX(JE_Lines!$I$5:$I$1733,MATCH(A60,JE_Lines!$B$5:$B$1733,0))</f>
        <v>SYS_AR</v>
      </c>
      <c r="I60" s="0" t="str">
        <f aca="false">INDEX(JE_Lines!$J$5:$J$1733,MATCH(A60,JE_Lines!$B$5:$B$1733,0))</f>
        <v>System</v>
      </c>
      <c r="J60" s="0" t="str">
        <f aca="false">IF(LEN(INDEX(JE_Lines!$K$5:$K$1733,MATCH(A60,JE_Lines!$B$5:$B$1733,0)))=0,"",INDEX(JE_Lines!$K$5:$K$1733,MATCH(A60,JE_Lines!$B$5:$B$1733,0)))</f>
        <v>Sales invoice batch</v>
      </c>
      <c r="K60" s="9" t="n">
        <f aca="false">F60-G60</f>
        <v>3</v>
      </c>
      <c r="L60" s="9" t="n">
        <f aca="false">COUNTIFS(JE_Lines!$B$5:$B$1733,A60,JE_Lines!$F$5:$F$1733,"Revenue")</f>
        <v>1</v>
      </c>
      <c r="M60" s="9" t="n">
        <f aca="false">COUNTIFS(JE_Lines!$B$5:$B$1733,A60,JE_Lines!$F$5:$F$1733,"Suspense")</f>
        <v>0</v>
      </c>
      <c r="N60" s="9" t="n">
        <f aca="false">IF(ABS(E60)&gt;Parameters!$B$23,1,0)</f>
        <v>0</v>
      </c>
      <c r="O60" s="9" t="n">
        <f aca="false">IF(WEEKDAY(F60,2)&gt;5,1,0)</f>
        <v>0</v>
      </c>
      <c r="P60" s="9" t="n">
        <f aca="false">IF(K60&gt;Parameters!$B$17,1,0)</f>
        <v>0</v>
      </c>
      <c r="Q60" s="9" t="n">
        <f aca="false">IF(AND(F60&lt;=Parameters!$B$6,F60&gt;Parameters!$B$6-Parameters!$B$18),1,0)</f>
        <v>0</v>
      </c>
      <c r="R60" s="9" t="n">
        <f aca="false">IF(COUNTIF(Parameters!$A$51:$A$58,H60)=0,1,0)</f>
        <v>0</v>
      </c>
      <c r="S60" s="9" t="n">
        <f aca="false">IF(AND(I60="Manual",L60&gt;0),1,0)</f>
        <v>0</v>
      </c>
      <c r="T60" s="9" t="n">
        <f aca="false">IF(AND(C60&gt;=Parameters!$B$22,ROUND(MOD(ROUND(C60,2),Parameters!$B$21),2)=0),1,0)</f>
        <v>0</v>
      </c>
      <c r="U60" s="9" t="n">
        <f aca="false">IF(LEN(TRIM(J60))=0,1,0)</f>
        <v>0</v>
      </c>
      <c r="V60" s="9" t="n">
        <f aca="false">IF(AND(I60="Manual",C60&lt;Parameters!$B$19,C60&gt;=Parameters!$B$19*(1-Parameters!$B$20)),1,0)</f>
        <v>0</v>
      </c>
      <c r="W60" s="9" t="n">
        <f aca="false">IF(AND(I60="Manual",M60&gt;0),1,0)</f>
        <v>0</v>
      </c>
      <c r="X60" s="9" t="n">
        <f aca="false">IF(A60-A59&gt;1,1,0)</f>
        <v>0</v>
      </c>
      <c r="Y60" s="9" t="n">
        <f aca="false">N60*Parameters!$B$38+O60*Parameters!$B$39+P60*Parameters!$B$40+Q60*Parameters!$B$41+R60*Parameters!$B$42+S60*Parameters!$B$43+T60*Parameters!$B$44+U60*Parameters!$B$45+V60*Parameters!$B$46+W60*Parameters!$B$47+X60*Parameters!$B$48</f>
        <v>0</v>
      </c>
      <c r="Z60" s="0" t="str">
        <f aca="false">IF(Y60&gt;=Parameters!$B$25,"High","")</f>
        <v/>
      </c>
    </row>
    <row r="61" customFormat="false" ht="15" hidden="false" customHeight="false" outlineLevel="0" collapsed="false">
      <c r="A61" s="16" t="n">
        <v>1057</v>
      </c>
      <c r="B61" s="9" t="n">
        <f aca="false">COUNTIF(JE_Lines!$B$5:$B$1733,A61)</f>
        <v>2</v>
      </c>
      <c r="C61" s="17" t="n">
        <f aca="false">SUMIFS(JE_Lines!$G$5:$G$1733,JE_Lines!$B$5:$B$1733,A61)</f>
        <v>50153.36</v>
      </c>
      <c r="D61" s="17" t="n">
        <f aca="false">SUMIFS(JE_Lines!$H$5:$H$1733,JE_Lines!$B$5:$B$1733,A61)</f>
        <v>50153.36</v>
      </c>
      <c r="E61" s="17" t="n">
        <f aca="false">C61-D61</f>
        <v>0</v>
      </c>
      <c r="F61" s="18" t="n">
        <f aca="false">INDEX(JE_Lines!$C$5:$C$1733,MATCH(A61,JE_Lines!$B$5:$B$1733,0))</f>
        <v>45681</v>
      </c>
      <c r="G61" s="18" t="n">
        <f aca="false">INDEX(JE_Lines!$D$5:$D$1733,MATCH(A61,JE_Lines!$B$5:$B$1733,0))</f>
        <v>45680</v>
      </c>
      <c r="H61" s="0" t="str">
        <f aca="false">INDEX(JE_Lines!$I$5:$I$1733,MATCH(A61,JE_Lines!$B$5:$B$1733,0))</f>
        <v>FIN01</v>
      </c>
      <c r="I61" s="0" t="str">
        <f aca="false">INDEX(JE_Lines!$J$5:$J$1733,MATCH(A61,JE_Lines!$B$5:$B$1733,0))</f>
        <v>Manual</v>
      </c>
      <c r="J61" s="0" t="str">
        <f aca="false">IF(LEN(INDEX(JE_Lines!$K$5:$K$1733,MATCH(A61,JE_Lines!$B$5:$B$1733,0)))=0,"",INDEX(JE_Lines!$K$5:$K$1733,MATCH(A61,JE_Lines!$B$5:$B$1733,0)))</f>
        <v>Accrual reversal</v>
      </c>
      <c r="K61" s="9" t="n">
        <f aca="false">F61-G61</f>
        <v>1</v>
      </c>
      <c r="L61" s="9" t="n">
        <f aca="false">COUNTIFS(JE_Lines!$B$5:$B$1733,A61,JE_Lines!$F$5:$F$1733,"Revenue")</f>
        <v>0</v>
      </c>
      <c r="M61" s="9" t="n">
        <f aca="false">COUNTIFS(JE_Lines!$B$5:$B$1733,A61,JE_Lines!$F$5:$F$1733,"Suspense")</f>
        <v>0</v>
      </c>
      <c r="N61" s="9" t="n">
        <f aca="false">IF(ABS(E61)&gt;Parameters!$B$23,1,0)</f>
        <v>0</v>
      </c>
      <c r="O61" s="9" t="n">
        <f aca="false">IF(WEEKDAY(F61,2)&gt;5,1,0)</f>
        <v>0</v>
      </c>
      <c r="P61" s="9" t="n">
        <f aca="false">IF(K61&gt;Parameters!$B$17,1,0)</f>
        <v>0</v>
      </c>
      <c r="Q61" s="9" t="n">
        <f aca="false">IF(AND(F61&lt;=Parameters!$B$6,F61&gt;Parameters!$B$6-Parameters!$B$18),1,0)</f>
        <v>0</v>
      </c>
      <c r="R61" s="9" t="n">
        <f aca="false">IF(COUNTIF(Parameters!$A$51:$A$58,H61)=0,1,0)</f>
        <v>0</v>
      </c>
      <c r="S61" s="9" t="n">
        <f aca="false">IF(AND(I61="Manual",L61&gt;0),1,0)</f>
        <v>0</v>
      </c>
      <c r="T61" s="9" t="n">
        <f aca="false">IF(AND(C61&gt;=Parameters!$B$22,ROUND(MOD(ROUND(C61,2),Parameters!$B$21),2)=0),1,0)</f>
        <v>0</v>
      </c>
      <c r="U61" s="9" t="n">
        <f aca="false">IF(LEN(TRIM(J61))=0,1,0)</f>
        <v>0</v>
      </c>
      <c r="V61" s="9" t="n">
        <f aca="false">IF(AND(I61="Manual",C61&lt;Parameters!$B$19,C61&gt;=Parameters!$B$19*(1-Parameters!$B$20)),1,0)</f>
        <v>0</v>
      </c>
      <c r="W61" s="9" t="n">
        <f aca="false">IF(AND(I61="Manual",M61&gt;0),1,0)</f>
        <v>0</v>
      </c>
      <c r="X61" s="9" t="n">
        <f aca="false">IF(A61-A60&gt;1,1,0)</f>
        <v>0</v>
      </c>
      <c r="Y61" s="9" t="n">
        <f aca="false">N61*Parameters!$B$38+O61*Parameters!$B$39+P61*Parameters!$B$40+Q61*Parameters!$B$41+R61*Parameters!$B$42+S61*Parameters!$B$43+T61*Parameters!$B$44+U61*Parameters!$B$45+V61*Parameters!$B$46+W61*Parameters!$B$47+X61*Parameters!$B$48</f>
        <v>0</v>
      </c>
      <c r="Z61" s="0" t="str">
        <f aca="false">IF(Y61&gt;=Parameters!$B$25,"High","")</f>
        <v/>
      </c>
    </row>
    <row r="62" customFormat="false" ht="15" hidden="false" customHeight="false" outlineLevel="0" collapsed="false">
      <c r="A62" s="16" t="n">
        <v>1058</v>
      </c>
      <c r="B62" s="9" t="n">
        <f aca="false">COUNTIF(JE_Lines!$B$5:$B$1733,A62)</f>
        <v>2</v>
      </c>
      <c r="C62" s="17" t="n">
        <f aca="false">SUMIFS(JE_Lines!$G$5:$G$1733,JE_Lines!$B$5:$B$1733,A62)</f>
        <v>254000</v>
      </c>
      <c r="D62" s="17" t="n">
        <f aca="false">SUMIFS(JE_Lines!$H$5:$H$1733,JE_Lines!$B$5:$B$1733,A62)</f>
        <v>254000</v>
      </c>
      <c r="E62" s="17" t="n">
        <f aca="false">C62-D62</f>
        <v>0</v>
      </c>
      <c r="F62" s="18" t="n">
        <f aca="false">INDEX(JE_Lines!$C$5:$C$1733,MATCH(A62,JE_Lines!$B$5:$B$1733,0))</f>
        <v>45684</v>
      </c>
      <c r="G62" s="18" t="n">
        <f aca="false">INDEX(JE_Lines!$D$5:$D$1733,MATCH(A62,JE_Lines!$B$5:$B$1733,0))</f>
        <v>45684</v>
      </c>
      <c r="H62" s="0" t="str">
        <f aca="false">INDEX(JE_Lines!$I$5:$I$1733,MATCH(A62,JE_Lines!$B$5:$B$1733,0))</f>
        <v>SYS_PAY</v>
      </c>
      <c r="I62" s="0" t="str">
        <f aca="false">INDEX(JE_Lines!$J$5:$J$1733,MATCH(A62,JE_Lines!$B$5:$B$1733,0))</f>
        <v>System</v>
      </c>
      <c r="J62" s="0" t="str">
        <f aca="false">IF(LEN(INDEX(JE_Lines!$K$5:$K$1733,MATCH(A62,JE_Lines!$B$5:$B$1733,0)))=0,"",INDEX(JE_Lines!$K$5:$K$1733,MATCH(A62,JE_Lines!$B$5:$B$1733,0)))</f>
        <v>Monthly payroll</v>
      </c>
      <c r="K62" s="9" t="n">
        <f aca="false">F62-G62</f>
        <v>0</v>
      </c>
      <c r="L62" s="9" t="n">
        <f aca="false">COUNTIFS(JE_Lines!$B$5:$B$1733,A62,JE_Lines!$F$5:$F$1733,"Revenue")</f>
        <v>0</v>
      </c>
      <c r="M62" s="9" t="n">
        <f aca="false">COUNTIFS(JE_Lines!$B$5:$B$1733,A62,JE_Lines!$F$5:$F$1733,"Suspense")</f>
        <v>0</v>
      </c>
      <c r="N62" s="9" t="n">
        <f aca="false">IF(ABS(E62)&gt;Parameters!$B$23,1,0)</f>
        <v>0</v>
      </c>
      <c r="O62" s="9" t="n">
        <f aca="false">IF(WEEKDAY(F62,2)&gt;5,1,0)</f>
        <v>0</v>
      </c>
      <c r="P62" s="9" t="n">
        <f aca="false">IF(K62&gt;Parameters!$B$17,1,0)</f>
        <v>0</v>
      </c>
      <c r="Q62" s="9" t="n">
        <f aca="false">IF(AND(F62&lt;=Parameters!$B$6,F62&gt;Parameters!$B$6-Parameters!$B$18),1,0)</f>
        <v>0</v>
      </c>
      <c r="R62" s="9" t="n">
        <f aca="false">IF(COUNTIF(Parameters!$A$51:$A$58,H62)=0,1,0)</f>
        <v>0</v>
      </c>
      <c r="S62" s="9" t="n">
        <f aca="false">IF(AND(I62="Manual",L62&gt;0),1,0)</f>
        <v>0</v>
      </c>
      <c r="T62" s="9" t="n">
        <f aca="false">IF(AND(C62&gt;=Parameters!$B$22,ROUND(MOD(ROUND(C62,2),Parameters!$B$21),2)=0),1,0)</f>
        <v>1</v>
      </c>
      <c r="U62" s="9" t="n">
        <f aca="false">IF(LEN(TRIM(J62))=0,1,0)</f>
        <v>0</v>
      </c>
      <c r="V62" s="9" t="n">
        <f aca="false">IF(AND(I62="Manual",C62&lt;Parameters!$B$19,C62&gt;=Parameters!$B$19*(1-Parameters!$B$20)),1,0)</f>
        <v>0</v>
      </c>
      <c r="W62" s="9" t="n">
        <f aca="false">IF(AND(I62="Manual",M62&gt;0),1,0)</f>
        <v>0</v>
      </c>
      <c r="X62" s="9" t="n">
        <f aca="false">IF(A62-A61&gt;1,1,0)</f>
        <v>0</v>
      </c>
      <c r="Y62" s="9" t="n">
        <f aca="false">N62*Parameters!$B$38+O62*Parameters!$B$39+P62*Parameters!$B$40+Q62*Parameters!$B$41+R62*Parameters!$B$42+S62*Parameters!$B$43+T62*Parameters!$B$44+U62*Parameters!$B$45+V62*Parameters!$B$46+W62*Parameters!$B$47+X62*Parameters!$B$48</f>
        <v>2</v>
      </c>
      <c r="Z62" s="0" t="str">
        <f aca="false">IF(Y62&gt;=Parameters!$B$25,"High","")</f>
        <v/>
      </c>
    </row>
    <row r="63" customFormat="false" ht="15" hidden="false" customHeight="false" outlineLevel="0" collapsed="false">
      <c r="A63" s="16" t="n">
        <v>1059</v>
      </c>
      <c r="B63" s="9" t="n">
        <f aca="false">COUNTIF(JE_Lines!$B$5:$B$1733,A63)</f>
        <v>2</v>
      </c>
      <c r="C63" s="17" t="n">
        <f aca="false">SUMIFS(JE_Lines!$G$5:$G$1733,JE_Lines!$B$5:$B$1733,A63)</f>
        <v>1877.82</v>
      </c>
      <c r="D63" s="17" t="n">
        <f aca="false">SUMIFS(JE_Lines!$H$5:$H$1733,JE_Lines!$B$5:$B$1733,A63)</f>
        <v>1877.82</v>
      </c>
      <c r="E63" s="17" t="n">
        <f aca="false">C63-D63</f>
        <v>0</v>
      </c>
      <c r="F63" s="18" t="n">
        <f aca="false">INDEX(JE_Lines!$C$5:$C$1733,MATCH(A63,JE_Lines!$B$5:$B$1733,0))</f>
        <v>45684</v>
      </c>
      <c r="G63" s="18" t="n">
        <f aca="false">INDEX(JE_Lines!$D$5:$D$1733,MATCH(A63,JE_Lines!$B$5:$B$1733,0))</f>
        <v>45682</v>
      </c>
      <c r="H63" s="0" t="str">
        <f aca="false">INDEX(JE_Lines!$I$5:$I$1733,MATCH(A63,JE_Lines!$B$5:$B$1733,0))</f>
        <v>SYS_AP</v>
      </c>
      <c r="I63" s="0" t="str">
        <f aca="false">INDEX(JE_Lines!$J$5:$J$1733,MATCH(A63,JE_Lines!$B$5:$B$1733,0))</f>
        <v>System</v>
      </c>
      <c r="J63" s="0" t="str">
        <f aca="false">IF(LEN(INDEX(JE_Lines!$K$5:$K$1733,MATCH(A63,JE_Lines!$B$5:$B$1733,0)))=0,"",INDEX(JE_Lines!$K$5:$K$1733,MATCH(A63,JE_Lines!$B$5:$B$1733,0)))</f>
        <v>Fixed asset additions</v>
      </c>
      <c r="K63" s="9" t="n">
        <f aca="false">F63-G63</f>
        <v>2</v>
      </c>
      <c r="L63" s="9" t="n">
        <f aca="false">COUNTIFS(JE_Lines!$B$5:$B$1733,A63,JE_Lines!$F$5:$F$1733,"Revenue")</f>
        <v>0</v>
      </c>
      <c r="M63" s="9" t="n">
        <f aca="false">COUNTIFS(JE_Lines!$B$5:$B$1733,A63,JE_Lines!$F$5:$F$1733,"Suspense")</f>
        <v>0</v>
      </c>
      <c r="N63" s="9" t="n">
        <f aca="false">IF(ABS(E63)&gt;Parameters!$B$23,1,0)</f>
        <v>0</v>
      </c>
      <c r="O63" s="9" t="n">
        <f aca="false">IF(WEEKDAY(F63,2)&gt;5,1,0)</f>
        <v>0</v>
      </c>
      <c r="P63" s="9" t="n">
        <f aca="false">IF(K63&gt;Parameters!$B$17,1,0)</f>
        <v>0</v>
      </c>
      <c r="Q63" s="9" t="n">
        <f aca="false">IF(AND(F63&lt;=Parameters!$B$6,F63&gt;Parameters!$B$6-Parameters!$B$18),1,0)</f>
        <v>0</v>
      </c>
      <c r="R63" s="9" t="n">
        <f aca="false">IF(COUNTIF(Parameters!$A$51:$A$58,H63)=0,1,0)</f>
        <v>0</v>
      </c>
      <c r="S63" s="9" t="n">
        <f aca="false">IF(AND(I63="Manual",L63&gt;0),1,0)</f>
        <v>0</v>
      </c>
      <c r="T63" s="9" t="n">
        <f aca="false">IF(AND(C63&gt;=Parameters!$B$22,ROUND(MOD(ROUND(C63,2),Parameters!$B$21),2)=0),1,0)</f>
        <v>0</v>
      </c>
      <c r="U63" s="9" t="n">
        <f aca="false">IF(LEN(TRIM(J63))=0,1,0)</f>
        <v>0</v>
      </c>
      <c r="V63" s="9" t="n">
        <f aca="false">IF(AND(I63="Manual",C63&lt;Parameters!$B$19,C63&gt;=Parameters!$B$19*(1-Parameters!$B$20)),1,0)</f>
        <v>0</v>
      </c>
      <c r="W63" s="9" t="n">
        <f aca="false">IF(AND(I63="Manual",M63&gt;0),1,0)</f>
        <v>0</v>
      </c>
      <c r="X63" s="9" t="n">
        <f aca="false">IF(A63-A62&gt;1,1,0)</f>
        <v>0</v>
      </c>
      <c r="Y63" s="9" t="n">
        <f aca="false">N63*Parameters!$B$38+O63*Parameters!$B$39+P63*Parameters!$B$40+Q63*Parameters!$B$41+R63*Parameters!$B$42+S63*Parameters!$B$43+T63*Parameters!$B$44+U63*Parameters!$B$45+V63*Parameters!$B$46+W63*Parameters!$B$47+X63*Parameters!$B$48</f>
        <v>0</v>
      </c>
      <c r="Z63" s="0" t="str">
        <f aca="false">IF(Y63&gt;=Parameters!$B$25,"High","")</f>
        <v/>
      </c>
    </row>
    <row r="64" customFormat="false" ht="15" hidden="false" customHeight="false" outlineLevel="0" collapsed="false">
      <c r="A64" s="16" t="n">
        <v>1060</v>
      </c>
      <c r="B64" s="9" t="n">
        <f aca="false">COUNTIF(JE_Lines!$B$5:$B$1733,A64)</f>
        <v>2</v>
      </c>
      <c r="C64" s="17" t="n">
        <f aca="false">SUMIFS(JE_Lines!$G$5:$G$1733,JE_Lines!$B$5:$B$1733,A64)</f>
        <v>21000</v>
      </c>
      <c r="D64" s="17" t="n">
        <f aca="false">SUMIFS(JE_Lines!$H$5:$H$1733,JE_Lines!$B$5:$B$1733,A64)</f>
        <v>21000</v>
      </c>
      <c r="E64" s="17" t="n">
        <f aca="false">C64-D64</f>
        <v>0</v>
      </c>
      <c r="F64" s="18" t="n">
        <f aca="false">INDEX(JE_Lines!$C$5:$C$1733,MATCH(A64,JE_Lines!$B$5:$B$1733,0))</f>
        <v>45684</v>
      </c>
      <c r="G64" s="18" t="n">
        <f aca="false">INDEX(JE_Lines!$D$5:$D$1733,MATCH(A64,JE_Lines!$B$5:$B$1733,0))</f>
        <v>45684</v>
      </c>
      <c r="H64" s="0" t="str">
        <f aca="false">INDEX(JE_Lines!$I$5:$I$1733,MATCH(A64,JE_Lines!$B$5:$B$1733,0))</f>
        <v>FIN03</v>
      </c>
      <c r="I64" s="0" t="str">
        <f aca="false">INDEX(JE_Lines!$J$5:$J$1733,MATCH(A64,JE_Lines!$B$5:$B$1733,0))</f>
        <v>Manual</v>
      </c>
      <c r="J64" s="0" t="str">
        <f aca="false">IF(LEN(INDEX(JE_Lines!$K$5:$K$1733,MATCH(A64,JE_Lines!$B$5:$B$1733,0)))=0,"",INDEX(JE_Lines!$K$5:$K$1733,MATCH(A64,JE_Lines!$B$5:$B$1733,0)))</f>
        <v>Round accrual 2</v>
      </c>
      <c r="K64" s="9" t="n">
        <f aca="false">F64-G64</f>
        <v>0</v>
      </c>
      <c r="L64" s="9" t="n">
        <f aca="false">COUNTIFS(JE_Lines!$B$5:$B$1733,A64,JE_Lines!$F$5:$F$1733,"Revenue")</f>
        <v>0</v>
      </c>
      <c r="M64" s="9" t="n">
        <f aca="false">COUNTIFS(JE_Lines!$B$5:$B$1733,A64,JE_Lines!$F$5:$F$1733,"Suspense")</f>
        <v>0</v>
      </c>
      <c r="N64" s="9" t="n">
        <f aca="false">IF(ABS(E64)&gt;Parameters!$B$23,1,0)</f>
        <v>0</v>
      </c>
      <c r="O64" s="9" t="n">
        <f aca="false">IF(WEEKDAY(F64,2)&gt;5,1,0)</f>
        <v>0</v>
      </c>
      <c r="P64" s="9" t="n">
        <f aca="false">IF(K64&gt;Parameters!$B$17,1,0)</f>
        <v>0</v>
      </c>
      <c r="Q64" s="9" t="n">
        <f aca="false">IF(AND(F64&lt;=Parameters!$B$6,F64&gt;Parameters!$B$6-Parameters!$B$18),1,0)</f>
        <v>0</v>
      </c>
      <c r="R64" s="9" t="n">
        <f aca="false">IF(COUNTIF(Parameters!$A$51:$A$58,H64)=0,1,0)</f>
        <v>0</v>
      </c>
      <c r="S64" s="9" t="n">
        <f aca="false">IF(AND(I64="Manual",L64&gt;0),1,0)</f>
        <v>0</v>
      </c>
      <c r="T64" s="9" t="n">
        <f aca="false">IF(AND(C64&gt;=Parameters!$B$22,ROUND(MOD(ROUND(C64,2),Parameters!$B$21),2)=0),1,0)</f>
        <v>1</v>
      </c>
      <c r="U64" s="9" t="n">
        <f aca="false">IF(LEN(TRIM(J64))=0,1,0)</f>
        <v>0</v>
      </c>
      <c r="V64" s="9" t="n">
        <f aca="false">IF(AND(I64="Manual",C64&lt;Parameters!$B$19,C64&gt;=Parameters!$B$19*(1-Parameters!$B$20)),1,0)</f>
        <v>0</v>
      </c>
      <c r="W64" s="9" t="n">
        <f aca="false">IF(AND(I64="Manual",M64&gt;0),1,0)</f>
        <v>0</v>
      </c>
      <c r="X64" s="9" t="n">
        <f aca="false">IF(A64-A63&gt;1,1,0)</f>
        <v>0</v>
      </c>
      <c r="Y64" s="9" t="n">
        <f aca="false">N64*Parameters!$B$38+O64*Parameters!$B$39+P64*Parameters!$B$40+Q64*Parameters!$B$41+R64*Parameters!$B$42+S64*Parameters!$B$43+T64*Parameters!$B$44+U64*Parameters!$B$45+V64*Parameters!$B$46+W64*Parameters!$B$47+X64*Parameters!$B$48</f>
        <v>2</v>
      </c>
      <c r="Z64" s="0" t="str">
        <f aca="false">IF(Y64&gt;=Parameters!$B$25,"High","")</f>
        <v/>
      </c>
    </row>
    <row r="65" customFormat="false" ht="15" hidden="false" customHeight="false" outlineLevel="0" collapsed="false">
      <c r="A65" s="16" t="n">
        <v>1061</v>
      </c>
      <c r="B65" s="9" t="n">
        <f aca="false">COUNTIF(JE_Lines!$B$5:$B$1733,A65)</f>
        <v>2</v>
      </c>
      <c r="C65" s="17" t="n">
        <f aca="false">SUMIFS(JE_Lines!$G$5:$G$1733,JE_Lines!$B$5:$B$1733,A65)</f>
        <v>248.1</v>
      </c>
      <c r="D65" s="17" t="n">
        <f aca="false">SUMIFS(JE_Lines!$H$5:$H$1733,JE_Lines!$B$5:$B$1733,A65)</f>
        <v>248.1</v>
      </c>
      <c r="E65" s="17" t="n">
        <f aca="false">C65-D65</f>
        <v>0</v>
      </c>
      <c r="F65" s="18" t="n">
        <f aca="false">INDEX(JE_Lines!$C$5:$C$1733,MATCH(A65,JE_Lines!$B$5:$B$1733,0))</f>
        <v>45684</v>
      </c>
      <c r="G65" s="18" t="n">
        <f aca="false">INDEX(JE_Lines!$D$5:$D$1733,MATCH(A65,JE_Lines!$B$5:$B$1733,0))</f>
        <v>45681</v>
      </c>
      <c r="H65" s="0" t="str">
        <f aca="false">INDEX(JE_Lines!$I$5:$I$1733,MATCH(A65,JE_Lines!$B$5:$B$1733,0))</f>
        <v>SYS_AR</v>
      </c>
      <c r="I65" s="0" t="str">
        <f aca="false">INDEX(JE_Lines!$J$5:$J$1733,MATCH(A65,JE_Lines!$B$5:$B$1733,0))</f>
        <v>System</v>
      </c>
      <c r="J65" s="0" t="str">
        <f aca="false">IF(LEN(INDEX(JE_Lines!$K$5:$K$1733,MATCH(A65,JE_Lines!$B$5:$B$1733,0)))=0,"",INDEX(JE_Lines!$K$5:$K$1733,MATCH(A65,JE_Lines!$B$5:$B$1733,0)))</f>
        <v>Sales invoice batch</v>
      </c>
      <c r="K65" s="9" t="n">
        <f aca="false">F65-G65</f>
        <v>3</v>
      </c>
      <c r="L65" s="9" t="n">
        <f aca="false">COUNTIFS(JE_Lines!$B$5:$B$1733,A65,JE_Lines!$F$5:$F$1733,"Revenue")</f>
        <v>1</v>
      </c>
      <c r="M65" s="9" t="n">
        <f aca="false">COUNTIFS(JE_Lines!$B$5:$B$1733,A65,JE_Lines!$F$5:$F$1733,"Suspense")</f>
        <v>0</v>
      </c>
      <c r="N65" s="9" t="n">
        <f aca="false">IF(ABS(E65)&gt;Parameters!$B$23,1,0)</f>
        <v>0</v>
      </c>
      <c r="O65" s="9" t="n">
        <f aca="false">IF(WEEKDAY(F65,2)&gt;5,1,0)</f>
        <v>0</v>
      </c>
      <c r="P65" s="9" t="n">
        <f aca="false">IF(K65&gt;Parameters!$B$17,1,0)</f>
        <v>0</v>
      </c>
      <c r="Q65" s="9" t="n">
        <f aca="false">IF(AND(F65&lt;=Parameters!$B$6,F65&gt;Parameters!$B$6-Parameters!$B$18),1,0)</f>
        <v>0</v>
      </c>
      <c r="R65" s="9" t="n">
        <f aca="false">IF(COUNTIF(Parameters!$A$51:$A$58,H65)=0,1,0)</f>
        <v>0</v>
      </c>
      <c r="S65" s="9" t="n">
        <f aca="false">IF(AND(I65="Manual",L65&gt;0),1,0)</f>
        <v>0</v>
      </c>
      <c r="T65" s="9" t="n">
        <f aca="false">IF(AND(C65&gt;=Parameters!$B$22,ROUND(MOD(ROUND(C65,2),Parameters!$B$21),2)=0),1,0)</f>
        <v>0</v>
      </c>
      <c r="U65" s="9" t="n">
        <f aca="false">IF(LEN(TRIM(J65))=0,1,0)</f>
        <v>0</v>
      </c>
      <c r="V65" s="9" t="n">
        <f aca="false">IF(AND(I65="Manual",C65&lt;Parameters!$B$19,C65&gt;=Parameters!$B$19*(1-Parameters!$B$20)),1,0)</f>
        <v>0</v>
      </c>
      <c r="W65" s="9" t="n">
        <f aca="false">IF(AND(I65="Manual",M65&gt;0),1,0)</f>
        <v>0</v>
      </c>
      <c r="X65" s="9" t="n">
        <f aca="false">IF(A65-A64&gt;1,1,0)</f>
        <v>0</v>
      </c>
      <c r="Y65" s="9" t="n">
        <f aca="false">N65*Parameters!$B$38+O65*Parameters!$B$39+P65*Parameters!$B$40+Q65*Parameters!$B$41+R65*Parameters!$B$42+S65*Parameters!$B$43+T65*Parameters!$B$44+U65*Parameters!$B$45+V65*Parameters!$B$46+W65*Parameters!$B$47+X65*Parameters!$B$48</f>
        <v>0</v>
      </c>
      <c r="Z65" s="0" t="str">
        <f aca="false">IF(Y65&gt;=Parameters!$B$25,"High","")</f>
        <v/>
      </c>
    </row>
    <row r="66" customFormat="false" ht="15" hidden="false" customHeight="false" outlineLevel="0" collapsed="false">
      <c r="A66" s="16" t="n">
        <v>1062</v>
      </c>
      <c r="B66" s="9" t="n">
        <f aca="false">COUNTIF(JE_Lines!$B$5:$B$1733,A66)</f>
        <v>2</v>
      </c>
      <c r="C66" s="17" t="n">
        <f aca="false">SUMIFS(JE_Lines!$G$5:$G$1733,JE_Lines!$B$5:$B$1733,A66)</f>
        <v>1401.16</v>
      </c>
      <c r="D66" s="17" t="n">
        <f aca="false">SUMIFS(JE_Lines!$H$5:$H$1733,JE_Lines!$B$5:$B$1733,A66)</f>
        <v>1401.16</v>
      </c>
      <c r="E66" s="17" t="n">
        <f aca="false">C66-D66</f>
        <v>0</v>
      </c>
      <c r="F66" s="18" t="n">
        <f aca="false">INDEX(JE_Lines!$C$5:$C$1733,MATCH(A66,JE_Lines!$B$5:$B$1733,0))</f>
        <v>45685</v>
      </c>
      <c r="G66" s="18" t="n">
        <f aca="false">INDEX(JE_Lines!$D$5:$D$1733,MATCH(A66,JE_Lines!$B$5:$B$1733,0))</f>
        <v>45685</v>
      </c>
      <c r="H66" s="0" t="str">
        <f aca="false">INDEX(JE_Lines!$I$5:$I$1733,MATCH(A66,JE_Lines!$B$5:$B$1733,0))</f>
        <v>SYS_AR</v>
      </c>
      <c r="I66" s="0" t="str">
        <f aca="false">INDEX(JE_Lines!$J$5:$J$1733,MATCH(A66,JE_Lines!$B$5:$B$1733,0))</f>
        <v>System</v>
      </c>
      <c r="J66" s="0" t="str">
        <f aca="false">IF(LEN(INDEX(JE_Lines!$K$5:$K$1733,MATCH(A66,JE_Lines!$B$5:$B$1733,0)))=0,"",INDEX(JE_Lines!$K$5:$K$1733,MATCH(A66,JE_Lines!$B$5:$B$1733,0)))</f>
        <v>Cost of sales posting</v>
      </c>
      <c r="K66" s="9" t="n">
        <f aca="false">F66-G66</f>
        <v>0</v>
      </c>
      <c r="L66" s="9" t="n">
        <f aca="false">COUNTIFS(JE_Lines!$B$5:$B$1733,A66,JE_Lines!$F$5:$F$1733,"Revenue")</f>
        <v>0</v>
      </c>
      <c r="M66" s="9" t="n">
        <f aca="false">COUNTIFS(JE_Lines!$B$5:$B$1733,A66,JE_Lines!$F$5:$F$1733,"Suspense")</f>
        <v>0</v>
      </c>
      <c r="N66" s="9" t="n">
        <f aca="false">IF(ABS(E66)&gt;Parameters!$B$23,1,0)</f>
        <v>0</v>
      </c>
      <c r="O66" s="9" t="n">
        <f aca="false">IF(WEEKDAY(F66,2)&gt;5,1,0)</f>
        <v>0</v>
      </c>
      <c r="P66" s="9" t="n">
        <f aca="false">IF(K66&gt;Parameters!$B$17,1,0)</f>
        <v>0</v>
      </c>
      <c r="Q66" s="9" t="n">
        <f aca="false">IF(AND(F66&lt;=Parameters!$B$6,F66&gt;Parameters!$B$6-Parameters!$B$18),1,0)</f>
        <v>0</v>
      </c>
      <c r="R66" s="9" t="n">
        <f aca="false">IF(COUNTIF(Parameters!$A$51:$A$58,H66)=0,1,0)</f>
        <v>0</v>
      </c>
      <c r="S66" s="9" t="n">
        <f aca="false">IF(AND(I66="Manual",L66&gt;0),1,0)</f>
        <v>0</v>
      </c>
      <c r="T66" s="9" t="n">
        <f aca="false">IF(AND(C66&gt;=Parameters!$B$22,ROUND(MOD(ROUND(C66,2),Parameters!$B$21),2)=0),1,0)</f>
        <v>0</v>
      </c>
      <c r="U66" s="9" t="n">
        <f aca="false">IF(LEN(TRIM(J66))=0,1,0)</f>
        <v>0</v>
      </c>
      <c r="V66" s="9" t="n">
        <f aca="false">IF(AND(I66="Manual",C66&lt;Parameters!$B$19,C66&gt;=Parameters!$B$19*(1-Parameters!$B$20)),1,0)</f>
        <v>0</v>
      </c>
      <c r="W66" s="9" t="n">
        <f aca="false">IF(AND(I66="Manual",M66&gt;0),1,0)</f>
        <v>0</v>
      </c>
      <c r="X66" s="9" t="n">
        <f aca="false">IF(A66-A65&gt;1,1,0)</f>
        <v>0</v>
      </c>
      <c r="Y66" s="9" t="n">
        <f aca="false">N66*Parameters!$B$38+O66*Parameters!$B$39+P66*Parameters!$B$40+Q66*Parameters!$B$41+R66*Parameters!$B$42+S66*Parameters!$B$43+T66*Parameters!$B$44+U66*Parameters!$B$45+V66*Parameters!$B$46+W66*Parameters!$B$47+X66*Parameters!$B$48</f>
        <v>0</v>
      </c>
      <c r="Z66" s="0" t="str">
        <f aca="false">IF(Y66&gt;=Parameters!$B$25,"High","")</f>
        <v/>
      </c>
    </row>
    <row r="67" customFormat="false" ht="15" hidden="false" customHeight="false" outlineLevel="0" collapsed="false">
      <c r="A67" s="16" t="n">
        <v>1063</v>
      </c>
      <c r="B67" s="9" t="n">
        <f aca="false">COUNTIF(JE_Lines!$B$5:$B$1733,A67)</f>
        <v>3</v>
      </c>
      <c r="C67" s="17" t="n">
        <f aca="false">SUMIFS(JE_Lines!$G$5:$G$1733,JE_Lines!$B$5:$B$1733,A67)</f>
        <v>3722.71</v>
      </c>
      <c r="D67" s="17" t="n">
        <f aca="false">SUMIFS(JE_Lines!$H$5:$H$1733,JE_Lines!$B$5:$B$1733,A67)</f>
        <v>3722.71</v>
      </c>
      <c r="E67" s="17" t="n">
        <f aca="false">C67-D67</f>
        <v>0</v>
      </c>
      <c r="F67" s="18" t="n">
        <f aca="false">INDEX(JE_Lines!$C$5:$C$1733,MATCH(A67,JE_Lines!$B$5:$B$1733,0))</f>
        <v>45685</v>
      </c>
      <c r="G67" s="18" t="n">
        <f aca="false">INDEX(JE_Lines!$D$5:$D$1733,MATCH(A67,JE_Lines!$B$5:$B$1733,0))</f>
        <v>45681</v>
      </c>
      <c r="H67" s="0" t="str">
        <f aca="false">INDEX(JE_Lines!$I$5:$I$1733,MATCH(A67,JE_Lines!$B$5:$B$1733,0))</f>
        <v>SYS_AR</v>
      </c>
      <c r="I67" s="0" t="str">
        <f aca="false">INDEX(JE_Lines!$J$5:$J$1733,MATCH(A67,JE_Lines!$B$5:$B$1733,0))</f>
        <v>System</v>
      </c>
      <c r="J67" s="0" t="str">
        <f aca="false">IF(LEN(INDEX(JE_Lines!$K$5:$K$1733,MATCH(A67,JE_Lines!$B$5:$B$1733,0)))=0,"",INDEX(JE_Lines!$K$5:$K$1733,MATCH(A67,JE_Lines!$B$5:$B$1733,0)))</f>
        <v>Sales invoice batch</v>
      </c>
      <c r="K67" s="9" t="n">
        <f aca="false">F67-G67</f>
        <v>4</v>
      </c>
      <c r="L67" s="9" t="n">
        <f aca="false">COUNTIFS(JE_Lines!$B$5:$B$1733,A67,JE_Lines!$F$5:$F$1733,"Revenue")</f>
        <v>1</v>
      </c>
      <c r="M67" s="9" t="n">
        <f aca="false">COUNTIFS(JE_Lines!$B$5:$B$1733,A67,JE_Lines!$F$5:$F$1733,"Suspense")</f>
        <v>0</v>
      </c>
      <c r="N67" s="9" t="n">
        <f aca="false">IF(ABS(E67)&gt;Parameters!$B$23,1,0)</f>
        <v>0</v>
      </c>
      <c r="O67" s="9" t="n">
        <f aca="false">IF(WEEKDAY(F67,2)&gt;5,1,0)</f>
        <v>0</v>
      </c>
      <c r="P67" s="9" t="n">
        <f aca="false">IF(K67&gt;Parameters!$B$17,1,0)</f>
        <v>0</v>
      </c>
      <c r="Q67" s="9" t="n">
        <f aca="false">IF(AND(F67&lt;=Parameters!$B$6,F67&gt;Parameters!$B$6-Parameters!$B$18),1,0)</f>
        <v>0</v>
      </c>
      <c r="R67" s="9" t="n">
        <f aca="false">IF(COUNTIF(Parameters!$A$51:$A$58,H67)=0,1,0)</f>
        <v>0</v>
      </c>
      <c r="S67" s="9" t="n">
        <f aca="false">IF(AND(I67="Manual",L67&gt;0),1,0)</f>
        <v>0</v>
      </c>
      <c r="T67" s="9" t="n">
        <f aca="false">IF(AND(C67&gt;=Parameters!$B$22,ROUND(MOD(ROUND(C67,2),Parameters!$B$21),2)=0),1,0)</f>
        <v>0</v>
      </c>
      <c r="U67" s="9" t="n">
        <f aca="false">IF(LEN(TRIM(J67))=0,1,0)</f>
        <v>0</v>
      </c>
      <c r="V67" s="9" t="n">
        <f aca="false">IF(AND(I67="Manual",C67&lt;Parameters!$B$19,C67&gt;=Parameters!$B$19*(1-Parameters!$B$20)),1,0)</f>
        <v>0</v>
      </c>
      <c r="W67" s="9" t="n">
        <f aca="false">IF(AND(I67="Manual",M67&gt;0),1,0)</f>
        <v>0</v>
      </c>
      <c r="X67" s="9" t="n">
        <f aca="false">IF(A67-A66&gt;1,1,0)</f>
        <v>0</v>
      </c>
      <c r="Y67" s="9" t="n">
        <f aca="false">N67*Parameters!$B$38+O67*Parameters!$B$39+P67*Parameters!$B$40+Q67*Parameters!$B$41+R67*Parameters!$B$42+S67*Parameters!$B$43+T67*Parameters!$B$44+U67*Parameters!$B$45+V67*Parameters!$B$46+W67*Parameters!$B$47+X67*Parameters!$B$48</f>
        <v>0</v>
      </c>
      <c r="Z67" s="0" t="str">
        <f aca="false">IF(Y67&gt;=Parameters!$B$25,"High","")</f>
        <v/>
      </c>
    </row>
    <row r="68" customFormat="false" ht="15" hidden="false" customHeight="false" outlineLevel="0" collapsed="false">
      <c r="A68" s="16" t="n">
        <v>1065</v>
      </c>
      <c r="B68" s="9" t="n">
        <f aca="false">COUNTIF(JE_Lines!$B$5:$B$1733,A68)</f>
        <v>2</v>
      </c>
      <c r="C68" s="17" t="n">
        <f aca="false">SUMIFS(JE_Lines!$G$5:$G$1733,JE_Lines!$B$5:$B$1733,A68)</f>
        <v>3204.75</v>
      </c>
      <c r="D68" s="17" t="n">
        <f aca="false">SUMIFS(JE_Lines!$H$5:$H$1733,JE_Lines!$B$5:$B$1733,A68)</f>
        <v>3204.75</v>
      </c>
      <c r="E68" s="17" t="n">
        <f aca="false">C68-D68</f>
        <v>0</v>
      </c>
      <c r="F68" s="18" t="n">
        <f aca="false">INDEX(JE_Lines!$C$5:$C$1733,MATCH(A68,JE_Lines!$B$5:$B$1733,0))</f>
        <v>45685</v>
      </c>
      <c r="G68" s="18" t="n">
        <f aca="false">INDEX(JE_Lines!$D$5:$D$1733,MATCH(A68,JE_Lines!$B$5:$B$1733,0))</f>
        <v>45685</v>
      </c>
      <c r="H68" s="0" t="str">
        <f aca="false">INDEX(JE_Lines!$I$5:$I$1733,MATCH(A68,JE_Lines!$B$5:$B$1733,0))</f>
        <v>SYS_AR</v>
      </c>
      <c r="I68" s="0" t="str">
        <f aca="false">INDEX(JE_Lines!$J$5:$J$1733,MATCH(A68,JE_Lines!$B$5:$B$1733,0))</f>
        <v>System</v>
      </c>
      <c r="J68" s="0" t="str">
        <f aca="false">IF(LEN(INDEX(JE_Lines!$K$5:$K$1733,MATCH(A68,JE_Lines!$B$5:$B$1733,0)))=0,"",INDEX(JE_Lines!$K$5:$K$1733,MATCH(A68,JE_Lines!$B$5:$B$1733,0)))</f>
        <v>Sales invoice batch</v>
      </c>
      <c r="K68" s="9" t="n">
        <f aca="false">F68-G68</f>
        <v>0</v>
      </c>
      <c r="L68" s="9" t="n">
        <f aca="false">COUNTIFS(JE_Lines!$B$5:$B$1733,A68,JE_Lines!$F$5:$F$1733,"Revenue")</f>
        <v>1</v>
      </c>
      <c r="M68" s="9" t="n">
        <f aca="false">COUNTIFS(JE_Lines!$B$5:$B$1733,A68,JE_Lines!$F$5:$F$1733,"Suspense")</f>
        <v>0</v>
      </c>
      <c r="N68" s="9" t="n">
        <f aca="false">IF(ABS(E68)&gt;Parameters!$B$23,1,0)</f>
        <v>0</v>
      </c>
      <c r="O68" s="9" t="n">
        <f aca="false">IF(WEEKDAY(F68,2)&gt;5,1,0)</f>
        <v>0</v>
      </c>
      <c r="P68" s="9" t="n">
        <f aca="false">IF(K68&gt;Parameters!$B$17,1,0)</f>
        <v>0</v>
      </c>
      <c r="Q68" s="9" t="n">
        <f aca="false">IF(AND(F68&lt;=Parameters!$B$6,F68&gt;Parameters!$B$6-Parameters!$B$18),1,0)</f>
        <v>0</v>
      </c>
      <c r="R68" s="9" t="n">
        <f aca="false">IF(COUNTIF(Parameters!$A$51:$A$58,H68)=0,1,0)</f>
        <v>0</v>
      </c>
      <c r="S68" s="9" t="n">
        <f aca="false">IF(AND(I68="Manual",L68&gt;0),1,0)</f>
        <v>0</v>
      </c>
      <c r="T68" s="9" t="n">
        <f aca="false">IF(AND(C68&gt;=Parameters!$B$22,ROUND(MOD(ROUND(C68,2),Parameters!$B$21),2)=0),1,0)</f>
        <v>0</v>
      </c>
      <c r="U68" s="9" t="n">
        <f aca="false">IF(LEN(TRIM(J68))=0,1,0)</f>
        <v>0</v>
      </c>
      <c r="V68" s="9" t="n">
        <f aca="false">IF(AND(I68="Manual",C68&lt;Parameters!$B$19,C68&gt;=Parameters!$B$19*(1-Parameters!$B$20)),1,0)</f>
        <v>0</v>
      </c>
      <c r="W68" s="9" t="n">
        <f aca="false">IF(AND(I68="Manual",M68&gt;0),1,0)</f>
        <v>0</v>
      </c>
      <c r="X68" s="9" t="n">
        <f aca="false">IF(A68-A67&gt;1,1,0)</f>
        <v>1</v>
      </c>
      <c r="Y68" s="9" t="n">
        <f aca="false">N68*Parameters!$B$38+O68*Parameters!$B$39+P68*Parameters!$B$40+Q68*Parameters!$B$41+R68*Parameters!$B$42+S68*Parameters!$B$43+T68*Parameters!$B$44+U68*Parameters!$B$45+V68*Parameters!$B$46+W68*Parameters!$B$47+X68*Parameters!$B$48</f>
        <v>1</v>
      </c>
      <c r="Z68" s="0" t="str">
        <f aca="false">IF(Y68&gt;=Parameters!$B$25,"High","")</f>
        <v/>
      </c>
    </row>
    <row r="69" customFormat="false" ht="15" hidden="false" customHeight="false" outlineLevel="0" collapsed="false">
      <c r="A69" s="16" t="n">
        <v>1066</v>
      </c>
      <c r="B69" s="9" t="n">
        <f aca="false">COUNTIF(JE_Lines!$B$5:$B$1733,A69)</f>
        <v>2</v>
      </c>
      <c r="C69" s="17" t="n">
        <f aca="false">SUMIFS(JE_Lines!$G$5:$G$1733,JE_Lines!$B$5:$B$1733,A69)</f>
        <v>4719.13</v>
      </c>
      <c r="D69" s="17" t="n">
        <f aca="false">SUMIFS(JE_Lines!$H$5:$H$1733,JE_Lines!$B$5:$B$1733,A69)</f>
        <v>4719.13</v>
      </c>
      <c r="E69" s="17" t="n">
        <f aca="false">C69-D69</f>
        <v>0</v>
      </c>
      <c r="F69" s="18" t="n">
        <f aca="false">INDEX(JE_Lines!$C$5:$C$1733,MATCH(A69,JE_Lines!$B$5:$B$1733,0))</f>
        <v>45685</v>
      </c>
      <c r="G69" s="18" t="n">
        <f aca="false">INDEX(JE_Lines!$D$5:$D$1733,MATCH(A69,JE_Lines!$B$5:$B$1733,0))</f>
        <v>45682</v>
      </c>
      <c r="H69" s="0" t="str">
        <f aca="false">INDEX(JE_Lines!$I$5:$I$1733,MATCH(A69,JE_Lines!$B$5:$B$1733,0))</f>
        <v>FIN02</v>
      </c>
      <c r="I69" s="0" t="str">
        <f aca="false">INDEX(JE_Lines!$J$5:$J$1733,MATCH(A69,JE_Lines!$B$5:$B$1733,0))</f>
        <v>Manual</v>
      </c>
      <c r="J69" s="0" t="str">
        <f aca="false">IF(LEN(INDEX(JE_Lines!$K$5:$K$1733,MATCH(A69,JE_Lines!$B$5:$B$1733,0)))=0,"",INDEX(JE_Lines!$K$5:$K$1733,MATCH(A69,JE_Lines!$B$5:$B$1733,0)))</f>
        <v>Accrual for sundry costs</v>
      </c>
      <c r="K69" s="9" t="n">
        <f aca="false">F69-G69</f>
        <v>3</v>
      </c>
      <c r="L69" s="9" t="n">
        <f aca="false">COUNTIFS(JE_Lines!$B$5:$B$1733,A69,JE_Lines!$F$5:$F$1733,"Revenue")</f>
        <v>0</v>
      </c>
      <c r="M69" s="9" t="n">
        <f aca="false">COUNTIFS(JE_Lines!$B$5:$B$1733,A69,JE_Lines!$F$5:$F$1733,"Suspense")</f>
        <v>0</v>
      </c>
      <c r="N69" s="9" t="n">
        <f aca="false">IF(ABS(E69)&gt;Parameters!$B$23,1,0)</f>
        <v>0</v>
      </c>
      <c r="O69" s="9" t="n">
        <f aca="false">IF(WEEKDAY(F69,2)&gt;5,1,0)</f>
        <v>0</v>
      </c>
      <c r="P69" s="9" t="n">
        <f aca="false">IF(K69&gt;Parameters!$B$17,1,0)</f>
        <v>0</v>
      </c>
      <c r="Q69" s="9" t="n">
        <f aca="false">IF(AND(F69&lt;=Parameters!$B$6,F69&gt;Parameters!$B$6-Parameters!$B$18),1,0)</f>
        <v>0</v>
      </c>
      <c r="R69" s="9" t="n">
        <f aca="false">IF(COUNTIF(Parameters!$A$51:$A$58,H69)=0,1,0)</f>
        <v>0</v>
      </c>
      <c r="S69" s="9" t="n">
        <f aca="false">IF(AND(I69="Manual",L69&gt;0),1,0)</f>
        <v>0</v>
      </c>
      <c r="T69" s="9" t="n">
        <f aca="false">IF(AND(C69&gt;=Parameters!$B$22,ROUND(MOD(ROUND(C69,2),Parameters!$B$21),2)=0),1,0)</f>
        <v>0</v>
      </c>
      <c r="U69" s="9" t="n">
        <f aca="false">IF(LEN(TRIM(J69))=0,1,0)</f>
        <v>0</v>
      </c>
      <c r="V69" s="9" t="n">
        <f aca="false">IF(AND(I69="Manual",C69&lt;Parameters!$B$19,C69&gt;=Parameters!$B$19*(1-Parameters!$B$20)),1,0)</f>
        <v>0</v>
      </c>
      <c r="W69" s="9" t="n">
        <f aca="false">IF(AND(I69="Manual",M69&gt;0),1,0)</f>
        <v>0</v>
      </c>
      <c r="X69" s="9" t="n">
        <f aca="false">IF(A69-A68&gt;1,1,0)</f>
        <v>0</v>
      </c>
      <c r="Y69" s="9" t="n">
        <f aca="false">N69*Parameters!$B$38+O69*Parameters!$B$39+P69*Parameters!$B$40+Q69*Parameters!$B$41+R69*Parameters!$B$42+S69*Parameters!$B$43+T69*Parameters!$B$44+U69*Parameters!$B$45+V69*Parameters!$B$46+W69*Parameters!$B$47+X69*Parameters!$B$48</f>
        <v>0</v>
      </c>
      <c r="Z69" s="0" t="str">
        <f aca="false">IF(Y69&gt;=Parameters!$B$25,"High","")</f>
        <v/>
      </c>
    </row>
    <row r="70" customFormat="false" ht="15" hidden="false" customHeight="false" outlineLevel="0" collapsed="false">
      <c r="A70" s="16" t="n">
        <v>1067</v>
      </c>
      <c r="B70" s="9" t="n">
        <f aca="false">COUNTIF(JE_Lines!$B$5:$B$1733,A70)</f>
        <v>2</v>
      </c>
      <c r="C70" s="17" t="n">
        <f aca="false">SUMIFS(JE_Lines!$G$5:$G$1733,JE_Lines!$B$5:$B$1733,A70)</f>
        <v>34836.59</v>
      </c>
      <c r="D70" s="17" t="n">
        <f aca="false">SUMIFS(JE_Lines!$H$5:$H$1733,JE_Lines!$B$5:$B$1733,A70)</f>
        <v>34836.59</v>
      </c>
      <c r="E70" s="17" t="n">
        <f aca="false">C70-D70</f>
        <v>0</v>
      </c>
      <c r="F70" s="18" t="n">
        <f aca="false">INDEX(JE_Lines!$C$5:$C$1733,MATCH(A70,JE_Lines!$B$5:$B$1733,0))</f>
        <v>45685</v>
      </c>
      <c r="G70" s="18" t="n">
        <f aca="false">INDEX(JE_Lines!$D$5:$D$1733,MATCH(A70,JE_Lines!$B$5:$B$1733,0))</f>
        <v>45683</v>
      </c>
      <c r="H70" s="0" t="str">
        <f aca="false">INDEX(JE_Lines!$I$5:$I$1733,MATCH(A70,JE_Lines!$B$5:$B$1733,0))</f>
        <v>SYS_AP</v>
      </c>
      <c r="I70" s="0" t="str">
        <f aca="false">INDEX(JE_Lines!$J$5:$J$1733,MATCH(A70,JE_Lines!$B$5:$B$1733,0))</f>
        <v>System</v>
      </c>
      <c r="J70" s="0" t="str">
        <f aca="false">IF(LEN(INDEX(JE_Lines!$K$5:$K$1733,MATCH(A70,JE_Lines!$B$5:$B$1733,0)))=0,"",INDEX(JE_Lines!$K$5:$K$1733,MATCH(A70,JE_Lines!$B$5:$B$1733,0)))</f>
        <v>Supplier invoices</v>
      </c>
      <c r="K70" s="9" t="n">
        <f aca="false">F70-G70</f>
        <v>2</v>
      </c>
      <c r="L70" s="9" t="n">
        <f aca="false">COUNTIFS(JE_Lines!$B$5:$B$1733,A70,JE_Lines!$F$5:$F$1733,"Revenue")</f>
        <v>0</v>
      </c>
      <c r="M70" s="9" t="n">
        <f aca="false">COUNTIFS(JE_Lines!$B$5:$B$1733,A70,JE_Lines!$F$5:$F$1733,"Suspense")</f>
        <v>0</v>
      </c>
      <c r="N70" s="9" t="n">
        <f aca="false">IF(ABS(E70)&gt;Parameters!$B$23,1,0)</f>
        <v>0</v>
      </c>
      <c r="O70" s="9" t="n">
        <f aca="false">IF(WEEKDAY(F70,2)&gt;5,1,0)</f>
        <v>0</v>
      </c>
      <c r="P70" s="9" t="n">
        <f aca="false">IF(K70&gt;Parameters!$B$17,1,0)</f>
        <v>0</v>
      </c>
      <c r="Q70" s="9" t="n">
        <f aca="false">IF(AND(F70&lt;=Parameters!$B$6,F70&gt;Parameters!$B$6-Parameters!$B$18),1,0)</f>
        <v>0</v>
      </c>
      <c r="R70" s="9" t="n">
        <f aca="false">IF(COUNTIF(Parameters!$A$51:$A$58,H70)=0,1,0)</f>
        <v>0</v>
      </c>
      <c r="S70" s="9" t="n">
        <f aca="false">IF(AND(I70="Manual",L70&gt;0),1,0)</f>
        <v>0</v>
      </c>
      <c r="T70" s="9" t="n">
        <f aca="false">IF(AND(C70&gt;=Parameters!$B$22,ROUND(MOD(ROUND(C70,2),Parameters!$B$21),2)=0),1,0)</f>
        <v>0</v>
      </c>
      <c r="U70" s="9" t="n">
        <f aca="false">IF(LEN(TRIM(J70))=0,1,0)</f>
        <v>0</v>
      </c>
      <c r="V70" s="9" t="n">
        <f aca="false">IF(AND(I70="Manual",C70&lt;Parameters!$B$19,C70&gt;=Parameters!$B$19*(1-Parameters!$B$20)),1,0)</f>
        <v>0</v>
      </c>
      <c r="W70" s="9" t="n">
        <f aca="false">IF(AND(I70="Manual",M70&gt;0),1,0)</f>
        <v>0</v>
      </c>
      <c r="X70" s="9" t="n">
        <f aca="false">IF(A70-A69&gt;1,1,0)</f>
        <v>0</v>
      </c>
      <c r="Y70" s="9" t="n">
        <f aca="false">N70*Parameters!$B$38+O70*Parameters!$B$39+P70*Parameters!$B$40+Q70*Parameters!$B$41+R70*Parameters!$B$42+S70*Parameters!$B$43+T70*Parameters!$B$44+U70*Parameters!$B$45+V70*Parameters!$B$46+W70*Parameters!$B$47+X70*Parameters!$B$48</f>
        <v>0</v>
      </c>
      <c r="Z70" s="0" t="str">
        <f aca="false">IF(Y70&gt;=Parameters!$B$25,"High","")</f>
        <v/>
      </c>
    </row>
    <row r="71" customFormat="false" ht="15" hidden="false" customHeight="false" outlineLevel="0" collapsed="false">
      <c r="A71" s="16" t="n">
        <v>1068</v>
      </c>
      <c r="B71" s="9" t="n">
        <f aca="false">COUNTIF(JE_Lines!$B$5:$B$1733,A71)</f>
        <v>2</v>
      </c>
      <c r="C71" s="17" t="n">
        <f aca="false">SUMIFS(JE_Lines!$G$5:$G$1733,JE_Lines!$B$5:$B$1733,A71)</f>
        <v>202.74</v>
      </c>
      <c r="D71" s="17" t="n">
        <f aca="false">SUMIFS(JE_Lines!$H$5:$H$1733,JE_Lines!$B$5:$B$1733,A71)</f>
        <v>202.74</v>
      </c>
      <c r="E71" s="17" t="n">
        <f aca="false">C71-D71</f>
        <v>0</v>
      </c>
      <c r="F71" s="18" t="n">
        <f aca="false">INDEX(JE_Lines!$C$5:$C$1733,MATCH(A71,JE_Lines!$B$5:$B$1733,0))</f>
        <v>45685</v>
      </c>
      <c r="G71" s="18" t="n">
        <f aca="false">INDEX(JE_Lines!$D$5:$D$1733,MATCH(A71,JE_Lines!$B$5:$B$1733,0))</f>
        <v>45683</v>
      </c>
      <c r="H71" s="0" t="str">
        <f aca="false">INDEX(JE_Lines!$I$5:$I$1733,MATCH(A71,JE_Lines!$B$5:$B$1733,0))</f>
        <v>SYS_PAY</v>
      </c>
      <c r="I71" s="0" t="str">
        <f aca="false">INDEX(JE_Lines!$J$5:$J$1733,MATCH(A71,JE_Lines!$B$5:$B$1733,0))</f>
        <v>System</v>
      </c>
      <c r="J71" s="0" t="str">
        <f aca="false">IF(LEN(INDEX(JE_Lines!$K$5:$K$1733,MATCH(A71,JE_Lines!$B$5:$B$1733,0)))=0,"",INDEX(JE_Lines!$K$5:$K$1733,MATCH(A71,JE_Lines!$B$5:$B$1733,0)))</f>
        <v>Supplier payments</v>
      </c>
      <c r="K71" s="9" t="n">
        <f aca="false">F71-G71</f>
        <v>2</v>
      </c>
      <c r="L71" s="9" t="n">
        <f aca="false">COUNTIFS(JE_Lines!$B$5:$B$1733,A71,JE_Lines!$F$5:$F$1733,"Revenue")</f>
        <v>0</v>
      </c>
      <c r="M71" s="9" t="n">
        <f aca="false">COUNTIFS(JE_Lines!$B$5:$B$1733,A71,JE_Lines!$F$5:$F$1733,"Suspense")</f>
        <v>0</v>
      </c>
      <c r="N71" s="9" t="n">
        <f aca="false">IF(ABS(E71)&gt;Parameters!$B$23,1,0)</f>
        <v>0</v>
      </c>
      <c r="O71" s="9" t="n">
        <f aca="false">IF(WEEKDAY(F71,2)&gt;5,1,0)</f>
        <v>0</v>
      </c>
      <c r="P71" s="9" t="n">
        <f aca="false">IF(K71&gt;Parameters!$B$17,1,0)</f>
        <v>0</v>
      </c>
      <c r="Q71" s="9" t="n">
        <f aca="false">IF(AND(F71&lt;=Parameters!$B$6,F71&gt;Parameters!$B$6-Parameters!$B$18),1,0)</f>
        <v>0</v>
      </c>
      <c r="R71" s="9" t="n">
        <f aca="false">IF(COUNTIF(Parameters!$A$51:$A$58,H71)=0,1,0)</f>
        <v>0</v>
      </c>
      <c r="S71" s="9" t="n">
        <f aca="false">IF(AND(I71="Manual",L71&gt;0),1,0)</f>
        <v>0</v>
      </c>
      <c r="T71" s="9" t="n">
        <f aca="false">IF(AND(C71&gt;=Parameters!$B$22,ROUND(MOD(ROUND(C71,2),Parameters!$B$21),2)=0),1,0)</f>
        <v>0</v>
      </c>
      <c r="U71" s="9" t="n">
        <f aca="false">IF(LEN(TRIM(J71))=0,1,0)</f>
        <v>0</v>
      </c>
      <c r="V71" s="9" t="n">
        <f aca="false">IF(AND(I71="Manual",C71&lt;Parameters!$B$19,C71&gt;=Parameters!$B$19*(1-Parameters!$B$20)),1,0)</f>
        <v>0</v>
      </c>
      <c r="W71" s="9" t="n">
        <f aca="false">IF(AND(I71="Manual",M71&gt;0),1,0)</f>
        <v>0</v>
      </c>
      <c r="X71" s="9" t="n">
        <f aca="false">IF(A71-A70&gt;1,1,0)</f>
        <v>0</v>
      </c>
      <c r="Y71" s="9" t="n">
        <f aca="false">N71*Parameters!$B$38+O71*Parameters!$B$39+P71*Parameters!$B$40+Q71*Parameters!$B$41+R71*Parameters!$B$42+S71*Parameters!$B$43+T71*Parameters!$B$44+U71*Parameters!$B$45+V71*Parameters!$B$46+W71*Parameters!$B$47+X71*Parameters!$B$48</f>
        <v>0</v>
      </c>
      <c r="Z71" s="0" t="str">
        <f aca="false">IF(Y71&gt;=Parameters!$B$25,"High","")</f>
        <v/>
      </c>
    </row>
    <row r="72" customFormat="false" ht="15" hidden="false" customHeight="false" outlineLevel="0" collapsed="false">
      <c r="A72" s="16" t="n">
        <v>1069</v>
      </c>
      <c r="B72" s="9" t="n">
        <f aca="false">COUNTIF(JE_Lines!$B$5:$B$1733,A72)</f>
        <v>2</v>
      </c>
      <c r="C72" s="17" t="n">
        <f aca="false">SUMIFS(JE_Lines!$G$5:$G$1733,JE_Lines!$B$5:$B$1733,A72)</f>
        <v>1186.67</v>
      </c>
      <c r="D72" s="17" t="n">
        <f aca="false">SUMIFS(JE_Lines!$H$5:$H$1733,JE_Lines!$B$5:$B$1733,A72)</f>
        <v>1186.67</v>
      </c>
      <c r="E72" s="17" t="n">
        <f aca="false">C72-D72</f>
        <v>0</v>
      </c>
      <c r="F72" s="18" t="n">
        <f aca="false">INDEX(JE_Lines!$C$5:$C$1733,MATCH(A72,JE_Lines!$B$5:$B$1733,0))</f>
        <v>45685</v>
      </c>
      <c r="G72" s="18" t="n">
        <f aca="false">INDEX(JE_Lines!$D$5:$D$1733,MATCH(A72,JE_Lines!$B$5:$B$1733,0))</f>
        <v>45683</v>
      </c>
      <c r="H72" s="0" t="str">
        <f aca="false">INDEX(JE_Lines!$I$5:$I$1733,MATCH(A72,JE_Lines!$B$5:$B$1733,0))</f>
        <v>SYS_AR</v>
      </c>
      <c r="I72" s="0" t="str">
        <f aca="false">INDEX(JE_Lines!$J$5:$J$1733,MATCH(A72,JE_Lines!$B$5:$B$1733,0))</f>
        <v>System</v>
      </c>
      <c r="J72" s="0" t="str">
        <f aca="false">IF(LEN(INDEX(JE_Lines!$K$5:$K$1733,MATCH(A72,JE_Lines!$B$5:$B$1733,0)))=0,"",INDEX(JE_Lines!$K$5:$K$1733,MATCH(A72,JE_Lines!$B$5:$B$1733,0)))</f>
        <v>Sales invoice batch</v>
      </c>
      <c r="K72" s="9" t="n">
        <f aca="false">F72-G72</f>
        <v>2</v>
      </c>
      <c r="L72" s="9" t="n">
        <f aca="false">COUNTIFS(JE_Lines!$B$5:$B$1733,A72,JE_Lines!$F$5:$F$1733,"Revenue")</f>
        <v>1</v>
      </c>
      <c r="M72" s="9" t="n">
        <f aca="false">COUNTIFS(JE_Lines!$B$5:$B$1733,A72,JE_Lines!$F$5:$F$1733,"Suspense")</f>
        <v>0</v>
      </c>
      <c r="N72" s="9" t="n">
        <f aca="false">IF(ABS(E72)&gt;Parameters!$B$23,1,0)</f>
        <v>0</v>
      </c>
      <c r="O72" s="9" t="n">
        <f aca="false">IF(WEEKDAY(F72,2)&gt;5,1,0)</f>
        <v>0</v>
      </c>
      <c r="P72" s="9" t="n">
        <f aca="false">IF(K72&gt;Parameters!$B$17,1,0)</f>
        <v>0</v>
      </c>
      <c r="Q72" s="9" t="n">
        <f aca="false">IF(AND(F72&lt;=Parameters!$B$6,F72&gt;Parameters!$B$6-Parameters!$B$18),1,0)</f>
        <v>0</v>
      </c>
      <c r="R72" s="9" t="n">
        <f aca="false">IF(COUNTIF(Parameters!$A$51:$A$58,H72)=0,1,0)</f>
        <v>0</v>
      </c>
      <c r="S72" s="9" t="n">
        <f aca="false">IF(AND(I72="Manual",L72&gt;0),1,0)</f>
        <v>0</v>
      </c>
      <c r="T72" s="9" t="n">
        <f aca="false">IF(AND(C72&gt;=Parameters!$B$22,ROUND(MOD(ROUND(C72,2),Parameters!$B$21),2)=0),1,0)</f>
        <v>0</v>
      </c>
      <c r="U72" s="9" t="n">
        <f aca="false">IF(LEN(TRIM(J72))=0,1,0)</f>
        <v>0</v>
      </c>
      <c r="V72" s="9" t="n">
        <f aca="false">IF(AND(I72="Manual",C72&lt;Parameters!$B$19,C72&gt;=Parameters!$B$19*(1-Parameters!$B$20)),1,0)</f>
        <v>0</v>
      </c>
      <c r="W72" s="9" t="n">
        <f aca="false">IF(AND(I72="Manual",M72&gt;0),1,0)</f>
        <v>0</v>
      </c>
      <c r="X72" s="9" t="n">
        <f aca="false">IF(A72-A71&gt;1,1,0)</f>
        <v>0</v>
      </c>
      <c r="Y72" s="9" t="n">
        <f aca="false">N72*Parameters!$B$38+O72*Parameters!$B$39+P72*Parameters!$B$40+Q72*Parameters!$B$41+R72*Parameters!$B$42+S72*Parameters!$B$43+T72*Parameters!$B$44+U72*Parameters!$B$45+V72*Parameters!$B$46+W72*Parameters!$B$47+X72*Parameters!$B$48</f>
        <v>0</v>
      </c>
      <c r="Z72" s="0" t="str">
        <f aca="false">IF(Y72&gt;=Parameters!$B$25,"High","")</f>
        <v/>
      </c>
    </row>
    <row r="73" customFormat="false" ht="15" hidden="false" customHeight="false" outlineLevel="0" collapsed="false">
      <c r="A73" s="16" t="n">
        <v>1070</v>
      </c>
      <c r="B73" s="9" t="n">
        <f aca="false">COUNTIF(JE_Lines!$B$5:$B$1733,A73)</f>
        <v>2</v>
      </c>
      <c r="C73" s="17" t="n">
        <f aca="false">SUMIFS(JE_Lines!$G$5:$G$1733,JE_Lines!$B$5:$B$1733,A73)</f>
        <v>139623.21</v>
      </c>
      <c r="D73" s="17" t="n">
        <f aca="false">SUMIFS(JE_Lines!$H$5:$H$1733,JE_Lines!$B$5:$B$1733,A73)</f>
        <v>139623.21</v>
      </c>
      <c r="E73" s="17" t="n">
        <f aca="false">C73-D73</f>
        <v>0</v>
      </c>
      <c r="F73" s="18" t="n">
        <f aca="false">INDEX(JE_Lines!$C$5:$C$1733,MATCH(A73,JE_Lines!$B$5:$B$1733,0))</f>
        <v>45686</v>
      </c>
      <c r="G73" s="18" t="n">
        <f aca="false">INDEX(JE_Lines!$D$5:$D$1733,MATCH(A73,JE_Lines!$B$5:$B$1733,0))</f>
        <v>45683</v>
      </c>
      <c r="H73" s="0" t="str">
        <f aca="false">INDEX(JE_Lines!$I$5:$I$1733,MATCH(A73,JE_Lines!$B$5:$B$1733,0))</f>
        <v>SYS_AR</v>
      </c>
      <c r="I73" s="0" t="str">
        <f aca="false">INDEX(JE_Lines!$J$5:$J$1733,MATCH(A73,JE_Lines!$B$5:$B$1733,0))</f>
        <v>System</v>
      </c>
      <c r="J73" s="0" t="str">
        <f aca="false">IF(LEN(INDEX(JE_Lines!$K$5:$K$1733,MATCH(A73,JE_Lines!$B$5:$B$1733,0)))=0,"",INDEX(JE_Lines!$K$5:$K$1733,MATCH(A73,JE_Lines!$B$5:$B$1733,0)))</f>
        <v>Sales invoice batch</v>
      </c>
      <c r="K73" s="9" t="n">
        <f aca="false">F73-G73</f>
        <v>3</v>
      </c>
      <c r="L73" s="9" t="n">
        <f aca="false">COUNTIFS(JE_Lines!$B$5:$B$1733,A73,JE_Lines!$F$5:$F$1733,"Revenue")</f>
        <v>1</v>
      </c>
      <c r="M73" s="9" t="n">
        <f aca="false">COUNTIFS(JE_Lines!$B$5:$B$1733,A73,JE_Lines!$F$5:$F$1733,"Suspense")</f>
        <v>0</v>
      </c>
      <c r="N73" s="9" t="n">
        <f aca="false">IF(ABS(E73)&gt;Parameters!$B$23,1,0)</f>
        <v>0</v>
      </c>
      <c r="O73" s="9" t="n">
        <f aca="false">IF(WEEKDAY(F73,2)&gt;5,1,0)</f>
        <v>0</v>
      </c>
      <c r="P73" s="9" t="n">
        <f aca="false">IF(K73&gt;Parameters!$B$17,1,0)</f>
        <v>0</v>
      </c>
      <c r="Q73" s="9" t="n">
        <f aca="false">IF(AND(F73&lt;=Parameters!$B$6,F73&gt;Parameters!$B$6-Parameters!$B$18),1,0)</f>
        <v>0</v>
      </c>
      <c r="R73" s="9" t="n">
        <f aca="false">IF(COUNTIF(Parameters!$A$51:$A$58,H73)=0,1,0)</f>
        <v>0</v>
      </c>
      <c r="S73" s="9" t="n">
        <f aca="false">IF(AND(I73="Manual",L73&gt;0),1,0)</f>
        <v>0</v>
      </c>
      <c r="T73" s="9" t="n">
        <f aca="false">IF(AND(C73&gt;=Parameters!$B$22,ROUND(MOD(ROUND(C73,2),Parameters!$B$21),2)=0),1,0)</f>
        <v>0</v>
      </c>
      <c r="U73" s="9" t="n">
        <f aca="false">IF(LEN(TRIM(J73))=0,1,0)</f>
        <v>0</v>
      </c>
      <c r="V73" s="9" t="n">
        <f aca="false">IF(AND(I73="Manual",C73&lt;Parameters!$B$19,C73&gt;=Parameters!$B$19*(1-Parameters!$B$20)),1,0)</f>
        <v>0</v>
      </c>
      <c r="W73" s="9" t="n">
        <f aca="false">IF(AND(I73="Manual",M73&gt;0),1,0)</f>
        <v>0</v>
      </c>
      <c r="X73" s="9" t="n">
        <f aca="false">IF(A73-A72&gt;1,1,0)</f>
        <v>0</v>
      </c>
      <c r="Y73" s="9" t="n">
        <f aca="false">N73*Parameters!$B$38+O73*Parameters!$B$39+P73*Parameters!$B$40+Q73*Parameters!$B$41+R73*Parameters!$B$42+S73*Parameters!$B$43+T73*Parameters!$B$44+U73*Parameters!$B$45+V73*Parameters!$B$46+W73*Parameters!$B$47+X73*Parameters!$B$48</f>
        <v>0</v>
      </c>
      <c r="Z73" s="0" t="str">
        <f aca="false">IF(Y73&gt;=Parameters!$B$25,"High","")</f>
        <v/>
      </c>
    </row>
    <row r="74" customFormat="false" ht="15" hidden="false" customHeight="false" outlineLevel="0" collapsed="false">
      <c r="A74" s="16" t="n">
        <v>1071</v>
      </c>
      <c r="B74" s="9" t="n">
        <f aca="false">COUNTIF(JE_Lines!$B$5:$B$1733,A74)</f>
        <v>2</v>
      </c>
      <c r="C74" s="17" t="n">
        <f aca="false">SUMIFS(JE_Lines!$G$5:$G$1733,JE_Lines!$B$5:$B$1733,A74)</f>
        <v>22822.3</v>
      </c>
      <c r="D74" s="17" t="n">
        <f aca="false">SUMIFS(JE_Lines!$H$5:$H$1733,JE_Lines!$B$5:$B$1733,A74)</f>
        <v>22822.3</v>
      </c>
      <c r="E74" s="17" t="n">
        <f aca="false">C74-D74</f>
        <v>0</v>
      </c>
      <c r="F74" s="18" t="n">
        <f aca="false">INDEX(JE_Lines!$C$5:$C$1733,MATCH(A74,JE_Lines!$B$5:$B$1733,0))</f>
        <v>45686</v>
      </c>
      <c r="G74" s="18" t="n">
        <f aca="false">INDEX(JE_Lines!$D$5:$D$1733,MATCH(A74,JE_Lines!$B$5:$B$1733,0))</f>
        <v>45686</v>
      </c>
      <c r="H74" s="0" t="str">
        <f aca="false">INDEX(JE_Lines!$I$5:$I$1733,MATCH(A74,JE_Lines!$B$5:$B$1733,0))</f>
        <v>SYS_AR</v>
      </c>
      <c r="I74" s="0" t="str">
        <f aca="false">INDEX(JE_Lines!$J$5:$J$1733,MATCH(A74,JE_Lines!$B$5:$B$1733,0))</f>
        <v>System</v>
      </c>
      <c r="J74" s="0" t="str">
        <f aca="false">IF(LEN(INDEX(JE_Lines!$K$5:$K$1733,MATCH(A74,JE_Lines!$B$5:$B$1733,0)))=0,"",INDEX(JE_Lines!$K$5:$K$1733,MATCH(A74,JE_Lines!$B$5:$B$1733,0)))</f>
        <v>Sales invoice batch</v>
      </c>
      <c r="K74" s="9" t="n">
        <f aca="false">F74-G74</f>
        <v>0</v>
      </c>
      <c r="L74" s="9" t="n">
        <f aca="false">COUNTIFS(JE_Lines!$B$5:$B$1733,A74,JE_Lines!$F$5:$F$1733,"Revenue")</f>
        <v>1</v>
      </c>
      <c r="M74" s="9" t="n">
        <f aca="false">COUNTIFS(JE_Lines!$B$5:$B$1733,A74,JE_Lines!$F$5:$F$1733,"Suspense")</f>
        <v>0</v>
      </c>
      <c r="N74" s="9" t="n">
        <f aca="false">IF(ABS(E74)&gt;Parameters!$B$23,1,0)</f>
        <v>0</v>
      </c>
      <c r="O74" s="9" t="n">
        <f aca="false">IF(WEEKDAY(F74,2)&gt;5,1,0)</f>
        <v>0</v>
      </c>
      <c r="P74" s="9" t="n">
        <f aca="false">IF(K74&gt;Parameters!$B$17,1,0)</f>
        <v>0</v>
      </c>
      <c r="Q74" s="9" t="n">
        <f aca="false">IF(AND(F74&lt;=Parameters!$B$6,F74&gt;Parameters!$B$6-Parameters!$B$18),1,0)</f>
        <v>0</v>
      </c>
      <c r="R74" s="9" t="n">
        <f aca="false">IF(COUNTIF(Parameters!$A$51:$A$58,H74)=0,1,0)</f>
        <v>0</v>
      </c>
      <c r="S74" s="9" t="n">
        <f aca="false">IF(AND(I74="Manual",L74&gt;0),1,0)</f>
        <v>0</v>
      </c>
      <c r="T74" s="9" t="n">
        <f aca="false">IF(AND(C74&gt;=Parameters!$B$22,ROUND(MOD(ROUND(C74,2),Parameters!$B$21),2)=0),1,0)</f>
        <v>0</v>
      </c>
      <c r="U74" s="9" t="n">
        <f aca="false">IF(LEN(TRIM(J74))=0,1,0)</f>
        <v>0</v>
      </c>
      <c r="V74" s="9" t="n">
        <f aca="false">IF(AND(I74="Manual",C74&lt;Parameters!$B$19,C74&gt;=Parameters!$B$19*(1-Parameters!$B$20)),1,0)</f>
        <v>0</v>
      </c>
      <c r="W74" s="9" t="n">
        <f aca="false">IF(AND(I74="Manual",M74&gt;0),1,0)</f>
        <v>0</v>
      </c>
      <c r="X74" s="9" t="n">
        <f aca="false">IF(A74-A73&gt;1,1,0)</f>
        <v>0</v>
      </c>
      <c r="Y74" s="9" t="n">
        <f aca="false">N74*Parameters!$B$38+O74*Parameters!$B$39+P74*Parameters!$B$40+Q74*Parameters!$B$41+R74*Parameters!$B$42+S74*Parameters!$B$43+T74*Parameters!$B$44+U74*Parameters!$B$45+V74*Parameters!$B$46+W74*Parameters!$B$47+X74*Parameters!$B$48</f>
        <v>0</v>
      </c>
      <c r="Z74" s="0" t="str">
        <f aca="false">IF(Y74&gt;=Parameters!$B$25,"High","")</f>
        <v/>
      </c>
    </row>
    <row r="75" customFormat="false" ht="15" hidden="false" customHeight="false" outlineLevel="0" collapsed="false">
      <c r="A75" s="16" t="n">
        <v>1072</v>
      </c>
      <c r="B75" s="9" t="n">
        <f aca="false">COUNTIF(JE_Lines!$B$5:$B$1733,A75)</f>
        <v>2</v>
      </c>
      <c r="C75" s="17" t="n">
        <f aca="false">SUMIFS(JE_Lines!$G$5:$G$1733,JE_Lines!$B$5:$B$1733,A75)</f>
        <v>628.29</v>
      </c>
      <c r="D75" s="17" t="n">
        <f aca="false">SUMIFS(JE_Lines!$H$5:$H$1733,JE_Lines!$B$5:$B$1733,A75)</f>
        <v>628.29</v>
      </c>
      <c r="E75" s="17" t="n">
        <f aca="false">C75-D75</f>
        <v>0</v>
      </c>
      <c r="F75" s="18" t="n">
        <f aca="false">INDEX(JE_Lines!$C$5:$C$1733,MATCH(A75,JE_Lines!$B$5:$B$1733,0))</f>
        <v>45686</v>
      </c>
      <c r="G75" s="18" t="n">
        <f aca="false">INDEX(JE_Lines!$D$5:$D$1733,MATCH(A75,JE_Lines!$B$5:$B$1733,0))</f>
        <v>45686</v>
      </c>
      <c r="H75" s="0" t="str">
        <f aca="false">INDEX(JE_Lines!$I$5:$I$1733,MATCH(A75,JE_Lines!$B$5:$B$1733,0))</f>
        <v>FIN02</v>
      </c>
      <c r="I75" s="0" t="str">
        <f aca="false">INDEX(JE_Lines!$J$5:$J$1733,MATCH(A75,JE_Lines!$B$5:$B$1733,0))</f>
        <v>Manual</v>
      </c>
      <c r="J75" s="0" t="str">
        <f aca="false">IF(LEN(INDEX(JE_Lines!$K$5:$K$1733,MATCH(A75,JE_Lines!$B$5:$B$1733,0)))=0,"",INDEX(JE_Lines!$K$5:$K$1733,MATCH(A75,JE_Lines!$B$5:$B$1733,0)))</f>
        <v/>
      </c>
      <c r="K75" s="9" t="n">
        <f aca="false">F75-G75</f>
        <v>0</v>
      </c>
      <c r="L75" s="9" t="n">
        <f aca="false">COUNTIFS(JE_Lines!$B$5:$B$1733,A75,JE_Lines!$F$5:$F$1733,"Revenue")</f>
        <v>0</v>
      </c>
      <c r="M75" s="9" t="n">
        <f aca="false">COUNTIFS(JE_Lines!$B$5:$B$1733,A75,JE_Lines!$F$5:$F$1733,"Suspense")</f>
        <v>0</v>
      </c>
      <c r="N75" s="9" t="n">
        <f aca="false">IF(ABS(E75)&gt;Parameters!$B$23,1,0)</f>
        <v>0</v>
      </c>
      <c r="O75" s="9" t="n">
        <f aca="false">IF(WEEKDAY(F75,2)&gt;5,1,0)</f>
        <v>0</v>
      </c>
      <c r="P75" s="9" t="n">
        <f aca="false">IF(K75&gt;Parameters!$B$17,1,0)</f>
        <v>0</v>
      </c>
      <c r="Q75" s="9" t="n">
        <f aca="false">IF(AND(F75&lt;=Parameters!$B$6,F75&gt;Parameters!$B$6-Parameters!$B$18),1,0)</f>
        <v>0</v>
      </c>
      <c r="R75" s="9" t="n">
        <f aca="false">IF(COUNTIF(Parameters!$A$51:$A$58,H75)=0,1,0)</f>
        <v>0</v>
      </c>
      <c r="S75" s="9" t="n">
        <f aca="false">IF(AND(I75="Manual",L75&gt;0),1,0)</f>
        <v>0</v>
      </c>
      <c r="T75" s="9" t="n">
        <f aca="false">IF(AND(C75&gt;=Parameters!$B$22,ROUND(MOD(ROUND(C75,2),Parameters!$B$21),2)=0),1,0)</f>
        <v>0</v>
      </c>
      <c r="U75" s="9" t="n">
        <f aca="false">IF(LEN(TRIM(J75))=0,1,0)</f>
        <v>1</v>
      </c>
      <c r="V75" s="9" t="n">
        <f aca="false">IF(AND(I75="Manual",C75&lt;Parameters!$B$19,C75&gt;=Parameters!$B$19*(1-Parameters!$B$20)),1,0)</f>
        <v>0</v>
      </c>
      <c r="W75" s="9" t="n">
        <f aca="false">IF(AND(I75="Manual",M75&gt;0),1,0)</f>
        <v>0</v>
      </c>
      <c r="X75" s="9" t="n">
        <f aca="false">IF(A75-A74&gt;1,1,0)</f>
        <v>0</v>
      </c>
      <c r="Y75" s="9" t="n">
        <f aca="false">N75*Parameters!$B$38+O75*Parameters!$B$39+P75*Parameters!$B$40+Q75*Parameters!$B$41+R75*Parameters!$B$42+S75*Parameters!$B$43+T75*Parameters!$B$44+U75*Parameters!$B$45+V75*Parameters!$B$46+W75*Parameters!$B$47+X75*Parameters!$B$48</f>
        <v>2</v>
      </c>
      <c r="Z75" s="0" t="str">
        <f aca="false">IF(Y75&gt;=Parameters!$B$25,"High","")</f>
        <v/>
      </c>
    </row>
    <row r="76" customFormat="false" ht="15" hidden="false" customHeight="false" outlineLevel="0" collapsed="false">
      <c r="A76" s="16" t="n">
        <v>1073</v>
      </c>
      <c r="B76" s="9" t="n">
        <f aca="false">COUNTIF(JE_Lines!$B$5:$B$1733,A76)</f>
        <v>2</v>
      </c>
      <c r="C76" s="17" t="n">
        <f aca="false">SUMIFS(JE_Lines!$G$5:$G$1733,JE_Lines!$B$5:$B$1733,A76)</f>
        <v>842.62</v>
      </c>
      <c r="D76" s="17" t="n">
        <f aca="false">SUMIFS(JE_Lines!$H$5:$H$1733,JE_Lines!$B$5:$B$1733,A76)</f>
        <v>842.62</v>
      </c>
      <c r="E76" s="17" t="n">
        <f aca="false">C76-D76</f>
        <v>0</v>
      </c>
      <c r="F76" s="18" t="n">
        <f aca="false">INDEX(JE_Lines!$C$5:$C$1733,MATCH(A76,JE_Lines!$B$5:$B$1733,0))</f>
        <v>45687</v>
      </c>
      <c r="G76" s="18" t="n">
        <f aca="false">INDEX(JE_Lines!$D$5:$D$1733,MATCH(A76,JE_Lines!$B$5:$B$1733,0))</f>
        <v>45683</v>
      </c>
      <c r="H76" s="0" t="str">
        <f aca="false">INDEX(JE_Lines!$I$5:$I$1733,MATCH(A76,JE_Lines!$B$5:$B$1733,0))</f>
        <v>SYS_AR</v>
      </c>
      <c r="I76" s="0" t="str">
        <f aca="false">INDEX(JE_Lines!$J$5:$J$1733,MATCH(A76,JE_Lines!$B$5:$B$1733,0))</f>
        <v>System</v>
      </c>
      <c r="J76" s="0" t="str">
        <f aca="false">IF(LEN(INDEX(JE_Lines!$K$5:$K$1733,MATCH(A76,JE_Lines!$B$5:$B$1733,0)))=0,"",INDEX(JE_Lines!$K$5:$K$1733,MATCH(A76,JE_Lines!$B$5:$B$1733,0)))</f>
        <v>Cost of sales posting</v>
      </c>
      <c r="K76" s="9" t="n">
        <f aca="false">F76-G76</f>
        <v>4</v>
      </c>
      <c r="L76" s="9" t="n">
        <f aca="false">COUNTIFS(JE_Lines!$B$5:$B$1733,A76,JE_Lines!$F$5:$F$1733,"Revenue")</f>
        <v>0</v>
      </c>
      <c r="M76" s="9" t="n">
        <f aca="false">COUNTIFS(JE_Lines!$B$5:$B$1733,A76,JE_Lines!$F$5:$F$1733,"Suspense")</f>
        <v>0</v>
      </c>
      <c r="N76" s="9" t="n">
        <f aca="false">IF(ABS(E76)&gt;Parameters!$B$23,1,0)</f>
        <v>0</v>
      </c>
      <c r="O76" s="9" t="n">
        <f aca="false">IF(WEEKDAY(F76,2)&gt;5,1,0)</f>
        <v>0</v>
      </c>
      <c r="P76" s="9" t="n">
        <f aca="false">IF(K76&gt;Parameters!$B$17,1,0)</f>
        <v>0</v>
      </c>
      <c r="Q76" s="9" t="n">
        <f aca="false">IF(AND(F76&lt;=Parameters!$B$6,F76&gt;Parameters!$B$6-Parameters!$B$18),1,0)</f>
        <v>0</v>
      </c>
      <c r="R76" s="9" t="n">
        <f aca="false">IF(COUNTIF(Parameters!$A$51:$A$58,H76)=0,1,0)</f>
        <v>0</v>
      </c>
      <c r="S76" s="9" t="n">
        <f aca="false">IF(AND(I76="Manual",L76&gt;0),1,0)</f>
        <v>0</v>
      </c>
      <c r="T76" s="9" t="n">
        <f aca="false">IF(AND(C76&gt;=Parameters!$B$22,ROUND(MOD(ROUND(C76,2),Parameters!$B$21),2)=0),1,0)</f>
        <v>0</v>
      </c>
      <c r="U76" s="9" t="n">
        <f aca="false">IF(LEN(TRIM(J76))=0,1,0)</f>
        <v>0</v>
      </c>
      <c r="V76" s="9" t="n">
        <f aca="false">IF(AND(I76="Manual",C76&lt;Parameters!$B$19,C76&gt;=Parameters!$B$19*(1-Parameters!$B$20)),1,0)</f>
        <v>0</v>
      </c>
      <c r="W76" s="9" t="n">
        <f aca="false">IF(AND(I76="Manual",M76&gt;0),1,0)</f>
        <v>0</v>
      </c>
      <c r="X76" s="9" t="n">
        <f aca="false">IF(A76-A75&gt;1,1,0)</f>
        <v>0</v>
      </c>
      <c r="Y76" s="9" t="n">
        <f aca="false">N76*Parameters!$B$38+O76*Parameters!$B$39+P76*Parameters!$B$40+Q76*Parameters!$B$41+R76*Parameters!$B$42+S76*Parameters!$B$43+T76*Parameters!$B$44+U76*Parameters!$B$45+V76*Parameters!$B$46+W76*Parameters!$B$47+X76*Parameters!$B$48</f>
        <v>0</v>
      </c>
      <c r="Z76" s="0" t="str">
        <f aca="false">IF(Y76&gt;=Parameters!$B$25,"High","")</f>
        <v/>
      </c>
    </row>
    <row r="77" customFormat="false" ht="15" hidden="false" customHeight="false" outlineLevel="0" collapsed="false">
      <c r="A77" s="16" t="n">
        <v>1074</v>
      </c>
      <c r="B77" s="9" t="n">
        <f aca="false">COUNTIF(JE_Lines!$B$5:$B$1733,A77)</f>
        <v>2</v>
      </c>
      <c r="C77" s="17" t="n">
        <f aca="false">SUMIFS(JE_Lines!$G$5:$G$1733,JE_Lines!$B$5:$B$1733,A77)</f>
        <v>15545.09</v>
      </c>
      <c r="D77" s="17" t="n">
        <f aca="false">SUMIFS(JE_Lines!$H$5:$H$1733,JE_Lines!$B$5:$B$1733,A77)</f>
        <v>15545.09</v>
      </c>
      <c r="E77" s="17" t="n">
        <f aca="false">C77-D77</f>
        <v>0</v>
      </c>
      <c r="F77" s="18" t="n">
        <f aca="false">INDEX(JE_Lines!$C$5:$C$1733,MATCH(A77,JE_Lines!$B$5:$B$1733,0))</f>
        <v>45687</v>
      </c>
      <c r="G77" s="18" t="n">
        <f aca="false">INDEX(JE_Lines!$D$5:$D$1733,MATCH(A77,JE_Lines!$B$5:$B$1733,0))</f>
        <v>45685</v>
      </c>
      <c r="H77" s="0" t="str">
        <f aca="false">INDEX(JE_Lines!$I$5:$I$1733,MATCH(A77,JE_Lines!$B$5:$B$1733,0))</f>
        <v>SYS_PAY</v>
      </c>
      <c r="I77" s="0" t="str">
        <f aca="false">INDEX(JE_Lines!$J$5:$J$1733,MATCH(A77,JE_Lines!$B$5:$B$1733,0))</f>
        <v>System</v>
      </c>
      <c r="J77" s="0" t="str">
        <f aca="false">IF(LEN(INDEX(JE_Lines!$K$5:$K$1733,MATCH(A77,JE_Lines!$B$5:$B$1733,0)))=0,"",INDEX(JE_Lines!$K$5:$K$1733,MATCH(A77,JE_Lines!$B$5:$B$1733,0)))</f>
        <v>Supplier payments</v>
      </c>
      <c r="K77" s="9" t="n">
        <f aca="false">F77-G77</f>
        <v>2</v>
      </c>
      <c r="L77" s="9" t="n">
        <f aca="false">COUNTIFS(JE_Lines!$B$5:$B$1733,A77,JE_Lines!$F$5:$F$1733,"Revenue")</f>
        <v>0</v>
      </c>
      <c r="M77" s="9" t="n">
        <f aca="false">COUNTIFS(JE_Lines!$B$5:$B$1733,A77,JE_Lines!$F$5:$F$1733,"Suspense")</f>
        <v>0</v>
      </c>
      <c r="N77" s="9" t="n">
        <f aca="false">IF(ABS(E77)&gt;Parameters!$B$23,1,0)</f>
        <v>0</v>
      </c>
      <c r="O77" s="9" t="n">
        <f aca="false">IF(WEEKDAY(F77,2)&gt;5,1,0)</f>
        <v>0</v>
      </c>
      <c r="P77" s="9" t="n">
        <f aca="false">IF(K77&gt;Parameters!$B$17,1,0)</f>
        <v>0</v>
      </c>
      <c r="Q77" s="9" t="n">
        <f aca="false">IF(AND(F77&lt;=Parameters!$B$6,F77&gt;Parameters!$B$6-Parameters!$B$18),1,0)</f>
        <v>0</v>
      </c>
      <c r="R77" s="9" t="n">
        <f aca="false">IF(COUNTIF(Parameters!$A$51:$A$58,H77)=0,1,0)</f>
        <v>0</v>
      </c>
      <c r="S77" s="9" t="n">
        <f aca="false">IF(AND(I77="Manual",L77&gt;0),1,0)</f>
        <v>0</v>
      </c>
      <c r="T77" s="9" t="n">
        <f aca="false">IF(AND(C77&gt;=Parameters!$B$22,ROUND(MOD(ROUND(C77,2),Parameters!$B$21),2)=0),1,0)</f>
        <v>0</v>
      </c>
      <c r="U77" s="9" t="n">
        <f aca="false">IF(LEN(TRIM(J77))=0,1,0)</f>
        <v>0</v>
      </c>
      <c r="V77" s="9" t="n">
        <f aca="false">IF(AND(I77="Manual",C77&lt;Parameters!$B$19,C77&gt;=Parameters!$B$19*(1-Parameters!$B$20)),1,0)</f>
        <v>0</v>
      </c>
      <c r="W77" s="9" t="n">
        <f aca="false">IF(AND(I77="Manual",M77&gt;0),1,0)</f>
        <v>0</v>
      </c>
      <c r="X77" s="9" t="n">
        <f aca="false">IF(A77-A76&gt;1,1,0)</f>
        <v>0</v>
      </c>
      <c r="Y77" s="9" t="n">
        <f aca="false">N77*Parameters!$B$38+O77*Parameters!$B$39+P77*Parameters!$B$40+Q77*Parameters!$B$41+R77*Parameters!$B$42+S77*Parameters!$B$43+T77*Parameters!$B$44+U77*Parameters!$B$45+V77*Parameters!$B$46+W77*Parameters!$B$47+X77*Parameters!$B$48</f>
        <v>0</v>
      </c>
      <c r="Z77" s="0" t="str">
        <f aca="false">IF(Y77&gt;=Parameters!$B$25,"High","")</f>
        <v/>
      </c>
    </row>
    <row r="78" customFormat="false" ht="15" hidden="false" customHeight="false" outlineLevel="0" collapsed="false">
      <c r="A78" s="16" t="n">
        <v>1078</v>
      </c>
      <c r="B78" s="9" t="n">
        <f aca="false">COUNTIF(JE_Lines!$B$5:$B$1733,A78)</f>
        <v>2</v>
      </c>
      <c r="C78" s="17" t="n">
        <f aca="false">SUMIFS(JE_Lines!$G$5:$G$1733,JE_Lines!$B$5:$B$1733,A78)</f>
        <v>16301.44</v>
      </c>
      <c r="D78" s="17" t="n">
        <f aca="false">SUMIFS(JE_Lines!$H$5:$H$1733,JE_Lines!$B$5:$B$1733,A78)</f>
        <v>16301.44</v>
      </c>
      <c r="E78" s="17" t="n">
        <f aca="false">C78-D78</f>
        <v>0</v>
      </c>
      <c r="F78" s="18" t="n">
        <f aca="false">INDEX(JE_Lines!$C$5:$C$1733,MATCH(A78,JE_Lines!$B$5:$B$1733,0))</f>
        <v>45687</v>
      </c>
      <c r="G78" s="18" t="n">
        <f aca="false">INDEX(JE_Lines!$D$5:$D$1733,MATCH(A78,JE_Lines!$B$5:$B$1733,0))</f>
        <v>45686</v>
      </c>
      <c r="H78" s="0" t="str">
        <f aca="false">INDEX(JE_Lines!$I$5:$I$1733,MATCH(A78,JE_Lines!$B$5:$B$1733,0))</f>
        <v>SYS_AR</v>
      </c>
      <c r="I78" s="0" t="str">
        <f aca="false">INDEX(JE_Lines!$J$5:$J$1733,MATCH(A78,JE_Lines!$B$5:$B$1733,0))</f>
        <v>System</v>
      </c>
      <c r="J78" s="0" t="str">
        <f aca="false">IF(LEN(INDEX(JE_Lines!$K$5:$K$1733,MATCH(A78,JE_Lines!$B$5:$B$1733,0)))=0,"",INDEX(JE_Lines!$K$5:$K$1733,MATCH(A78,JE_Lines!$B$5:$B$1733,0)))</f>
        <v>Customer receipts</v>
      </c>
      <c r="K78" s="9" t="n">
        <f aca="false">F78-G78</f>
        <v>1</v>
      </c>
      <c r="L78" s="9" t="n">
        <f aca="false">COUNTIFS(JE_Lines!$B$5:$B$1733,A78,JE_Lines!$F$5:$F$1733,"Revenue")</f>
        <v>0</v>
      </c>
      <c r="M78" s="9" t="n">
        <f aca="false">COUNTIFS(JE_Lines!$B$5:$B$1733,A78,JE_Lines!$F$5:$F$1733,"Suspense")</f>
        <v>0</v>
      </c>
      <c r="N78" s="9" t="n">
        <f aca="false">IF(ABS(E78)&gt;Parameters!$B$23,1,0)</f>
        <v>0</v>
      </c>
      <c r="O78" s="9" t="n">
        <f aca="false">IF(WEEKDAY(F78,2)&gt;5,1,0)</f>
        <v>0</v>
      </c>
      <c r="P78" s="9" t="n">
        <f aca="false">IF(K78&gt;Parameters!$B$17,1,0)</f>
        <v>0</v>
      </c>
      <c r="Q78" s="9" t="n">
        <f aca="false">IF(AND(F78&lt;=Parameters!$B$6,F78&gt;Parameters!$B$6-Parameters!$B$18),1,0)</f>
        <v>0</v>
      </c>
      <c r="R78" s="9" t="n">
        <f aca="false">IF(COUNTIF(Parameters!$A$51:$A$58,H78)=0,1,0)</f>
        <v>0</v>
      </c>
      <c r="S78" s="9" t="n">
        <f aca="false">IF(AND(I78="Manual",L78&gt;0),1,0)</f>
        <v>0</v>
      </c>
      <c r="T78" s="9" t="n">
        <f aca="false">IF(AND(C78&gt;=Parameters!$B$22,ROUND(MOD(ROUND(C78,2),Parameters!$B$21),2)=0),1,0)</f>
        <v>0</v>
      </c>
      <c r="U78" s="9" t="n">
        <f aca="false">IF(LEN(TRIM(J78))=0,1,0)</f>
        <v>0</v>
      </c>
      <c r="V78" s="9" t="n">
        <f aca="false">IF(AND(I78="Manual",C78&lt;Parameters!$B$19,C78&gt;=Parameters!$B$19*(1-Parameters!$B$20)),1,0)</f>
        <v>0</v>
      </c>
      <c r="W78" s="9" t="n">
        <f aca="false">IF(AND(I78="Manual",M78&gt;0),1,0)</f>
        <v>0</v>
      </c>
      <c r="X78" s="9" t="n">
        <f aca="false">IF(A78-A77&gt;1,1,0)</f>
        <v>1</v>
      </c>
      <c r="Y78" s="9" t="n">
        <f aca="false">N78*Parameters!$B$38+O78*Parameters!$B$39+P78*Parameters!$B$40+Q78*Parameters!$B$41+R78*Parameters!$B$42+S78*Parameters!$B$43+T78*Parameters!$B$44+U78*Parameters!$B$45+V78*Parameters!$B$46+W78*Parameters!$B$47+X78*Parameters!$B$48</f>
        <v>1</v>
      </c>
      <c r="Z78" s="0" t="str">
        <f aca="false">IF(Y78&gt;=Parameters!$B$25,"High","")</f>
        <v/>
      </c>
    </row>
    <row r="79" customFormat="false" ht="15" hidden="false" customHeight="false" outlineLevel="0" collapsed="false">
      <c r="A79" s="16" t="n">
        <v>1079</v>
      </c>
      <c r="B79" s="9" t="n">
        <f aca="false">COUNTIF(JE_Lines!$B$5:$B$1733,A79)</f>
        <v>3</v>
      </c>
      <c r="C79" s="17" t="n">
        <f aca="false">SUMIFS(JE_Lines!$G$5:$G$1733,JE_Lines!$B$5:$B$1733,A79)</f>
        <v>464.93</v>
      </c>
      <c r="D79" s="17" t="n">
        <f aca="false">SUMIFS(JE_Lines!$H$5:$H$1733,JE_Lines!$B$5:$B$1733,A79)</f>
        <v>464.93</v>
      </c>
      <c r="E79" s="17" t="n">
        <f aca="false">C79-D79</f>
        <v>0</v>
      </c>
      <c r="F79" s="18" t="n">
        <f aca="false">INDEX(JE_Lines!$C$5:$C$1733,MATCH(A79,JE_Lines!$B$5:$B$1733,0))</f>
        <v>45688</v>
      </c>
      <c r="G79" s="18" t="n">
        <f aca="false">INDEX(JE_Lines!$D$5:$D$1733,MATCH(A79,JE_Lines!$B$5:$B$1733,0))</f>
        <v>45684</v>
      </c>
      <c r="H79" s="0" t="str">
        <f aca="false">INDEX(JE_Lines!$I$5:$I$1733,MATCH(A79,JE_Lines!$B$5:$B$1733,0))</f>
        <v>SYS_AR</v>
      </c>
      <c r="I79" s="0" t="str">
        <f aca="false">INDEX(JE_Lines!$J$5:$J$1733,MATCH(A79,JE_Lines!$B$5:$B$1733,0))</f>
        <v>System</v>
      </c>
      <c r="J79" s="0" t="str">
        <f aca="false">IF(LEN(INDEX(JE_Lines!$K$5:$K$1733,MATCH(A79,JE_Lines!$B$5:$B$1733,0)))=0,"",INDEX(JE_Lines!$K$5:$K$1733,MATCH(A79,JE_Lines!$B$5:$B$1733,0)))</f>
        <v>Sales invoice batch</v>
      </c>
      <c r="K79" s="9" t="n">
        <f aca="false">F79-G79</f>
        <v>4</v>
      </c>
      <c r="L79" s="9" t="n">
        <f aca="false">COUNTIFS(JE_Lines!$B$5:$B$1733,A79,JE_Lines!$F$5:$F$1733,"Revenue")</f>
        <v>1</v>
      </c>
      <c r="M79" s="9" t="n">
        <f aca="false">COUNTIFS(JE_Lines!$B$5:$B$1733,A79,JE_Lines!$F$5:$F$1733,"Suspense")</f>
        <v>0</v>
      </c>
      <c r="N79" s="9" t="n">
        <f aca="false">IF(ABS(E79)&gt;Parameters!$B$23,1,0)</f>
        <v>0</v>
      </c>
      <c r="O79" s="9" t="n">
        <f aca="false">IF(WEEKDAY(F79,2)&gt;5,1,0)</f>
        <v>0</v>
      </c>
      <c r="P79" s="9" t="n">
        <f aca="false">IF(K79&gt;Parameters!$B$17,1,0)</f>
        <v>0</v>
      </c>
      <c r="Q79" s="9" t="n">
        <f aca="false">IF(AND(F79&lt;=Parameters!$B$6,F79&gt;Parameters!$B$6-Parameters!$B$18),1,0)</f>
        <v>0</v>
      </c>
      <c r="R79" s="9" t="n">
        <f aca="false">IF(COUNTIF(Parameters!$A$51:$A$58,H79)=0,1,0)</f>
        <v>0</v>
      </c>
      <c r="S79" s="9" t="n">
        <f aca="false">IF(AND(I79="Manual",L79&gt;0),1,0)</f>
        <v>0</v>
      </c>
      <c r="T79" s="9" t="n">
        <f aca="false">IF(AND(C79&gt;=Parameters!$B$22,ROUND(MOD(ROUND(C79,2),Parameters!$B$21),2)=0),1,0)</f>
        <v>0</v>
      </c>
      <c r="U79" s="9" t="n">
        <f aca="false">IF(LEN(TRIM(J79))=0,1,0)</f>
        <v>0</v>
      </c>
      <c r="V79" s="9" t="n">
        <f aca="false">IF(AND(I79="Manual",C79&lt;Parameters!$B$19,C79&gt;=Parameters!$B$19*(1-Parameters!$B$20)),1,0)</f>
        <v>0</v>
      </c>
      <c r="W79" s="9" t="n">
        <f aca="false">IF(AND(I79="Manual",M79&gt;0),1,0)</f>
        <v>0</v>
      </c>
      <c r="X79" s="9" t="n">
        <f aca="false">IF(A79-A78&gt;1,1,0)</f>
        <v>0</v>
      </c>
      <c r="Y79" s="9" t="n">
        <f aca="false">N79*Parameters!$B$38+O79*Parameters!$B$39+P79*Parameters!$B$40+Q79*Parameters!$B$41+R79*Parameters!$B$42+S79*Parameters!$B$43+T79*Parameters!$B$44+U79*Parameters!$B$45+V79*Parameters!$B$46+W79*Parameters!$B$47+X79*Parameters!$B$48</f>
        <v>0</v>
      </c>
      <c r="Z79" s="0" t="str">
        <f aca="false">IF(Y79&gt;=Parameters!$B$25,"High","")</f>
        <v/>
      </c>
    </row>
    <row r="80" customFormat="false" ht="15" hidden="false" customHeight="false" outlineLevel="0" collapsed="false">
      <c r="A80" s="16" t="n">
        <v>1080</v>
      </c>
      <c r="B80" s="9" t="n">
        <f aca="false">COUNTIF(JE_Lines!$B$5:$B$1733,A80)</f>
        <v>2</v>
      </c>
      <c r="C80" s="17" t="n">
        <f aca="false">SUMIFS(JE_Lines!$G$5:$G$1733,JE_Lines!$B$5:$B$1733,A80)</f>
        <v>471.15</v>
      </c>
      <c r="D80" s="17" t="n">
        <f aca="false">SUMIFS(JE_Lines!$H$5:$H$1733,JE_Lines!$B$5:$B$1733,A80)</f>
        <v>471.15</v>
      </c>
      <c r="E80" s="17" t="n">
        <f aca="false">C80-D80</f>
        <v>0</v>
      </c>
      <c r="F80" s="18" t="n">
        <f aca="false">INDEX(JE_Lines!$C$5:$C$1733,MATCH(A80,JE_Lines!$B$5:$B$1733,0))</f>
        <v>45688</v>
      </c>
      <c r="G80" s="18" t="n">
        <f aca="false">INDEX(JE_Lines!$D$5:$D$1733,MATCH(A80,JE_Lines!$B$5:$B$1733,0))</f>
        <v>45687</v>
      </c>
      <c r="H80" s="0" t="str">
        <f aca="false">INDEX(JE_Lines!$I$5:$I$1733,MATCH(A80,JE_Lines!$B$5:$B$1733,0))</f>
        <v>SYS_AP</v>
      </c>
      <c r="I80" s="0" t="str">
        <f aca="false">INDEX(JE_Lines!$J$5:$J$1733,MATCH(A80,JE_Lines!$B$5:$B$1733,0))</f>
        <v>System</v>
      </c>
      <c r="J80" s="0" t="str">
        <f aca="false">IF(LEN(INDEX(JE_Lines!$K$5:$K$1733,MATCH(A80,JE_Lines!$B$5:$B$1733,0)))=0,"",INDEX(JE_Lines!$K$5:$K$1733,MATCH(A80,JE_Lines!$B$5:$B$1733,0)))</f>
        <v>Fixed asset additions</v>
      </c>
      <c r="K80" s="9" t="n">
        <f aca="false">F80-G80</f>
        <v>1</v>
      </c>
      <c r="L80" s="9" t="n">
        <f aca="false">COUNTIFS(JE_Lines!$B$5:$B$1733,A80,JE_Lines!$F$5:$F$1733,"Revenue")</f>
        <v>0</v>
      </c>
      <c r="M80" s="9" t="n">
        <f aca="false">COUNTIFS(JE_Lines!$B$5:$B$1733,A80,JE_Lines!$F$5:$F$1733,"Suspense")</f>
        <v>0</v>
      </c>
      <c r="N80" s="9" t="n">
        <f aca="false">IF(ABS(E80)&gt;Parameters!$B$23,1,0)</f>
        <v>0</v>
      </c>
      <c r="O80" s="9" t="n">
        <f aca="false">IF(WEEKDAY(F80,2)&gt;5,1,0)</f>
        <v>0</v>
      </c>
      <c r="P80" s="9" t="n">
        <f aca="false">IF(K80&gt;Parameters!$B$17,1,0)</f>
        <v>0</v>
      </c>
      <c r="Q80" s="9" t="n">
        <f aca="false">IF(AND(F80&lt;=Parameters!$B$6,F80&gt;Parameters!$B$6-Parameters!$B$18),1,0)</f>
        <v>0</v>
      </c>
      <c r="R80" s="9" t="n">
        <f aca="false">IF(COUNTIF(Parameters!$A$51:$A$58,H80)=0,1,0)</f>
        <v>0</v>
      </c>
      <c r="S80" s="9" t="n">
        <f aca="false">IF(AND(I80="Manual",L80&gt;0),1,0)</f>
        <v>0</v>
      </c>
      <c r="T80" s="9" t="n">
        <f aca="false">IF(AND(C80&gt;=Parameters!$B$22,ROUND(MOD(ROUND(C80,2),Parameters!$B$21),2)=0),1,0)</f>
        <v>0</v>
      </c>
      <c r="U80" s="9" t="n">
        <f aca="false">IF(LEN(TRIM(J80))=0,1,0)</f>
        <v>0</v>
      </c>
      <c r="V80" s="9" t="n">
        <f aca="false">IF(AND(I80="Manual",C80&lt;Parameters!$B$19,C80&gt;=Parameters!$B$19*(1-Parameters!$B$20)),1,0)</f>
        <v>0</v>
      </c>
      <c r="W80" s="9" t="n">
        <f aca="false">IF(AND(I80="Manual",M80&gt;0),1,0)</f>
        <v>0</v>
      </c>
      <c r="X80" s="9" t="n">
        <f aca="false">IF(A80-A79&gt;1,1,0)</f>
        <v>0</v>
      </c>
      <c r="Y80" s="9" t="n">
        <f aca="false">N80*Parameters!$B$38+O80*Parameters!$B$39+P80*Parameters!$B$40+Q80*Parameters!$B$41+R80*Parameters!$B$42+S80*Parameters!$B$43+T80*Parameters!$B$44+U80*Parameters!$B$45+V80*Parameters!$B$46+W80*Parameters!$B$47+X80*Parameters!$B$48</f>
        <v>0</v>
      </c>
      <c r="Z80" s="0" t="str">
        <f aca="false">IF(Y80&gt;=Parameters!$B$25,"High","")</f>
        <v/>
      </c>
    </row>
    <row r="81" customFormat="false" ht="15" hidden="false" customHeight="false" outlineLevel="0" collapsed="false">
      <c r="A81" s="16" t="n">
        <v>1081</v>
      </c>
      <c r="B81" s="9" t="n">
        <f aca="false">COUNTIF(JE_Lines!$B$5:$B$1733,A81)</f>
        <v>2</v>
      </c>
      <c r="C81" s="17" t="n">
        <f aca="false">SUMIFS(JE_Lines!$G$5:$G$1733,JE_Lines!$B$5:$B$1733,A81)</f>
        <v>3846.75</v>
      </c>
      <c r="D81" s="17" t="n">
        <f aca="false">SUMIFS(JE_Lines!$H$5:$H$1733,JE_Lines!$B$5:$B$1733,A81)</f>
        <v>3846.75</v>
      </c>
      <c r="E81" s="17" t="n">
        <f aca="false">C81-D81</f>
        <v>0</v>
      </c>
      <c r="F81" s="18" t="n">
        <f aca="false">INDEX(JE_Lines!$C$5:$C$1733,MATCH(A81,JE_Lines!$B$5:$B$1733,0))</f>
        <v>45691</v>
      </c>
      <c r="G81" s="18" t="n">
        <f aca="false">INDEX(JE_Lines!$D$5:$D$1733,MATCH(A81,JE_Lines!$B$5:$B$1733,0))</f>
        <v>45691</v>
      </c>
      <c r="H81" s="0" t="str">
        <f aca="false">INDEX(JE_Lines!$I$5:$I$1733,MATCH(A81,JE_Lines!$B$5:$B$1733,0))</f>
        <v>SYS_AR</v>
      </c>
      <c r="I81" s="0" t="str">
        <f aca="false">INDEX(JE_Lines!$J$5:$J$1733,MATCH(A81,JE_Lines!$B$5:$B$1733,0))</f>
        <v>System</v>
      </c>
      <c r="J81" s="0" t="str">
        <f aca="false">IF(LEN(INDEX(JE_Lines!$K$5:$K$1733,MATCH(A81,JE_Lines!$B$5:$B$1733,0)))=0,"",INDEX(JE_Lines!$K$5:$K$1733,MATCH(A81,JE_Lines!$B$5:$B$1733,0)))</f>
        <v>Customer receipts</v>
      </c>
      <c r="K81" s="9" t="n">
        <f aca="false">F81-G81</f>
        <v>0</v>
      </c>
      <c r="L81" s="9" t="n">
        <f aca="false">COUNTIFS(JE_Lines!$B$5:$B$1733,A81,JE_Lines!$F$5:$F$1733,"Revenue")</f>
        <v>0</v>
      </c>
      <c r="M81" s="9" t="n">
        <f aca="false">COUNTIFS(JE_Lines!$B$5:$B$1733,A81,JE_Lines!$F$5:$F$1733,"Suspense")</f>
        <v>0</v>
      </c>
      <c r="N81" s="9" t="n">
        <f aca="false">IF(ABS(E81)&gt;Parameters!$B$23,1,0)</f>
        <v>0</v>
      </c>
      <c r="O81" s="9" t="n">
        <f aca="false">IF(WEEKDAY(F81,2)&gt;5,1,0)</f>
        <v>0</v>
      </c>
      <c r="P81" s="9" t="n">
        <f aca="false">IF(K81&gt;Parameters!$B$17,1,0)</f>
        <v>0</v>
      </c>
      <c r="Q81" s="9" t="n">
        <f aca="false">IF(AND(F81&lt;=Parameters!$B$6,F81&gt;Parameters!$B$6-Parameters!$B$18),1,0)</f>
        <v>0</v>
      </c>
      <c r="R81" s="9" t="n">
        <f aca="false">IF(COUNTIF(Parameters!$A$51:$A$58,H81)=0,1,0)</f>
        <v>0</v>
      </c>
      <c r="S81" s="9" t="n">
        <f aca="false">IF(AND(I81="Manual",L81&gt;0),1,0)</f>
        <v>0</v>
      </c>
      <c r="T81" s="9" t="n">
        <f aca="false">IF(AND(C81&gt;=Parameters!$B$22,ROUND(MOD(ROUND(C81,2),Parameters!$B$21),2)=0),1,0)</f>
        <v>0</v>
      </c>
      <c r="U81" s="9" t="n">
        <f aca="false">IF(LEN(TRIM(J81))=0,1,0)</f>
        <v>0</v>
      </c>
      <c r="V81" s="9" t="n">
        <f aca="false">IF(AND(I81="Manual",C81&lt;Parameters!$B$19,C81&gt;=Parameters!$B$19*(1-Parameters!$B$20)),1,0)</f>
        <v>0</v>
      </c>
      <c r="W81" s="9" t="n">
        <f aca="false">IF(AND(I81="Manual",M81&gt;0),1,0)</f>
        <v>0</v>
      </c>
      <c r="X81" s="9" t="n">
        <f aca="false">IF(A81-A80&gt;1,1,0)</f>
        <v>0</v>
      </c>
      <c r="Y81" s="9" t="n">
        <f aca="false">N81*Parameters!$B$38+O81*Parameters!$B$39+P81*Parameters!$B$40+Q81*Parameters!$B$41+R81*Parameters!$B$42+S81*Parameters!$B$43+T81*Parameters!$B$44+U81*Parameters!$B$45+V81*Parameters!$B$46+W81*Parameters!$B$47+X81*Parameters!$B$48</f>
        <v>0</v>
      </c>
      <c r="Z81" s="0" t="str">
        <f aca="false">IF(Y81&gt;=Parameters!$B$25,"High","")</f>
        <v/>
      </c>
    </row>
    <row r="82" customFormat="false" ht="15" hidden="false" customHeight="false" outlineLevel="0" collapsed="false">
      <c r="A82" s="16" t="n">
        <v>1082</v>
      </c>
      <c r="B82" s="9" t="n">
        <f aca="false">COUNTIF(JE_Lines!$B$5:$B$1733,A82)</f>
        <v>2</v>
      </c>
      <c r="C82" s="17" t="n">
        <f aca="false">SUMIFS(JE_Lines!$G$5:$G$1733,JE_Lines!$B$5:$B$1733,A82)</f>
        <v>804.27</v>
      </c>
      <c r="D82" s="17" t="n">
        <f aca="false">SUMIFS(JE_Lines!$H$5:$H$1733,JE_Lines!$B$5:$B$1733,A82)</f>
        <v>804.27</v>
      </c>
      <c r="E82" s="17" t="n">
        <f aca="false">C82-D82</f>
        <v>0</v>
      </c>
      <c r="F82" s="18" t="n">
        <f aca="false">INDEX(JE_Lines!$C$5:$C$1733,MATCH(A82,JE_Lines!$B$5:$B$1733,0))</f>
        <v>45691</v>
      </c>
      <c r="G82" s="18" t="n">
        <f aca="false">INDEX(JE_Lines!$D$5:$D$1733,MATCH(A82,JE_Lines!$B$5:$B$1733,0))</f>
        <v>45690</v>
      </c>
      <c r="H82" s="0" t="str">
        <f aca="false">INDEX(JE_Lines!$I$5:$I$1733,MATCH(A82,JE_Lines!$B$5:$B$1733,0))</f>
        <v>SYS_PAY</v>
      </c>
      <c r="I82" s="0" t="str">
        <f aca="false">INDEX(JE_Lines!$J$5:$J$1733,MATCH(A82,JE_Lines!$B$5:$B$1733,0))</f>
        <v>System</v>
      </c>
      <c r="J82" s="0" t="str">
        <f aca="false">IF(LEN(INDEX(JE_Lines!$K$5:$K$1733,MATCH(A82,JE_Lines!$B$5:$B$1733,0)))=0,"",INDEX(JE_Lines!$K$5:$K$1733,MATCH(A82,JE_Lines!$B$5:$B$1733,0)))</f>
        <v>Supplier payments</v>
      </c>
      <c r="K82" s="9" t="n">
        <f aca="false">F82-G82</f>
        <v>1</v>
      </c>
      <c r="L82" s="9" t="n">
        <f aca="false">COUNTIFS(JE_Lines!$B$5:$B$1733,A82,JE_Lines!$F$5:$F$1733,"Revenue")</f>
        <v>0</v>
      </c>
      <c r="M82" s="9" t="n">
        <f aca="false">COUNTIFS(JE_Lines!$B$5:$B$1733,A82,JE_Lines!$F$5:$F$1733,"Suspense")</f>
        <v>0</v>
      </c>
      <c r="N82" s="9" t="n">
        <f aca="false">IF(ABS(E82)&gt;Parameters!$B$23,1,0)</f>
        <v>0</v>
      </c>
      <c r="O82" s="9" t="n">
        <f aca="false">IF(WEEKDAY(F82,2)&gt;5,1,0)</f>
        <v>0</v>
      </c>
      <c r="P82" s="9" t="n">
        <f aca="false">IF(K82&gt;Parameters!$B$17,1,0)</f>
        <v>0</v>
      </c>
      <c r="Q82" s="9" t="n">
        <f aca="false">IF(AND(F82&lt;=Parameters!$B$6,F82&gt;Parameters!$B$6-Parameters!$B$18),1,0)</f>
        <v>0</v>
      </c>
      <c r="R82" s="9" t="n">
        <f aca="false">IF(COUNTIF(Parameters!$A$51:$A$58,H82)=0,1,0)</f>
        <v>0</v>
      </c>
      <c r="S82" s="9" t="n">
        <f aca="false">IF(AND(I82="Manual",L82&gt;0),1,0)</f>
        <v>0</v>
      </c>
      <c r="T82" s="9" t="n">
        <f aca="false">IF(AND(C82&gt;=Parameters!$B$22,ROUND(MOD(ROUND(C82,2),Parameters!$B$21),2)=0),1,0)</f>
        <v>0</v>
      </c>
      <c r="U82" s="9" t="n">
        <f aca="false">IF(LEN(TRIM(J82))=0,1,0)</f>
        <v>0</v>
      </c>
      <c r="V82" s="9" t="n">
        <f aca="false">IF(AND(I82="Manual",C82&lt;Parameters!$B$19,C82&gt;=Parameters!$B$19*(1-Parameters!$B$20)),1,0)</f>
        <v>0</v>
      </c>
      <c r="W82" s="9" t="n">
        <f aca="false">IF(AND(I82="Manual",M82&gt;0),1,0)</f>
        <v>0</v>
      </c>
      <c r="X82" s="9" t="n">
        <f aca="false">IF(A82-A81&gt;1,1,0)</f>
        <v>0</v>
      </c>
      <c r="Y82" s="9" t="n">
        <f aca="false">N82*Parameters!$B$38+O82*Parameters!$B$39+P82*Parameters!$B$40+Q82*Parameters!$B$41+R82*Parameters!$B$42+S82*Parameters!$B$43+T82*Parameters!$B$44+U82*Parameters!$B$45+V82*Parameters!$B$46+W82*Parameters!$B$47+X82*Parameters!$B$48</f>
        <v>0</v>
      </c>
      <c r="Z82" s="0" t="str">
        <f aca="false">IF(Y82&gt;=Parameters!$B$25,"High","")</f>
        <v/>
      </c>
    </row>
    <row r="83" customFormat="false" ht="15" hidden="false" customHeight="false" outlineLevel="0" collapsed="false">
      <c r="A83" s="16" t="n">
        <v>1083</v>
      </c>
      <c r="B83" s="9" t="n">
        <f aca="false">COUNTIF(JE_Lines!$B$5:$B$1733,A83)</f>
        <v>2</v>
      </c>
      <c r="C83" s="17" t="n">
        <f aca="false">SUMIFS(JE_Lines!$G$5:$G$1733,JE_Lines!$B$5:$B$1733,A83)</f>
        <v>31059.26</v>
      </c>
      <c r="D83" s="17" t="n">
        <f aca="false">SUMIFS(JE_Lines!$H$5:$H$1733,JE_Lines!$B$5:$B$1733,A83)</f>
        <v>31059.26</v>
      </c>
      <c r="E83" s="17" t="n">
        <f aca="false">C83-D83</f>
        <v>0</v>
      </c>
      <c r="F83" s="18" t="n">
        <f aca="false">INDEX(JE_Lines!$C$5:$C$1733,MATCH(A83,JE_Lines!$B$5:$B$1733,0))</f>
        <v>45691</v>
      </c>
      <c r="G83" s="18" t="n">
        <f aca="false">INDEX(JE_Lines!$D$5:$D$1733,MATCH(A83,JE_Lines!$B$5:$B$1733,0))</f>
        <v>45691</v>
      </c>
      <c r="H83" s="0" t="str">
        <f aca="false">INDEX(JE_Lines!$I$5:$I$1733,MATCH(A83,JE_Lines!$B$5:$B$1733,0))</f>
        <v>SYS_AR</v>
      </c>
      <c r="I83" s="0" t="str">
        <f aca="false">INDEX(JE_Lines!$J$5:$J$1733,MATCH(A83,JE_Lines!$B$5:$B$1733,0))</f>
        <v>System</v>
      </c>
      <c r="J83" s="0" t="str">
        <f aca="false">IF(LEN(INDEX(JE_Lines!$K$5:$K$1733,MATCH(A83,JE_Lines!$B$5:$B$1733,0)))=0,"",INDEX(JE_Lines!$K$5:$K$1733,MATCH(A83,JE_Lines!$B$5:$B$1733,0)))</f>
        <v>Sales invoice batch</v>
      </c>
      <c r="K83" s="9" t="n">
        <f aca="false">F83-G83</f>
        <v>0</v>
      </c>
      <c r="L83" s="9" t="n">
        <f aca="false">COUNTIFS(JE_Lines!$B$5:$B$1733,A83,JE_Lines!$F$5:$F$1733,"Revenue")</f>
        <v>1</v>
      </c>
      <c r="M83" s="9" t="n">
        <f aca="false">COUNTIFS(JE_Lines!$B$5:$B$1733,A83,JE_Lines!$F$5:$F$1733,"Suspense")</f>
        <v>0</v>
      </c>
      <c r="N83" s="9" t="n">
        <f aca="false">IF(ABS(E83)&gt;Parameters!$B$23,1,0)</f>
        <v>0</v>
      </c>
      <c r="O83" s="9" t="n">
        <f aca="false">IF(WEEKDAY(F83,2)&gt;5,1,0)</f>
        <v>0</v>
      </c>
      <c r="P83" s="9" t="n">
        <f aca="false">IF(K83&gt;Parameters!$B$17,1,0)</f>
        <v>0</v>
      </c>
      <c r="Q83" s="9" t="n">
        <f aca="false">IF(AND(F83&lt;=Parameters!$B$6,F83&gt;Parameters!$B$6-Parameters!$B$18),1,0)</f>
        <v>0</v>
      </c>
      <c r="R83" s="9" t="n">
        <f aca="false">IF(COUNTIF(Parameters!$A$51:$A$58,H83)=0,1,0)</f>
        <v>0</v>
      </c>
      <c r="S83" s="9" t="n">
        <f aca="false">IF(AND(I83="Manual",L83&gt;0),1,0)</f>
        <v>0</v>
      </c>
      <c r="T83" s="9" t="n">
        <f aca="false">IF(AND(C83&gt;=Parameters!$B$22,ROUND(MOD(ROUND(C83,2),Parameters!$B$21),2)=0),1,0)</f>
        <v>0</v>
      </c>
      <c r="U83" s="9" t="n">
        <f aca="false">IF(LEN(TRIM(J83))=0,1,0)</f>
        <v>0</v>
      </c>
      <c r="V83" s="9" t="n">
        <f aca="false">IF(AND(I83="Manual",C83&lt;Parameters!$B$19,C83&gt;=Parameters!$B$19*(1-Parameters!$B$20)),1,0)</f>
        <v>0</v>
      </c>
      <c r="W83" s="9" t="n">
        <f aca="false">IF(AND(I83="Manual",M83&gt;0),1,0)</f>
        <v>0</v>
      </c>
      <c r="X83" s="9" t="n">
        <f aca="false">IF(A83-A82&gt;1,1,0)</f>
        <v>0</v>
      </c>
      <c r="Y83" s="9" t="n">
        <f aca="false">N83*Parameters!$B$38+O83*Parameters!$B$39+P83*Parameters!$B$40+Q83*Parameters!$B$41+R83*Parameters!$B$42+S83*Parameters!$B$43+T83*Parameters!$B$44+U83*Parameters!$B$45+V83*Parameters!$B$46+W83*Parameters!$B$47+X83*Parameters!$B$48</f>
        <v>0</v>
      </c>
      <c r="Z83" s="0" t="str">
        <f aca="false">IF(Y83&gt;=Parameters!$B$25,"High","")</f>
        <v/>
      </c>
    </row>
    <row r="84" customFormat="false" ht="15" hidden="false" customHeight="false" outlineLevel="0" collapsed="false">
      <c r="A84" s="16" t="n">
        <v>1084</v>
      </c>
      <c r="B84" s="9" t="n">
        <f aca="false">COUNTIF(JE_Lines!$B$5:$B$1733,A84)</f>
        <v>2</v>
      </c>
      <c r="C84" s="17" t="n">
        <f aca="false">SUMIFS(JE_Lines!$G$5:$G$1733,JE_Lines!$B$5:$B$1733,A84)</f>
        <v>2028.54</v>
      </c>
      <c r="D84" s="17" t="n">
        <f aca="false">SUMIFS(JE_Lines!$H$5:$H$1733,JE_Lines!$B$5:$B$1733,A84)</f>
        <v>2028.54</v>
      </c>
      <c r="E84" s="17" t="n">
        <f aca="false">C84-D84</f>
        <v>0</v>
      </c>
      <c r="F84" s="18" t="n">
        <f aca="false">INDEX(JE_Lines!$C$5:$C$1733,MATCH(A84,JE_Lines!$B$5:$B$1733,0))</f>
        <v>45692</v>
      </c>
      <c r="G84" s="18" t="n">
        <f aca="false">INDEX(JE_Lines!$D$5:$D$1733,MATCH(A84,JE_Lines!$B$5:$B$1733,0))</f>
        <v>45690</v>
      </c>
      <c r="H84" s="0" t="str">
        <f aca="false">INDEX(JE_Lines!$I$5:$I$1733,MATCH(A84,JE_Lines!$B$5:$B$1733,0))</f>
        <v>SYS_AR</v>
      </c>
      <c r="I84" s="0" t="str">
        <f aca="false">INDEX(JE_Lines!$J$5:$J$1733,MATCH(A84,JE_Lines!$B$5:$B$1733,0))</f>
        <v>System</v>
      </c>
      <c r="J84" s="0" t="str">
        <f aca="false">IF(LEN(INDEX(JE_Lines!$K$5:$K$1733,MATCH(A84,JE_Lines!$B$5:$B$1733,0)))=0,"",INDEX(JE_Lines!$K$5:$K$1733,MATCH(A84,JE_Lines!$B$5:$B$1733,0)))</f>
        <v>Customer receipts</v>
      </c>
      <c r="K84" s="9" t="n">
        <f aca="false">F84-G84</f>
        <v>2</v>
      </c>
      <c r="L84" s="9" t="n">
        <f aca="false">COUNTIFS(JE_Lines!$B$5:$B$1733,A84,JE_Lines!$F$5:$F$1733,"Revenue")</f>
        <v>0</v>
      </c>
      <c r="M84" s="9" t="n">
        <f aca="false">COUNTIFS(JE_Lines!$B$5:$B$1733,A84,JE_Lines!$F$5:$F$1733,"Suspense")</f>
        <v>0</v>
      </c>
      <c r="N84" s="9" t="n">
        <f aca="false">IF(ABS(E84)&gt;Parameters!$B$23,1,0)</f>
        <v>0</v>
      </c>
      <c r="O84" s="9" t="n">
        <f aca="false">IF(WEEKDAY(F84,2)&gt;5,1,0)</f>
        <v>0</v>
      </c>
      <c r="P84" s="9" t="n">
        <f aca="false">IF(K84&gt;Parameters!$B$17,1,0)</f>
        <v>0</v>
      </c>
      <c r="Q84" s="9" t="n">
        <f aca="false">IF(AND(F84&lt;=Parameters!$B$6,F84&gt;Parameters!$B$6-Parameters!$B$18),1,0)</f>
        <v>0</v>
      </c>
      <c r="R84" s="9" t="n">
        <f aca="false">IF(COUNTIF(Parameters!$A$51:$A$58,H84)=0,1,0)</f>
        <v>0</v>
      </c>
      <c r="S84" s="9" t="n">
        <f aca="false">IF(AND(I84="Manual",L84&gt;0),1,0)</f>
        <v>0</v>
      </c>
      <c r="T84" s="9" t="n">
        <f aca="false">IF(AND(C84&gt;=Parameters!$B$22,ROUND(MOD(ROUND(C84,2),Parameters!$B$21),2)=0),1,0)</f>
        <v>0</v>
      </c>
      <c r="U84" s="9" t="n">
        <f aca="false">IF(LEN(TRIM(J84))=0,1,0)</f>
        <v>0</v>
      </c>
      <c r="V84" s="9" t="n">
        <f aca="false">IF(AND(I84="Manual",C84&lt;Parameters!$B$19,C84&gt;=Parameters!$B$19*(1-Parameters!$B$20)),1,0)</f>
        <v>0</v>
      </c>
      <c r="W84" s="9" t="n">
        <f aca="false">IF(AND(I84="Manual",M84&gt;0),1,0)</f>
        <v>0</v>
      </c>
      <c r="X84" s="9" t="n">
        <f aca="false">IF(A84-A83&gt;1,1,0)</f>
        <v>0</v>
      </c>
      <c r="Y84" s="9" t="n">
        <f aca="false">N84*Parameters!$B$38+O84*Parameters!$B$39+P84*Parameters!$B$40+Q84*Parameters!$B$41+R84*Parameters!$B$42+S84*Parameters!$B$43+T84*Parameters!$B$44+U84*Parameters!$B$45+V84*Parameters!$B$46+W84*Parameters!$B$47+X84*Parameters!$B$48</f>
        <v>0</v>
      </c>
      <c r="Z84" s="0" t="str">
        <f aca="false">IF(Y84&gt;=Parameters!$B$25,"High","")</f>
        <v/>
      </c>
    </row>
    <row r="85" customFormat="false" ht="15" hidden="false" customHeight="false" outlineLevel="0" collapsed="false">
      <c r="A85" s="16" t="n">
        <v>1085</v>
      </c>
      <c r="B85" s="9" t="n">
        <f aca="false">COUNTIF(JE_Lines!$B$5:$B$1733,A85)</f>
        <v>2</v>
      </c>
      <c r="C85" s="17" t="n">
        <f aca="false">SUMIFS(JE_Lines!$G$5:$G$1733,JE_Lines!$B$5:$B$1733,A85)</f>
        <v>12307.25</v>
      </c>
      <c r="D85" s="17" t="n">
        <f aca="false">SUMIFS(JE_Lines!$H$5:$H$1733,JE_Lines!$B$5:$B$1733,A85)</f>
        <v>12307.25</v>
      </c>
      <c r="E85" s="17" t="n">
        <f aca="false">C85-D85</f>
        <v>0</v>
      </c>
      <c r="F85" s="18" t="n">
        <f aca="false">INDEX(JE_Lines!$C$5:$C$1733,MATCH(A85,JE_Lines!$B$5:$B$1733,0))</f>
        <v>45692</v>
      </c>
      <c r="G85" s="18" t="n">
        <f aca="false">INDEX(JE_Lines!$D$5:$D$1733,MATCH(A85,JE_Lines!$B$5:$B$1733,0))</f>
        <v>45690</v>
      </c>
      <c r="H85" s="0" t="str">
        <f aca="false">INDEX(JE_Lines!$I$5:$I$1733,MATCH(A85,JE_Lines!$B$5:$B$1733,0))</f>
        <v>SYS_AR</v>
      </c>
      <c r="I85" s="0" t="str">
        <f aca="false">INDEX(JE_Lines!$J$5:$J$1733,MATCH(A85,JE_Lines!$B$5:$B$1733,0))</f>
        <v>System</v>
      </c>
      <c r="J85" s="0" t="str">
        <f aca="false">IF(LEN(INDEX(JE_Lines!$K$5:$K$1733,MATCH(A85,JE_Lines!$B$5:$B$1733,0)))=0,"",INDEX(JE_Lines!$K$5:$K$1733,MATCH(A85,JE_Lines!$B$5:$B$1733,0)))</f>
        <v>Customer receipts</v>
      </c>
      <c r="K85" s="9" t="n">
        <f aca="false">F85-G85</f>
        <v>2</v>
      </c>
      <c r="L85" s="9" t="n">
        <f aca="false">COUNTIFS(JE_Lines!$B$5:$B$1733,A85,JE_Lines!$F$5:$F$1733,"Revenue")</f>
        <v>0</v>
      </c>
      <c r="M85" s="9" t="n">
        <f aca="false">COUNTIFS(JE_Lines!$B$5:$B$1733,A85,JE_Lines!$F$5:$F$1733,"Suspense")</f>
        <v>0</v>
      </c>
      <c r="N85" s="9" t="n">
        <f aca="false">IF(ABS(E85)&gt;Parameters!$B$23,1,0)</f>
        <v>0</v>
      </c>
      <c r="O85" s="9" t="n">
        <f aca="false">IF(WEEKDAY(F85,2)&gt;5,1,0)</f>
        <v>0</v>
      </c>
      <c r="P85" s="9" t="n">
        <f aca="false">IF(K85&gt;Parameters!$B$17,1,0)</f>
        <v>0</v>
      </c>
      <c r="Q85" s="9" t="n">
        <f aca="false">IF(AND(F85&lt;=Parameters!$B$6,F85&gt;Parameters!$B$6-Parameters!$B$18),1,0)</f>
        <v>0</v>
      </c>
      <c r="R85" s="9" t="n">
        <f aca="false">IF(COUNTIF(Parameters!$A$51:$A$58,H85)=0,1,0)</f>
        <v>0</v>
      </c>
      <c r="S85" s="9" t="n">
        <f aca="false">IF(AND(I85="Manual",L85&gt;0),1,0)</f>
        <v>0</v>
      </c>
      <c r="T85" s="9" t="n">
        <f aca="false">IF(AND(C85&gt;=Parameters!$B$22,ROUND(MOD(ROUND(C85,2),Parameters!$B$21),2)=0),1,0)</f>
        <v>0</v>
      </c>
      <c r="U85" s="9" t="n">
        <f aca="false">IF(LEN(TRIM(J85))=0,1,0)</f>
        <v>0</v>
      </c>
      <c r="V85" s="9" t="n">
        <f aca="false">IF(AND(I85="Manual",C85&lt;Parameters!$B$19,C85&gt;=Parameters!$B$19*(1-Parameters!$B$20)),1,0)</f>
        <v>0</v>
      </c>
      <c r="W85" s="9" t="n">
        <f aca="false">IF(AND(I85="Manual",M85&gt;0),1,0)</f>
        <v>0</v>
      </c>
      <c r="X85" s="9" t="n">
        <f aca="false">IF(A85-A84&gt;1,1,0)</f>
        <v>0</v>
      </c>
      <c r="Y85" s="9" t="n">
        <f aca="false">N85*Parameters!$B$38+O85*Parameters!$B$39+P85*Parameters!$B$40+Q85*Parameters!$B$41+R85*Parameters!$B$42+S85*Parameters!$B$43+T85*Parameters!$B$44+U85*Parameters!$B$45+V85*Parameters!$B$46+W85*Parameters!$B$47+X85*Parameters!$B$48</f>
        <v>0</v>
      </c>
      <c r="Z85" s="0" t="str">
        <f aca="false">IF(Y85&gt;=Parameters!$B$25,"High","")</f>
        <v/>
      </c>
    </row>
    <row r="86" customFormat="false" ht="15" hidden="false" customHeight="false" outlineLevel="0" collapsed="false">
      <c r="A86" s="16" t="n">
        <v>1086</v>
      </c>
      <c r="B86" s="9" t="n">
        <f aca="false">COUNTIF(JE_Lines!$B$5:$B$1733,A86)</f>
        <v>2</v>
      </c>
      <c r="C86" s="17" t="n">
        <f aca="false">SUMIFS(JE_Lines!$G$5:$G$1733,JE_Lines!$B$5:$B$1733,A86)</f>
        <v>3474.37</v>
      </c>
      <c r="D86" s="17" t="n">
        <f aca="false">SUMIFS(JE_Lines!$H$5:$H$1733,JE_Lines!$B$5:$B$1733,A86)</f>
        <v>3474.37</v>
      </c>
      <c r="E86" s="17" t="n">
        <f aca="false">C86-D86</f>
        <v>0</v>
      </c>
      <c r="F86" s="18" t="n">
        <f aca="false">INDEX(JE_Lines!$C$5:$C$1733,MATCH(A86,JE_Lines!$B$5:$B$1733,0))</f>
        <v>45692</v>
      </c>
      <c r="G86" s="18" t="n">
        <f aca="false">INDEX(JE_Lines!$D$5:$D$1733,MATCH(A86,JE_Lines!$B$5:$B$1733,0))</f>
        <v>45692</v>
      </c>
      <c r="H86" s="0" t="str">
        <f aca="false">INDEX(JE_Lines!$I$5:$I$1733,MATCH(A86,JE_Lines!$B$5:$B$1733,0))</f>
        <v>FIN02</v>
      </c>
      <c r="I86" s="0" t="str">
        <f aca="false">INDEX(JE_Lines!$J$5:$J$1733,MATCH(A86,JE_Lines!$B$5:$B$1733,0))</f>
        <v>Manual</v>
      </c>
      <c r="J86" s="0" t="str">
        <f aca="false">IF(LEN(INDEX(JE_Lines!$K$5:$K$1733,MATCH(A86,JE_Lines!$B$5:$B$1733,0)))=0,"",INDEX(JE_Lines!$K$5:$K$1733,MATCH(A86,JE_Lines!$B$5:$B$1733,0)))</f>
        <v>Accrual reversal</v>
      </c>
      <c r="K86" s="9" t="n">
        <f aca="false">F86-G86</f>
        <v>0</v>
      </c>
      <c r="L86" s="9" t="n">
        <f aca="false">COUNTIFS(JE_Lines!$B$5:$B$1733,A86,JE_Lines!$F$5:$F$1733,"Revenue")</f>
        <v>0</v>
      </c>
      <c r="M86" s="9" t="n">
        <f aca="false">COUNTIFS(JE_Lines!$B$5:$B$1733,A86,JE_Lines!$F$5:$F$1733,"Suspense")</f>
        <v>0</v>
      </c>
      <c r="N86" s="9" t="n">
        <f aca="false">IF(ABS(E86)&gt;Parameters!$B$23,1,0)</f>
        <v>0</v>
      </c>
      <c r="O86" s="9" t="n">
        <f aca="false">IF(WEEKDAY(F86,2)&gt;5,1,0)</f>
        <v>0</v>
      </c>
      <c r="P86" s="9" t="n">
        <f aca="false">IF(K86&gt;Parameters!$B$17,1,0)</f>
        <v>0</v>
      </c>
      <c r="Q86" s="9" t="n">
        <f aca="false">IF(AND(F86&lt;=Parameters!$B$6,F86&gt;Parameters!$B$6-Parameters!$B$18),1,0)</f>
        <v>0</v>
      </c>
      <c r="R86" s="9" t="n">
        <f aca="false">IF(COUNTIF(Parameters!$A$51:$A$58,H86)=0,1,0)</f>
        <v>0</v>
      </c>
      <c r="S86" s="9" t="n">
        <f aca="false">IF(AND(I86="Manual",L86&gt;0),1,0)</f>
        <v>0</v>
      </c>
      <c r="T86" s="9" t="n">
        <f aca="false">IF(AND(C86&gt;=Parameters!$B$22,ROUND(MOD(ROUND(C86,2),Parameters!$B$21),2)=0),1,0)</f>
        <v>0</v>
      </c>
      <c r="U86" s="9" t="n">
        <f aca="false">IF(LEN(TRIM(J86))=0,1,0)</f>
        <v>0</v>
      </c>
      <c r="V86" s="9" t="n">
        <f aca="false">IF(AND(I86="Manual",C86&lt;Parameters!$B$19,C86&gt;=Parameters!$B$19*(1-Parameters!$B$20)),1,0)</f>
        <v>0</v>
      </c>
      <c r="W86" s="9" t="n">
        <f aca="false">IF(AND(I86="Manual",M86&gt;0),1,0)</f>
        <v>0</v>
      </c>
      <c r="X86" s="9" t="n">
        <f aca="false">IF(A86-A85&gt;1,1,0)</f>
        <v>0</v>
      </c>
      <c r="Y86" s="9" t="n">
        <f aca="false">N86*Parameters!$B$38+O86*Parameters!$B$39+P86*Parameters!$B$40+Q86*Parameters!$B$41+R86*Parameters!$B$42+S86*Parameters!$B$43+T86*Parameters!$B$44+U86*Parameters!$B$45+V86*Parameters!$B$46+W86*Parameters!$B$47+X86*Parameters!$B$48</f>
        <v>0</v>
      </c>
      <c r="Z86" s="0" t="str">
        <f aca="false">IF(Y86&gt;=Parameters!$B$25,"High","")</f>
        <v/>
      </c>
    </row>
    <row r="87" customFormat="false" ht="15" hidden="false" customHeight="false" outlineLevel="0" collapsed="false">
      <c r="A87" s="16" t="n">
        <v>1087</v>
      </c>
      <c r="B87" s="9" t="n">
        <f aca="false">COUNTIF(JE_Lines!$B$5:$B$1733,A87)</f>
        <v>2</v>
      </c>
      <c r="C87" s="17" t="n">
        <f aca="false">SUMIFS(JE_Lines!$G$5:$G$1733,JE_Lines!$B$5:$B$1733,A87)</f>
        <v>27893.31</v>
      </c>
      <c r="D87" s="17" t="n">
        <f aca="false">SUMIFS(JE_Lines!$H$5:$H$1733,JE_Lines!$B$5:$B$1733,A87)</f>
        <v>27893.31</v>
      </c>
      <c r="E87" s="17" t="n">
        <f aca="false">C87-D87</f>
        <v>0</v>
      </c>
      <c r="F87" s="18" t="n">
        <f aca="false">INDEX(JE_Lines!$C$5:$C$1733,MATCH(A87,JE_Lines!$B$5:$B$1733,0))</f>
        <v>45692</v>
      </c>
      <c r="G87" s="18" t="n">
        <f aca="false">INDEX(JE_Lines!$D$5:$D$1733,MATCH(A87,JE_Lines!$B$5:$B$1733,0))</f>
        <v>45689</v>
      </c>
      <c r="H87" s="0" t="str">
        <f aca="false">INDEX(JE_Lines!$I$5:$I$1733,MATCH(A87,JE_Lines!$B$5:$B$1733,0))</f>
        <v>SYS_AP</v>
      </c>
      <c r="I87" s="0" t="str">
        <f aca="false">INDEX(JE_Lines!$J$5:$J$1733,MATCH(A87,JE_Lines!$B$5:$B$1733,0))</f>
        <v>System</v>
      </c>
      <c r="J87" s="0" t="str">
        <f aca="false">IF(LEN(INDEX(JE_Lines!$K$5:$K$1733,MATCH(A87,JE_Lines!$B$5:$B$1733,0)))=0,"",INDEX(JE_Lines!$K$5:$K$1733,MATCH(A87,JE_Lines!$B$5:$B$1733,0)))</f>
        <v>Utilities invoices</v>
      </c>
      <c r="K87" s="9" t="n">
        <f aca="false">F87-G87</f>
        <v>3</v>
      </c>
      <c r="L87" s="9" t="n">
        <f aca="false">COUNTIFS(JE_Lines!$B$5:$B$1733,A87,JE_Lines!$F$5:$F$1733,"Revenue")</f>
        <v>0</v>
      </c>
      <c r="M87" s="9" t="n">
        <f aca="false">COUNTIFS(JE_Lines!$B$5:$B$1733,A87,JE_Lines!$F$5:$F$1733,"Suspense")</f>
        <v>0</v>
      </c>
      <c r="N87" s="9" t="n">
        <f aca="false">IF(ABS(E87)&gt;Parameters!$B$23,1,0)</f>
        <v>0</v>
      </c>
      <c r="O87" s="9" t="n">
        <f aca="false">IF(WEEKDAY(F87,2)&gt;5,1,0)</f>
        <v>0</v>
      </c>
      <c r="P87" s="9" t="n">
        <f aca="false">IF(K87&gt;Parameters!$B$17,1,0)</f>
        <v>0</v>
      </c>
      <c r="Q87" s="9" t="n">
        <f aca="false">IF(AND(F87&lt;=Parameters!$B$6,F87&gt;Parameters!$B$6-Parameters!$B$18),1,0)</f>
        <v>0</v>
      </c>
      <c r="R87" s="9" t="n">
        <f aca="false">IF(COUNTIF(Parameters!$A$51:$A$58,H87)=0,1,0)</f>
        <v>0</v>
      </c>
      <c r="S87" s="9" t="n">
        <f aca="false">IF(AND(I87="Manual",L87&gt;0),1,0)</f>
        <v>0</v>
      </c>
      <c r="T87" s="9" t="n">
        <f aca="false">IF(AND(C87&gt;=Parameters!$B$22,ROUND(MOD(ROUND(C87,2),Parameters!$B$21),2)=0),1,0)</f>
        <v>0</v>
      </c>
      <c r="U87" s="9" t="n">
        <f aca="false">IF(LEN(TRIM(J87))=0,1,0)</f>
        <v>0</v>
      </c>
      <c r="V87" s="9" t="n">
        <f aca="false">IF(AND(I87="Manual",C87&lt;Parameters!$B$19,C87&gt;=Parameters!$B$19*(1-Parameters!$B$20)),1,0)</f>
        <v>0</v>
      </c>
      <c r="W87" s="9" t="n">
        <f aca="false">IF(AND(I87="Manual",M87&gt;0),1,0)</f>
        <v>0</v>
      </c>
      <c r="X87" s="9" t="n">
        <f aca="false">IF(A87-A86&gt;1,1,0)</f>
        <v>0</v>
      </c>
      <c r="Y87" s="9" t="n">
        <f aca="false">N87*Parameters!$B$38+O87*Parameters!$B$39+P87*Parameters!$B$40+Q87*Parameters!$B$41+R87*Parameters!$B$42+S87*Parameters!$B$43+T87*Parameters!$B$44+U87*Parameters!$B$45+V87*Parameters!$B$46+W87*Parameters!$B$47+X87*Parameters!$B$48</f>
        <v>0</v>
      </c>
      <c r="Z87" s="0" t="str">
        <f aca="false">IF(Y87&gt;=Parameters!$B$25,"High","")</f>
        <v/>
      </c>
    </row>
    <row r="88" customFormat="false" ht="15" hidden="false" customHeight="false" outlineLevel="0" collapsed="false">
      <c r="A88" s="16" t="n">
        <v>1088</v>
      </c>
      <c r="B88" s="9" t="n">
        <f aca="false">COUNTIF(JE_Lines!$B$5:$B$1733,A88)</f>
        <v>2</v>
      </c>
      <c r="C88" s="17" t="n">
        <f aca="false">SUMIFS(JE_Lines!$G$5:$G$1733,JE_Lines!$B$5:$B$1733,A88)</f>
        <v>844.14</v>
      </c>
      <c r="D88" s="17" t="n">
        <f aca="false">SUMIFS(JE_Lines!$H$5:$H$1733,JE_Lines!$B$5:$B$1733,A88)</f>
        <v>844.14</v>
      </c>
      <c r="E88" s="17" t="n">
        <f aca="false">C88-D88</f>
        <v>0</v>
      </c>
      <c r="F88" s="18" t="n">
        <f aca="false">INDEX(JE_Lines!$C$5:$C$1733,MATCH(A88,JE_Lines!$B$5:$B$1733,0))</f>
        <v>45692</v>
      </c>
      <c r="G88" s="18" t="n">
        <f aca="false">INDEX(JE_Lines!$D$5:$D$1733,MATCH(A88,JE_Lines!$B$5:$B$1733,0))</f>
        <v>45690</v>
      </c>
      <c r="H88" s="0" t="str">
        <f aca="false">INDEX(JE_Lines!$I$5:$I$1733,MATCH(A88,JE_Lines!$B$5:$B$1733,0))</f>
        <v>SYS_AR</v>
      </c>
      <c r="I88" s="0" t="str">
        <f aca="false">INDEX(JE_Lines!$J$5:$J$1733,MATCH(A88,JE_Lines!$B$5:$B$1733,0))</f>
        <v>System</v>
      </c>
      <c r="J88" s="0" t="str">
        <f aca="false">IF(LEN(INDEX(JE_Lines!$K$5:$K$1733,MATCH(A88,JE_Lines!$B$5:$B$1733,0)))=0,"",INDEX(JE_Lines!$K$5:$K$1733,MATCH(A88,JE_Lines!$B$5:$B$1733,0)))</f>
        <v>Customer receipts</v>
      </c>
      <c r="K88" s="9" t="n">
        <f aca="false">F88-G88</f>
        <v>2</v>
      </c>
      <c r="L88" s="9" t="n">
        <f aca="false">COUNTIFS(JE_Lines!$B$5:$B$1733,A88,JE_Lines!$F$5:$F$1733,"Revenue")</f>
        <v>0</v>
      </c>
      <c r="M88" s="9" t="n">
        <f aca="false">COUNTIFS(JE_Lines!$B$5:$B$1733,A88,JE_Lines!$F$5:$F$1733,"Suspense")</f>
        <v>0</v>
      </c>
      <c r="N88" s="9" t="n">
        <f aca="false">IF(ABS(E88)&gt;Parameters!$B$23,1,0)</f>
        <v>0</v>
      </c>
      <c r="O88" s="9" t="n">
        <f aca="false">IF(WEEKDAY(F88,2)&gt;5,1,0)</f>
        <v>0</v>
      </c>
      <c r="P88" s="9" t="n">
        <f aca="false">IF(K88&gt;Parameters!$B$17,1,0)</f>
        <v>0</v>
      </c>
      <c r="Q88" s="9" t="n">
        <f aca="false">IF(AND(F88&lt;=Parameters!$B$6,F88&gt;Parameters!$B$6-Parameters!$B$18),1,0)</f>
        <v>0</v>
      </c>
      <c r="R88" s="9" t="n">
        <f aca="false">IF(COUNTIF(Parameters!$A$51:$A$58,H88)=0,1,0)</f>
        <v>0</v>
      </c>
      <c r="S88" s="9" t="n">
        <f aca="false">IF(AND(I88="Manual",L88&gt;0),1,0)</f>
        <v>0</v>
      </c>
      <c r="T88" s="9" t="n">
        <f aca="false">IF(AND(C88&gt;=Parameters!$B$22,ROUND(MOD(ROUND(C88,2),Parameters!$B$21),2)=0),1,0)</f>
        <v>0</v>
      </c>
      <c r="U88" s="9" t="n">
        <f aca="false">IF(LEN(TRIM(J88))=0,1,0)</f>
        <v>0</v>
      </c>
      <c r="V88" s="9" t="n">
        <f aca="false">IF(AND(I88="Manual",C88&lt;Parameters!$B$19,C88&gt;=Parameters!$B$19*(1-Parameters!$B$20)),1,0)</f>
        <v>0</v>
      </c>
      <c r="W88" s="9" t="n">
        <f aca="false">IF(AND(I88="Manual",M88&gt;0),1,0)</f>
        <v>0</v>
      </c>
      <c r="X88" s="9" t="n">
        <f aca="false">IF(A88-A87&gt;1,1,0)</f>
        <v>0</v>
      </c>
      <c r="Y88" s="9" t="n">
        <f aca="false">N88*Parameters!$B$38+O88*Parameters!$B$39+P88*Parameters!$B$40+Q88*Parameters!$B$41+R88*Parameters!$B$42+S88*Parameters!$B$43+T88*Parameters!$B$44+U88*Parameters!$B$45+V88*Parameters!$B$46+W88*Parameters!$B$47+X88*Parameters!$B$48</f>
        <v>0</v>
      </c>
      <c r="Z88" s="0" t="str">
        <f aca="false">IF(Y88&gt;=Parameters!$B$25,"High","")</f>
        <v/>
      </c>
    </row>
    <row r="89" customFormat="false" ht="15" hidden="false" customHeight="false" outlineLevel="0" collapsed="false">
      <c r="A89" s="16" t="n">
        <v>1089</v>
      </c>
      <c r="B89" s="9" t="n">
        <f aca="false">COUNTIF(JE_Lines!$B$5:$B$1733,A89)</f>
        <v>2</v>
      </c>
      <c r="C89" s="17" t="n">
        <f aca="false">SUMIFS(JE_Lines!$G$5:$G$1733,JE_Lines!$B$5:$B$1733,A89)</f>
        <v>106968.06</v>
      </c>
      <c r="D89" s="17" t="n">
        <f aca="false">SUMIFS(JE_Lines!$H$5:$H$1733,JE_Lines!$B$5:$B$1733,A89)</f>
        <v>106968.06</v>
      </c>
      <c r="E89" s="17" t="n">
        <f aca="false">C89-D89</f>
        <v>0</v>
      </c>
      <c r="F89" s="18" t="n">
        <f aca="false">INDEX(JE_Lines!$C$5:$C$1733,MATCH(A89,JE_Lines!$B$5:$B$1733,0))</f>
        <v>45692</v>
      </c>
      <c r="G89" s="18" t="n">
        <f aca="false">INDEX(JE_Lines!$D$5:$D$1733,MATCH(A89,JE_Lines!$B$5:$B$1733,0))</f>
        <v>45688</v>
      </c>
      <c r="H89" s="0" t="str">
        <f aca="false">INDEX(JE_Lines!$I$5:$I$1733,MATCH(A89,JE_Lines!$B$5:$B$1733,0))</f>
        <v>SYS_AP</v>
      </c>
      <c r="I89" s="0" t="str">
        <f aca="false">INDEX(JE_Lines!$J$5:$J$1733,MATCH(A89,JE_Lines!$B$5:$B$1733,0))</f>
        <v>System</v>
      </c>
      <c r="J89" s="0" t="str">
        <f aca="false">IF(LEN(INDEX(JE_Lines!$K$5:$K$1733,MATCH(A89,JE_Lines!$B$5:$B$1733,0)))=0,"",INDEX(JE_Lines!$K$5:$K$1733,MATCH(A89,JE_Lines!$B$5:$B$1733,0)))</f>
        <v>Supplier invoices</v>
      </c>
      <c r="K89" s="9" t="n">
        <f aca="false">F89-G89</f>
        <v>4</v>
      </c>
      <c r="L89" s="9" t="n">
        <f aca="false">COUNTIFS(JE_Lines!$B$5:$B$1733,A89,JE_Lines!$F$5:$F$1733,"Revenue")</f>
        <v>0</v>
      </c>
      <c r="M89" s="9" t="n">
        <f aca="false">COUNTIFS(JE_Lines!$B$5:$B$1733,A89,JE_Lines!$F$5:$F$1733,"Suspense")</f>
        <v>0</v>
      </c>
      <c r="N89" s="9" t="n">
        <f aca="false">IF(ABS(E89)&gt;Parameters!$B$23,1,0)</f>
        <v>0</v>
      </c>
      <c r="O89" s="9" t="n">
        <f aca="false">IF(WEEKDAY(F89,2)&gt;5,1,0)</f>
        <v>0</v>
      </c>
      <c r="P89" s="9" t="n">
        <f aca="false">IF(K89&gt;Parameters!$B$17,1,0)</f>
        <v>0</v>
      </c>
      <c r="Q89" s="9" t="n">
        <f aca="false">IF(AND(F89&lt;=Parameters!$B$6,F89&gt;Parameters!$B$6-Parameters!$B$18),1,0)</f>
        <v>0</v>
      </c>
      <c r="R89" s="9" t="n">
        <f aca="false">IF(COUNTIF(Parameters!$A$51:$A$58,H89)=0,1,0)</f>
        <v>0</v>
      </c>
      <c r="S89" s="9" t="n">
        <f aca="false">IF(AND(I89="Manual",L89&gt;0),1,0)</f>
        <v>0</v>
      </c>
      <c r="T89" s="9" t="n">
        <f aca="false">IF(AND(C89&gt;=Parameters!$B$22,ROUND(MOD(ROUND(C89,2),Parameters!$B$21),2)=0),1,0)</f>
        <v>0</v>
      </c>
      <c r="U89" s="9" t="n">
        <f aca="false">IF(LEN(TRIM(J89))=0,1,0)</f>
        <v>0</v>
      </c>
      <c r="V89" s="9" t="n">
        <f aca="false">IF(AND(I89="Manual",C89&lt;Parameters!$B$19,C89&gt;=Parameters!$B$19*(1-Parameters!$B$20)),1,0)</f>
        <v>0</v>
      </c>
      <c r="W89" s="9" t="n">
        <f aca="false">IF(AND(I89="Manual",M89&gt;0),1,0)</f>
        <v>0</v>
      </c>
      <c r="X89" s="9" t="n">
        <f aca="false">IF(A89-A88&gt;1,1,0)</f>
        <v>0</v>
      </c>
      <c r="Y89" s="9" t="n">
        <f aca="false">N89*Parameters!$B$38+O89*Parameters!$B$39+P89*Parameters!$B$40+Q89*Parameters!$B$41+R89*Parameters!$B$42+S89*Parameters!$B$43+T89*Parameters!$B$44+U89*Parameters!$B$45+V89*Parameters!$B$46+W89*Parameters!$B$47+X89*Parameters!$B$48</f>
        <v>0</v>
      </c>
      <c r="Z89" s="0" t="str">
        <f aca="false">IF(Y89&gt;=Parameters!$B$25,"High","")</f>
        <v/>
      </c>
    </row>
    <row r="90" customFormat="false" ht="15" hidden="false" customHeight="false" outlineLevel="0" collapsed="false">
      <c r="A90" s="16" t="n">
        <v>1090</v>
      </c>
      <c r="B90" s="9" t="n">
        <f aca="false">COUNTIF(JE_Lines!$B$5:$B$1733,A90)</f>
        <v>2</v>
      </c>
      <c r="C90" s="17" t="n">
        <f aca="false">SUMIFS(JE_Lines!$G$5:$G$1733,JE_Lines!$B$5:$B$1733,A90)</f>
        <v>201.65</v>
      </c>
      <c r="D90" s="17" t="n">
        <f aca="false">SUMIFS(JE_Lines!$H$5:$H$1733,JE_Lines!$B$5:$B$1733,A90)</f>
        <v>201.65</v>
      </c>
      <c r="E90" s="17" t="n">
        <f aca="false">C90-D90</f>
        <v>0</v>
      </c>
      <c r="F90" s="18" t="n">
        <f aca="false">INDEX(JE_Lines!$C$5:$C$1733,MATCH(A90,JE_Lines!$B$5:$B$1733,0))</f>
        <v>45693</v>
      </c>
      <c r="G90" s="18" t="n">
        <f aca="false">INDEX(JE_Lines!$D$5:$D$1733,MATCH(A90,JE_Lines!$B$5:$B$1733,0))</f>
        <v>45690</v>
      </c>
      <c r="H90" s="0" t="str">
        <f aca="false">INDEX(JE_Lines!$I$5:$I$1733,MATCH(A90,JE_Lines!$B$5:$B$1733,0))</f>
        <v>SYS_PAY</v>
      </c>
      <c r="I90" s="0" t="str">
        <f aca="false">INDEX(JE_Lines!$J$5:$J$1733,MATCH(A90,JE_Lines!$B$5:$B$1733,0))</f>
        <v>System</v>
      </c>
      <c r="J90" s="0" t="str">
        <f aca="false">IF(LEN(INDEX(JE_Lines!$K$5:$K$1733,MATCH(A90,JE_Lines!$B$5:$B$1733,0)))=0,"",INDEX(JE_Lines!$K$5:$K$1733,MATCH(A90,JE_Lines!$B$5:$B$1733,0)))</f>
        <v>Supplier payments</v>
      </c>
      <c r="K90" s="9" t="n">
        <f aca="false">F90-G90</f>
        <v>3</v>
      </c>
      <c r="L90" s="9" t="n">
        <f aca="false">COUNTIFS(JE_Lines!$B$5:$B$1733,A90,JE_Lines!$F$5:$F$1733,"Revenue")</f>
        <v>0</v>
      </c>
      <c r="M90" s="9" t="n">
        <f aca="false">COUNTIFS(JE_Lines!$B$5:$B$1733,A90,JE_Lines!$F$5:$F$1733,"Suspense")</f>
        <v>0</v>
      </c>
      <c r="N90" s="9" t="n">
        <f aca="false">IF(ABS(E90)&gt;Parameters!$B$23,1,0)</f>
        <v>0</v>
      </c>
      <c r="O90" s="9" t="n">
        <f aca="false">IF(WEEKDAY(F90,2)&gt;5,1,0)</f>
        <v>0</v>
      </c>
      <c r="P90" s="9" t="n">
        <f aca="false">IF(K90&gt;Parameters!$B$17,1,0)</f>
        <v>0</v>
      </c>
      <c r="Q90" s="9" t="n">
        <f aca="false">IF(AND(F90&lt;=Parameters!$B$6,F90&gt;Parameters!$B$6-Parameters!$B$18),1,0)</f>
        <v>0</v>
      </c>
      <c r="R90" s="9" t="n">
        <f aca="false">IF(COUNTIF(Parameters!$A$51:$A$58,H90)=0,1,0)</f>
        <v>0</v>
      </c>
      <c r="S90" s="9" t="n">
        <f aca="false">IF(AND(I90="Manual",L90&gt;0),1,0)</f>
        <v>0</v>
      </c>
      <c r="T90" s="9" t="n">
        <f aca="false">IF(AND(C90&gt;=Parameters!$B$22,ROUND(MOD(ROUND(C90,2),Parameters!$B$21),2)=0),1,0)</f>
        <v>0</v>
      </c>
      <c r="U90" s="9" t="n">
        <f aca="false">IF(LEN(TRIM(J90))=0,1,0)</f>
        <v>0</v>
      </c>
      <c r="V90" s="9" t="n">
        <f aca="false">IF(AND(I90="Manual",C90&lt;Parameters!$B$19,C90&gt;=Parameters!$B$19*(1-Parameters!$B$20)),1,0)</f>
        <v>0</v>
      </c>
      <c r="W90" s="9" t="n">
        <f aca="false">IF(AND(I90="Manual",M90&gt;0),1,0)</f>
        <v>0</v>
      </c>
      <c r="X90" s="9" t="n">
        <f aca="false">IF(A90-A89&gt;1,1,0)</f>
        <v>0</v>
      </c>
      <c r="Y90" s="9" t="n">
        <f aca="false">N90*Parameters!$B$38+O90*Parameters!$B$39+P90*Parameters!$B$40+Q90*Parameters!$B$41+R90*Parameters!$B$42+S90*Parameters!$B$43+T90*Parameters!$B$44+U90*Parameters!$B$45+V90*Parameters!$B$46+W90*Parameters!$B$47+X90*Parameters!$B$48</f>
        <v>0</v>
      </c>
      <c r="Z90" s="0" t="str">
        <f aca="false">IF(Y90&gt;=Parameters!$B$25,"High","")</f>
        <v/>
      </c>
    </row>
    <row r="91" customFormat="false" ht="15" hidden="false" customHeight="false" outlineLevel="0" collapsed="false">
      <c r="A91" s="16" t="n">
        <v>1091</v>
      </c>
      <c r="B91" s="9" t="n">
        <f aca="false">COUNTIF(JE_Lines!$B$5:$B$1733,A91)</f>
        <v>3</v>
      </c>
      <c r="C91" s="17" t="n">
        <f aca="false">SUMIFS(JE_Lines!$G$5:$G$1733,JE_Lines!$B$5:$B$1733,A91)</f>
        <v>485.79</v>
      </c>
      <c r="D91" s="17" t="n">
        <f aca="false">SUMIFS(JE_Lines!$H$5:$H$1733,JE_Lines!$B$5:$B$1733,A91)</f>
        <v>485.79</v>
      </c>
      <c r="E91" s="17" t="n">
        <f aca="false">C91-D91</f>
        <v>0</v>
      </c>
      <c r="F91" s="18" t="n">
        <f aca="false">INDEX(JE_Lines!$C$5:$C$1733,MATCH(A91,JE_Lines!$B$5:$B$1733,0))</f>
        <v>45694</v>
      </c>
      <c r="G91" s="18" t="n">
        <f aca="false">INDEX(JE_Lines!$D$5:$D$1733,MATCH(A91,JE_Lines!$B$5:$B$1733,0))</f>
        <v>45691</v>
      </c>
      <c r="H91" s="0" t="str">
        <f aca="false">INDEX(JE_Lines!$I$5:$I$1733,MATCH(A91,JE_Lines!$B$5:$B$1733,0))</f>
        <v>SYS_AR</v>
      </c>
      <c r="I91" s="0" t="str">
        <f aca="false">INDEX(JE_Lines!$J$5:$J$1733,MATCH(A91,JE_Lines!$B$5:$B$1733,0))</f>
        <v>System</v>
      </c>
      <c r="J91" s="0" t="str">
        <f aca="false">IF(LEN(INDEX(JE_Lines!$K$5:$K$1733,MATCH(A91,JE_Lines!$B$5:$B$1733,0)))=0,"",INDEX(JE_Lines!$K$5:$K$1733,MATCH(A91,JE_Lines!$B$5:$B$1733,0)))</f>
        <v>Customer receipts</v>
      </c>
      <c r="K91" s="9" t="n">
        <f aca="false">F91-G91</f>
        <v>3</v>
      </c>
      <c r="L91" s="9" t="n">
        <f aca="false">COUNTIFS(JE_Lines!$B$5:$B$1733,A91,JE_Lines!$F$5:$F$1733,"Revenue")</f>
        <v>0</v>
      </c>
      <c r="M91" s="9" t="n">
        <f aca="false">COUNTIFS(JE_Lines!$B$5:$B$1733,A91,JE_Lines!$F$5:$F$1733,"Suspense")</f>
        <v>0</v>
      </c>
      <c r="N91" s="9" t="n">
        <f aca="false">IF(ABS(E91)&gt;Parameters!$B$23,1,0)</f>
        <v>0</v>
      </c>
      <c r="O91" s="9" t="n">
        <f aca="false">IF(WEEKDAY(F91,2)&gt;5,1,0)</f>
        <v>0</v>
      </c>
      <c r="P91" s="9" t="n">
        <f aca="false">IF(K91&gt;Parameters!$B$17,1,0)</f>
        <v>0</v>
      </c>
      <c r="Q91" s="9" t="n">
        <f aca="false">IF(AND(F91&lt;=Parameters!$B$6,F91&gt;Parameters!$B$6-Parameters!$B$18),1,0)</f>
        <v>0</v>
      </c>
      <c r="R91" s="9" t="n">
        <f aca="false">IF(COUNTIF(Parameters!$A$51:$A$58,H91)=0,1,0)</f>
        <v>0</v>
      </c>
      <c r="S91" s="9" t="n">
        <f aca="false">IF(AND(I91="Manual",L91&gt;0),1,0)</f>
        <v>0</v>
      </c>
      <c r="T91" s="9" t="n">
        <f aca="false">IF(AND(C91&gt;=Parameters!$B$22,ROUND(MOD(ROUND(C91,2),Parameters!$B$21),2)=0),1,0)</f>
        <v>0</v>
      </c>
      <c r="U91" s="9" t="n">
        <f aca="false">IF(LEN(TRIM(J91))=0,1,0)</f>
        <v>0</v>
      </c>
      <c r="V91" s="9" t="n">
        <f aca="false">IF(AND(I91="Manual",C91&lt;Parameters!$B$19,C91&gt;=Parameters!$B$19*(1-Parameters!$B$20)),1,0)</f>
        <v>0</v>
      </c>
      <c r="W91" s="9" t="n">
        <f aca="false">IF(AND(I91="Manual",M91&gt;0),1,0)</f>
        <v>0</v>
      </c>
      <c r="X91" s="9" t="n">
        <f aca="false">IF(A91-A90&gt;1,1,0)</f>
        <v>0</v>
      </c>
      <c r="Y91" s="9" t="n">
        <f aca="false">N91*Parameters!$B$38+O91*Parameters!$B$39+P91*Parameters!$B$40+Q91*Parameters!$B$41+R91*Parameters!$B$42+S91*Parameters!$B$43+T91*Parameters!$B$44+U91*Parameters!$B$45+V91*Parameters!$B$46+W91*Parameters!$B$47+X91*Parameters!$B$48</f>
        <v>0</v>
      </c>
      <c r="Z91" s="0" t="str">
        <f aca="false">IF(Y91&gt;=Parameters!$B$25,"High","")</f>
        <v/>
      </c>
    </row>
    <row r="92" customFormat="false" ht="15" hidden="false" customHeight="false" outlineLevel="0" collapsed="false">
      <c r="A92" s="16" t="n">
        <v>1092</v>
      </c>
      <c r="B92" s="9" t="n">
        <f aca="false">COUNTIF(JE_Lines!$B$5:$B$1733,A92)</f>
        <v>2</v>
      </c>
      <c r="C92" s="17" t="n">
        <f aca="false">SUMIFS(JE_Lines!$G$5:$G$1733,JE_Lines!$B$5:$B$1733,A92)</f>
        <v>1639.13</v>
      </c>
      <c r="D92" s="17" t="n">
        <f aca="false">SUMIFS(JE_Lines!$H$5:$H$1733,JE_Lines!$B$5:$B$1733,A92)</f>
        <v>1639.13</v>
      </c>
      <c r="E92" s="17" t="n">
        <f aca="false">C92-D92</f>
        <v>0</v>
      </c>
      <c r="F92" s="18" t="n">
        <f aca="false">INDEX(JE_Lines!$C$5:$C$1733,MATCH(A92,JE_Lines!$B$5:$B$1733,0))</f>
        <v>45694</v>
      </c>
      <c r="G92" s="18" t="n">
        <f aca="false">INDEX(JE_Lines!$D$5:$D$1733,MATCH(A92,JE_Lines!$B$5:$B$1733,0))</f>
        <v>45694</v>
      </c>
      <c r="H92" s="0" t="str">
        <f aca="false">INDEX(JE_Lines!$I$5:$I$1733,MATCH(A92,JE_Lines!$B$5:$B$1733,0))</f>
        <v>SYS_AR</v>
      </c>
      <c r="I92" s="0" t="str">
        <f aca="false">INDEX(JE_Lines!$J$5:$J$1733,MATCH(A92,JE_Lines!$B$5:$B$1733,0))</f>
        <v>System</v>
      </c>
      <c r="J92" s="0" t="str">
        <f aca="false">IF(LEN(INDEX(JE_Lines!$K$5:$K$1733,MATCH(A92,JE_Lines!$B$5:$B$1733,0)))=0,"",INDEX(JE_Lines!$K$5:$K$1733,MATCH(A92,JE_Lines!$B$5:$B$1733,0)))</f>
        <v>Sales invoice batch</v>
      </c>
      <c r="K92" s="9" t="n">
        <f aca="false">F92-G92</f>
        <v>0</v>
      </c>
      <c r="L92" s="9" t="n">
        <f aca="false">COUNTIFS(JE_Lines!$B$5:$B$1733,A92,JE_Lines!$F$5:$F$1733,"Revenue")</f>
        <v>1</v>
      </c>
      <c r="M92" s="9" t="n">
        <f aca="false">COUNTIFS(JE_Lines!$B$5:$B$1733,A92,JE_Lines!$F$5:$F$1733,"Suspense")</f>
        <v>0</v>
      </c>
      <c r="N92" s="9" t="n">
        <f aca="false">IF(ABS(E92)&gt;Parameters!$B$23,1,0)</f>
        <v>0</v>
      </c>
      <c r="O92" s="9" t="n">
        <f aca="false">IF(WEEKDAY(F92,2)&gt;5,1,0)</f>
        <v>0</v>
      </c>
      <c r="P92" s="9" t="n">
        <f aca="false">IF(K92&gt;Parameters!$B$17,1,0)</f>
        <v>0</v>
      </c>
      <c r="Q92" s="9" t="n">
        <f aca="false">IF(AND(F92&lt;=Parameters!$B$6,F92&gt;Parameters!$B$6-Parameters!$B$18),1,0)</f>
        <v>0</v>
      </c>
      <c r="R92" s="9" t="n">
        <f aca="false">IF(COUNTIF(Parameters!$A$51:$A$58,H92)=0,1,0)</f>
        <v>0</v>
      </c>
      <c r="S92" s="9" t="n">
        <f aca="false">IF(AND(I92="Manual",L92&gt;0),1,0)</f>
        <v>0</v>
      </c>
      <c r="T92" s="9" t="n">
        <f aca="false">IF(AND(C92&gt;=Parameters!$B$22,ROUND(MOD(ROUND(C92,2),Parameters!$B$21),2)=0),1,0)</f>
        <v>0</v>
      </c>
      <c r="U92" s="9" t="n">
        <f aca="false">IF(LEN(TRIM(J92))=0,1,0)</f>
        <v>0</v>
      </c>
      <c r="V92" s="9" t="n">
        <f aca="false">IF(AND(I92="Manual",C92&lt;Parameters!$B$19,C92&gt;=Parameters!$B$19*(1-Parameters!$B$20)),1,0)</f>
        <v>0</v>
      </c>
      <c r="W92" s="9" t="n">
        <f aca="false">IF(AND(I92="Manual",M92&gt;0),1,0)</f>
        <v>0</v>
      </c>
      <c r="X92" s="9" t="n">
        <f aca="false">IF(A92-A91&gt;1,1,0)</f>
        <v>0</v>
      </c>
      <c r="Y92" s="9" t="n">
        <f aca="false">N92*Parameters!$B$38+O92*Parameters!$B$39+P92*Parameters!$B$40+Q92*Parameters!$B$41+R92*Parameters!$B$42+S92*Parameters!$B$43+T92*Parameters!$B$44+U92*Parameters!$B$45+V92*Parameters!$B$46+W92*Parameters!$B$47+X92*Parameters!$B$48</f>
        <v>0</v>
      </c>
      <c r="Z92" s="0" t="str">
        <f aca="false">IF(Y92&gt;=Parameters!$B$25,"High","")</f>
        <v/>
      </c>
    </row>
    <row r="93" customFormat="false" ht="15" hidden="false" customHeight="false" outlineLevel="0" collapsed="false">
      <c r="A93" s="16" t="n">
        <v>1093</v>
      </c>
      <c r="B93" s="9" t="n">
        <f aca="false">COUNTIF(JE_Lines!$B$5:$B$1733,A93)</f>
        <v>2</v>
      </c>
      <c r="C93" s="17" t="n">
        <f aca="false">SUMIFS(JE_Lines!$G$5:$G$1733,JE_Lines!$B$5:$B$1733,A93)</f>
        <v>38000</v>
      </c>
      <c r="D93" s="17" t="n">
        <f aca="false">SUMIFS(JE_Lines!$H$5:$H$1733,JE_Lines!$B$5:$B$1733,A93)</f>
        <v>38000</v>
      </c>
      <c r="E93" s="17" t="n">
        <f aca="false">C93-D93</f>
        <v>0</v>
      </c>
      <c r="F93" s="18" t="n">
        <f aca="false">INDEX(JE_Lines!$C$5:$C$1733,MATCH(A93,JE_Lines!$B$5:$B$1733,0))</f>
        <v>45695</v>
      </c>
      <c r="G93" s="18" t="n">
        <f aca="false">INDEX(JE_Lines!$D$5:$D$1733,MATCH(A93,JE_Lines!$B$5:$B$1733,0))</f>
        <v>45695</v>
      </c>
      <c r="H93" s="0" t="str">
        <f aca="false">INDEX(JE_Lines!$I$5:$I$1733,MATCH(A93,JE_Lines!$B$5:$B$1733,0))</f>
        <v>FIN03</v>
      </c>
      <c r="I93" s="0" t="str">
        <f aca="false">INDEX(JE_Lines!$J$5:$J$1733,MATCH(A93,JE_Lines!$B$5:$B$1733,0))</f>
        <v>Manual</v>
      </c>
      <c r="J93" s="0" t="str">
        <f aca="false">IF(LEN(INDEX(JE_Lines!$K$5:$K$1733,MATCH(A93,JE_Lines!$B$5:$B$1733,0)))=0,"",INDEX(JE_Lines!$K$5:$K$1733,MATCH(A93,JE_Lines!$B$5:$B$1733,0)))</f>
        <v>Round accrual 4</v>
      </c>
      <c r="K93" s="9" t="n">
        <f aca="false">F93-G93</f>
        <v>0</v>
      </c>
      <c r="L93" s="9" t="n">
        <f aca="false">COUNTIFS(JE_Lines!$B$5:$B$1733,A93,JE_Lines!$F$5:$F$1733,"Revenue")</f>
        <v>0</v>
      </c>
      <c r="M93" s="9" t="n">
        <f aca="false">COUNTIFS(JE_Lines!$B$5:$B$1733,A93,JE_Lines!$F$5:$F$1733,"Suspense")</f>
        <v>0</v>
      </c>
      <c r="N93" s="9" t="n">
        <f aca="false">IF(ABS(E93)&gt;Parameters!$B$23,1,0)</f>
        <v>0</v>
      </c>
      <c r="O93" s="9" t="n">
        <f aca="false">IF(WEEKDAY(F93,2)&gt;5,1,0)</f>
        <v>0</v>
      </c>
      <c r="P93" s="9" t="n">
        <f aca="false">IF(K93&gt;Parameters!$B$17,1,0)</f>
        <v>0</v>
      </c>
      <c r="Q93" s="9" t="n">
        <f aca="false">IF(AND(F93&lt;=Parameters!$B$6,F93&gt;Parameters!$B$6-Parameters!$B$18),1,0)</f>
        <v>0</v>
      </c>
      <c r="R93" s="9" t="n">
        <f aca="false">IF(COUNTIF(Parameters!$A$51:$A$58,H93)=0,1,0)</f>
        <v>0</v>
      </c>
      <c r="S93" s="9" t="n">
        <f aca="false">IF(AND(I93="Manual",L93&gt;0),1,0)</f>
        <v>0</v>
      </c>
      <c r="T93" s="9" t="n">
        <f aca="false">IF(AND(C93&gt;=Parameters!$B$22,ROUND(MOD(ROUND(C93,2),Parameters!$B$21),2)=0),1,0)</f>
        <v>1</v>
      </c>
      <c r="U93" s="9" t="n">
        <f aca="false">IF(LEN(TRIM(J93))=0,1,0)</f>
        <v>0</v>
      </c>
      <c r="V93" s="9" t="n">
        <f aca="false">IF(AND(I93="Manual",C93&lt;Parameters!$B$19,C93&gt;=Parameters!$B$19*(1-Parameters!$B$20)),1,0)</f>
        <v>0</v>
      </c>
      <c r="W93" s="9" t="n">
        <f aca="false">IF(AND(I93="Manual",M93&gt;0),1,0)</f>
        <v>0</v>
      </c>
      <c r="X93" s="9" t="n">
        <f aca="false">IF(A93-A92&gt;1,1,0)</f>
        <v>0</v>
      </c>
      <c r="Y93" s="9" t="n">
        <f aca="false">N93*Parameters!$B$38+O93*Parameters!$B$39+P93*Parameters!$B$40+Q93*Parameters!$B$41+R93*Parameters!$B$42+S93*Parameters!$B$43+T93*Parameters!$B$44+U93*Parameters!$B$45+V93*Parameters!$B$46+W93*Parameters!$B$47+X93*Parameters!$B$48</f>
        <v>2</v>
      </c>
      <c r="Z93" s="0" t="str">
        <f aca="false">IF(Y93&gt;=Parameters!$B$25,"High","")</f>
        <v/>
      </c>
    </row>
    <row r="94" customFormat="false" ht="15" hidden="false" customHeight="false" outlineLevel="0" collapsed="false">
      <c r="A94" s="16" t="n">
        <v>1094</v>
      </c>
      <c r="B94" s="9" t="n">
        <f aca="false">COUNTIF(JE_Lines!$B$5:$B$1733,A94)</f>
        <v>2</v>
      </c>
      <c r="C94" s="17" t="n">
        <f aca="false">SUMIFS(JE_Lines!$G$5:$G$1733,JE_Lines!$B$5:$B$1733,A94)</f>
        <v>652.41</v>
      </c>
      <c r="D94" s="17" t="n">
        <f aca="false">SUMIFS(JE_Lines!$H$5:$H$1733,JE_Lines!$B$5:$B$1733,A94)</f>
        <v>652.41</v>
      </c>
      <c r="E94" s="17" t="n">
        <f aca="false">C94-D94</f>
        <v>0</v>
      </c>
      <c r="F94" s="18" t="n">
        <f aca="false">INDEX(JE_Lines!$C$5:$C$1733,MATCH(A94,JE_Lines!$B$5:$B$1733,0))</f>
        <v>45695</v>
      </c>
      <c r="G94" s="18" t="n">
        <f aca="false">INDEX(JE_Lines!$D$5:$D$1733,MATCH(A94,JE_Lines!$B$5:$B$1733,0))</f>
        <v>45695</v>
      </c>
      <c r="H94" s="0" t="str">
        <f aca="false">INDEX(JE_Lines!$I$5:$I$1733,MATCH(A94,JE_Lines!$B$5:$B$1733,0))</f>
        <v>SYS_AP</v>
      </c>
      <c r="I94" s="0" t="str">
        <f aca="false">INDEX(JE_Lines!$J$5:$J$1733,MATCH(A94,JE_Lines!$B$5:$B$1733,0))</f>
        <v>System</v>
      </c>
      <c r="J94" s="0" t="str">
        <f aca="false">IF(LEN(INDEX(JE_Lines!$K$5:$K$1733,MATCH(A94,JE_Lines!$B$5:$B$1733,0)))=0,"",INDEX(JE_Lines!$K$5:$K$1733,MATCH(A94,JE_Lines!$B$5:$B$1733,0)))</f>
        <v>Supplier invoices</v>
      </c>
      <c r="K94" s="9" t="n">
        <f aca="false">F94-G94</f>
        <v>0</v>
      </c>
      <c r="L94" s="9" t="n">
        <f aca="false">COUNTIFS(JE_Lines!$B$5:$B$1733,A94,JE_Lines!$F$5:$F$1733,"Revenue")</f>
        <v>0</v>
      </c>
      <c r="M94" s="9" t="n">
        <f aca="false">COUNTIFS(JE_Lines!$B$5:$B$1733,A94,JE_Lines!$F$5:$F$1733,"Suspense")</f>
        <v>0</v>
      </c>
      <c r="N94" s="9" t="n">
        <f aca="false">IF(ABS(E94)&gt;Parameters!$B$23,1,0)</f>
        <v>0</v>
      </c>
      <c r="O94" s="9" t="n">
        <f aca="false">IF(WEEKDAY(F94,2)&gt;5,1,0)</f>
        <v>0</v>
      </c>
      <c r="P94" s="9" t="n">
        <f aca="false">IF(K94&gt;Parameters!$B$17,1,0)</f>
        <v>0</v>
      </c>
      <c r="Q94" s="9" t="n">
        <f aca="false">IF(AND(F94&lt;=Parameters!$B$6,F94&gt;Parameters!$B$6-Parameters!$B$18),1,0)</f>
        <v>0</v>
      </c>
      <c r="R94" s="9" t="n">
        <f aca="false">IF(COUNTIF(Parameters!$A$51:$A$58,H94)=0,1,0)</f>
        <v>0</v>
      </c>
      <c r="S94" s="9" t="n">
        <f aca="false">IF(AND(I94="Manual",L94&gt;0),1,0)</f>
        <v>0</v>
      </c>
      <c r="T94" s="9" t="n">
        <f aca="false">IF(AND(C94&gt;=Parameters!$B$22,ROUND(MOD(ROUND(C94,2),Parameters!$B$21),2)=0),1,0)</f>
        <v>0</v>
      </c>
      <c r="U94" s="9" t="n">
        <f aca="false">IF(LEN(TRIM(J94))=0,1,0)</f>
        <v>0</v>
      </c>
      <c r="V94" s="9" t="n">
        <f aca="false">IF(AND(I94="Manual",C94&lt;Parameters!$B$19,C94&gt;=Parameters!$B$19*(1-Parameters!$B$20)),1,0)</f>
        <v>0</v>
      </c>
      <c r="W94" s="9" t="n">
        <f aca="false">IF(AND(I94="Manual",M94&gt;0),1,0)</f>
        <v>0</v>
      </c>
      <c r="X94" s="9" t="n">
        <f aca="false">IF(A94-A93&gt;1,1,0)</f>
        <v>0</v>
      </c>
      <c r="Y94" s="9" t="n">
        <f aca="false">N94*Parameters!$B$38+O94*Parameters!$B$39+P94*Parameters!$B$40+Q94*Parameters!$B$41+R94*Parameters!$B$42+S94*Parameters!$B$43+T94*Parameters!$B$44+U94*Parameters!$B$45+V94*Parameters!$B$46+W94*Parameters!$B$47+X94*Parameters!$B$48</f>
        <v>0</v>
      </c>
      <c r="Z94" s="0" t="str">
        <f aca="false">IF(Y94&gt;=Parameters!$B$25,"High","")</f>
        <v/>
      </c>
    </row>
    <row r="95" customFormat="false" ht="15" hidden="false" customHeight="false" outlineLevel="0" collapsed="false">
      <c r="A95" s="16" t="n">
        <v>1095</v>
      </c>
      <c r="B95" s="9" t="n">
        <f aca="false">COUNTIF(JE_Lines!$B$5:$B$1733,A95)</f>
        <v>2</v>
      </c>
      <c r="C95" s="17" t="n">
        <f aca="false">SUMIFS(JE_Lines!$G$5:$G$1733,JE_Lines!$B$5:$B$1733,A95)</f>
        <v>10078.01</v>
      </c>
      <c r="D95" s="17" t="n">
        <f aca="false">SUMIFS(JE_Lines!$H$5:$H$1733,JE_Lines!$B$5:$B$1733,A95)</f>
        <v>10078.01</v>
      </c>
      <c r="E95" s="17" t="n">
        <f aca="false">C95-D95</f>
        <v>0</v>
      </c>
      <c r="F95" s="18" t="n">
        <f aca="false">INDEX(JE_Lines!$C$5:$C$1733,MATCH(A95,JE_Lines!$B$5:$B$1733,0))</f>
        <v>45695</v>
      </c>
      <c r="G95" s="18" t="n">
        <f aca="false">INDEX(JE_Lines!$D$5:$D$1733,MATCH(A95,JE_Lines!$B$5:$B$1733,0))</f>
        <v>45695</v>
      </c>
      <c r="H95" s="0" t="str">
        <f aca="false">INDEX(JE_Lines!$I$5:$I$1733,MATCH(A95,JE_Lines!$B$5:$B$1733,0))</f>
        <v>SYS_AR</v>
      </c>
      <c r="I95" s="0" t="str">
        <f aca="false">INDEX(JE_Lines!$J$5:$J$1733,MATCH(A95,JE_Lines!$B$5:$B$1733,0))</f>
        <v>System</v>
      </c>
      <c r="J95" s="0" t="str">
        <f aca="false">IF(LEN(INDEX(JE_Lines!$K$5:$K$1733,MATCH(A95,JE_Lines!$B$5:$B$1733,0)))=0,"",INDEX(JE_Lines!$K$5:$K$1733,MATCH(A95,JE_Lines!$B$5:$B$1733,0)))</f>
        <v>Cost of sales posting</v>
      </c>
      <c r="K95" s="9" t="n">
        <f aca="false">F95-G95</f>
        <v>0</v>
      </c>
      <c r="L95" s="9" t="n">
        <f aca="false">COUNTIFS(JE_Lines!$B$5:$B$1733,A95,JE_Lines!$F$5:$F$1733,"Revenue")</f>
        <v>0</v>
      </c>
      <c r="M95" s="9" t="n">
        <f aca="false">COUNTIFS(JE_Lines!$B$5:$B$1733,A95,JE_Lines!$F$5:$F$1733,"Suspense")</f>
        <v>0</v>
      </c>
      <c r="N95" s="9" t="n">
        <f aca="false">IF(ABS(E95)&gt;Parameters!$B$23,1,0)</f>
        <v>0</v>
      </c>
      <c r="O95" s="9" t="n">
        <f aca="false">IF(WEEKDAY(F95,2)&gt;5,1,0)</f>
        <v>0</v>
      </c>
      <c r="P95" s="9" t="n">
        <f aca="false">IF(K95&gt;Parameters!$B$17,1,0)</f>
        <v>0</v>
      </c>
      <c r="Q95" s="9" t="n">
        <f aca="false">IF(AND(F95&lt;=Parameters!$B$6,F95&gt;Parameters!$B$6-Parameters!$B$18),1,0)</f>
        <v>0</v>
      </c>
      <c r="R95" s="9" t="n">
        <f aca="false">IF(COUNTIF(Parameters!$A$51:$A$58,H95)=0,1,0)</f>
        <v>0</v>
      </c>
      <c r="S95" s="9" t="n">
        <f aca="false">IF(AND(I95="Manual",L95&gt;0),1,0)</f>
        <v>0</v>
      </c>
      <c r="T95" s="9" t="n">
        <f aca="false">IF(AND(C95&gt;=Parameters!$B$22,ROUND(MOD(ROUND(C95,2),Parameters!$B$21),2)=0),1,0)</f>
        <v>0</v>
      </c>
      <c r="U95" s="9" t="n">
        <f aca="false">IF(LEN(TRIM(J95))=0,1,0)</f>
        <v>0</v>
      </c>
      <c r="V95" s="9" t="n">
        <f aca="false">IF(AND(I95="Manual",C95&lt;Parameters!$B$19,C95&gt;=Parameters!$B$19*(1-Parameters!$B$20)),1,0)</f>
        <v>0</v>
      </c>
      <c r="W95" s="9" t="n">
        <f aca="false">IF(AND(I95="Manual",M95&gt;0),1,0)</f>
        <v>0</v>
      </c>
      <c r="X95" s="9" t="n">
        <f aca="false">IF(A95-A94&gt;1,1,0)</f>
        <v>0</v>
      </c>
      <c r="Y95" s="9" t="n">
        <f aca="false">N95*Parameters!$B$38+O95*Parameters!$B$39+P95*Parameters!$B$40+Q95*Parameters!$B$41+R95*Parameters!$B$42+S95*Parameters!$B$43+T95*Parameters!$B$44+U95*Parameters!$B$45+V95*Parameters!$B$46+W95*Parameters!$B$47+X95*Parameters!$B$48</f>
        <v>0</v>
      </c>
      <c r="Z95" s="0" t="str">
        <f aca="false">IF(Y95&gt;=Parameters!$B$25,"High","")</f>
        <v/>
      </c>
    </row>
    <row r="96" customFormat="false" ht="15" hidden="false" customHeight="false" outlineLevel="0" collapsed="false">
      <c r="A96" s="16" t="n">
        <v>1096</v>
      </c>
      <c r="B96" s="9" t="n">
        <f aca="false">COUNTIF(JE_Lines!$B$5:$B$1733,A96)</f>
        <v>2</v>
      </c>
      <c r="C96" s="17" t="n">
        <f aca="false">SUMIFS(JE_Lines!$G$5:$G$1733,JE_Lines!$B$5:$B$1733,A96)</f>
        <v>335.04</v>
      </c>
      <c r="D96" s="17" t="n">
        <f aca="false">SUMIFS(JE_Lines!$H$5:$H$1733,JE_Lines!$B$5:$B$1733,A96)</f>
        <v>335.04</v>
      </c>
      <c r="E96" s="17" t="n">
        <f aca="false">C96-D96</f>
        <v>0</v>
      </c>
      <c r="F96" s="18" t="n">
        <f aca="false">INDEX(JE_Lines!$C$5:$C$1733,MATCH(A96,JE_Lines!$B$5:$B$1733,0))</f>
        <v>45695</v>
      </c>
      <c r="G96" s="18" t="n">
        <f aca="false">INDEX(JE_Lines!$D$5:$D$1733,MATCH(A96,JE_Lines!$B$5:$B$1733,0))</f>
        <v>45695</v>
      </c>
      <c r="H96" s="0" t="str">
        <f aca="false">INDEX(JE_Lines!$I$5:$I$1733,MATCH(A96,JE_Lines!$B$5:$B$1733,0))</f>
        <v>SYS_AP</v>
      </c>
      <c r="I96" s="0" t="str">
        <f aca="false">INDEX(JE_Lines!$J$5:$J$1733,MATCH(A96,JE_Lines!$B$5:$B$1733,0))</f>
        <v>System</v>
      </c>
      <c r="J96" s="0" t="str">
        <f aca="false">IF(LEN(INDEX(JE_Lines!$K$5:$K$1733,MATCH(A96,JE_Lines!$B$5:$B$1733,0)))=0,"",INDEX(JE_Lines!$K$5:$K$1733,MATCH(A96,JE_Lines!$B$5:$B$1733,0)))</f>
        <v>Supplier invoices</v>
      </c>
      <c r="K96" s="9" t="n">
        <f aca="false">F96-G96</f>
        <v>0</v>
      </c>
      <c r="L96" s="9" t="n">
        <f aca="false">COUNTIFS(JE_Lines!$B$5:$B$1733,A96,JE_Lines!$F$5:$F$1733,"Revenue")</f>
        <v>0</v>
      </c>
      <c r="M96" s="9" t="n">
        <f aca="false">COUNTIFS(JE_Lines!$B$5:$B$1733,A96,JE_Lines!$F$5:$F$1733,"Suspense")</f>
        <v>0</v>
      </c>
      <c r="N96" s="9" t="n">
        <f aca="false">IF(ABS(E96)&gt;Parameters!$B$23,1,0)</f>
        <v>0</v>
      </c>
      <c r="O96" s="9" t="n">
        <f aca="false">IF(WEEKDAY(F96,2)&gt;5,1,0)</f>
        <v>0</v>
      </c>
      <c r="P96" s="9" t="n">
        <f aca="false">IF(K96&gt;Parameters!$B$17,1,0)</f>
        <v>0</v>
      </c>
      <c r="Q96" s="9" t="n">
        <f aca="false">IF(AND(F96&lt;=Parameters!$B$6,F96&gt;Parameters!$B$6-Parameters!$B$18),1,0)</f>
        <v>0</v>
      </c>
      <c r="R96" s="9" t="n">
        <f aca="false">IF(COUNTIF(Parameters!$A$51:$A$58,H96)=0,1,0)</f>
        <v>0</v>
      </c>
      <c r="S96" s="9" t="n">
        <f aca="false">IF(AND(I96="Manual",L96&gt;0),1,0)</f>
        <v>0</v>
      </c>
      <c r="T96" s="9" t="n">
        <f aca="false">IF(AND(C96&gt;=Parameters!$B$22,ROUND(MOD(ROUND(C96,2),Parameters!$B$21),2)=0),1,0)</f>
        <v>0</v>
      </c>
      <c r="U96" s="9" t="n">
        <f aca="false">IF(LEN(TRIM(J96))=0,1,0)</f>
        <v>0</v>
      </c>
      <c r="V96" s="9" t="n">
        <f aca="false">IF(AND(I96="Manual",C96&lt;Parameters!$B$19,C96&gt;=Parameters!$B$19*(1-Parameters!$B$20)),1,0)</f>
        <v>0</v>
      </c>
      <c r="W96" s="9" t="n">
        <f aca="false">IF(AND(I96="Manual",M96&gt;0),1,0)</f>
        <v>0</v>
      </c>
      <c r="X96" s="9" t="n">
        <f aca="false">IF(A96-A95&gt;1,1,0)</f>
        <v>0</v>
      </c>
      <c r="Y96" s="9" t="n">
        <f aca="false">N96*Parameters!$B$38+O96*Parameters!$B$39+P96*Parameters!$B$40+Q96*Parameters!$B$41+R96*Parameters!$B$42+S96*Parameters!$B$43+T96*Parameters!$B$44+U96*Parameters!$B$45+V96*Parameters!$B$46+W96*Parameters!$B$47+X96*Parameters!$B$48</f>
        <v>0</v>
      </c>
      <c r="Z96" s="0" t="str">
        <f aca="false">IF(Y96&gt;=Parameters!$B$25,"High","")</f>
        <v/>
      </c>
    </row>
    <row r="97" customFormat="false" ht="15" hidden="false" customHeight="false" outlineLevel="0" collapsed="false">
      <c r="A97" s="16" t="n">
        <v>1097</v>
      </c>
      <c r="B97" s="9" t="n">
        <f aca="false">COUNTIF(JE_Lines!$B$5:$B$1733,A97)</f>
        <v>3</v>
      </c>
      <c r="C97" s="17" t="n">
        <f aca="false">SUMIFS(JE_Lines!$G$5:$G$1733,JE_Lines!$B$5:$B$1733,A97)</f>
        <v>31312.99</v>
      </c>
      <c r="D97" s="17" t="n">
        <f aca="false">SUMIFS(JE_Lines!$H$5:$H$1733,JE_Lines!$B$5:$B$1733,A97)</f>
        <v>31312.99</v>
      </c>
      <c r="E97" s="17" t="n">
        <f aca="false">C97-D97</f>
        <v>0</v>
      </c>
      <c r="F97" s="18" t="n">
        <f aca="false">INDEX(JE_Lines!$C$5:$C$1733,MATCH(A97,JE_Lines!$B$5:$B$1733,0))</f>
        <v>45695</v>
      </c>
      <c r="G97" s="18" t="n">
        <f aca="false">INDEX(JE_Lines!$D$5:$D$1733,MATCH(A97,JE_Lines!$B$5:$B$1733,0))</f>
        <v>45693</v>
      </c>
      <c r="H97" s="0" t="str">
        <f aca="false">INDEX(JE_Lines!$I$5:$I$1733,MATCH(A97,JE_Lines!$B$5:$B$1733,0))</f>
        <v>SYS_AP</v>
      </c>
      <c r="I97" s="0" t="str">
        <f aca="false">INDEX(JE_Lines!$J$5:$J$1733,MATCH(A97,JE_Lines!$B$5:$B$1733,0))</f>
        <v>System</v>
      </c>
      <c r="J97" s="0" t="str">
        <f aca="false">IF(LEN(INDEX(JE_Lines!$K$5:$K$1733,MATCH(A97,JE_Lines!$B$5:$B$1733,0)))=0,"",INDEX(JE_Lines!$K$5:$K$1733,MATCH(A97,JE_Lines!$B$5:$B$1733,0)))</f>
        <v>Utilities invoices</v>
      </c>
      <c r="K97" s="9" t="n">
        <f aca="false">F97-G97</f>
        <v>2</v>
      </c>
      <c r="L97" s="9" t="n">
        <f aca="false">COUNTIFS(JE_Lines!$B$5:$B$1733,A97,JE_Lines!$F$5:$F$1733,"Revenue")</f>
        <v>0</v>
      </c>
      <c r="M97" s="9" t="n">
        <f aca="false">COUNTIFS(JE_Lines!$B$5:$B$1733,A97,JE_Lines!$F$5:$F$1733,"Suspense")</f>
        <v>0</v>
      </c>
      <c r="N97" s="9" t="n">
        <f aca="false">IF(ABS(E97)&gt;Parameters!$B$23,1,0)</f>
        <v>0</v>
      </c>
      <c r="O97" s="9" t="n">
        <f aca="false">IF(WEEKDAY(F97,2)&gt;5,1,0)</f>
        <v>0</v>
      </c>
      <c r="P97" s="9" t="n">
        <f aca="false">IF(K97&gt;Parameters!$B$17,1,0)</f>
        <v>0</v>
      </c>
      <c r="Q97" s="9" t="n">
        <f aca="false">IF(AND(F97&lt;=Parameters!$B$6,F97&gt;Parameters!$B$6-Parameters!$B$18),1,0)</f>
        <v>0</v>
      </c>
      <c r="R97" s="9" t="n">
        <f aca="false">IF(COUNTIF(Parameters!$A$51:$A$58,H97)=0,1,0)</f>
        <v>0</v>
      </c>
      <c r="S97" s="9" t="n">
        <f aca="false">IF(AND(I97="Manual",L97&gt;0),1,0)</f>
        <v>0</v>
      </c>
      <c r="T97" s="9" t="n">
        <f aca="false">IF(AND(C97&gt;=Parameters!$B$22,ROUND(MOD(ROUND(C97,2),Parameters!$B$21),2)=0),1,0)</f>
        <v>0</v>
      </c>
      <c r="U97" s="9" t="n">
        <f aca="false">IF(LEN(TRIM(J97))=0,1,0)</f>
        <v>0</v>
      </c>
      <c r="V97" s="9" t="n">
        <f aca="false">IF(AND(I97="Manual",C97&lt;Parameters!$B$19,C97&gt;=Parameters!$B$19*(1-Parameters!$B$20)),1,0)</f>
        <v>0</v>
      </c>
      <c r="W97" s="9" t="n">
        <f aca="false">IF(AND(I97="Manual",M97&gt;0),1,0)</f>
        <v>0</v>
      </c>
      <c r="X97" s="9" t="n">
        <f aca="false">IF(A97-A96&gt;1,1,0)</f>
        <v>0</v>
      </c>
      <c r="Y97" s="9" t="n">
        <f aca="false">N97*Parameters!$B$38+O97*Parameters!$B$39+P97*Parameters!$B$40+Q97*Parameters!$B$41+R97*Parameters!$B$42+S97*Parameters!$B$43+T97*Parameters!$B$44+U97*Parameters!$B$45+V97*Parameters!$B$46+W97*Parameters!$B$47+X97*Parameters!$B$48</f>
        <v>0</v>
      </c>
      <c r="Z97" s="0" t="str">
        <f aca="false">IF(Y97&gt;=Parameters!$B$25,"High","")</f>
        <v/>
      </c>
    </row>
    <row r="98" customFormat="false" ht="15" hidden="false" customHeight="false" outlineLevel="0" collapsed="false">
      <c r="A98" s="16" t="n">
        <v>1098</v>
      </c>
      <c r="B98" s="9" t="n">
        <f aca="false">COUNTIF(JE_Lines!$B$5:$B$1733,A98)</f>
        <v>2</v>
      </c>
      <c r="C98" s="17" t="n">
        <f aca="false">SUMIFS(JE_Lines!$G$5:$G$1733,JE_Lines!$B$5:$B$1733,A98)</f>
        <v>96373.61</v>
      </c>
      <c r="D98" s="17" t="n">
        <f aca="false">SUMIFS(JE_Lines!$H$5:$H$1733,JE_Lines!$B$5:$B$1733,A98)</f>
        <v>96373.61</v>
      </c>
      <c r="E98" s="17" t="n">
        <f aca="false">C98-D98</f>
        <v>0</v>
      </c>
      <c r="F98" s="18" t="n">
        <f aca="false">INDEX(JE_Lines!$C$5:$C$1733,MATCH(A98,JE_Lines!$B$5:$B$1733,0))</f>
        <v>45695</v>
      </c>
      <c r="G98" s="18" t="n">
        <f aca="false">INDEX(JE_Lines!$D$5:$D$1733,MATCH(A98,JE_Lines!$B$5:$B$1733,0))</f>
        <v>45695</v>
      </c>
      <c r="H98" s="0" t="str">
        <f aca="false">INDEX(JE_Lines!$I$5:$I$1733,MATCH(A98,JE_Lines!$B$5:$B$1733,0))</f>
        <v>SYS_AR</v>
      </c>
      <c r="I98" s="0" t="str">
        <f aca="false">INDEX(JE_Lines!$J$5:$J$1733,MATCH(A98,JE_Lines!$B$5:$B$1733,0))</f>
        <v>System</v>
      </c>
      <c r="J98" s="0" t="str">
        <f aca="false">IF(LEN(INDEX(JE_Lines!$K$5:$K$1733,MATCH(A98,JE_Lines!$B$5:$B$1733,0)))=0,"",INDEX(JE_Lines!$K$5:$K$1733,MATCH(A98,JE_Lines!$B$5:$B$1733,0)))</f>
        <v>Customer receipts</v>
      </c>
      <c r="K98" s="9" t="n">
        <f aca="false">F98-G98</f>
        <v>0</v>
      </c>
      <c r="L98" s="9" t="n">
        <f aca="false">COUNTIFS(JE_Lines!$B$5:$B$1733,A98,JE_Lines!$F$5:$F$1733,"Revenue")</f>
        <v>0</v>
      </c>
      <c r="M98" s="9" t="n">
        <f aca="false">COUNTIFS(JE_Lines!$B$5:$B$1733,A98,JE_Lines!$F$5:$F$1733,"Suspense")</f>
        <v>0</v>
      </c>
      <c r="N98" s="9" t="n">
        <f aca="false">IF(ABS(E98)&gt;Parameters!$B$23,1,0)</f>
        <v>0</v>
      </c>
      <c r="O98" s="9" t="n">
        <f aca="false">IF(WEEKDAY(F98,2)&gt;5,1,0)</f>
        <v>0</v>
      </c>
      <c r="P98" s="9" t="n">
        <f aca="false">IF(K98&gt;Parameters!$B$17,1,0)</f>
        <v>0</v>
      </c>
      <c r="Q98" s="9" t="n">
        <f aca="false">IF(AND(F98&lt;=Parameters!$B$6,F98&gt;Parameters!$B$6-Parameters!$B$18),1,0)</f>
        <v>0</v>
      </c>
      <c r="R98" s="9" t="n">
        <f aca="false">IF(COUNTIF(Parameters!$A$51:$A$58,H98)=0,1,0)</f>
        <v>0</v>
      </c>
      <c r="S98" s="9" t="n">
        <f aca="false">IF(AND(I98="Manual",L98&gt;0),1,0)</f>
        <v>0</v>
      </c>
      <c r="T98" s="9" t="n">
        <f aca="false">IF(AND(C98&gt;=Parameters!$B$22,ROUND(MOD(ROUND(C98,2),Parameters!$B$21),2)=0),1,0)</f>
        <v>0</v>
      </c>
      <c r="U98" s="9" t="n">
        <f aca="false">IF(LEN(TRIM(J98))=0,1,0)</f>
        <v>0</v>
      </c>
      <c r="V98" s="9" t="n">
        <f aca="false">IF(AND(I98="Manual",C98&lt;Parameters!$B$19,C98&gt;=Parameters!$B$19*(1-Parameters!$B$20)),1,0)</f>
        <v>0</v>
      </c>
      <c r="W98" s="9" t="n">
        <f aca="false">IF(AND(I98="Manual",M98&gt;0),1,0)</f>
        <v>0</v>
      </c>
      <c r="X98" s="9" t="n">
        <f aca="false">IF(A98-A97&gt;1,1,0)</f>
        <v>0</v>
      </c>
      <c r="Y98" s="9" t="n">
        <f aca="false">N98*Parameters!$B$38+O98*Parameters!$B$39+P98*Parameters!$B$40+Q98*Parameters!$B$41+R98*Parameters!$B$42+S98*Parameters!$B$43+T98*Parameters!$B$44+U98*Parameters!$B$45+V98*Parameters!$B$46+W98*Parameters!$B$47+X98*Parameters!$B$48</f>
        <v>0</v>
      </c>
      <c r="Z98" s="0" t="str">
        <f aca="false">IF(Y98&gt;=Parameters!$B$25,"High","")</f>
        <v/>
      </c>
    </row>
    <row r="99" customFormat="false" ht="15" hidden="false" customHeight="false" outlineLevel="0" collapsed="false">
      <c r="A99" s="16" t="n">
        <v>1099</v>
      </c>
      <c r="B99" s="9" t="n">
        <f aca="false">COUNTIF(JE_Lines!$B$5:$B$1733,A99)</f>
        <v>2</v>
      </c>
      <c r="C99" s="17" t="n">
        <f aca="false">SUMIFS(JE_Lines!$G$5:$G$1733,JE_Lines!$B$5:$B$1733,A99)</f>
        <v>147499.19</v>
      </c>
      <c r="D99" s="17" t="n">
        <f aca="false">SUMIFS(JE_Lines!$H$5:$H$1733,JE_Lines!$B$5:$B$1733,A99)</f>
        <v>147499.19</v>
      </c>
      <c r="E99" s="17" t="n">
        <f aca="false">C99-D99</f>
        <v>0</v>
      </c>
      <c r="F99" s="18" t="n">
        <f aca="false">INDEX(JE_Lines!$C$5:$C$1733,MATCH(A99,JE_Lines!$B$5:$B$1733,0))</f>
        <v>45698</v>
      </c>
      <c r="G99" s="18" t="n">
        <f aca="false">INDEX(JE_Lines!$D$5:$D$1733,MATCH(A99,JE_Lines!$B$5:$B$1733,0))</f>
        <v>45698</v>
      </c>
      <c r="H99" s="0" t="str">
        <f aca="false">INDEX(JE_Lines!$I$5:$I$1733,MATCH(A99,JE_Lines!$B$5:$B$1733,0))</f>
        <v>SYS_AR</v>
      </c>
      <c r="I99" s="0" t="str">
        <f aca="false">INDEX(JE_Lines!$J$5:$J$1733,MATCH(A99,JE_Lines!$B$5:$B$1733,0))</f>
        <v>System</v>
      </c>
      <c r="J99" s="0" t="str">
        <f aca="false">IF(LEN(INDEX(JE_Lines!$K$5:$K$1733,MATCH(A99,JE_Lines!$B$5:$B$1733,0)))=0,"",INDEX(JE_Lines!$K$5:$K$1733,MATCH(A99,JE_Lines!$B$5:$B$1733,0)))</f>
        <v>Customer receipts</v>
      </c>
      <c r="K99" s="9" t="n">
        <f aca="false">F99-G99</f>
        <v>0</v>
      </c>
      <c r="L99" s="9" t="n">
        <f aca="false">COUNTIFS(JE_Lines!$B$5:$B$1733,A99,JE_Lines!$F$5:$F$1733,"Revenue")</f>
        <v>0</v>
      </c>
      <c r="M99" s="9" t="n">
        <f aca="false">COUNTIFS(JE_Lines!$B$5:$B$1733,A99,JE_Lines!$F$5:$F$1733,"Suspense")</f>
        <v>0</v>
      </c>
      <c r="N99" s="9" t="n">
        <f aca="false">IF(ABS(E99)&gt;Parameters!$B$23,1,0)</f>
        <v>0</v>
      </c>
      <c r="O99" s="9" t="n">
        <f aca="false">IF(WEEKDAY(F99,2)&gt;5,1,0)</f>
        <v>0</v>
      </c>
      <c r="P99" s="9" t="n">
        <f aca="false">IF(K99&gt;Parameters!$B$17,1,0)</f>
        <v>0</v>
      </c>
      <c r="Q99" s="9" t="n">
        <f aca="false">IF(AND(F99&lt;=Parameters!$B$6,F99&gt;Parameters!$B$6-Parameters!$B$18),1,0)</f>
        <v>0</v>
      </c>
      <c r="R99" s="9" t="n">
        <f aca="false">IF(COUNTIF(Parameters!$A$51:$A$58,H99)=0,1,0)</f>
        <v>0</v>
      </c>
      <c r="S99" s="9" t="n">
        <f aca="false">IF(AND(I99="Manual",L99&gt;0),1,0)</f>
        <v>0</v>
      </c>
      <c r="T99" s="9" t="n">
        <f aca="false">IF(AND(C99&gt;=Parameters!$B$22,ROUND(MOD(ROUND(C99,2),Parameters!$B$21),2)=0),1,0)</f>
        <v>0</v>
      </c>
      <c r="U99" s="9" t="n">
        <f aca="false">IF(LEN(TRIM(J99))=0,1,0)</f>
        <v>0</v>
      </c>
      <c r="V99" s="9" t="n">
        <f aca="false">IF(AND(I99="Manual",C99&lt;Parameters!$B$19,C99&gt;=Parameters!$B$19*(1-Parameters!$B$20)),1,0)</f>
        <v>0</v>
      </c>
      <c r="W99" s="9" t="n">
        <f aca="false">IF(AND(I99="Manual",M99&gt;0),1,0)</f>
        <v>0</v>
      </c>
      <c r="X99" s="9" t="n">
        <f aca="false">IF(A99-A98&gt;1,1,0)</f>
        <v>0</v>
      </c>
      <c r="Y99" s="9" t="n">
        <f aca="false">N99*Parameters!$B$38+O99*Parameters!$B$39+P99*Parameters!$B$40+Q99*Parameters!$B$41+R99*Parameters!$B$42+S99*Parameters!$B$43+T99*Parameters!$B$44+U99*Parameters!$B$45+V99*Parameters!$B$46+W99*Parameters!$B$47+X99*Parameters!$B$48</f>
        <v>0</v>
      </c>
      <c r="Z99" s="0" t="str">
        <f aca="false">IF(Y99&gt;=Parameters!$B$25,"High","")</f>
        <v/>
      </c>
    </row>
    <row r="100" customFormat="false" ht="15" hidden="false" customHeight="false" outlineLevel="0" collapsed="false">
      <c r="A100" s="16" t="n">
        <v>1100</v>
      </c>
      <c r="B100" s="9" t="n">
        <f aca="false">COUNTIF(JE_Lines!$B$5:$B$1733,A100)</f>
        <v>3</v>
      </c>
      <c r="C100" s="17" t="n">
        <f aca="false">SUMIFS(JE_Lines!$G$5:$G$1733,JE_Lines!$B$5:$B$1733,A100)</f>
        <v>96366.85</v>
      </c>
      <c r="D100" s="17" t="n">
        <f aca="false">SUMIFS(JE_Lines!$H$5:$H$1733,JE_Lines!$B$5:$B$1733,A100)</f>
        <v>96366.85</v>
      </c>
      <c r="E100" s="17" t="n">
        <f aca="false">C100-D100</f>
        <v>0</v>
      </c>
      <c r="F100" s="18" t="n">
        <f aca="false">INDEX(JE_Lines!$C$5:$C$1733,MATCH(A100,JE_Lines!$B$5:$B$1733,0))</f>
        <v>45698</v>
      </c>
      <c r="G100" s="18" t="n">
        <f aca="false">INDEX(JE_Lines!$D$5:$D$1733,MATCH(A100,JE_Lines!$B$5:$B$1733,0))</f>
        <v>45694</v>
      </c>
      <c r="H100" s="0" t="str">
        <f aca="false">INDEX(JE_Lines!$I$5:$I$1733,MATCH(A100,JE_Lines!$B$5:$B$1733,0))</f>
        <v>FIN01</v>
      </c>
      <c r="I100" s="0" t="str">
        <f aca="false">INDEX(JE_Lines!$J$5:$J$1733,MATCH(A100,JE_Lines!$B$5:$B$1733,0))</f>
        <v>Manual</v>
      </c>
      <c r="J100" s="0" t="str">
        <f aca="false">IF(LEN(INDEX(JE_Lines!$K$5:$K$1733,MATCH(A100,JE_Lines!$B$5:$B$1733,0)))=0,"",INDEX(JE_Lines!$K$5:$K$1733,MATCH(A100,JE_Lines!$B$5:$B$1733,0)))</f>
        <v>Accrual for sundry costs</v>
      </c>
      <c r="K100" s="9" t="n">
        <f aca="false">F100-G100</f>
        <v>4</v>
      </c>
      <c r="L100" s="9" t="n">
        <f aca="false">COUNTIFS(JE_Lines!$B$5:$B$1733,A100,JE_Lines!$F$5:$F$1733,"Revenue")</f>
        <v>0</v>
      </c>
      <c r="M100" s="9" t="n">
        <f aca="false">COUNTIFS(JE_Lines!$B$5:$B$1733,A100,JE_Lines!$F$5:$F$1733,"Suspense")</f>
        <v>0</v>
      </c>
      <c r="N100" s="9" t="n">
        <f aca="false">IF(ABS(E100)&gt;Parameters!$B$23,1,0)</f>
        <v>0</v>
      </c>
      <c r="O100" s="9" t="n">
        <f aca="false">IF(WEEKDAY(F100,2)&gt;5,1,0)</f>
        <v>0</v>
      </c>
      <c r="P100" s="9" t="n">
        <f aca="false">IF(K100&gt;Parameters!$B$17,1,0)</f>
        <v>0</v>
      </c>
      <c r="Q100" s="9" t="n">
        <f aca="false">IF(AND(F100&lt;=Parameters!$B$6,F100&gt;Parameters!$B$6-Parameters!$B$18),1,0)</f>
        <v>0</v>
      </c>
      <c r="R100" s="9" t="n">
        <f aca="false">IF(COUNTIF(Parameters!$A$51:$A$58,H100)=0,1,0)</f>
        <v>0</v>
      </c>
      <c r="S100" s="9" t="n">
        <f aca="false">IF(AND(I100="Manual",L100&gt;0),1,0)</f>
        <v>0</v>
      </c>
      <c r="T100" s="9" t="n">
        <f aca="false">IF(AND(C100&gt;=Parameters!$B$22,ROUND(MOD(ROUND(C100,2),Parameters!$B$21),2)=0),1,0)</f>
        <v>0</v>
      </c>
      <c r="U100" s="9" t="n">
        <f aca="false">IF(LEN(TRIM(J100))=0,1,0)</f>
        <v>0</v>
      </c>
      <c r="V100" s="9" t="n">
        <f aca="false">IF(AND(I100="Manual",C100&lt;Parameters!$B$19,C100&gt;=Parameters!$B$19*(1-Parameters!$B$20)),1,0)</f>
        <v>0</v>
      </c>
      <c r="W100" s="9" t="n">
        <f aca="false">IF(AND(I100="Manual",M100&gt;0),1,0)</f>
        <v>0</v>
      </c>
      <c r="X100" s="9" t="n">
        <f aca="false">IF(A100-A99&gt;1,1,0)</f>
        <v>0</v>
      </c>
      <c r="Y100" s="9" t="n">
        <f aca="false">N100*Parameters!$B$38+O100*Parameters!$B$39+P100*Parameters!$B$40+Q100*Parameters!$B$41+R100*Parameters!$B$42+S100*Parameters!$B$43+T100*Parameters!$B$44+U100*Parameters!$B$45+V100*Parameters!$B$46+W100*Parameters!$B$47+X100*Parameters!$B$48</f>
        <v>0</v>
      </c>
      <c r="Z100" s="0" t="str">
        <f aca="false">IF(Y100&gt;=Parameters!$B$25,"High","")</f>
        <v/>
      </c>
    </row>
    <row r="101" customFormat="false" ht="15" hidden="false" customHeight="false" outlineLevel="0" collapsed="false">
      <c r="A101" s="16" t="n">
        <v>1101</v>
      </c>
      <c r="B101" s="9" t="n">
        <f aca="false">COUNTIF(JE_Lines!$B$5:$B$1733,A101)</f>
        <v>2</v>
      </c>
      <c r="C101" s="17" t="n">
        <f aca="false">SUMIFS(JE_Lines!$G$5:$G$1733,JE_Lines!$B$5:$B$1733,A101)</f>
        <v>7209.96</v>
      </c>
      <c r="D101" s="17" t="n">
        <f aca="false">SUMIFS(JE_Lines!$H$5:$H$1733,JE_Lines!$B$5:$B$1733,A101)</f>
        <v>7209.96</v>
      </c>
      <c r="E101" s="17" t="n">
        <f aca="false">C101-D101</f>
        <v>0</v>
      </c>
      <c r="F101" s="18" t="n">
        <f aca="false">INDEX(JE_Lines!$C$5:$C$1733,MATCH(A101,JE_Lines!$B$5:$B$1733,0))</f>
        <v>45698</v>
      </c>
      <c r="G101" s="18" t="n">
        <f aca="false">INDEX(JE_Lines!$D$5:$D$1733,MATCH(A101,JE_Lines!$B$5:$B$1733,0))</f>
        <v>45694</v>
      </c>
      <c r="H101" s="0" t="str">
        <f aca="false">INDEX(JE_Lines!$I$5:$I$1733,MATCH(A101,JE_Lines!$B$5:$B$1733,0))</f>
        <v>SYS_PAY</v>
      </c>
      <c r="I101" s="0" t="str">
        <f aca="false">INDEX(JE_Lines!$J$5:$J$1733,MATCH(A101,JE_Lines!$B$5:$B$1733,0))</f>
        <v>System</v>
      </c>
      <c r="J101" s="0" t="str">
        <f aca="false">IF(LEN(INDEX(JE_Lines!$K$5:$K$1733,MATCH(A101,JE_Lines!$B$5:$B$1733,0)))=0,"",INDEX(JE_Lines!$K$5:$K$1733,MATCH(A101,JE_Lines!$B$5:$B$1733,0)))</f>
        <v>Supplier payments</v>
      </c>
      <c r="K101" s="9" t="n">
        <f aca="false">F101-G101</f>
        <v>4</v>
      </c>
      <c r="L101" s="9" t="n">
        <f aca="false">COUNTIFS(JE_Lines!$B$5:$B$1733,A101,JE_Lines!$F$5:$F$1733,"Revenue")</f>
        <v>0</v>
      </c>
      <c r="M101" s="9" t="n">
        <f aca="false">COUNTIFS(JE_Lines!$B$5:$B$1733,A101,JE_Lines!$F$5:$F$1733,"Suspense")</f>
        <v>0</v>
      </c>
      <c r="N101" s="9" t="n">
        <f aca="false">IF(ABS(E101)&gt;Parameters!$B$23,1,0)</f>
        <v>0</v>
      </c>
      <c r="O101" s="9" t="n">
        <f aca="false">IF(WEEKDAY(F101,2)&gt;5,1,0)</f>
        <v>0</v>
      </c>
      <c r="P101" s="9" t="n">
        <f aca="false">IF(K101&gt;Parameters!$B$17,1,0)</f>
        <v>0</v>
      </c>
      <c r="Q101" s="9" t="n">
        <f aca="false">IF(AND(F101&lt;=Parameters!$B$6,F101&gt;Parameters!$B$6-Parameters!$B$18),1,0)</f>
        <v>0</v>
      </c>
      <c r="R101" s="9" t="n">
        <f aca="false">IF(COUNTIF(Parameters!$A$51:$A$58,H101)=0,1,0)</f>
        <v>0</v>
      </c>
      <c r="S101" s="9" t="n">
        <f aca="false">IF(AND(I101="Manual",L101&gt;0),1,0)</f>
        <v>0</v>
      </c>
      <c r="T101" s="9" t="n">
        <f aca="false">IF(AND(C101&gt;=Parameters!$B$22,ROUND(MOD(ROUND(C101,2),Parameters!$B$21),2)=0),1,0)</f>
        <v>0</v>
      </c>
      <c r="U101" s="9" t="n">
        <f aca="false">IF(LEN(TRIM(J101))=0,1,0)</f>
        <v>0</v>
      </c>
      <c r="V101" s="9" t="n">
        <f aca="false">IF(AND(I101="Manual",C101&lt;Parameters!$B$19,C101&gt;=Parameters!$B$19*(1-Parameters!$B$20)),1,0)</f>
        <v>0</v>
      </c>
      <c r="W101" s="9" t="n">
        <f aca="false">IF(AND(I101="Manual",M101&gt;0),1,0)</f>
        <v>0</v>
      </c>
      <c r="X101" s="9" t="n">
        <f aca="false">IF(A101-A100&gt;1,1,0)</f>
        <v>0</v>
      </c>
      <c r="Y101" s="9" t="n">
        <f aca="false">N101*Parameters!$B$38+O101*Parameters!$B$39+P101*Parameters!$B$40+Q101*Parameters!$B$41+R101*Parameters!$B$42+S101*Parameters!$B$43+T101*Parameters!$B$44+U101*Parameters!$B$45+V101*Parameters!$B$46+W101*Parameters!$B$47+X101*Parameters!$B$48</f>
        <v>0</v>
      </c>
      <c r="Z101" s="0" t="str">
        <f aca="false">IF(Y101&gt;=Parameters!$B$25,"High","")</f>
        <v/>
      </c>
    </row>
    <row r="102" customFormat="false" ht="15" hidden="false" customHeight="false" outlineLevel="0" collapsed="false">
      <c r="A102" s="16" t="n">
        <v>1102</v>
      </c>
      <c r="B102" s="9" t="n">
        <f aca="false">COUNTIF(JE_Lines!$B$5:$B$1733,A102)</f>
        <v>2</v>
      </c>
      <c r="C102" s="17" t="n">
        <f aca="false">SUMIFS(JE_Lines!$G$5:$G$1733,JE_Lines!$B$5:$B$1733,A102)</f>
        <v>16361.42</v>
      </c>
      <c r="D102" s="17" t="n">
        <f aca="false">SUMIFS(JE_Lines!$H$5:$H$1733,JE_Lines!$B$5:$B$1733,A102)</f>
        <v>16361.42</v>
      </c>
      <c r="E102" s="17" t="n">
        <f aca="false">C102-D102</f>
        <v>0</v>
      </c>
      <c r="F102" s="18" t="n">
        <f aca="false">INDEX(JE_Lines!$C$5:$C$1733,MATCH(A102,JE_Lines!$B$5:$B$1733,0))</f>
        <v>45698</v>
      </c>
      <c r="G102" s="18" t="n">
        <f aca="false">INDEX(JE_Lines!$D$5:$D$1733,MATCH(A102,JE_Lines!$B$5:$B$1733,0))</f>
        <v>45696</v>
      </c>
      <c r="H102" s="0" t="str">
        <f aca="false">INDEX(JE_Lines!$I$5:$I$1733,MATCH(A102,JE_Lines!$B$5:$B$1733,0))</f>
        <v>SYS_AR</v>
      </c>
      <c r="I102" s="0" t="str">
        <f aca="false">INDEX(JE_Lines!$J$5:$J$1733,MATCH(A102,JE_Lines!$B$5:$B$1733,0))</f>
        <v>System</v>
      </c>
      <c r="J102" s="0" t="str">
        <f aca="false">IF(LEN(INDEX(JE_Lines!$K$5:$K$1733,MATCH(A102,JE_Lines!$B$5:$B$1733,0)))=0,"",INDEX(JE_Lines!$K$5:$K$1733,MATCH(A102,JE_Lines!$B$5:$B$1733,0)))</f>
        <v>Customer receipts</v>
      </c>
      <c r="K102" s="9" t="n">
        <f aca="false">F102-G102</f>
        <v>2</v>
      </c>
      <c r="L102" s="9" t="n">
        <f aca="false">COUNTIFS(JE_Lines!$B$5:$B$1733,A102,JE_Lines!$F$5:$F$1733,"Revenue")</f>
        <v>0</v>
      </c>
      <c r="M102" s="9" t="n">
        <f aca="false">COUNTIFS(JE_Lines!$B$5:$B$1733,A102,JE_Lines!$F$5:$F$1733,"Suspense")</f>
        <v>0</v>
      </c>
      <c r="N102" s="9" t="n">
        <f aca="false">IF(ABS(E102)&gt;Parameters!$B$23,1,0)</f>
        <v>0</v>
      </c>
      <c r="O102" s="9" t="n">
        <f aca="false">IF(WEEKDAY(F102,2)&gt;5,1,0)</f>
        <v>0</v>
      </c>
      <c r="P102" s="9" t="n">
        <f aca="false">IF(K102&gt;Parameters!$B$17,1,0)</f>
        <v>0</v>
      </c>
      <c r="Q102" s="9" t="n">
        <f aca="false">IF(AND(F102&lt;=Parameters!$B$6,F102&gt;Parameters!$B$6-Parameters!$B$18),1,0)</f>
        <v>0</v>
      </c>
      <c r="R102" s="9" t="n">
        <f aca="false">IF(COUNTIF(Parameters!$A$51:$A$58,H102)=0,1,0)</f>
        <v>0</v>
      </c>
      <c r="S102" s="9" t="n">
        <f aca="false">IF(AND(I102="Manual",L102&gt;0),1,0)</f>
        <v>0</v>
      </c>
      <c r="T102" s="9" t="n">
        <f aca="false">IF(AND(C102&gt;=Parameters!$B$22,ROUND(MOD(ROUND(C102,2),Parameters!$B$21),2)=0),1,0)</f>
        <v>0</v>
      </c>
      <c r="U102" s="9" t="n">
        <f aca="false">IF(LEN(TRIM(J102))=0,1,0)</f>
        <v>0</v>
      </c>
      <c r="V102" s="9" t="n">
        <f aca="false">IF(AND(I102="Manual",C102&lt;Parameters!$B$19,C102&gt;=Parameters!$B$19*(1-Parameters!$B$20)),1,0)</f>
        <v>0</v>
      </c>
      <c r="W102" s="9" t="n">
        <f aca="false">IF(AND(I102="Manual",M102&gt;0),1,0)</f>
        <v>0</v>
      </c>
      <c r="X102" s="9" t="n">
        <f aca="false">IF(A102-A101&gt;1,1,0)</f>
        <v>0</v>
      </c>
      <c r="Y102" s="9" t="n">
        <f aca="false">N102*Parameters!$B$38+O102*Parameters!$B$39+P102*Parameters!$B$40+Q102*Parameters!$B$41+R102*Parameters!$B$42+S102*Parameters!$B$43+T102*Parameters!$B$44+U102*Parameters!$B$45+V102*Parameters!$B$46+W102*Parameters!$B$47+X102*Parameters!$B$48</f>
        <v>0</v>
      </c>
      <c r="Z102" s="0" t="str">
        <f aca="false">IF(Y102&gt;=Parameters!$B$25,"High","")</f>
        <v/>
      </c>
    </row>
    <row r="103" customFormat="false" ht="15" hidden="false" customHeight="false" outlineLevel="0" collapsed="false">
      <c r="A103" s="16" t="n">
        <v>1103</v>
      </c>
      <c r="B103" s="9" t="n">
        <f aca="false">COUNTIF(JE_Lines!$B$5:$B$1733,A103)</f>
        <v>2</v>
      </c>
      <c r="C103" s="17" t="n">
        <f aca="false">SUMIFS(JE_Lines!$G$5:$G$1733,JE_Lines!$B$5:$B$1733,A103)</f>
        <v>6056.5</v>
      </c>
      <c r="D103" s="17" t="n">
        <f aca="false">SUMIFS(JE_Lines!$H$5:$H$1733,JE_Lines!$B$5:$B$1733,A103)</f>
        <v>6056.5</v>
      </c>
      <c r="E103" s="17" t="n">
        <f aca="false">C103-D103</f>
        <v>0</v>
      </c>
      <c r="F103" s="18" t="n">
        <f aca="false">INDEX(JE_Lines!$C$5:$C$1733,MATCH(A103,JE_Lines!$B$5:$B$1733,0))</f>
        <v>45698</v>
      </c>
      <c r="G103" s="18" t="n">
        <f aca="false">INDEX(JE_Lines!$D$5:$D$1733,MATCH(A103,JE_Lines!$B$5:$B$1733,0))</f>
        <v>45697</v>
      </c>
      <c r="H103" s="0" t="str">
        <f aca="false">INDEX(JE_Lines!$I$5:$I$1733,MATCH(A103,JE_Lines!$B$5:$B$1733,0))</f>
        <v>SYS_AR</v>
      </c>
      <c r="I103" s="0" t="str">
        <f aca="false">INDEX(JE_Lines!$J$5:$J$1733,MATCH(A103,JE_Lines!$B$5:$B$1733,0))</f>
        <v>System</v>
      </c>
      <c r="J103" s="0" t="str">
        <f aca="false">IF(LEN(INDEX(JE_Lines!$K$5:$K$1733,MATCH(A103,JE_Lines!$B$5:$B$1733,0)))=0,"",INDEX(JE_Lines!$K$5:$K$1733,MATCH(A103,JE_Lines!$B$5:$B$1733,0)))</f>
        <v>Customer receipts</v>
      </c>
      <c r="K103" s="9" t="n">
        <f aca="false">F103-G103</f>
        <v>1</v>
      </c>
      <c r="L103" s="9" t="n">
        <f aca="false">COUNTIFS(JE_Lines!$B$5:$B$1733,A103,JE_Lines!$F$5:$F$1733,"Revenue")</f>
        <v>0</v>
      </c>
      <c r="M103" s="9" t="n">
        <f aca="false">COUNTIFS(JE_Lines!$B$5:$B$1733,A103,JE_Lines!$F$5:$F$1733,"Suspense")</f>
        <v>0</v>
      </c>
      <c r="N103" s="9" t="n">
        <f aca="false">IF(ABS(E103)&gt;Parameters!$B$23,1,0)</f>
        <v>0</v>
      </c>
      <c r="O103" s="9" t="n">
        <f aca="false">IF(WEEKDAY(F103,2)&gt;5,1,0)</f>
        <v>0</v>
      </c>
      <c r="P103" s="9" t="n">
        <f aca="false">IF(K103&gt;Parameters!$B$17,1,0)</f>
        <v>0</v>
      </c>
      <c r="Q103" s="9" t="n">
        <f aca="false">IF(AND(F103&lt;=Parameters!$B$6,F103&gt;Parameters!$B$6-Parameters!$B$18),1,0)</f>
        <v>0</v>
      </c>
      <c r="R103" s="9" t="n">
        <f aca="false">IF(COUNTIF(Parameters!$A$51:$A$58,H103)=0,1,0)</f>
        <v>0</v>
      </c>
      <c r="S103" s="9" t="n">
        <f aca="false">IF(AND(I103="Manual",L103&gt;0),1,0)</f>
        <v>0</v>
      </c>
      <c r="T103" s="9" t="n">
        <f aca="false">IF(AND(C103&gt;=Parameters!$B$22,ROUND(MOD(ROUND(C103,2),Parameters!$B$21),2)=0),1,0)</f>
        <v>0</v>
      </c>
      <c r="U103" s="9" t="n">
        <f aca="false">IF(LEN(TRIM(J103))=0,1,0)</f>
        <v>0</v>
      </c>
      <c r="V103" s="9" t="n">
        <f aca="false">IF(AND(I103="Manual",C103&lt;Parameters!$B$19,C103&gt;=Parameters!$B$19*(1-Parameters!$B$20)),1,0)</f>
        <v>0</v>
      </c>
      <c r="W103" s="9" t="n">
        <f aca="false">IF(AND(I103="Manual",M103&gt;0),1,0)</f>
        <v>0</v>
      </c>
      <c r="X103" s="9" t="n">
        <f aca="false">IF(A103-A102&gt;1,1,0)</f>
        <v>0</v>
      </c>
      <c r="Y103" s="9" t="n">
        <f aca="false">N103*Parameters!$B$38+O103*Parameters!$B$39+P103*Parameters!$B$40+Q103*Parameters!$B$41+R103*Parameters!$B$42+S103*Parameters!$B$43+T103*Parameters!$B$44+U103*Parameters!$B$45+V103*Parameters!$B$46+W103*Parameters!$B$47+X103*Parameters!$B$48</f>
        <v>0</v>
      </c>
      <c r="Z103" s="0" t="str">
        <f aca="false">IF(Y103&gt;=Parameters!$B$25,"High","")</f>
        <v/>
      </c>
    </row>
    <row r="104" customFormat="false" ht="15" hidden="false" customHeight="false" outlineLevel="0" collapsed="false">
      <c r="A104" s="16" t="n">
        <v>1104</v>
      </c>
      <c r="B104" s="9" t="n">
        <f aca="false">COUNTIF(JE_Lines!$B$5:$B$1733,A104)</f>
        <v>2</v>
      </c>
      <c r="C104" s="17" t="n">
        <f aca="false">SUMIFS(JE_Lines!$G$5:$G$1733,JE_Lines!$B$5:$B$1733,A104)</f>
        <v>215.62</v>
      </c>
      <c r="D104" s="17" t="n">
        <f aca="false">SUMIFS(JE_Lines!$H$5:$H$1733,JE_Lines!$B$5:$B$1733,A104)</f>
        <v>215.62</v>
      </c>
      <c r="E104" s="17" t="n">
        <f aca="false">C104-D104</f>
        <v>0</v>
      </c>
      <c r="F104" s="18" t="n">
        <f aca="false">INDEX(JE_Lines!$C$5:$C$1733,MATCH(A104,JE_Lines!$B$5:$B$1733,0))</f>
        <v>45698</v>
      </c>
      <c r="G104" s="18" t="n">
        <f aca="false">INDEX(JE_Lines!$D$5:$D$1733,MATCH(A104,JE_Lines!$B$5:$B$1733,0))</f>
        <v>45695</v>
      </c>
      <c r="H104" s="0" t="str">
        <f aca="false">INDEX(JE_Lines!$I$5:$I$1733,MATCH(A104,JE_Lines!$B$5:$B$1733,0))</f>
        <v>SYS_AP</v>
      </c>
      <c r="I104" s="0" t="str">
        <f aca="false">INDEX(JE_Lines!$J$5:$J$1733,MATCH(A104,JE_Lines!$B$5:$B$1733,0))</f>
        <v>System</v>
      </c>
      <c r="J104" s="0" t="str">
        <f aca="false">IF(LEN(INDEX(JE_Lines!$K$5:$K$1733,MATCH(A104,JE_Lines!$B$5:$B$1733,0)))=0,"",INDEX(JE_Lines!$K$5:$K$1733,MATCH(A104,JE_Lines!$B$5:$B$1733,0)))</f>
        <v>Utilities invoices</v>
      </c>
      <c r="K104" s="9" t="n">
        <f aca="false">F104-G104</f>
        <v>3</v>
      </c>
      <c r="L104" s="9" t="n">
        <f aca="false">COUNTIFS(JE_Lines!$B$5:$B$1733,A104,JE_Lines!$F$5:$F$1733,"Revenue")</f>
        <v>0</v>
      </c>
      <c r="M104" s="9" t="n">
        <f aca="false">COUNTIFS(JE_Lines!$B$5:$B$1733,A104,JE_Lines!$F$5:$F$1733,"Suspense")</f>
        <v>0</v>
      </c>
      <c r="N104" s="9" t="n">
        <f aca="false">IF(ABS(E104)&gt;Parameters!$B$23,1,0)</f>
        <v>0</v>
      </c>
      <c r="O104" s="9" t="n">
        <f aca="false">IF(WEEKDAY(F104,2)&gt;5,1,0)</f>
        <v>0</v>
      </c>
      <c r="P104" s="9" t="n">
        <f aca="false">IF(K104&gt;Parameters!$B$17,1,0)</f>
        <v>0</v>
      </c>
      <c r="Q104" s="9" t="n">
        <f aca="false">IF(AND(F104&lt;=Parameters!$B$6,F104&gt;Parameters!$B$6-Parameters!$B$18),1,0)</f>
        <v>0</v>
      </c>
      <c r="R104" s="9" t="n">
        <f aca="false">IF(COUNTIF(Parameters!$A$51:$A$58,H104)=0,1,0)</f>
        <v>0</v>
      </c>
      <c r="S104" s="9" t="n">
        <f aca="false">IF(AND(I104="Manual",L104&gt;0),1,0)</f>
        <v>0</v>
      </c>
      <c r="T104" s="9" t="n">
        <f aca="false">IF(AND(C104&gt;=Parameters!$B$22,ROUND(MOD(ROUND(C104,2),Parameters!$B$21),2)=0),1,0)</f>
        <v>0</v>
      </c>
      <c r="U104" s="9" t="n">
        <f aca="false">IF(LEN(TRIM(J104))=0,1,0)</f>
        <v>0</v>
      </c>
      <c r="V104" s="9" t="n">
        <f aca="false">IF(AND(I104="Manual",C104&lt;Parameters!$B$19,C104&gt;=Parameters!$B$19*(1-Parameters!$B$20)),1,0)</f>
        <v>0</v>
      </c>
      <c r="W104" s="9" t="n">
        <f aca="false">IF(AND(I104="Manual",M104&gt;0),1,0)</f>
        <v>0</v>
      </c>
      <c r="X104" s="9" t="n">
        <f aca="false">IF(A104-A103&gt;1,1,0)</f>
        <v>0</v>
      </c>
      <c r="Y104" s="9" t="n">
        <f aca="false">N104*Parameters!$B$38+O104*Parameters!$B$39+P104*Parameters!$B$40+Q104*Parameters!$B$41+R104*Parameters!$B$42+S104*Parameters!$B$43+T104*Parameters!$B$44+U104*Parameters!$B$45+V104*Parameters!$B$46+W104*Parameters!$B$47+X104*Parameters!$B$48</f>
        <v>0</v>
      </c>
      <c r="Z104" s="0" t="str">
        <f aca="false">IF(Y104&gt;=Parameters!$B$25,"High","")</f>
        <v/>
      </c>
    </row>
    <row r="105" customFormat="false" ht="15" hidden="false" customHeight="false" outlineLevel="0" collapsed="false">
      <c r="A105" s="16" t="n">
        <v>1105</v>
      </c>
      <c r="B105" s="9" t="n">
        <f aca="false">COUNTIF(JE_Lines!$B$5:$B$1733,A105)</f>
        <v>2</v>
      </c>
      <c r="C105" s="17" t="n">
        <f aca="false">SUMIFS(JE_Lines!$G$5:$G$1733,JE_Lines!$B$5:$B$1733,A105)</f>
        <v>204.13</v>
      </c>
      <c r="D105" s="17" t="n">
        <f aca="false">SUMIFS(JE_Lines!$H$5:$H$1733,JE_Lines!$B$5:$B$1733,A105)</f>
        <v>204.13</v>
      </c>
      <c r="E105" s="17" t="n">
        <f aca="false">C105-D105</f>
        <v>0</v>
      </c>
      <c r="F105" s="18" t="n">
        <f aca="false">INDEX(JE_Lines!$C$5:$C$1733,MATCH(A105,JE_Lines!$B$5:$B$1733,0))</f>
        <v>45699</v>
      </c>
      <c r="G105" s="18" t="n">
        <f aca="false">INDEX(JE_Lines!$D$5:$D$1733,MATCH(A105,JE_Lines!$B$5:$B$1733,0))</f>
        <v>45699</v>
      </c>
      <c r="H105" s="0" t="str">
        <f aca="false">INDEX(JE_Lines!$I$5:$I$1733,MATCH(A105,JE_Lines!$B$5:$B$1733,0))</f>
        <v>SYS_AR</v>
      </c>
      <c r="I105" s="0" t="str">
        <f aca="false">INDEX(JE_Lines!$J$5:$J$1733,MATCH(A105,JE_Lines!$B$5:$B$1733,0))</f>
        <v>System</v>
      </c>
      <c r="J105" s="0" t="str">
        <f aca="false">IF(LEN(INDEX(JE_Lines!$K$5:$K$1733,MATCH(A105,JE_Lines!$B$5:$B$1733,0)))=0,"",INDEX(JE_Lines!$K$5:$K$1733,MATCH(A105,JE_Lines!$B$5:$B$1733,0)))</f>
        <v>Customer receipts</v>
      </c>
      <c r="K105" s="9" t="n">
        <f aca="false">F105-G105</f>
        <v>0</v>
      </c>
      <c r="L105" s="9" t="n">
        <f aca="false">COUNTIFS(JE_Lines!$B$5:$B$1733,A105,JE_Lines!$F$5:$F$1733,"Revenue")</f>
        <v>0</v>
      </c>
      <c r="M105" s="9" t="n">
        <f aca="false">COUNTIFS(JE_Lines!$B$5:$B$1733,A105,JE_Lines!$F$5:$F$1733,"Suspense")</f>
        <v>0</v>
      </c>
      <c r="N105" s="9" t="n">
        <f aca="false">IF(ABS(E105)&gt;Parameters!$B$23,1,0)</f>
        <v>0</v>
      </c>
      <c r="O105" s="9" t="n">
        <f aca="false">IF(WEEKDAY(F105,2)&gt;5,1,0)</f>
        <v>0</v>
      </c>
      <c r="P105" s="9" t="n">
        <f aca="false">IF(K105&gt;Parameters!$B$17,1,0)</f>
        <v>0</v>
      </c>
      <c r="Q105" s="9" t="n">
        <f aca="false">IF(AND(F105&lt;=Parameters!$B$6,F105&gt;Parameters!$B$6-Parameters!$B$18),1,0)</f>
        <v>0</v>
      </c>
      <c r="R105" s="9" t="n">
        <f aca="false">IF(COUNTIF(Parameters!$A$51:$A$58,H105)=0,1,0)</f>
        <v>0</v>
      </c>
      <c r="S105" s="9" t="n">
        <f aca="false">IF(AND(I105="Manual",L105&gt;0),1,0)</f>
        <v>0</v>
      </c>
      <c r="T105" s="9" t="n">
        <f aca="false">IF(AND(C105&gt;=Parameters!$B$22,ROUND(MOD(ROUND(C105,2),Parameters!$B$21),2)=0),1,0)</f>
        <v>0</v>
      </c>
      <c r="U105" s="9" t="n">
        <f aca="false">IF(LEN(TRIM(J105))=0,1,0)</f>
        <v>0</v>
      </c>
      <c r="V105" s="9" t="n">
        <f aca="false">IF(AND(I105="Manual",C105&lt;Parameters!$B$19,C105&gt;=Parameters!$B$19*(1-Parameters!$B$20)),1,0)</f>
        <v>0</v>
      </c>
      <c r="W105" s="9" t="n">
        <f aca="false">IF(AND(I105="Manual",M105&gt;0),1,0)</f>
        <v>0</v>
      </c>
      <c r="X105" s="9" t="n">
        <f aca="false">IF(A105-A104&gt;1,1,0)</f>
        <v>0</v>
      </c>
      <c r="Y105" s="9" t="n">
        <f aca="false">N105*Parameters!$B$38+O105*Parameters!$B$39+P105*Parameters!$B$40+Q105*Parameters!$B$41+R105*Parameters!$B$42+S105*Parameters!$B$43+T105*Parameters!$B$44+U105*Parameters!$B$45+V105*Parameters!$B$46+W105*Parameters!$B$47+X105*Parameters!$B$48</f>
        <v>0</v>
      </c>
      <c r="Z105" s="0" t="str">
        <f aca="false">IF(Y105&gt;=Parameters!$B$25,"High","")</f>
        <v/>
      </c>
    </row>
    <row r="106" customFormat="false" ht="15" hidden="false" customHeight="false" outlineLevel="0" collapsed="false">
      <c r="A106" s="16" t="n">
        <v>1106</v>
      </c>
      <c r="B106" s="9" t="n">
        <f aca="false">COUNTIF(JE_Lines!$B$5:$B$1733,A106)</f>
        <v>3</v>
      </c>
      <c r="C106" s="17" t="n">
        <f aca="false">SUMIFS(JE_Lines!$G$5:$G$1733,JE_Lines!$B$5:$B$1733,A106)</f>
        <v>335.96</v>
      </c>
      <c r="D106" s="17" t="n">
        <f aca="false">SUMIFS(JE_Lines!$H$5:$H$1733,JE_Lines!$B$5:$B$1733,A106)</f>
        <v>335.96</v>
      </c>
      <c r="E106" s="17" t="n">
        <f aca="false">C106-D106</f>
        <v>0</v>
      </c>
      <c r="F106" s="18" t="n">
        <f aca="false">INDEX(JE_Lines!$C$5:$C$1733,MATCH(A106,JE_Lines!$B$5:$B$1733,0))</f>
        <v>45699</v>
      </c>
      <c r="G106" s="18" t="n">
        <f aca="false">INDEX(JE_Lines!$D$5:$D$1733,MATCH(A106,JE_Lines!$B$5:$B$1733,0))</f>
        <v>45698</v>
      </c>
      <c r="H106" s="0" t="str">
        <f aca="false">INDEX(JE_Lines!$I$5:$I$1733,MATCH(A106,JE_Lines!$B$5:$B$1733,0))</f>
        <v>SYS_PAY</v>
      </c>
      <c r="I106" s="0" t="str">
        <f aca="false">INDEX(JE_Lines!$J$5:$J$1733,MATCH(A106,JE_Lines!$B$5:$B$1733,0))</f>
        <v>System</v>
      </c>
      <c r="J106" s="0" t="str">
        <f aca="false">IF(LEN(INDEX(JE_Lines!$K$5:$K$1733,MATCH(A106,JE_Lines!$B$5:$B$1733,0)))=0,"",INDEX(JE_Lines!$K$5:$K$1733,MATCH(A106,JE_Lines!$B$5:$B$1733,0)))</f>
        <v>Supplier payments</v>
      </c>
      <c r="K106" s="9" t="n">
        <f aca="false">F106-G106</f>
        <v>1</v>
      </c>
      <c r="L106" s="9" t="n">
        <f aca="false">COUNTIFS(JE_Lines!$B$5:$B$1733,A106,JE_Lines!$F$5:$F$1733,"Revenue")</f>
        <v>0</v>
      </c>
      <c r="M106" s="9" t="n">
        <f aca="false">COUNTIFS(JE_Lines!$B$5:$B$1733,A106,JE_Lines!$F$5:$F$1733,"Suspense")</f>
        <v>0</v>
      </c>
      <c r="N106" s="9" t="n">
        <f aca="false">IF(ABS(E106)&gt;Parameters!$B$23,1,0)</f>
        <v>0</v>
      </c>
      <c r="O106" s="9" t="n">
        <f aca="false">IF(WEEKDAY(F106,2)&gt;5,1,0)</f>
        <v>0</v>
      </c>
      <c r="P106" s="9" t="n">
        <f aca="false">IF(K106&gt;Parameters!$B$17,1,0)</f>
        <v>0</v>
      </c>
      <c r="Q106" s="9" t="n">
        <f aca="false">IF(AND(F106&lt;=Parameters!$B$6,F106&gt;Parameters!$B$6-Parameters!$B$18),1,0)</f>
        <v>0</v>
      </c>
      <c r="R106" s="9" t="n">
        <f aca="false">IF(COUNTIF(Parameters!$A$51:$A$58,H106)=0,1,0)</f>
        <v>0</v>
      </c>
      <c r="S106" s="9" t="n">
        <f aca="false">IF(AND(I106="Manual",L106&gt;0),1,0)</f>
        <v>0</v>
      </c>
      <c r="T106" s="9" t="n">
        <f aca="false">IF(AND(C106&gt;=Parameters!$B$22,ROUND(MOD(ROUND(C106,2),Parameters!$B$21),2)=0),1,0)</f>
        <v>0</v>
      </c>
      <c r="U106" s="9" t="n">
        <f aca="false">IF(LEN(TRIM(J106))=0,1,0)</f>
        <v>0</v>
      </c>
      <c r="V106" s="9" t="n">
        <f aca="false">IF(AND(I106="Manual",C106&lt;Parameters!$B$19,C106&gt;=Parameters!$B$19*(1-Parameters!$B$20)),1,0)</f>
        <v>0</v>
      </c>
      <c r="W106" s="9" t="n">
        <f aca="false">IF(AND(I106="Manual",M106&gt;0),1,0)</f>
        <v>0</v>
      </c>
      <c r="X106" s="9" t="n">
        <f aca="false">IF(A106-A105&gt;1,1,0)</f>
        <v>0</v>
      </c>
      <c r="Y106" s="9" t="n">
        <f aca="false">N106*Parameters!$B$38+O106*Parameters!$B$39+P106*Parameters!$B$40+Q106*Parameters!$B$41+R106*Parameters!$B$42+S106*Parameters!$B$43+T106*Parameters!$B$44+U106*Parameters!$B$45+V106*Parameters!$B$46+W106*Parameters!$B$47+X106*Parameters!$B$48</f>
        <v>0</v>
      </c>
      <c r="Z106" s="0" t="str">
        <f aca="false">IF(Y106&gt;=Parameters!$B$25,"High","")</f>
        <v/>
      </c>
    </row>
    <row r="107" customFormat="false" ht="15" hidden="false" customHeight="false" outlineLevel="0" collapsed="false">
      <c r="A107" s="16" t="n">
        <v>1107</v>
      </c>
      <c r="B107" s="9" t="n">
        <f aca="false">COUNTIF(JE_Lines!$B$5:$B$1733,A107)</f>
        <v>2</v>
      </c>
      <c r="C107" s="17" t="n">
        <f aca="false">SUMIFS(JE_Lines!$G$5:$G$1733,JE_Lines!$B$5:$B$1733,A107)</f>
        <v>61989.52</v>
      </c>
      <c r="D107" s="17" t="n">
        <f aca="false">SUMIFS(JE_Lines!$H$5:$H$1733,JE_Lines!$B$5:$B$1733,A107)</f>
        <v>61989.52</v>
      </c>
      <c r="E107" s="17" t="n">
        <f aca="false">C107-D107</f>
        <v>0</v>
      </c>
      <c r="F107" s="18" t="n">
        <f aca="false">INDEX(JE_Lines!$C$5:$C$1733,MATCH(A107,JE_Lines!$B$5:$B$1733,0))</f>
        <v>45699</v>
      </c>
      <c r="G107" s="18" t="n">
        <f aca="false">INDEX(JE_Lines!$D$5:$D$1733,MATCH(A107,JE_Lines!$B$5:$B$1733,0))</f>
        <v>45696</v>
      </c>
      <c r="H107" s="0" t="str">
        <f aca="false">INDEX(JE_Lines!$I$5:$I$1733,MATCH(A107,JE_Lines!$B$5:$B$1733,0))</f>
        <v>SYS_AR</v>
      </c>
      <c r="I107" s="0" t="str">
        <f aca="false">INDEX(JE_Lines!$J$5:$J$1733,MATCH(A107,JE_Lines!$B$5:$B$1733,0))</f>
        <v>System</v>
      </c>
      <c r="J107" s="0" t="str">
        <f aca="false">IF(LEN(INDEX(JE_Lines!$K$5:$K$1733,MATCH(A107,JE_Lines!$B$5:$B$1733,0)))=0,"",INDEX(JE_Lines!$K$5:$K$1733,MATCH(A107,JE_Lines!$B$5:$B$1733,0)))</f>
        <v>Customer receipts</v>
      </c>
      <c r="K107" s="9" t="n">
        <f aca="false">F107-G107</f>
        <v>3</v>
      </c>
      <c r="L107" s="9" t="n">
        <f aca="false">COUNTIFS(JE_Lines!$B$5:$B$1733,A107,JE_Lines!$F$5:$F$1733,"Revenue")</f>
        <v>0</v>
      </c>
      <c r="M107" s="9" t="n">
        <f aca="false">COUNTIFS(JE_Lines!$B$5:$B$1733,A107,JE_Lines!$F$5:$F$1733,"Suspense")</f>
        <v>0</v>
      </c>
      <c r="N107" s="9" t="n">
        <f aca="false">IF(ABS(E107)&gt;Parameters!$B$23,1,0)</f>
        <v>0</v>
      </c>
      <c r="O107" s="9" t="n">
        <f aca="false">IF(WEEKDAY(F107,2)&gt;5,1,0)</f>
        <v>0</v>
      </c>
      <c r="P107" s="9" t="n">
        <f aca="false">IF(K107&gt;Parameters!$B$17,1,0)</f>
        <v>0</v>
      </c>
      <c r="Q107" s="9" t="n">
        <f aca="false">IF(AND(F107&lt;=Parameters!$B$6,F107&gt;Parameters!$B$6-Parameters!$B$18),1,0)</f>
        <v>0</v>
      </c>
      <c r="R107" s="9" t="n">
        <f aca="false">IF(COUNTIF(Parameters!$A$51:$A$58,H107)=0,1,0)</f>
        <v>0</v>
      </c>
      <c r="S107" s="9" t="n">
        <f aca="false">IF(AND(I107="Manual",L107&gt;0),1,0)</f>
        <v>0</v>
      </c>
      <c r="T107" s="9" t="n">
        <f aca="false">IF(AND(C107&gt;=Parameters!$B$22,ROUND(MOD(ROUND(C107,2),Parameters!$B$21),2)=0),1,0)</f>
        <v>0</v>
      </c>
      <c r="U107" s="9" t="n">
        <f aca="false">IF(LEN(TRIM(J107))=0,1,0)</f>
        <v>0</v>
      </c>
      <c r="V107" s="9" t="n">
        <f aca="false">IF(AND(I107="Manual",C107&lt;Parameters!$B$19,C107&gt;=Parameters!$B$19*(1-Parameters!$B$20)),1,0)</f>
        <v>0</v>
      </c>
      <c r="W107" s="9" t="n">
        <f aca="false">IF(AND(I107="Manual",M107&gt;0),1,0)</f>
        <v>0</v>
      </c>
      <c r="X107" s="9" t="n">
        <f aca="false">IF(A107-A106&gt;1,1,0)</f>
        <v>0</v>
      </c>
      <c r="Y107" s="9" t="n">
        <f aca="false">N107*Parameters!$B$38+O107*Parameters!$B$39+P107*Parameters!$B$40+Q107*Parameters!$B$41+R107*Parameters!$B$42+S107*Parameters!$B$43+T107*Parameters!$B$44+U107*Parameters!$B$45+V107*Parameters!$B$46+W107*Parameters!$B$47+X107*Parameters!$B$48</f>
        <v>0</v>
      </c>
      <c r="Z107" s="0" t="str">
        <f aca="false">IF(Y107&gt;=Parameters!$B$25,"High","")</f>
        <v/>
      </c>
    </row>
    <row r="108" customFormat="false" ht="15" hidden="false" customHeight="false" outlineLevel="0" collapsed="false">
      <c r="A108" s="16" t="n">
        <v>1108</v>
      </c>
      <c r="B108" s="9" t="n">
        <f aca="false">COUNTIF(JE_Lines!$B$5:$B$1733,A108)</f>
        <v>2</v>
      </c>
      <c r="C108" s="17" t="n">
        <f aca="false">SUMIFS(JE_Lines!$G$5:$G$1733,JE_Lines!$B$5:$B$1733,A108)</f>
        <v>8620.12</v>
      </c>
      <c r="D108" s="17" t="n">
        <f aca="false">SUMIFS(JE_Lines!$H$5:$H$1733,JE_Lines!$B$5:$B$1733,A108)</f>
        <v>8620.12</v>
      </c>
      <c r="E108" s="17" t="n">
        <f aca="false">C108-D108</f>
        <v>0</v>
      </c>
      <c r="F108" s="18" t="n">
        <f aca="false">INDEX(JE_Lines!$C$5:$C$1733,MATCH(A108,JE_Lines!$B$5:$B$1733,0))</f>
        <v>45699</v>
      </c>
      <c r="G108" s="18" t="n">
        <f aca="false">INDEX(JE_Lines!$D$5:$D$1733,MATCH(A108,JE_Lines!$B$5:$B$1733,0))</f>
        <v>45697</v>
      </c>
      <c r="H108" s="0" t="str">
        <f aca="false">INDEX(JE_Lines!$I$5:$I$1733,MATCH(A108,JE_Lines!$B$5:$B$1733,0))</f>
        <v>SYS_AR</v>
      </c>
      <c r="I108" s="0" t="str">
        <f aca="false">INDEX(JE_Lines!$J$5:$J$1733,MATCH(A108,JE_Lines!$B$5:$B$1733,0))</f>
        <v>System</v>
      </c>
      <c r="J108" s="0" t="str">
        <f aca="false">IF(LEN(INDEX(JE_Lines!$K$5:$K$1733,MATCH(A108,JE_Lines!$B$5:$B$1733,0)))=0,"",INDEX(JE_Lines!$K$5:$K$1733,MATCH(A108,JE_Lines!$B$5:$B$1733,0)))</f>
        <v>Sales invoice batch</v>
      </c>
      <c r="K108" s="9" t="n">
        <f aca="false">F108-G108</f>
        <v>2</v>
      </c>
      <c r="L108" s="9" t="n">
        <f aca="false">COUNTIFS(JE_Lines!$B$5:$B$1733,A108,JE_Lines!$F$5:$F$1733,"Revenue")</f>
        <v>1</v>
      </c>
      <c r="M108" s="9" t="n">
        <f aca="false">COUNTIFS(JE_Lines!$B$5:$B$1733,A108,JE_Lines!$F$5:$F$1733,"Suspense")</f>
        <v>0</v>
      </c>
      <c r="N108" s="9" t="n">
        <f aca="false">IF(ABS(E108)&gt;Parameters!$B$23,1,0)</f>
        <v>0</v>
      </c>
      <c r="O108" s="9" t="n">
        <f aca="false">IF(WEEKDAY(F108,2)&gt;5,1,0)</f>
        <v>0</v>
      </c>
      <c r="P108" s="9" t="n">
        <f aca="false">IF(K108&gt;Parameters!$B$17,1,0)</f>
        <v>0</v>
      </c>
      <c r="Q108" s="9" t="n">
        <f aca="false">IF(AND(F108&lt;=Parameters!$B$6,F108&gt;Parameters!$B$6-Parameters!$B$18),1,0)</f>
        <v>0</v>
      </c>
      <c r="R108" s="9" t="n">
        <f aca="false">IF(COUNTIF(Parameters!$A$51:$A$58,H108)=0,1,0)</f>
        <v>0</v>
      </c>
      <c r="S108" s="9" t="n">
        <f aca="false">IF(AND(I108="Manual",L108&gt;0),1,0)</f>
        <v>0</v>
      </c>
      <c r="T108" s="9" t="n">
        <f aca="false">IF(AND(C108&gt;=Parameters!$B$22,ROUND(MOD(ROUND(C108,2),Parameters!$B$21),2)=0),1,0)</f>
        <v>0</v>
      </c>
      <c r="U108" s="9" t="n">
        <f aca="false">IF(LEN(TRIM(J108))=0,1,0)</f>
        <v>0</v>
      </c>
      <c r="V108" s="9" t="n">
        <f aca="false">IF(AND(I108="Manual",C108&lt;Parameters!$B$19,C108&gt;=Parameters!$B$19*(1-Parameters!$B$20)),1,0)</f>
        <v>0</v>
      </c>
      <c r="W108" s="9" t="n">
        <f aca="false">IF(AND(I108="Manual",M108&gt;0),1,0)</f>
        <v>0</v>
      </c>
      <c r="X108" s="9" t="n">
        <f aca="false">IF(A108-A107&gt;1,1,0)</f>
        <v>0</v>
      </c>
      <c r="Y108" s="9" t="n">
        <f aca="false">N108*Parameters!$B$38+O108*Parameters!$B$39+P108*Parameters!$B$40+Q108*Parameters!$B$41+R108*Parameters!$B$42+S108*Parameters!$B$43+T108*Parameters!$B$44+U108*Parameters!$B$45+V108*Parameters!$B$46+W108*Parameters!$B$47+X108*Parameters!$B$48</f>
        <v>0</v>
      </c>
      <c r="Z108" s="0" t="str">
        <f aca="false">IF(Y108&gt;=Parameters!$B$25,"High","")</f>
        <v/>
      </c>
    </row>
    <row r="109" customFormat="false" ht="15" hidden="false" customHeight="false" outlineLevel="0" collapsed="false">
      <c r="A109" s="16" t="n">
        <v>1109</v>
      </c>
      <c r="B109" s="9" t="n">
        <f aca="false">COUNTIF(JE_Lines!$B$5:$B$1733,A109)</f>
        <v>2</v>
      </c>
      <c r="C109" s="17" t="n">
        <f aca="false">SUMIFS(JE_Lines!$G$5:$G$1733,JE_Lines!$B$5:$B$1733,A109)</f>
        <v>63199.04</v>
      </c>
      <c r="D109" s="17" t="n">
        <f aca="false">SUMIFS(JE_Lines!$H$5:$H$1733,JE_Lines!$B$5:$B$1733,A109)</f>
        <v>63199.04</v>
      </c>
      <c r="E109" s="17" t="n">
        <f aca="false">C109-D109</f>
        <v>0</v>
      </c>
      <c r="F109" s="18" t="n">
        <f aca="false">INDEX(JE_Lines!$C$5:$C$1733,MATCH(A109,JE_Lines!$B$5:$B$1733,0))</f>
        <v>45700</v>
      </c>
      <c r="G109" s="18" t="n">
        <f aca="false">INDEX(JE_Lines!$D$5:$D$1733,MATCH(A109,JE_Lines!$B$5:$B$1733,0))</f>
        <v>45699</v>
      </c>
      <c r="H109" s="0" t="str">
        <f aca="false">INDEX(JE_Lines!$I$5:$I$1733,MATCH(A109,JE_Lines!$B$5:$B$1733,0))</f>
        <v>SYS_PAY</v>
      </c>
      <c r="I109" s="0" t="str">
        <f aca="false">INDEX(JE_Lines!$J$5:$J$1733,MATCH(A109,JE_Lines!$B$5:$B$1733,0))</f>
        <v>System</v>
      </c>
      <c r="J109" s="0" t="str">
        <f aca="false">IF(LEN(INDEX(JE_Lines!$K$5:$K$1733,MATCH(A109,JE_Lines!$B$5:$B$1733,0)))=0,"",INDEX(JE_Lines!$K$5:$K$1733,MATCH(A109,JE_Lines!$B$5:$B$1733,0)))</f>
        <v>Supplier payments</v>
      </c>
      <c r="K109" s="9" t="n">
        <f aca="false">F109-G109</f>
        <v>1</v>
      </c>
      <c r="L109" s="9" t="n">
        <f aca="false">COUNTIFS(JE_Lines!$B$5:$B$1733,A109,JE_Lines!$F$5:$F$1733,"Revenue")</f>
        <v>0</v>
      </c>
      <c r="M109" s="9" t="n">
        <f aca="false">COUNTIFS(JE_Lines!$B$5:$B$1733,A109,JE_Lines!$F$5:$F$1733,"Suspense")</f>
        <v>0</v>
      </c>
      <c r="N109" s="9" t="n">
        <f aca="false">IF(ABS(E109)&gt;Parameters!$B$23,1,0)</f>
        <v>0</v>
      </c>
      <c r="O109" s="9" t="n">
        <f aca="false">IF(WEEKDAY(F109,2)&gt;5,1,0)</f>
        <v>0</v>
      </c>
      <c r="P109" s="9" t="n">
        <f aca="false">IF(K109&gt;Parameters!$B$17,1,0)</f>
        <v>0</v>
      </c>
      <c r="Q109" s="9" t="n">
        <f aca="false">IF(AND(F109&lt;=Parameters!$B$6,F109&gt;Parameters!$B$6-Parameters!$B$18),1,0)</f>
        <v>0</v>
      </c>
      <c r="R109" s="9" t="n">
        <f aca="false">IF(COUNTIF(Parameters!$A$51:$A$58,H109)=0,1,0)</f>
        <v>0</v>
      </c>
      <c r="S109" s="9" t="n">
        <f aca="false">IF(AND(I109="Manual",L109&gt;0),1,0)</f>
        <v>0</v>
      </c>
      <c r="T109" s="9" t="n">
        <f aca="false">IF(AND(C109&gt;=Parameters!$B$22,ROUND(MOD(ROUND(C109,2),Parameters!$B$21),2)=0),1,0)</f>
        <v>0</v>
      </c>
      <c r="U109" s="9" t="n">
        <f aca="false">IF(LEN(TRIM(J109))=0,1,0)</f>
        <v>0</v>
      </c>
      <c r="V109" s="9" t="n">
        <f aca="false">IF(AND(I109="Manual",C109&lt;Parameters!$B$19,C109&gt;=Parameters!$B$19*(1-Parameters!$B$20)),1,0)</f>
        <v>0</v>
      </c>
      <c r="W109" s="9" t="n">
        <f aca="false">IF(AND(I109="Manual",M109&gt;0),1,0)</f>
        <v>0</v>
      </c>
      <c r="X109" s="9" t="n">
        <f aca="false">IF(A109-A108&gt;1,1,0)</f>
        <v>0</v>
      </c>
      <c r="Y109" s="9" t="n">
        <f aca="false">N109*Parameters!$B$38+O109*Parameters!$B$39+P109*Parameters!$B$40+Q109*Parameters!$B$41+R109*Parameters!$B$42+S109*Parameters!$B$43+T109*Parameters!$B$44+U109*Parameters!$B$45+V109*Parameters!$B$46+W109*Parameters!$B$47+X109*Parameters!$B$48</f>
        <v>0</v>
      </c>
      <c r="Z109" s="0" t="str">
        <f aca="false">IF(Y109&gt;=Parameters!$B$25,"High","")</f>
        <v/>
      </c>
    </row>
    <row r="110" customFormat="false" ht="15" hidden="false" customHeight="false" outlineLevel="0" collapsed="false">
      <c r="A110" s="16" t="n">
        <v>1110</v>
      </c>
      <c r="B110" s="9" t="n">
        <f aca="false">COUNTIF(JE_Lines!$B$5:$B$1733,A110)</f>
        <v>2</v>
      </c>
      <c r="C110" s="17" t="n">
        <f aca="false">SUMIFS(JE_Lines!$G$5:$G$1733,JE_Lines!$B$5:$B$1733,A110)</f>
        <v>21285.2</v>
      </c>
      <c r="D110" s="17" t="n">
        <f aca="false">SUMIFS(JE_Lines!$H$5:$H$1733,JE_Lines!$B$5:$B$1733,A110)</f>
        <v>21285.2</v>
      </c>
      <c r="E110" s="17" t="n">
        <f aca="false">C110-D110</f>
        <v>0</v>
      </c>
      <c r="F110" s="18" t="n">
        <f aca="false">INDEX(JE_Lines!$C$5:$C$1733,MATCH(A110,JE_Lines!$B$5:$B$1733,0))</f>
        <v>45700</v>
      </c>
      <c r="G110" s="18" t="n">
        <f aca="false">INDEX(JE_Lines!$D$5:$D$1733,MATCH(A110,JE_Lines!$B$5:$B$1733,0))</f>
        <v>45698</v>
      </c>
      <c r="H110" s="0" t="str">
        <f aca="false">INDEX(JE_Lines!$I$5:$I$1733,MATCH(A110,JE_Lines!$B$5:$B$1733,0))</f>
        <v>FIN01</v>
      </c>
      <c r="I110" s="0" t="str">
        <f aca="false">INDEX(JE_Lines!$J$5:$J$1733,MATCH(A110,JE_Lines!$B$5:$B$1733,0))</f>
        <v>Manual</v>
      </c>
      <c r="J110" s="0" t="str">
        <f aca="false">IF(LEN(INDEX(JE_Lines!$K$5:$K$1733,MATCH(A110,JE_Lines!$B$5:$B$1733,0)))=0,"",INDEX(JE_Lines!$K$5:$K$1733,MATCH(A110,JE_Lines!$B$5:$B$1733,0)))</f>
        <v>Accrual reversal</v>
      </c>
      <c r="K110" s="9" t="n">
        <f aca="false">F110-G110</f>
        <v>2</v>
      </c>
      <c r="L110" s="9" t="n">
        <f aca="false">COUNTIFS(JE_Lines!$B$5:$B$1733,A110,JE_Lines!$F$5:$F$1733,"Revenue")</f>
        <v>0</v>
      </c>
      <c r="M110" s="9" t="n">
        <f aca="false">COUNTIFS(JE_Lines!$B$5:$B$1733,A110,JE_Lines!$F$5:$F$1733,"Suspense")</f>
        <v>0</v>
      </c>
      <c r="N110" s="9" t="n">
        <f aca="false">IF(ABS(E110)&gt;Parameters!$B$23,1,0)</f>
        <v>0</v>
      </c>
      <c r="O110" s="9" t="n">
        <f aca="false">IF(WEEKDAY(F110,2)&gt;5,1,0)</f>
        <v>0</v>
      </c>
      <c r="P110" s="9" t="n">
        <f aca="false">IF(K110&gt;Parameters!$B$17,1,0)</f>
        <v>0</v>
      </c>
      <c r="Q110" s="9" t="n">
        <f aca="false">IF(AND(F110&lt;=Parameters!$B$6,F110&gt;Parameters!$B$6-Parameters!$B$18),1,0)</f>
        <v>0</v>
      </c>
      <c r="R110" s="9" t="n">
        <f aca="false">IF(COUNTIF(Parameters!$A$51:$A$58,H110)=0,1,0)</f>
        <v>0</v>
      </c>
      <c r="S110" s="9" t="n">
        <f aca="false">IF(AND(I110="Manual",L110&gt;0),1,0)</f>
        <v>0</v>
      </c>
      <c r="T110" s="9" t="n">
        <f aca="false">IF(AND(C110&gt;=Parameters!$B$22,ROUND(MOD(ROUND(C110,2),Parameters!$B$21),2)=0),1,0)</f>
        <v>0</v>
      </c>
      <c r="U110" s="9" t="n">
        <f aca="false">IF(LEN(TRIM(J110))=0,1,0)</f>
        <v>0</v>
      </c>
      <c r="V110" s="9" t="n">
        <f aca="false">IF(AND(I110="Manual",C110&lt;Parameters!$B$19,C110&gt;=Parameters!$B$19*(1-Parameters!$B$20)),1,0)</f>
        <v>0</v>
      </c>
      <c r="W110" s="9" t="n">
        <f aca="false">IF(AND(I110="Manual",M110&gt;0),1,0)</f>
        <v>0</v>
      </c>
      <c r="X110" s="9" t="n">
        <f aca="false">IF(A110-A109&gt;1,1,0)</f>
        <v>0</v>
      </c>
      <c r="Y110" s="9" t="n">
        <f aca="false">N110*Parameters!$B$38+O110*Parameters!$B$39+P110*Parameters!$B$40+Q110*Parameters!$B$41+R110*Parameters!$B$42+S110*Parameters!$B$43+T110*Parameters!$B$44+U110*Parameters!$B$45+V110*Parameters!$B$46+W110*Parameters!$B$47+X110*Parameters!$B$48</f>
        <v>0</v>
      </c>
      <c r="Z110" s="0" t="str">
        <f aca="false">IF(Y110&gt;=Parameters!$B$25,"High","")</f>
        <v/>
      </c>
    </row>
    <row r="111" customFormat="false" ht="15" hidden="false" customHeight="false" outlineLevel="0" collapsed="false">
      <c r="A111" s="16" t="n">
        <v>1111</v>
      </c>
      <c r="B111" s="9" t="n">
        <f aca="false">COUNTIF(JE_Lines!$B$5:$B$1733,A111)</f>
        <v>2</v>
      </c>
      <c r="C111" s="17" t="n">
        <f aca="false">SUMIFS(JE_Lines!$G$5:$G$1733,JE_Lines!$B$5:$B$1733,A111)</f>
        <v>354.16</v>
      </c>
      <c r="D111" s="17" t="n">
        <f aca="false">SUMIFS(JE_Lines!$H$5:$H$1733,JE_Lines!$B$5:$B$1733,A111)</f>
        <v>354.16</v>
      </c>
      <c r="E111" s="17" t="n">
        <f aca="false">C111-D111</f>
        <v>0</v>
      </c>
      <c r="F111" s="18" t="n">
        <f aca="false">INDEX(JE_Lines!$C$5:$C$1733,MATCH(A111,JE_Lines!$B$5:$B$1733,0))</f>
        <v>45700</v>
      </c>
      <c r="G111" s="18" t="n">
        <f aca="false">INDEX(JE_Lines!$D$5:$D$1733,MATCH(A111,JE_Lines!$B$5:$B$1733,0))</f>
        <v>45698</v>
      </c>
      <c r="H111" s="0" t="str">
        <f aca="false">INDEX(JE_Lines!$I$5:$I$1733,MATCH(A111,JE_Lines!$B$5:$B$1733,0))</f>
        <v>SYS_AR</v>
      </c>
      <c r="I111" s="0" t="str">
        <f aca="false">INDEX(JE_Lines!$J$5:$J$1733,MATCH(A111,JE_Lines!$B$5:$B$1733,0))</f>
        <v>System</v>
      </c>
      <c r="J111" s="0" t="str">
        <f aca="false">IF(LEN(INDEX(JE_Lines!$K$5:$K$1733,MATCH(A111,JE_Lines!$B$5:$B$1733,0)))=0,"",INDEX(JE_Lines!$K$5:$K$1733,MATCH(A111,JE_Lines!$B$5:$B$1733,0)))</f>
        <v>Sales invoice batch</v>
      </c>
      <c r="K111" s="9" t="n">
        <f aca="false">F111-G111</f>
        <v>2</v>
      </c>
      <c r="L111" s="9" t="n">
        <f aca="false">COUNTIFS(JE_Lines!$B$5:$B$1733,A111,JE_Lines!$F$5:$F$1733,"Revenue")</f>
        <v>1</v>
      </c>
      <c r="M111" s="9" t="n">
        <f aca="false">COUNTIFS(JE_Lines!$B$5:$B$1733,A111,JE_Lines!$F$5:$F$1733,"Suspense")</f>
        <v>0</v>
      </c>
      <c r="N111" s="9" t="n">
        <f aca="false">IF(ABS(E111)&gt;Parameters!$B$23,1,0)</f>
        <v>0</v>
      </c>
      <c r="O111" s="9" t="n">
        <f aca="false">IF(WEEKDAY(F111,2)&gt;5,1,0)</f>
        <v>0</v>
      </c>
      <c r="P111" s="9" t="n">
        <f aca="false">IF(K111&gt;Parameters!$B$17,1,0)</f>
        <v>0</v>
      </c>
      <c r="Q111" s="9" t="n">
        <f aca="false">IF(AND(F111&lt;=Parameters!$B$6,F111&gt;Parameters!$B$6-Parameters!$B$18),1,0)</f>
        <v>0</v>
      </c>
      <c r="R111" s="9" t="n">
        <f aca="false">IF(COUNTIF(Parameters!$A$51:$A$58,H111)=0,1,0)</f>
        <v>0</v>
      </c>
      <c r="S111" s="9" t="n">
        <f aca="false">IF(AND(I111="Manual",L111&gt;0),1,0)</f>
        <v>0</v>
      </c>
      <c r="T111" s="9" t="n">
        <f aca="false">IF(AND(C111&gt;=Parameters!$B$22,ROUND(MOD(ROUND(C111,2),Parameters!$B$21),2)=0),1,0)</f>
        <v>0</v>
      </c>
      <c r="U111" s="9" t="n">
        <f aca="false">IF(LEN(TRIM(J111))=0,1,0)</f>
        <v>0</v>
      </c>
      <c r="V111" s="9" t="n">
        <f aca="false">IF(AND(I111="Manual",C111&lt;Parameters!$B$19,C111&gt;=Parameters!$B$19*(1-Parameters!$B$20)),1,0)</f>
        <v>0</v>
      </c>
      <c r="W111" s="9" t="n">
        <f aca="false">IF(AND(I111="Manual",M111&gt;0),1,0)</f>
        <v>0</v>
      </c>
      <c r="X111" s="9" t="n">
        <f aca="false">IF(A111-A110&gt;1,1,0)</f>
        <v>0</v>
      </c>
      <c r="Y111" s="9" t="n">
        <f aca="false">N111*Parameters!$B$38+O111*Parameters!$B$39+P111*Parameters!$B$40+Q111*Parameters!$B$41+R111*Parameters!$B$42+S111*Parameters!$B$43+T111*Parameters!$B$44+U111*Parameters!$B$45+V111*Parameters!$B$46+W111*Parameters!$B$47+X111*Parameters!$B$48</f>
        <v>0</v>
      </c>
      <c r="Z111" s="0" t="str">
        <f aca="false">IF(Y111&gt;=Parameters!$B$25,"High","")</f>
        <v/>
      </c>
    </row>
    <row r="112" customFormat="false" ht="15" hidden="false" customHeight="false" outlineLevel="0" collapsed="false">
      <c r="A112" s="16" t="n">
        <v>1112</v>
      </c>
      <c r="B112" s="9" t="n">
        <f aca="false">COUNTIF(JE_Lines!$B$5:$B$1733,A112)</f>
        <v>3</v>
      </c>
      <c r="C112" s="17" t="n">
        <f aca="false">SUMIFS(JE_Lines!$G$5:$G$1733,JE_Lines!$B$5:$B$1733,A112)</f>
        <v>243.09</v>
      </c>
      <c r="D112" s="17" t="n">
        <f aca="false">SUMIFS(JE_Lines!$H$5:$H$1733,JE_Lines!$B$5:$B$1733,A112)</f>
        <v>243.09</v>
      </c>
      <c r="E112" s="17" t="n">
        <f aca="false">C112-D112</f>
        <v>0</v>
      </c>
      <c r="F112" s="18" t="n">
        <f aca="false">INDEX(JE_Lines!$C$5:$C$1733,MATCH(A112,JE_Lines!$B$5:$B$1733,0))</f>
        <v>45700</v>
      </c>
      <c r="G112" s="18" t="n">
        <f aca="false">INDEX(JE_Lines!$D$5:$D$1733,MATCH(A112,JE_Lines!$B$5:$B$1733,0))</f>
        <v>45698</v>
      </c>
      <c r="H112" s="0" t="str">
        <f aca="false">INDEX(JE_Lines!$I$5:$I$1733,MATCH(A112,JE_Lines!$B$5:$B$1733,0))</f>
        <v>FIN02</v>
      </c>
      <c r="I112" s="0" t="str">
        <f aca="false">INDEX(JE_Lines!$J$5:$J$1733,MATCH(A112,JE_Lines!$B$5:$B$1733,0))</f>
        <v>Manual</v>
      </c>
      <c r="J112" s="0" t="str">
        <f aca="false">IF(LEN(INDEX(JE_Lines!$K$5:$K$1733,MATCH(A112,JE_Lines!$B$5:$B$1733,0)))=0,"",INDEX(JE_Lines!$K$5:$K$1733,MATCH(A112,JE_Lines!$B$5:$B$1733,0)))</f>
        <v>Accrual for sundry costs</v>
      </c>
      <c r="K112" s="9" t="n">
        <f aca="false">F112-G112</f>
        <v>2</v>
      </c>
      <c r="L112" s="9" t="n">
        <f aca="false">COUNTIFS(JE_Lines!$B$5:$B$1733,A112,JE_Lines!$F$5:$F$1733,"Revenue")</f>
        <v>0</v>
      </c>
      <c r="M112" s="9" t="n">
        <f aca="false">COUNTIFS(JE_Lines!$B$5:$B$1733,A112,JE_Lines!$F$5:$F$1733,"Suspense")</f>
        <v>0</v>
      </c>
      <c r="N112" s="9" t="n">
        <f aca="false">IF(ABS(E112)&gt;Parameters!$B$23,1,0)</f>
        <v>0</v>
      </c>
      <c r="O112" s="9" t="n">
        <f aca="false">IF(WEEKDAY(F112,2)&gt;5,1,0)</f>
        <v>0</v>
      </c>
      <c r="P112" s="9" t="n">
        <f aca="false">IF(K112&gt;Parameters!$B$17,1,0)</f>
        <v>0</v>
      </c>
      <c r="Q112" s="9" t="n">
        <f aca="false">IF(AND(F112&lt;=Parameters!$B$6,F112&gt;Parameters!$B$6-Parameters!$B$18),1,0)</f>
        <v>0</v>
      </c>
      <c r="R112" s="9" t="n">
        <f aca="false">IF(COUNTIF(Parameters!$A$51:$A$58,H112)=0,1,0)</f>
        <v>0</v>
      </c>
      <c r="S112" s="9" t="n">
        <f aca="false">IF(AND(I112="Manual",L112&gt;0),1,0)</f>
        <v>0</v>
      </c>
      <c r="T112" s="9" t="n">
        <f aca="false">IF(AND(C112&gt;=Parameters!$B$22,ROUND(MOD(ROUND(C112,2),Parameters!$B$21),2)=0),1,0)</f>
        <v>0</v>
      </c>
      <c r="U112" s="9" t="n">
        <f aca="false">IF(LEN(TRIM(J112))=0,1,0)</f>
        <v>0</v>
      </c>
      <c r="V112" s="9" t="n">
        <f aca="false">IF(AND(I112="Manual",C112&lt;Parameters!$B$19,C112&gt;=Parameters!$B$19*(1-Parameters!$B$20)),1,0)</f>
        <v>0</v>
      </c>
      <c r="W112" s="9" t="n">
        <f aca="false">IF(AND(I112="Manual",M112&gt;0),1,0)</f>
        <v>0</v>
      </c>
      <c r="X112" s="9" t="n">
        <f aca="false">IF(A112-A111&gt;1,1,0)</f>
        <v>0</v>
      </c>
      <c r="Y112" s="9" t="n">
        <f aca="false">N112*Parameters!$B$38+O112*Parameters!$B$39+P112*Parameters!$B$40+Q112*Parameters!$B$41+R112*Parameters!$B$42+S112*Parameters!$B$43+T112*Parameters!$B$44+U112*Parameters!$B$45+V112*Parameters!$B$46+W112*Parameters!$B$47+X112*Parameters!$B$48</f>
        <v>0</v>
      </c>
      <c r="Z112" s="0" t="str">
        <f aca="false">IF(Y112&gt;=Parameters!$B$25,"High","")</f>
        <v/>
      </c>
    </row>
    <row r="113" customFormat="false" ht="15" hidden="false" customHeight="false" outlineLevel="0" collapsed="false">
      <c r="A113" s="16" t="n">
        <v>1113</v>
      </c>
      <c r="B113" s="9" t="n">
        <f aca="false">COUNTIF(JE_Lines!$B$5:$B$1733,A113)</f>
        <v>2</v>
      </c>
      <c r="C113" s="17" t="n">
        <f aca="false">SUMIFS(JE_Lines!$G$5:$G$1733,JE_Lines!$B$5:$B$1733,A113)</f>
        <v>287.38</v>
      </c>
      <c r="D113" s="17" t="n">
        <f aca="false">SUMIFS(JE_Lines!$H$5:$H$1733,JE_Lines!$B$5:$B$1733,A113)</f>
        <v>287.38</v>
      </c>
      <c r="E113" s="17" t="n">
        <f aca="false">C113-D113</f>
        <v>0</v>
      </c>
      <c r="F113" s="18" t="n">
        <f aca="false">INDEX(JE_Lines!$C$5:$C$1733,MATCH(A113,JE_Lines!$B$5:$B$1733,0))</f>
        <v>45700</v>
      </c>
      <c r="G113" s="18" t="n">
        <f aca="false">INDEX(JE_Lines!$D$5:$D$1733,MATCH(A113,JE_Lines!$B$5:$B$1733,0))</f>
        <v>45697</v>
      </c>
      <c r="H113" s="0" t="str">
        <f aca="false">INDEX(JE_Lines!$I$5:$I$1733,MATCH(A113,JE_Lines!$B$5:$B$1733,0))</f>
        <v>SYS_AP</v>
      </c>
      <c r="I113" s="0" t="str">
        <f aca="false">INDEX(JE_Lines!$J$5:$J$1733,MATCH(A113,JE_Lines!$B$5:$B$1733,0))</f>
        <v>System</v>
      </c>
      <c r="J113" s="0" t="str">
        <f aca="false">IF(LEN(INDEX(JE_Lines!$K$5:$K$1733,MATCH(A113,JE_Lines!$B$5:$B$1733,0)))=0,"",INDEX(JE_Lines!$K$5:$K$1733,MATCH(A113,JE_Lines!$B$5:$B$1733,0)))</f>
        <v>Utilities invoices</v>
      </c>
      <c r="K113" s="9" t="n">
        <f aca="false">F113-G113</f>
        <v>3</v>
      </c>
      <c r="L113" s="9" t="n">
        <f aca="false">COUNTIFS(JE_Lines!$B$5:$B$1733,A113,JE_Lines!$F$5:$F$1733,"Revenue")</f>
        <v>0</v>
      </c>
      <c r="M113" s="9" t="n">
        <f aca="false">COUNTIFS(JE_Lines!$B$5:$B$1733,A113,JE_Lines!$F$5:$F$1733,"Suspense")</f>
        <v>0</v>
      </c>
      <c r="N113" s="9" t="n">
        <f aca="false">IF(ABS(E113)&gt;Parameters!$B$23,1,0)</f>
        <v>0</v>
      </c>
      <c r="O113" s="9" t="n">
        <f aca="false">IF(WEEKDAY(F113,2)&gt;5,1,0)</f>
        <v>0</v>
      </c>
      <c r="P113" s="9" t="n">
        <f aca="false">IF(K113&gt;Parameters!$B$17,1,0)</f>
        <v>0</v>
      </c>
      <c r="Q113" s="9" t="n">
        <f aca="false">IF(AND(F113&lt;=Parameters!$B$6,F113&gt;Parameters!$B$6-Parameters!$B$18),1,0)</f>
        <v>0</v>
      </c>
      <c r="R113" s="9" t="n">
        <f aca="false">IF(COUNTIF(Parameters!$A$51:$A$58,H113)=0,1,0)</f>
        <v>0</v>
      </c>
      <c r="S113" s="9" t="n">
        <f aca="false">IF(AND(I113="Manual",L113&gt;0),1,0)</f>
        <v>0</v>
      </c>
      <c r="T113" s="9" t="n">
        <f aca="false">IF(AND(C113&gt;=Parameters!$B$22,ROUND(MOD(ROUND(C113,2),Parameters!$B$21),2)=0),1,0)</f>
        <v>0</v>
      </c>
      <c r="U113" s="9" t="n">
        <f aca="false">IF(LEN(TRIM(J113))=0,1,0)</f>
        <v>0</v>
      </c>
      <c r="V113" s="9" t="n">
        <f aca="false">IF(AND(I113="Manual",C113&lt;Parameters!$B$19,C113&gt;=Parameters!$B$19*(1-Parameters!$B$20)),1,0)</f>
        <v>0</v>
      </c>
      <c r="W113" s="9" t="n">
        <f aca="false">IF(AND(I113="Manual",M113&gt;0),1,0)</f>
        <v>0</v>
      </c>
      <c r="X113" s="9" t="n">
        <f aca="false">IF(A113-A112&gt;1,1,0)</f>
        <v>0</v>
      </c>
      <c r="Y113" s="9" t="n">
        <f aca="false">N113*Parameters!$B$38+O113*Parameters!$B$39+P113*Parameters!$B$40+Q113*Parameters!$B$41+R113*Parameters!$B$42+S113*Parameters!$B$43+T113*Parameters!$B$44+U113*Parameters!$B$45+V113*Parameters!$B$46+W113*Parameters!$B$47+X113*Parameters!$B$48</f>
        <v>0</v>
      </c>
      <c r="Z113" s="0" t="str">
        <f aca="false">IF(Y113&gt;=Parameters!$B$25,"High","")</f>
        <v/>
      </c>
    </row>
    <row r="114" customFormat="false" ht="15" hidden="false" customHeight="false" outlineLevel="0" collapsed="false">
      <c r="A114" s="16" t="n">
        <v>1114</v>
      </c>
      <c r="B114" s="9" t="n">
        <f aca="false">COUNTIF(JE_Lines!$B$5:$B$1733,A114)</f>
        <v>2</v>
      </c>
      <c r="C114" s="17" t="n">
        <f aca="false">SUMIFS(JE_Lines!$G$5:$G$1733,JE_Lines!$B$5:$B$1733,A114)</f>
        <v>738.71</v>
      </c>
      <c r="D114" s="17" t="n">
        <f aca="false">SUMIFS(JE_Lines!$H$5:$H$1733,JE_Lines!$B$5:$B$1733,A114)</f>
        <v>738.71</v>
      </c>
      <c r="E114" s="17" t="n">
        <f aca="false">C114-D114</f>
        <v>0</v>
      </c>
      <c r="F114" s="18" t="n">
        <f aca="false">INDEX(JE_Lines!$C$5:$C$1733,MATCH(A114,JE_Lines!$B$5:$B$1733,0))</f>
        <v>45701</v>
      </c>
      <c r="G114" s="18" t="n">
        <f aca="false">INDEX(JE_Lines!$D$5:$D$1733,MATCH(A114,JE_Lines!$B$5:$B$1733,0))</f>
        <v>45700</v>
      </c>
      <c r="H114" s="0" t="str">
        <f aca="false">INDEX(JE_Lines!$I$5:$I$1733,MATCH(A114,JE_Lines!$B$5:$B$1733,0))</f>
        <v>SYS_AR</v>
      </c>
      <c r="I114" s="0" t="str">
        <f aca="false">INDEX(JE_Lines!$J$5:$J$1733,MATCH(A114,JE_Lines!$B$5:$B$1733,0))</f>
        <v>System</v>
      </c>
      <c r="J114" s="0" t="str">
        <f aca="false">IF(LEN(INDEX(JE_Lines!$K$5:$K$1733,MATCH(A114,JE_Lines!$B$5:$B$1733,0)))=0,"",INDEX(JE_Lines!$K$5:$K$1733,MATCH(A114,JE_Lines!$B$5:$B$1733,0)))</f>
        <v>Customer receipts</v>
      </c>
      <c r="K114" s="9" t="n">
        <f aca="false">F114-G114</f>
        <v>1</v>
      </c>
      <c r="L114" s="9" t="n">
        <f aca="false">COUNTIFS(JE_Lines!$B$5:$B$1733,A114,JE_Lines!$F$5:$F$1733,"Revenue")</f>
        <v>0</v>
      </c>
      <c r="M114" s="9" t="n">
        <f aca="false">COUNTIFS(JE_Lines!$B$5:$B$1733,A114,JE_Lines!$F$5:$F$1733,"Suspense")</f>
        <v>0</v>
      </c>
      <c r="N114" s="9" t="n">
        <f aca="false">IF(ABS(E114)&gt;Parameters!$B$23,1,0)</f>
        <v>0</v>
      </c>
      <c r="O114" s="9" t="n">
        <f aca="false">IF(WEEKDAY(F114,2)&gt;5,1,0)</f>
        <v>0</v>
      </c>
      <c r="P114" s="9" t="n">
        <f aca="false">IF(K114&gt;Parameters!$B$17,1,0)</f>
        <v>0</v>
      </c>
      <c r="Q114" s="9" t="n">
        <f aca="false">IF(AND(F114&lt;=Parameters!$B$6,F114&gt;Parameters!$B$6-Parameters!$B$18),1,0)</f>
        <v>0</v>
      </c>
      <c r="R114" s="9" t="n">
        <f aca="false">IF(COUNTIF(Parameters!$A$51:$A$58,H114)=0,1,0)</f>
        <v>0</v>
      </c>
      <c r="S114" s="9" t="n">
        <f aca="false">IF(AND(I114="Manual",L114&gt;0),1,0)</f>
        <v>0</v>
      </c>
      <c r="T114" s="9" t="n">
        <f aca="false">IF(AND(C114&gt;=Parameters!$B$22,ROUND(MOD(ROUND(C114,2),Parameters!$B$21),2)=0),1,0)</f>
        <v>0</v>
      </c>
      <c r="U114" s="9" t="n">
        <f aca="false">IF(LEN(TRIM(J114))=0,1,0)</f>
        <v>0</v>
      </c>
      <c r="V114" s="9" t="n">
        <f aca="false">IF(AND(I114="Manual",C114&lt;Parameters!$B$19,C114&gt;=Parameters!$B$19*(1-Parameters!$B$20)),1,0)</f>
        <v>0</v>
      </c>
      <c r="W114" s="9" t="n">
        <f aca="false">IF(AND(I114="Manual",M114&gt;0),1,0)</f>
        <v>0</v>
      </c>
      <c r="X114" s="9" t="n">
        <f aca="false">IF(A114-A113&gt;1,1,0)</f>
        <v>0</v>
      </c>
      <c r="Y114" s="9" t="n">
        <f aca="false">N114*Parameters!$B$38+O114*Parameters!$B$39+P114*Parameters!$B$40+Q114*Parameters!$B$41+R114*Parameters!$B$42+S114*Parameters!$B$43+T114*Parameters!$B$44+U114*Parameters!$B$45+V114*Parameters!$B$46+W114*Parameters!$B$47+X114*Parameters!$B$48</f>
        <v>0</v>
      </c>
      <c r="Z114" s="0" t="str">
        <f aca="false">IF(Y114&gt;=Parameters!$B$25,"High","")</f>
        <v/>
      </c>
    </row>
    <row r="115" customFormat="false" ht="15" hidden="false" customHeight="false" outlineLevel="0" collapsed="false">
      <c r="A115" s="16" t="n">
        <v>1115</v>
      </c>
      <c r="B115" s="9" t="n">
        <f aca="false">COUNTIF(JE_Lines!$B$5:$B$1733,A115)</f>
        <v>2</v>
      </c>
      <c r="C115" s="17" t="n">
        <f aca="false">SUMIFS(JE_Lines!$G$5:$G$1733,JE_Lines!$B$5:$B$1733,A115)</f>
        <v>266.37</v>
      </c>
      <c r="D115" s="17" t="n">
        <f aca="false">SUMIFS(JE_Lines!$H$5:$H$1733,JE_Lines!$B$5:$B$1733,A115)</f>
        <v>266.37</v>
      </c>
      <c r="E115" s="17" t="n">
        <f aca="false">C115-D115</f>
        <v>0</v>
      </c>
      <c r="F115" s="18" t="n">
        <f aca="false">INDEX(JE_Lines!$C$5:$C$1733,MATCH(A115,JE_Lines!$B$5:$B$1733,0))</f>
        <v>45703</v>
      </c>
      <c r="G115" s="18" t="n">
        <f aca="false">INDEX(JE_Lines!$D$5:$D$1733,MATCH(A115,JE_Lines!$B$5:$B$1733,0))</f>
        <v>45703</v>
      </c>
      <c r="H115" s="0" t="str">
        <f aca="false">INDEX(JE_Lines!$I$5:$I$1733,MATCH(A115,JE_Lines!$B$5:$B$1733,0))</f>
        <v>FIN03</v>
      </c>
      <c r="I115" s="0" t="str">
        <f aca="false">INDEX(JE_Lines!$J$5:$J$1733,MATCH(A115,JE_Lines!$B$5:$B$1733,0))</f>
        <v>Manual</v>
      </c>
      <c r="J115" s="0" t="str">
        <f aca="false">IF(LEN(INDEX(JE_Lines!$K$5:$K$1733,MATCH(A115,JE_Lines!$B$5:$B$1733,0)))=0,"",INDEX(JE_Lines!$K$5:$K$1733,MATCH(A115,JE_Lines!$B$5:$B$1733,0)))</f>
        <v>Weekend adjustment 3</v>
      </c>
      <c r="K115" s="9" t="n">
        <f aca="false">F115-G115</f>
        <v>0</v>
      </c>
      <c r="L115" s="9" t="n">
        <f aca="false">COUNTIFS(JE_Lines!$B$5:$B$1733,A115,JE_Lines!$F$5:$F$1733,"Revenue")</f>
        <v>0</v>
      </c>
      <c r="M115" s="9" t="n">
        <f aca="false">COUNTIFS(JE_Lines!$B$5:$B$1733,A115,JE_Lines!$F$5:$F$1733,"Suspense")</f>
        <v>0</v>
      </c>
      <c r="N115" s="9" t="n">
        <f aca="false">IF(ABS(E115)&gt;Parameters!$B$23,1,0)</f>
        <v>0</v>
      </c>
      <c r="O115" s="9" t="n">
        <f aca="false">IF(WEEKDAY(F115,2)&gt;5,1,0)</f>
        <v>1</v>
      </c>
      <c r="P115" s="9" t="n">
        <f aca="false">IF(K115&gt;Parameters!$B$17,1,0)</f>
        <v>0</v>
      </c>
      <c r="Q115" s="9" t="n">
        <f aca="false">IF(AND(F115&lt;=Parameters!$B$6,F115&gt;Parameters!$B$6-Parameters!$B$18),1,0)</f>
        <v>0</v>
      </c>
      <c r="R115" s="9" t="n">
        <f aca="false">IF(COUNTIF(Parameters!$A$51:$A$58,H115)=0,1,0)</f>
        <v>0</v>
      </c>
      <c r="S115" s="9" t="n">
        <f aca="false">IF(AND(I115="Manual",L115&gt;0),1,0)</f>
        <v>0</v>
      </c>
      <c r="T115" s="9" t="n">
        <f aca="false">IF(AND(C115&gt;=Parameters!$B$22,ROUND(MOD(ROUND(C115,2),Parameters!$B$21),2)=0),1,0)</f>
        <v>0</v>
      </c>
      <c r="U115" s="9" t="n">
        <f aca="false">IF(LEN(TRIM(J115))=0,1,0)</f>
        <v>0</v>
      </c>
      <c r="V115" s="9" t="n">
        <f aca="false">IF(AND(I115="Manual",C115&lt;Parameters!$B$19,C115&gt;=Parameters!$B$19*(1-Parameters!$B$20)),1,0)</f>
        <v>0</v>
      </c>
      <c r="W115" s="9" t="n">
        <f aca="false">IF(AND(I115="Manual",M115&gt;0),1,0)</f>
        <v>0</v>
      </c>
      <c r="X115" s="9" t="n">
        <f aca="false">IF(A115-A114&gt;1,1,0)</f>
        <v>0</v>
      </c>
      <c r="Y115" s="9" t="n">
        <f aca="false">N115*Parameters!$B$38+O115*Parameters!$B$39+P115*Parameters!$B$40+Q115*Parameters!$B$41+R115*Parameters!$B$42+S115*Parameters!$B$43+T115*Parameters!$B$44+U115*Parameters!$B$45+V115*Parameters!$B$46+W115*Parameters!$B$47+X115*Parameters!$B$48</f>
        <v>2</v>
      </c>
      <c r="Z115" s="0" t="str">
        <f aca="false">IF(Y115&gt;=Parameters!$B$25,"High","")</f>
        <v/>
      </c>
    </row>
    <row r="116" customFormat="false" ht="15" hidden="false" customHeight="false" outlineLevel="0" collapsed="false">
      <c r="A116" s="16" t="n">
        <v>1116</v>
      </c>
      <c r="B116" s="9" t="n">
        <f aca="false">COUNTIF(JE_Lines!$B$5:$B$1733,A116)</f>
        <v>2</v>
      </c>
      <c r="C116" s="17" t="n">
        <f aca="false">SUMIFS(JE_Lines!$G$5:$G$1733,JE_Lines!$B$5:$B$1733,A116)</f>
        <v>152714.73</v>
      </c>
      <c r="D116" s="17" t="n">
        <f aca="false">SUMIFS(JE_Lines!$H$5:$H$1733,JE_Lines!$B$5:$B$1733,A116)</f>
        <v>152714.73</v>
      </c>
      <c r="E116" s="17" t="n">
        <f aca="false">C116-D116</f>
        <v>0</v>
      </c>
      <c r="F116" s="18" t="n">
        <f aca="false">INDEX(JE_Lines!$C$5:$C$1733,MATCH(A116,JE_Lines!$B$5:$B$1733,0))</f>
        <v>45704</v>
      </c>
      <c r="G116" s="18" t="n">
        <f aca="false">INDEX(JE_Lines!$D$5:$D$1733,MATCH(A116,JE_Lines!$B$5:$B$1733,0))</f>
        <v>45702</v>
      </c>
      <c r="H116" s="0" t="str">
        <f aca="false">INDEX(JE_Lines!$I$5:$I$1733,MATCH(A116,JE_Lines!$B$5:$B$1733,0))</f>
        <v>SYS_AR</v>
      </c>
      <c r="I116" s="0" t="str">
        <f aca="false">INDEX(JE_Lines!$J$5:$J$1733,MATCH(A116,JE_Lines!$B$5:$B$1733,0))</f>
        <v>System</v>
      </c>
      <c r="J116" s="0" t="str">
        <f aca="false">IF(LEN(INDEX(JE_Lines!$K$5:$K$1733,MATCH(A116,JE_Lines!$B$5:$B$1733,0)))=0,"",INDEX(JE_Lines!$K$5:$K$1733,MATCH(A116,JE_Lines!$B$5:$B$1733,0)))</f>
        <v>Cost of sales posting</v>
      </c>
      <c r="K116" s="9" t="n">
        <f aca="false">F116-G116</f>
        <v>2</v>
      </c>
      <c r="L116" s="9" t="n">
        <f aca="false">COUNTIFS(JE_Lines!$B$5:$B$1733,A116,JE_Lines!$F$5:$F$1733,"Revenue")</f>
        <v>0</v>
      </c>
      <c r="M116" s="9" t="n">
        <f aca="false">COUNTIFS(JE_Lines!$B$5:$B$1733,A116,JE_Lines!$F$5:$F$1733,"Suspense")</f>
        <v>0</v>
      </c>
      <c r="N116" s="9" t="n">
        <f aca="false">IF(ABS(E116)&gt;Parameters!$B$23,1,0)</f>
        <v>0</v>
      </c>
      <c r="O116" s="9" t="n">
        <f aca="false">IF(WEEKDAY(F116,2)&gt;5,1,0)</f>
        <v>1</v>
      </c>
      <c r="P116" s="9" t="n">
        <f aca="false">IF(K116&gt;Parameters!$B$17,1,0)</f>
        <v>0</v>
      </c>
      <c r="Q116" s="9" t="n">
        <f aca="false">IF(AND(F116&lt;=Parameters!$B$6,F116&gt;Parameters!$B$6-Parameters!$B$18),1,0)</f>
        <v>0</v>
      </c>
      <c r="R116" s="9" t="n">
        <f aca="false">IF(COUNTIF(Parameters!$A$51:$A$58,H116)=0,1,0)</f>
        <v>0</v>
      </c>
      <c r="S116" s="9" t="n">
        <f aca="false">IF(AND(I116="Manual",L116&gt;0),1,0)</f>
        <v>0</v>
      </c>
      <c r="T116" s="9" t="n">
        <f aca="false">IF(AND(C116&gt;=Parameters!$B$22,ROUND(MOD(ROUND(C116,2),Parameters!$B$21),2)=0),1,0)</f>
        <v>0</v>
      </c>
      <c r="U116" s="9" t="n">
        <f aca="false">IF(LEN(TRIM(J116))=0,1,0)</f>
        <v>0</v>
      </c>
      <c r="V116" s="9" t="n">
        <f aca="false">IF(AND(I116="Manual",C116&lt;Parameters!$B$19,C116&gt;=Parameters!$B$19*(1-Parameters!$B$20)),1,0)</f>
        <v>0</v>
      </c>
      <c r="W116" s="9" t="n">
        <f aca="false">IF(AND(I116="Manual",M116&gt;0),1,0)</f>
        <v>0</v>
      </c>
      <c r="X116" s="9" t="n">
        <f aca="false">IF(A116-A115&gt;1,1,0)</f>
        <v>0</v>
      </c>
      <c r="Y116" s="9" t="n">
        <f aca="false">N116*Parameters!$B$38+O116*Parameters!$B$39+P116*Parameters!$B$40+Q116*Parameters!$B$41+R116*Parameters!$B$42+S116*Parameters!$B$43+T116*Parameters!$B$44+U116*Parameters!$B$45+V116*Parameters!$B$46+W116*Parameters!$B$47+X116*Parameters!$B$48</f>
        <v>2</v>
      </c>
      <c r="Z116" s="0" t="str">
        <f aca="false">IF(Y116&gt;=Parameters!$B$25,"High","")</f>
        <v/>
      </c>
    </row>
    <row r="117" customFormat="false" ht="15" hidden="false" customHeight="false" outlineLevel="0" collapsed="false">
      <c r="A117" s="16" t="n">
        <v>1117</v>
      </c>
      <c r="B117" s="9" t="n">
        <f aca="false">COUNTIF(JE_Lines!$B$5:$B$1733,A117)</f>
        <v>2</v>
      </c>
      <c r="C117" s="17" t="n">
        <f aca="false">SUMIFS(JE_Lines!$G$5:$G$1733,JE_Lines!$B$5:$B$1733,A117)</f>
        <v>11293.36</v>
      </c>
      <c r="D117" s="17" t="n">
        <f aca="false">SUMIFS(JE_Lines!$H$5:$H$1733,JE_Lines!$B$5:$B$1733,A117)</f>
        <v>11293.36</v>
      </c>
      <c r="E117" s="17" t="n">
        <f aca="false">C117-D117</f>
        <v>0</v>
      </c>
      <c r="F117" s="18" t="n">
        <f aca="false">INDEX(JE_Lines!$C$5:$C$1733,MATCH(A117,JE_Lines!$B$5:$B$1733,0))</f>
        <v>45705</v>
      </c>
      <c r="G117" s="18" t="n">
        <f aca="false">INDEX(JE_Lines!$D$5:$D$1733,MATCH(A117,JE_Lines!$B$5:$B$1733,0))</f>
        <v>45705</v>
      </c>
      <c r="H117" s="0" t="str">
        <f aca="false">INDEX(JE_Lines!$I$5:$I$1733,MATCH(A117,JE_Lines!$B$5:$B$1733,0))</f>
        <v>SYS_PAY</v>
      </c>
      <c r="I117" s="0" t="str">
        <f aca="false">INDEX(JE_Lines!$J$5:$J$1733,MATCH(A117,JE_Lines!$B$5:$B$1733,0))</f>
        <v>System</v>
      </c>
      <c r="J117" s="0" t="str">
        <f aca="false">IF(LEN(INDEX(JE_Lines!$K$5:$K$1733,MATCH(A117,JE_Lines!$B$5:$B$1733,0)))=0,"",INDEX(JE_Lines!$K$5:$K$1733,MATCH(A117,JE_Lines!$B$5:$B$1733,0)))</f>
        <v>Supplier payments</v>
      </c>
      <c r="K117" s="9" t="n">
        <f aca="false">F117-G117</f>
        <v>0</v>
      </c>
      <c r="L117" s="9" t="n">
        <f aca="false">COUNTIFS(JE_Lines!$B$5:$B$1733,A117,JE_Lines!$F$5:$F$1733,"Revenue")</f>
        <v>0</v>
      </c>
      <c r="M117" s="9" t="n">
        <f aca="false">COUNTIFS(JE_Lines!$B$5:$B$1733,A117,JE_Lines!$F$5:$F$1733,"Suspense")</f>
        <v>0</v>
      </c>
      <c r="N117" s="9" t="n">
        <f aca="false">IF(ABS(E117)&gt;Parameters!$B$23,1,0)</f>
        <v>0</v>
      </c>
      <c r="O117" s="9" t="n">
        <f aca="false">IF(WEEKDAY(F117,2)&gt;5,1,0)</f>
        <v>0</v>
      </c>
      <c r="P117" s="9" t="n">
        <f aca="false">IF(K117&gt;Parameters!$B$17,1,0)</f>
        <v>0</v>
      </c>
      <c r="Q117" s="9" t="n">
        <f aca="false">IF(AND(F117&lt;=Parameters!$B$6,F117&gt;Parameters!$B$6-Parameters!$B$18),1,0)</f>
        <v>0</v>
      </c>
      <c r="R117" s="9" t="n">
        <f aca="false">IF(COUNTIF(Parameters!$A$51:$A$58,H117)=0,1,0)</f>
        <v>0</v>
      </c>
      <c r="S117" s="9" t="n">
        <f aca="false">IF(AND(I117="Manual",L117&gt;0),1,0)</f>
        <v>0</v>
      </c>
      <c r="T117" s="9" t="n">
        <f aca="false">IF(AND(C117&gt;=Parameters!$B$22,ROUND(MOD(ROUND(C117,2),Parameters!$B$21),2)=0),1,0)</f>
        <v>0</v>
      </c>
      <c r="U117" s="9" t="n">
        <f aca="false">IF(LEN(TRIM(J117))=0,1,0)</f>
        <v>0</v>
      </c>
      <c r="V117" s="9" t="n">
        <f aca="false">IF(AND(I117="Manual",C117&lt;Parameters!$B$19,C117&gt;=Parameters!$B$19*(1-Parameters!$B$20)),1,0)</f>
        <v>0</v>
      </c>
      <c r="W117" s="9" t="n">
        <f aca="false">IF(AND(I117="Manual",M117&gt;0),1,0)</f>
        <v>0</v>
      </c>
      <c r="X117" s="9" t="n">
        <f aca="false">IF(A117-A116&gt;1,1,0)</f>
        <v>0</v>
      </c>
      <c r="Y117" s="9" t="n">
        <f aca="false">N117*Parameters!$B$38+O117*Parameters!$B$39+P117*Parameters!$B$40+Q117*Parameters!$B$41+R117*Parameters!$B$42+S117*Parameters!$B$43+T117*Parameters!$B$44+U117*Parameters!$B$45+V117*Parameters!$B$46+W117*Parameters!$B$47+X117*Parameters!$B$48</f>
        <v>0</v>
      </c>
      <c r="Z117" s="0" t="str">
        <f aca="false">IF(Y117&gt;=Parameters!$B$25,"High","")</f>
        <v/>
      </c>
    </row>
    <row r="118" customFormat="false" ht="15" hidden="false" customHeight="false" outlineLevel="0" collapsed="false">
      <c r="A118" s="16" t="n">
        <v>1118</v>
      </c>
      <c r="B118" s="9" t="n">
        <f aca="false">COUNTIF(JE_Lines!$B$5:$B$1733,A118)</f>
        <v>2</v>
      </c>
      <c r="C118" s="17" t="n">
        <f aca="false">SUMIFS(JE_Lines!$G$5:$G$1733,JE_Lines!$B$5:$B$1733,A118)</f>
        <v>1038.86</v>
      </c>
      <c r="D118" s="17" t="n">
        <f aca="false">SUMIFS(JE_Lines!$H$5:$H$1733,JE_Lines!$B$5:$B$1733,A118)</f>
        <v>1038.86</v>
      </c>
      <c r="E118" s="17" t="n">
        <f aca="false">C118-D118</f>
        <v>0</v>
      </c>
      <c r="F118" s="18" t="n">
        <f aca="false">INDEX(JE_Lines!$C$5:$C$1733,MATCH(A118,JE_Lines!$B$5:$B$1733,0))</f>
        <v>45705</v>
      </c>
      <c r="G118" s="18" t="n">
        <f aca="false">INDEX(JE_Lines!$D$5:$D$1733,MATCH(A118,JE_Lines!$B$5:$B$1733,0))</f>
        <v>45701</v>
      </c>
      <c r="H118" s="0" t="str">
        <f aca="false">INDEX(JE_Lines!$I$5:$I$1733,MATCH(A118,JE_Lines!$B$5:$B$1733,0))</f>
        <v>SYS_AR</v>
      </c>
      <c r="I118" s="0" t="str">
        <f aca="false">INDEX(JE_Lines!$J$5:$J$1733,MATCH(A118,JE_Lines!$B$5:$B$1733,0))</f>
        <v>System</v>
      </c>
      <c r="J118" s="0" t="str">
        <f aca="false">IF(LEN(INDEX(JE_Lines!$K$5:$K$1733,MATCH(A118,JE_Lines!$B$5:$B$1733,0)))=0,"",INDEX(JE_Lines!$K$5:$K$1733,MATCH(A118,JE_Lines!$B$5:$B$1733,0)))</f>
        <v>Sales invoice batch</v>
      </c>
      <c r="K118" s="9" t="n">
        <f aca="false">F118-G118</f>
        <v>4</v>
      </c>
      <c r="L118" s="9" t="n">
        <f aca="false">COUNTIFS(JE_Lines!$B$5:$B$1733,A118,JE_Lines!$F$5:$F$1733,"Revenue")</f>
        <v>1</v>
      </c>
      <c r="M118" s="9" t="n">
        <f aca="false">COUNTIFS(JE_Lines!$B$5:$B$1733,A118,JE_Lines!$F$5:$F$1733,"Suspense")</f>
        <v>0</v>
      </c>
      <c r="N118" s="9" t="n">
        <f aca="false">IF(ABS(E118)&gt;Parameters!$B$23,1,0)</f>
        <v>0</v>
      </c>
      <c r="O118" s="9" t="n">
        <f aca="false">IF(WEEKDAY(F118,2)&gt;5,1,0)</f>
        <v>0</v>
      </c>
      <c r="P118" s="9" t="n">
        <f aca="false">IF(K118&gt;Parameters!$B$17,1,0)</f>
        <v>0</v>
      </c>
      <c r="Q118" s="9" t="n">
        <f aca="false">IF(AND(F118&lt;=Parameters!$B$6,F118&gt;Parameters!$B$6-Parameters!$B$18),1,0)</f>
        <v>0</v>
      </c>
      <c r="R118" s="9" t="n">
        <f aca="false">IF(COUNTIF(Parameters!$A$51:$A$58,H118)=0,1,0)</f>
        <v>0</v>
      </c>
      <c r="S118" s="9" t="n">
        <f aca="false">IF(AND(I118="Manual",L118&gt;0),1,0)</f>
        <v>0</v>
      </c>
      <c r="T118" s="9" t="n">
        <f aca="false">IF(AND(C118&gt;=Parameters!$B$22,ROUND(MOD(ROUND(C118,2),Parameters!$B$21),2)=0),1,0)</f>
        <v>0</v>
      </c>
      <c r="U118" s="9" t="n">
        <f aca="false">IF(LEN(TRIM(J118))=0,1,0)</f>
        <v>0</v>
      </c>
      <c r="V118" s="9" t="n">
        <f aca="false">IF(AND(I118="Manual",C118&lt;Parameters!$B$19,C118&gt;=Parameters!$B$19*(1-Parameters!$B$20)),1,0)</f>
        <v>0</v>
      </c>
      <c r="W118" s="9" t="n">
        <f aca="false">IF(AND(I118="Manual",M118&gt;0),1,0)</f>
        <v>0</v>
      </c>
      <c r="X118" s="9" t="n">
        <f aca="false">IF(A118-A117&gt;1,1,0)</f>
        <v>0</v>
      </c>
      <c r="Y118" s="9" t="n">
        <f aca="false">N118*Parameters!$B$38+O118*Parameters!$B$39+P118*Parameters!$B$40+Q118*Parameters!$B$41+R118*Parameters!$B$42+S118*Parameters!$B$43+T118*Parameters!$B$44+U118*Parameters!$B$45+V118*Parameters!$B$46+W118*Parameters!$B$47+X118*Parameters!$B$48</f>
        <v>0</v>
      </c>
      <c r="Z118" s="0" t="str">
        <f aca="false">IF(Y118&gt;=Parameters!$B$25,"High","")</f>
        <v/>
      </c>
    </row>
    <row r="119" customFormat="false" ht="15" hidden="false" customHeight="false" outlineLevel="0" collapsed="false">
      <c r="A119" s="16" t="n">
        <v>1119</v>
      </c>
      <c r="B119" s="9" t="n">
        <f aca="false">COUNTIF(JE_Lines!$B$5:$B$1733,A119)</f>
        <v>2</v>
      </c>
      <c r="C119" s="17" t="n">
        <f aca="false">SUMIFS(JE_Lines!$G$5:$G$1733,JE_Lines!$B$5:$B$1733,A119)</f>
        <v>4813.92</v>
      </c>
      <c r="D119" s="17" t="n">
        <f aca="false">SUMIFS(JE_Lines!$H$5:$H$1733,JE_Lines!$B$5:$B$1733,A119)</f>
        <v>4813.92</v>
      </c>
      <c r="E119" s="17" t="n">
        <f aca="false">C119-D119</f>
        <v>0</v>
      </c>
      <c r="F119" s="18" t="n">
        <f aca="false">INDEX(JE_Lines!$C$5:$C$1733,MATCH(A119,JE_Lines!$B$5:$B$1733,0))</f>
        <v>45706</v>
      </c>
      <c r="G119" s="18" t="n">
        <f aca="false">INDEX(JE_Lines!$D$5:$D$1733,MATCH(A119,JE_Lines!$B$5:$B$1733,0))</f>
        <v>45703</v>
      </c>
      <c r="H119" s="0" t="str">
        <f aca="false">INDEX(JE_Lines!$I$5:$I$1733,MATCH(A119,JE_Lines!$B$5:$B$1733,0))</f>
        <v>FIN04</v>
      </c>
      <c r="I119" s="0" t="str">
        <f aca="false">INDEX(JE_Lines!$J$5:$J$1733,MATCH(A119,JE_Lines!$B$5:$B$1733,0))</f>
        <v>Manual</v>
      </c>
      <c r="J119" s="0" t="str">
        <f aca="false">IF(LEN(INDEX(JE_Lines!$K$5:$K$1733,MATCH(A119,JE_Lines!$B$5:$B$1733,0)))=0,"",INDEX(JE_Lines!$K$5:$K$1733,MATCH(A119,JE_Lines!$B$5:$B$1733,0)))</f>
        <v>Accrual reversal</v>
      </c>
      <c r="K119" s="9" t="n">
        <f aca="false">F119-G119</f>
        <v>3</v>
      </c>
      <c r="L119" s="9" t="n">
        <f aca="false">COUNTIFS(JE_Lines!$B$5:$B$1733,A119,JE_Lines!$F$5:$F$1733,"Revenue")</f>
        <v>0</v>
      </c>
      <c r="M119" s="9" t="n">
        <f aca="false">COUNTIFS(JE_Lines!$B$5:$B$1733,A119,JE_Lines!$F$5:$F$1733,"Suspense")</f>
        <v>0</v>
      </c>
      <c r="N119" s="9" t="n">
        <f aca="false">IF(ABS(E119)&gt;Parameters!$B$23,1,0)</f>
        <v>0</v>
      </c>
      <c r="O119" s="9" t="n">
        <f aca="false">IF(WEEKDAY(F119,2)&gt;5,1,0)</f>
        <v>0</v>
      </c>
      <c r="P119" s="9" t="n">
        <f aca="false">IF(K119&gt;Parameters!$B$17,1,0)</f>
        <v>0</v>
      </c>
      <c r="Q119" s="9" t="n">
        <f aca="false">IF(AND(F119&lt;=Parameters!$B$6,F119&gt;Parameters!$B$6-Parameters!$B$18),1,0)</f>
        <v>0</v>
      </c>
      <c r="R119" s="9" t="n">
        <f aca="false">IF(COUNTIF(Parameters!$A$51:$A$58,H119)=0,1,0)</f>
        <v>0</v>
      </c>
      <c r="S119" s="9" t="n">
        <f aca="false">IF(AND(I119="Manual",L119&gt;0),1,0)</f>
        <v>0</v>
      </c>
      <c r="T119" s="9" t="n">
        <f aca="false">IF(AND(C119&gt;=Parameters!$B$22,ROUND(MOD(ROUND(C119,2),Parameters!$B$21),2)=0),1,0)</f>
        <v>0</v>
      </c>
      <c r="U119" s="9" t="n">
        <f aca="false">IF(LEN(TRIM(J119))=0,1,0)</f>
        <v>0</v>
      </c>
      <c r="V119" s="9" t="n">
        <f aca="false">IF(AND(I119="Manual",C119&lt;Parameters!$B$19,C119&gt;=Parameters!$B$19*(1-Parameters!$B$20)),1,0)</f>
        <v>0</v>
      </c>
      <c r="W119" s="9" t="n">
        <f aca="false">IF(AND(I119="Manual",M119&gt;0),1,0)</f>
        <v>0</v>
      </c>
      <c r="X119" s="9" t="n">
        <f aca="false">IF(A119-A118&gt;1,1,0)</f>
        <v>0</v>
      </c>
      <c r="Y119" s="9" t="n">
        <f aca="false">N119*Parameters!$B$38+O119*Parameters!$B$39+P119*Parameters!$B$40+Q119*Parameters!$B$41+R119*Parameters!$B$42+S119*Parameters!$B$43+T119*Parameters!$B$44+U119*Parameters!$B$45+V119*Parameters!$B$46+W119*Parameters!$B$47+X119*Parameters!$B$48</f>
        <v>0</v>
      </c>
      <c r="Z119" s="0" t="str">
        <f aca="false">IF(Y119&gt;=Parameters!$B$25,"High","")</f>
        <v/>
      </c>
    </row>
    <row r="120" customFormat="false" ht="15" hidden="false" customHeight="false" outlineLevel="0" collapsed="false">
      <c r="A120" s="16" t="n">
        <v>1120</v>
      </c>
      <c r="B120" s="9" t="n">
        <f aca="false">COUNTIF(JE_Lines!$B$5:$B$1733,A120)</f>
        <v>2</v>
      </c>
      <c r="C120" s="17" t="n">
        <f aca="false">SUMIFS(JE_Lines!$G$5:$G$1733,JE_Lines!$B$5:$B$1733,A120)</f>
        <v>7674.41</v>
      </c>
      <c r="D120" s="17" t="n">
        <f aca="false">SUMIFS(JE_Lines!$H$5:$H$1733,JE_Lines!$B$5:$B$1733,A120)</f>
        <v>7674.41</v>
      </c>
      <c r="E120" s="17" t="n">
        <f aca="false">C120-D120</f>
        <v>0</v>
      </c>
      <c r="F120" s="18" t="n">
        <f aca="false">INDEX(JE_Lines!$C$5:$C$1733,MATCH(A120,JE_Lines!$B$5:$B$1733,0))</f>
        <v>45706</v>
      </c>
      <c r="G120" s="18" t="n">
        <f aca="false">INDEX(JE_Lines!$D$5:$D$1733,MATCH(A120,JE_Lines!$B$5:$B$1733,0))</f>
        <v>45702</v>
      </c>
      <c r="H120" s="0" t="str">
        <f aca="false">INDEX(JE_Lines!$I$5:$I$1733,MATCH(A120,JE_Lines!$B$5:$B$1733,0))</f>
        <v>SYS_AR</v>
      </c>
      <c r="I120" s="0" t="str">
        <f aca="false">INDEX(JE_Lines!$J$5:$J$1733,MATCH(A120,JE_Lines!$B$5:$B$1733,0))</f>
        <v>System</v>
      </c>
      <c r="J120" s="0" t="str">
        <f aca="false">IF(LEN(INDEX(JE_Lines!$K$5:$K$1733,MATCH(A120,JE_Lines!$B$5:$B$1733,0)))=0,"",INDEX(JE_Lines!$K$5:$K$1733,MATCH(A120,JE_Lines!$B$5:$B$1733,0)))</f>
        <v>Sales invoice batch</v>
      </c>
      <c r="K120" s="9" t="n">
        <f aca="false">F120-G120</f>
        <v>4</v>
      </c>
      <c r="L120" s="9" t="n">
        <f aca="false">COUNTIFS(JE_Lines!$B$5:$B$1733,A120,JE_Lines!$F$5:$F$1733,"Revenue")</f>
        <v>1</v>
      </c>
      <c r="M120" s="9" t="n">
        <f aca="false">COUNTIFS(JE_Lines!$B$5:$B$1733,A120,JE_Lines!$F$5:$F$1733,"Suspense")</f>
        <v>0</v>
      </c>
      <c r="N120" s="9" t="n">
        <f aca="false">IF(ABS(E120)&gt;Parameters!$B$23,1,0)</f>
        <v>0</v>
      </c>
      <c r="O120" s="9" t="n">
        <f aca="false">IF(WEEKDAY(F120,2)&gt;5,1,0)</f>
        <v>0</v>
      </c>
      <c r="P120" s="9" t="n">
        <f aca="false">IF(K120&gt;Parameters!$B$17,1,0)</f>
        <v>0</v>
      </c>
      <c r="Q120" s="9" t="n">
        <f aca="false">IF(AND(F120&lt;=Parameters!$B$6,F120&gt;Parameters!$B$6-Parameters!$B$18),1,0)</f>
        <v>0</v>
      </c>
      <c r="R120" s="9" t="n">
        <f aca="false">IF(COUNTIF(Parameters!$A$51:$A$58,H120)=0,1,0)</f>
        <v>0</v>
      </c>
      <c r="S120" s="9" t="n">
        <f aca="false">IF(AND(I120="Manual",L120&gt;0),1,0)</f>
        <v>0</v>
      </c>
      <c r="T120" s="9" t="n">
        <f aca="false">IF(AND(C120&gt;=Parameters!$B$22,ROUND(MOD(ROUND(C120,2),Parameters!$B$21),2)=0),1,0)</f>
        <v>0</v>
      </c>
      <c r="U120" s="9" t="n">
        <f aca="false">IF(LEN(TRIM(J120))=0,1,0)</f>
        <v>0</v>
      </c>
      <c r="V120" s="9" t="n">
        <f aca="false">IF(AND(I120="Manual",C120&lt;Parameters!$B$19,C120&gt;=Parameters!$B$19*(1-Parameters!$B$20)),1,0)</f>
        <v>0</v>
      </c>
      <c r="W120" s="9" t="n">
        <f aca="false">IF(AND(I120="Manual",M120&gt;0),1,0)</f>
        <v>0</v>
      </c>
      <c r="X120" s="9" t="n">
        <f aca="false">IF(A120-A119&gt;1,1,0)</f>
        <v>0</v>
      </c>
      <c r="Y120" s="9" t="n">
        <f aca="false">N120*Parameters!$B$38+O120*Parameters!$B$39+P120*Parameters!$B$40+Q120*Parameters!$B$41+R120*Parameters!$B$42+S120*Parameters!$B$43+T120*Parameters!$B$44+U120*Parameters!$B$45+V120*Parameters!$B$46+W120*Parameters!$B$47+X120*Parameters!$B$48</f>
        <v>0</v>
      </c>
      <c r="Z120" s="0" t="str">
        <f aca="false">IF(Y120&gt;=Parameters!$B$25,"High","")</f>
        <v/>
      </c>
    </row>
    <row r="121" customFormat="false" ht="15" hidden="false" customHeight="false" outlineLevel="0" collapsed="false">
      <c r="A121" s="16" t="n">
        <v>1121</v>
      </c>
      <c r="B121" s="9" t="n">
        <f aca="false">COUNTIF(JE_Lines!$B$5:$B$1733,A121)</f>
        <v>3</v>
      </c>
      <c r="C121" s="17" t="n">
        <f aca="false">SUMIFS(JE_Lines!$G$5:$G$1733,JE_Lines!$B$5:$B$1733,A121)</f>
        <v>13002.9</v>
      </c>
      <c r="D121" s="17" t="n">
        <f aca="false">SUMIFS(JE_Lines!$H$5:$H$1733,JE_Lines!$B$5:$B$1733,A121)</f>
        <v>13002.9</v>
      </c>
      <c r="E121" s="17" t="n">
        <f aca="false">C121-D121</f>
        <v>0</v>
      </c>
      <c r="F121" s="18" t="n">
        <f aca="false">INDEX(JE_Lines!$C$5:$C$1733,MATCH(A121,JE_Lines!$B$5:$B$1733,0))</f>
        <v>45706</v>
      </c>
      <c r="G121" s="18" t="n">
        <f aca="false">INDEX(JE_Lines!$D$5:$D$1733,MATCH(A121,JE_Lines!$B$5:$B$1733,0))</f>
        <v>45703</v>
      </c>
      <c r="H121" s="0" t="str">
        <f aca="false">INDEX(JE_Lines!$I$5:$I$1733,MATCH(A121,JE_Lines!$B$5:$B$1733,0))</f>
        <v>SYS_AR</v>
      </c>
      <c r="I121" s="0" t="str">
        <f aca="false">INDEX(JE_Lines!$J$5:$J$1733,MATCH(A121,JE_Lines!$B$5:$B$1733,0))</f>
        <v>System</v>
      </c>
      <c r="J121" s="0" t="str">
        <f aca="false">IF(LEN(INDEX(JE_Lines!$K$5:$K$1733,MATCH(A121,JE_Lines!$B$5:$B$1733,0)))=0,"",INDEX(JE_Lines!$K$5:$K$1733,MATCH(A121,JE_Lines!$B$5:$B$1733,0)))</f>
        <v/>
      </c>
      <c r="K121" s="9" t="n">
        <f aca="false">F121-G121</f>
        <v>3</v>
      </c>
      <c r="L121" s="9" t="n">
        <f aca="false">COUNTIFS(JE_Lines!$B$5:$B$1733,A121,JE_Lines!$F$5:$F$1733,"Revenue")</f>
        <v>0</v>
      </c>
      <c r="M121" s="9" t="n">
        <f aca="false">COUNTIFS(JE_Lines!$B$5:$B$1733,A121,JE_Lines!$F$5:$F$1733,"Suspense")</f>
        <v>0</v>
      </c>
      <c r="N121" s="9" t="n">
        <f aca="false">IF(ABS(E121)&gt;Parameters!$B$23,1,0)</f>
        <v>0</v>
      </c>
      <c r="O121" s="9" t="n">
        <f aca="false">IF(WEEKDAY(F121,2)&gt;5,1,0)</f>
        <v>0</v>
      </c>
      <c r="P121" s="9" t="n">
        <f aca="false">IF(K121&gt;Parameters!$B$17,1,0)</f>
        <v>0</v>
      </c>
      <c r="Q121" s="9" t="n">
        <f aca="false">IF(AND(F121&lt;=Parameters!$B$6,F121&gt;Parameters!$B$6-Parameters!$B$18),1,0)</f>
        <v>0</v>
      </c>
      <c r="R121" s="9" t="n">
        <f aca="false">IF(COUNTIF(Parameters!$A$51:$A$58,H121)=0,1,0)</f>
        <v>0</v>
      </c>
      <c r="S121" s="9" t="n">
        <f aca="false">IF(AND(I121="Manual",L121&gt;0),1,0)</f>
        <v>0</v>
      </c>
      <c r="T121" s="9" t="n">
        <f aca="false">IF(AND(C121&gt;=Parameters!$B$22,ROUND(MOD(ROUND(C121,2),Parameters!$B$21),2)=0),1,0)</f>
        <v>0</v>
      </c>
      <c r="U121" s="9" t="n">
        <f aca="false">IF(LEN(TRIM(J121))=0,1,0)</f>
        <v>1</v>
      </c>
      <c r="V121" s="9" t="n">
        <f aca="false">IF(AND(I121="Manual",C121&lt;Parameters!$B$19,C121&gt;=Parameters!$B$19*(1-Parameters!$B$20)),1,0)</f>
        <v>0</v>
      </c>
      <c r="W121" s="9" t="n">
        <f aca="false">IF(AND(I121="Manual",M121&gt;0),1,0)</f>
        <v>0</v>
      </c>
      <c r="X121" s="9" t="n">
        <f aca="false">IF(A121-A120&gt;1,1,0)</f>
        <v>0</v>
      </c>
      <c r="Y121" s="9" t="n">
        <f aca="false">N121*Parameters!$B$38+O121*Parameters!$B$39+P121*Parameters!$B$40+Q121*Parameters!$B$41+R121*Parameters!$B$42+S121*Parameters!$B$43+T121*Parameters!$B$44+U121*Parameters!$B$45+V121*Parameters!$B$46+W121*Parameters!$B$47+X121*Parameters!$B$48</f>
        <v>2</v>
      </c>
      <c r="Z121" s="0" t="str">
        <f aca="false">IF(Y121&gt;=Parameters!$B$25,"High","")</f>
        <v/>
      </c>
    </row>
    <row r="122" customFormat="false" ht="15" hidden="false" customHeight="false" outlineLevel="0" collapsed="false">
      <c r="A122" s="16" t="n">
        <v>1122</v>
      </c>
      <c r="B122" s="9" t="n">
        <f aca="false">COUNTIF(JE_Lines!$B$5:$B$1733,A122)</f>
        <v>2</v>
      </c>
      <c r="C122" s="17" t="n">
        <f aca="false">SUMIFS(JE_Lines!$G$5:$G$1733,JE_Lines!$B$5:$B$1733,A122)</f>
        <v>32026.95</v>
      </c>
      <c r="D122" s="17" t="n">
        <f aca="false">SUMIFS(JE_Lines!$H$5:$H$1733,JE_Lines!$B$5:$B$1733,A122)</f>
        <v>32026.95</v>
      </c>
      <c r="E122" s="17" t="n">
        <f aca="false">C122-D122</f>
        <v>0</v>
      </c>
      <c r="F122" s="18" t="n">
        <f aca="false">INDEX(JE_Lines!$C$5:$C$1733,MATCH(A122,JE_Lines!$B$5:$B$1733,0))</f>
        <v>45706</v>
      </c>
      <c r="G122" s="18" t="n">
        <f aca="false">INDEX(JE_Lines!$D$5:$D$1733,MATCH(A122,JE_Lines!$B$5:$B$1733,0))</f>
        <v>45704</v>
      </c>
      <c r="H122" s="0" t="str">
        <f aca="false">INDEX(JE_Lines!$I$5:$I$1733,MATCH(A122,JE_Lines!$B$5:$B$1733,0))</f>
        <v>SYS_AR</v>
      </c>
      <c r="I122" s="0" t="str">
        <f aca="false">INDEX(JE_Lines!$J$5:$J$1733,MATCH(A122,JE_Lines!$B$5:$B$1733,0))</f>
        <v>System</v>
      </c>
      <c r="J122" s="0" t="str">
        <f aca="false">IF(LEN(INDEX(JE_Lines!$K$5:$K$1733,MATCH(A122,JE_Lines!$B$5:$B$1733,0)))=0,"",INDEX(JE_Lines!$K$5:$K$1733,MATCH(A122,JE_Lines!$B$5:$B$1733,0)))</f>
        <v>Sales invoice batch</v>
      </c>
      <c r="K122" s="9" t="n">
        <f aca="false">F122-G122</f>
        <v>2</v>
      </c>
      <c r="L122" s="9" t="n">
        <f aca="false">COUNTIFS(JE_Lines!$B$5:$B$1733,A122,JE_Lines!$F$5:$F$1733,"Revenue")</f>
        <v>1</v>
      </c>
      <c r="M122" s="9" t="n">
        <f aca="false">COUNTIFS(JE_Lines!$B$5:$B$1733,A122,JE_Lines!$F$5:$F$1733,"Suspense")</f>
        <v>0</v>
      </c>
      <c r="N122" s="9" t="n">
        <f aca="false">IF(ABS(E122)&gt;Parameters!$B$23,1,0)</f>
        <v>0</v>
      </c>
      <c r="O122" s="9" t="n">
        <f aca="false">IF(WEEKDAY(F122,2)&gt;5,1,0)</f>
        <v>0</v>
      </c>
      <c r="P122" s="9" t="n">
        <f aca="false">IF(K122&gt;Parameters!$B$17,1,0)</f>
        <v>0</v>
      </c>
      <c r="Q122" s="9" t="n">
        <f aca="false">IF(AND(F122&lt;=Parameters!$B$6,F122&gt;Parameters!$B$6-Parameters!$B$18),1,0)</f>
        <v>0</v>
      </c>
      <c r="R122" s="9" t="n">
        <f aca="false">IF(COUNTIF(Parameters!$A$51:$A$58,H122)=0,1,0)</f>
        <v>0</v>
      </c>
      <c r="S122" s="9" t="n">
        <f aca="false">IF(AND(I122="Manual",L122&gt;0),1,0)</f>
        <v>0</v>
      </c>
      <c r="T122" s="9" t="n">
        <f aca="false">IF(AND(C122&gt;=Parameters!$B$22,ROUND(MOD(ROUND(C122,2),Parameters!$B$21),2)=0),1,0)</f>
        <v>0</v>
      </c>
      <c r="U122" s="9" t="n">
        <f aca="false">IF(LEN(TRIM(J122))=0,1,0)</f>
        <v>0</v>
      </c>
      <c r="V122" s="9" t="n">
        <f aca="false">IF(AND(I122="Manual",C122&lt;Parameters!$B$19,C122&gt;=Parameters!$B$19*(1-Parameters!$B$20)),1,0)</f>
        <v>0</v>
      </c>
      <c r="W122" s="9" t="n">
        <f aca="false">IF(AND(I122="Manual",M122&gt;0),1,0)</f>
        <v>0</v>
      </c>
      <c r="X122" s="9" t="n">
        <f aca="false">IF(A122-A121&gt;1,1,0)</f>
        <v>0</v>
      </c>
      <c r="Y122" s="9" t="n">
        <f aca="false">N122*Parameters!$B$38+O122*Parameters!$B$39+P122*Parameters!$B$40+Q122*Parameters!$B$41+R122*Parameters!$B$42+S122*Parameters!$B$43+T122*Parameters!$B$44+U122*Parameters!$B$45+V122*Parameters!$B$46+W122*Parameters!$B$47+X122*Parameters!$B$48</f>
        <v>0</v>
      </c>
      <c r="Z122" s="0" t="str">
        <f aca="false">IF(Y122&gt;=Parameters!$B$25,"High","")</f>
        <v/>
      </c>
    </row>
    <row r="123" customFormat="false" ht="15" hidden="false" customHeight="false" outlineLevel="0" collapsed="false">
      <c r="A123" s="16" t="n">
        <v>1123</v>
      </c>
      <c r="B123" s="9" t="n">
        <f aca="false">COUNTIF(JE_Lines!$B$5:$B$1733,A123)</f>
        <v>2</v>
      </c>
      <c r="C123" s="17" t="n">
        <f aca="false">SUMIFS(JE_Lines!$G$5:$G$1733,JE_Lines!$B$5:$B$1733,A123)</f>
        <v>449.01</v>
      </c>
      <c r="D123" s="17" t="n">
        <f aca="false">SUMIFS(JE_Lines!$H$5:$H$1733,JE_Lines!$B$5:$B$1733,A123)</f>
        <v>449.01</v>
      </c>
      <c r="E123" s="17" t="n">
        <f aca="false">C123-D123</f>
        <v>0</v>
      </c>
      <c r="F123" s="18" t="n">
        <f aca="false">INDEX(JE_Lines!$C$5:$C$1733,MATCH(A123,JE_Lines!$B$5:$B$1733,0))</f>
        <v>45707</v>
      </c>
      <c r="G123" s="18" t="n">
        <f aca="false">INDEX(JE_Lines!$D$5:$D$1733,MATCH(A123,JE_Lines!$B$5:$B$1733,0))</f>
        <v>45704</v>
      </c>
      <c r="H123" s="0" t="str">
        <f aca="false">INDEX(JE_Lines!$I$5:$I$1733,MATCH(A123,JE_Lines!$B$5:$B$1733,0))</f>
        <v>SYS_PAY</v>
      </c>
      <c r="I123" s="0" t="str">
        <f aca="false">INDEX(JE_Lines!$J$5:$J$1733,MATCH(A123,JE_Lines!$B$5:$B$1733,0))</f>
        <v>System</v>
      </c>
      <c r="J123" s="0" t="str">
        <f aca="false">IF(LEN(INDEX(JE_Lines!$K$5:$K$1733,MATCH(A123,JE_Lines!$B$5:$B$1733,0)))=0,"",INDEX(JE_Lines!$K$5:$K$1733,MATCH(A123,JE_Lines!$B$5:$B$1733,0)))</f>
        <v>Supplier payments</v>
      </c>
      <c r="K123" s="9" t="n">
        <f aca="false">F123-G123</f>
        <v>3</v>
      </c>
      <c r="L123" s="9" t="n">
        <f aca="false">COUNTIFS(JE_Lines!$B$5:$B$1733,A123,JE_Lines!$F$5:$F$1733,"Revenue")</f>
        <v>0</v>
      </c>
      <c r="M123" s="9" t="n">
        <f aca="false">COUNTIFS(JE_Lines!$B$5:$B$1733,A123,JE_Lines!$F$5:$F$1733,"Suspense")</f>
        <v>0</v>
      </c>
      <c r="N123" s="9" t="n">
        <f aca="false">IF(ABS(E123)&gt;Parameters!$B$23,1,0)</f>
        <v>0</v>
      </c>
      <c r="O123" s="9" t="n">
        <f aca="false">IF(WEEKDAY(F123,2)&gt;5,1,0)</f>
        <v>0</v>
      </c>
      <c r="P123" s="9" t="n">
        <f aca="false">IF(K123&gt;Parameters!$B$17,1,0)</f>
        <v>0</v>
      </c>
      <c r="Q123" s="9" t="n">
        <f aca="false">IF(AND(F123&lt;=Parameters!$B$6,F123&gt;Parameters!$B$6-Parameters!$B$18),1,0)</f>
        <v>0</v>
      </c>
      <c r="R123" s="9" t="n">
        <f aca="false">IF(COUNTIF(Parameters!$A$51:$A$58,H123)=0,1,0)</f>
        <v>0</v>
      </c>
      <c r="S123" s="9" t="n">
        <f aca="false">IF(AND(I123="Manual",L123&gt;0),1,0)</f>
        <v>0</v>
      </c>
      <c r="T123" s="9" t="n">
        <f aca="false">IF(AND(C123&gt;=Parameters!$B$22,ROUND(MOD(ROUND(C123,2),Parameters!$B$21),2)=0),1,0)</f>
        <v>0</v>
      </c>
      <c r="U123" s="9" t="n">
        <f aca="false">IF(LEN(TRIM(J123))=0,1,0)</f>
        <v>0</v>
      </c>
      <c r="V123" s="9" t="n">
        <f aca="false">IF(AND(I123="Manual",C123&lt;Parameters!$B$19,C123&gt;=Parameters!$B$19*(1-Parameters!$B$20)),1,0)</f>
        <v>0</v>
      </c>
      <c r="W123" s="9" t="n">
        <f aca="false">IF(AND(I123="Manual",M123&gt;0),1,0)</f>
        <v>0</v>
      </c>
      <c r="X123" s="9" t="n">
        <f aca="false">IF(A123-A122&gt;1,1,0)</f>
        <v>0</v>
      </c>
      <c r="Y123" s="9" t="n">
        <f aca="false">N123*Parameters!$B$38+O123*Parameters!$B$39+P123*Parameters!$B$40+Q123*Parameters!$B$41+R123*Parameters!$B$42+S123*Parameters!$B$43+T123*Parameters!$B$44+U123*Parameters!$B$45+V123*Parameters!$B$46+W123*Parameters!$B$47+X123*Parameters!$B$48</f>
        <v>0</v>
      </c>
      <c r="Z123" s="0" t="str">
        <f aca="false">IF(Y123&gt;=Parameters!$B$25,"High","")</f>
        <v/>
      </c>
    </row>
    <row r="124" customFormat="false" ht="15" hidden="false" customHeight="false" outlineLevel="0" collapsed="false">
      <c r="A124" s="16" t="n">
        <v>1124</v>
      </c>
      <c r="B124" s="9" t="n">
        <f aca="false">COUNTIF(JE_Lines!$B$5:$B$1733,A124)</f>
        <v>2</v>
      </c>
      <c r="C124" s="17" t="n">
        <f aca="false">SUMIFS(JE_Lines!$G$5:$G$1733,JE_Lines!$B$5:$B$1733,A124)</f>
        <v>765.54</v>
      </c>
      <c r="D124" s="17" t="n">
        <f aca="false">SUMIFS(JE_Lines!$H$5:$H$1733,JE_Lines!$B$5:$B$1733,A124)</f>
        <v>865.54</v>
      </c>
      <c r="E124" s="17" t="n">
        <f aca="false">C124-D124</f>
        <v>-100</v>
      </c>
      <c r="F124" s="18" t="n">
        <f aca="false">INDEX(JE_Lines!$C$5:$C$1733,MATCH(A124,JE_Lines!$B$5:$B$1733,0))</f>
        <v>45707</v>
      </c>
      <c r="G124" s="18" t="n">
        <f aca="false">INDEX(JE_Lines!$D$5:$D$1733,MATCH(A124,JE_Lines!$B$5:$B$1733,0))</f>
        <v>45707</v>
      </c>
      <c r="H124" s="0" t="str">
        <f aca="false">INDEX(JE_Lines!$I$5:$I$1733,MATCH(A124,JE_Lines!$B$5:$B$1733,0))</f>
        <v>FIN05</v>
      </c>
      <c r="I124" s="0" t="str">
        <f aca="false">INDEX(JE_Lines!$J$5:$J$1733,MATCH(A124,JE_Lines!$B$5:$B$1733,0))</f>
        <v>Manual</v>
      </c>
      <c r="J124" s="0" t="str">
        <f aca="false">IF(LEN(INDEX(JE_Lines!$K$5:$K$1733,MATCH(A124,JE_Lines!$B$5:$B$1733,0)))=0,"",INDEX(JE_Lines!$K$5:$K$1733,MATCH(A124,JE_Lines!$B$5:$B$1733,0)))</f>
        <v>Adjustment 1</v>
      </c>
      <c r="K124" s="9" t="n">
        <f aca="false">F124-G124</f>
        <v>0</v>
      </c>
      <c r="L124" s="9" t="n">
        <f aca="false">COUNTIFS(JE_Lines!$B$5:$B$1733,A124,JE_Lines!$F$5:$F$1733,"Revenue")</f>
        <v>0</v>
      </c>
      <c r="M124" s="9" t="n">
        <f aca="false">COUNTIFS(JE_Lines!$B$5:$B$1733,A124,JE_Lines!$F$5:$F$1733,"Suspense")</f>
        <v>0</v>
      </c>
      <c r="N124" s="9" t="n">
        <f aca="false">IF(ABS(E124)&gt;Parameters!$B$23,1,0)</f>
        <v>1</v>
      </c>
      <c r="O124" s="9" t="n">
        <f aca="false">IF(WEEKDAY(F124,2)&gt;5,1,0)</f>
        <v>0</v>
      </c>
      <c r="P124" s="9" t="n">
        <f aca="false">IF(K124&gt;Parameters!$B$17,1,0)</f>
        <v>0</v>
      </c>
      <c r="Q124" s="9" t="n">
        <f aca="false">IF(AND(F124&lt;=Parameters!$B$6,F124&gt;Parameters!$B$6-Parameters!$B$18),1,0)</f>
        <v>0</v>
      </c>
      <c r="R124" s="9" t="n">
        <f aca="false">IF(COUNTIF(Parameters!$A$51:$A$58,H124)=0,1,0)</f>
        <v>0</v>
      </c>
      <c r="S124" s="9" t="n">
        <f aca="false">IF(AND(I124="Manual",L124&gt;0),1,0)</f>
        <v>0</v>
      </c>
      <c r="T124" s="9" t="n">
        <f aca="false">IF(AND(C124&gt;=Parameters!$B$22,ROUND(MOD(ROUND(C124,2),Parameters!$B$21),2)=0),1,0)</f>
        <v>0</v>
      </c>
      <c r="U124" s="9" t="n">
        <f aca="false">IF(LEN(TRIM(J124))=0,1,0)</f>
        <v>0</v>
      </c>
      <c r="V124" s="9" t="n">
        <f aca="false">IF(AND(I124="Manual",C124&lt;Parameters!$B$19,C124&gt;=Parameters!$B$19*(1-Parameters!$B$20)),1,0)</f>
        <v>0</v>
      </c>
      <c r="W124" s="9" t="n">
        <f aca="false">IF(AND(I124="Manual",M124&gt;0),1,0)</f>
        <v>0</v>
      </c>
      <c r="X124" s="9" t="n">
        <f aca="false">IF(A124-A123&gt;1,1,0)</f>
        <v>0</v>
      </c>
      <c r="Y124" s="9" t="n">
        <f aca="false">N124*Parameters!$B$38+O124*Parameters!$B$39+P124*Parameters!$B$40+Q124*Parameters!$B$41+R124*Parameters!$B$42+S124*Parameters!$B$43+T124*Parameters!$B$44+U124*Parameters!$B$45+V124*Parameters!$B$46+W124*Parameters!$B$47+X124*Parameters!$B$48</f>
        <v>5</v>
      </c>
      <c r="Z124" s="0" t="str">
        <f aca="false">IF(Y124&gt;=Parameters!$B$25,"High","")</f>
        <v>High</v>
      </c>
    </row>
    <row r="125" customFormat="false" ht="15" hidden="false" customHeight="false" outlineLevel="0" collapsed="false">
      <c r="A125" s="16" t="n">
        <v>1125</v>
      </c>
      <c r="B125" s="9" t="n">
        <f aca="false">COUNTIF(JE_Lines!$B$5:$B$1733,A125)</f>
        <v>2</v>
      </c>
      <c r="C125" s="17" t="n">
        <f aca="false">SUMIFS(JE_Lines!$G$5:$G$1733,JE_Lines!$B$5:$B$1733,A125)</f>
        <v>1637.22</v>
      </c>
      <c r="D125" s="17" t="n">
        <f aca="false">SUMIFS(JE_Lines!$H$5:$H$1733,JE_Lines!$B$5:$B$1733,A125)</f>
        <v>1637.22</v>
      </c>
      <c r="E125" s="17" t="n">
        <f aca="false">C125-D125</f>
        <v>0</v>
      </c>
      <c r="F125" s="18" t="n">
        <f aca="false">INDEX(JE_Lines!$C$5:$C$1733,MATCH(A125,JE_Lines!$B$5:$B$1733,0))</f>
        <v>45707</v>
      </c>
      <c r="G125" s="18" t="n">
        <f aca="false">INDEX(JE_Lines!$D$5:$D$1733,MATCH(A125,JE_Lines!$B$5:$B$1733,0))</f>
        <v>45703</v>
      </c>
      <c r="H125" s="0" t="str">
        <f aca="false">INDEX(JE_Lines!$I$5:$I$1733,MATCH(A125,JE_Lines!$B$5:$B$1733,0))</f>
        <v>SYS_AR</v>
      </c>
      <c r="I125" s="0" t="str">
        <f aca="false">INDEX(JE_Lines!$J$5:$J$1733,MATCH(A125,JE_Lines!$B$5:$B$1733,0))</f>
        <v>System</v>
      </c>
      <c r="J125" s="0" t="str">
        <f aca="false">IF(LEN(INDEX(JE_Lines!$K$5:$K$1733,MATCH(A125,JE_Lines!$B$5:$B$1733,0)))=0,"",INDEX(JE_Lines!$K$5:$K$1733,MATCH(A125,JE_Lines!$B$5:$B$1733,0)))</f>
        <v>Sales invoice batch</v>
      </c>
      <c r="K125" s="9" t="n">
        <f aca="false">F125-G125</f>
        <v>4</v>
      </c>
      <c r="L125" s="9" t="n">
        <f aca="false">COUNTIFS(JE_Lines!$B$5:$B$1733,A125,JE_Lines!$F$5:$F$1733,"Revenue")</f>
        <v>1</v>
      </c>
      <c r="M125" s="9" t="n">
        <f aca="false">COUNTIFS(JE_Lines!$B$5:$B$1733,A125,JE_Lines!$F$5:$F$1733,"Suspense")</f>
        <v>0</v>
      </c>
      <c r="N125" s="9" t="n">
        <f aca="false">IF(ABS(E125)&gt;Parameters!$B$23,1,0)</f>
        <v>0</v>
      </c>
      <c r="O125" s="9" t="n">
        <f aca="false">IF(WEEKDAY(F125,2)&gt;5,1,0)</f>
        <v>0</v>
      </c>
      <c r="P125" s="9" t="n">
        <f aca="false">IF(K125&gt;Parameters!$B$17,1,0)</f>
        <v>0</v>
      </c>
      <c r="Q125" s="9" t="n">
        <f aca="false">IF(AND(F125&lt;=Parameters!$B$6,F125&gt;Parameters!$B$6-Parameters!$B$18),1,0)</f>
        <v>0</v>
      </c>
      <c r="R125" s="9" t="n">
        <f aca="false">IF(COUNTIF(Parameters!$A$51:$A$58,H125)=0,1,0)</f>
        <v>0</v>
      </c>
      <c r="S125" s="9" t="n">
        <f aca="false">IF(AND(I125="Manual",L125&gt;0),1,0)</f>
        <v>0</v>
      </c>
      <c r="T125" s="9" t="n">
        <f aca="false">IF(AND(C125&gt;=Parameters!$B$22,ROUND(MOD(ROUND(C125,2),Parameters!$B$21),2)=0),1,0)</f>
        <v>0</v>
      </c>
      <c r="U125" s="9" t="n">
        <f aca="false">IF(LEN(TRIM(J125))=0,1,0)</f>
        <v>0</v>
      </c>
      <c r="V125" s="9" t="n">
        <f aca="false">IF(AND(I125="Manual",C125&lt;Parameters!$B$19,C125&gt;=Parameters!$B$19*(1-Parameters!$B$20)),1,0)</f>
        <v>0</v>
      </c>
      <c r="W125" s="9" t="n">
        <f aca="false">IF(AND(I125="Manual",M125&gt;0),1,0)</f>
        <v>0</v>
      </c>
      <c r="X125" s="9" t="n">
        <f aca="false">IF(A125-A124&gt;1,1,0)</f>
        <v>0</v>
      </c>
      <c r="Y125" s="9" t="n">
        <f aca="false">N125*Parameters!$B$38+O125*Parameters!$B$39+P125*Parameters!$B$40+Q125*Parameters!$B$41+R125*Parameters!$B$42+S125*Parameters!$B$43+T125*Parameters!$B$44+U125*Parameters!$B$45+V125*Parameters!$B$46+W125*Parameters!$B$47+X125*Parameters!$B$48</f>
        <v>0</v>
      </c>
      <c r="Z125" s="0" t="str">
        <f aca="false">IF(Y125&gt;=Parameters!$B$25,"High","")</f>
        <v/>
      </c>
    </row>
    <row r="126" customFormat="false" ht="15" hidden="false" customHeight="false" outlineLevel="0" collapsed="false">
      <c r="A126" s="16" t="n">
        <v>1126</v>
      </c>
      <c r="B126" s="9" t="n">
        <f aca="false">COUNTIF(JE_Lines!$B$5:$B$1733,A126)</f>
        <v>2</v>
      </c>
      <c r="C126" s="17" t="n">
        <f aca="false">SUMIFS(JE_Lines!$G$5:$G$1733,JE_Lines!$B$5:$B$1733,A126)</f>
        <v>846.22</v>
      </c>
      <c r="D126" s="17" t="n">
        <f aca="false">SUMIFS(JE_Lines!$H$5:$H$1733,JE_Lines!$B$5:$B$1733,A126)</f>
        <v>846.22</v>
      </c>
      <c r="E126" s="17" t="n">
        <f aca="false">C126-D126</f>
        <v>0</v>
      </c>
      <c r="F126" s="18" t="n">
        <f aca="false">INDEX(JE_Lines!$C$5:$C$1733,MATCH(A126,JE_Lines!$B$5:$B$1733,0))</f>
        <v>45708</v>
      </c>
      <c r="G126" s="18" t="n">
        <f aca="false">INDEX(JE_Lines!$D$5:$D$1733,MATCH(A126,JE_Lines!$B$5:$B$1733,0))</f>
        <v>45705</v>
      </c>
      <c r="H126" s="0" t="str">
        <f aca="false">INDEX(JE_Lines!$I$5:$I$1733,MATCH(A126,JE_Lines!$B$5:$B$1733,0))</f>
        <v>SYS_AR</v>
      </c>
      <c r="I126" s="0" t="str">
        <f aca="false">INDEX(JE_Lines!$J$5:$J$1733,MATCH(A126,JE_Lines!$B$5:$B$1733,0))</f>
        <v>System</v>
      </c>
      <c r="J126" s="0" t="str">
        <f aca="false">IF(LEN(INDEX(JE_Lines!$K$5:$K$1733,MATCH(A126,JE_Lines!$B$5:$B$1733,0)))=0,"",INDEX(JE_Lines!$K$5:$K$1733,MATCH(A126,JE_Lines!$B$5:$B$1733,0)))</f>
        <v>Customer receipts</v>
      </c>
      <c r="K126" s="9" t="n">
        <f aca="false">F126-G126</f>
        <v>3</v>
      </c>
      <c r="L126" s="9" t="n">
        <f aca="false">COUNTIFS(JE_Lines!$B$5:$B$1733,A126,JE_Lines!$F$5:$F$1733,"Revenue")</f>
        <v>0</v>
      </c>
      <c r="M126" s="9" t="n">
        <f aca="false">COUNTIFS(JE_Lines!$B$5:$B$1733,A126,JE_Lines!$F$5:$F$1733,"Suspense")</f>
        <v>0</v>
      </c>
      <c r="N126" s="9" t="n">
        <f aca="false">IF(ABS(E126)&gt;Parameters!$B$23,1,0)</f>
        <v>0</v>
      </c>
      <c r="O126" s="9" t="n">
        <f aca="false">IF(WEEKDAY(F126,2)&gt;5,1,0)</f>
        <v>0</v>
      </c>
      <c r="P126" s="9" t="n">
        <f aca="false">IF(K126&gt;Parameters!$B$17,1,0)</f>
        <v>0</v>
      </c>
      <c r="Q126" s="9" t="n">
        <f aca="false">IF(AND(F126&lt;=Parameters!$B$6,F126&gt;Parameters!$B$6-Parameters!$B$18),1,0)</f>
        <v>0</v>
      </c>
      <c r="R126" s="9" t="n">
        <f aca="false">IF(COUNTIF(Parameters!$A$51:$A$58,H126)=0,1,0)</f>
        <v>0</v>
      </c>
      <c r="S126" s="9" t="n">
        <f aca="false">IF(AND(I126="Manual",L126&gt;0),1,0)</f>
        <v>0</v>
      </c>
      <c r="T126" s="9" t="n">
        <f aca="false">IF(AND(C126&gt;=Parameters!$B$22,ROUND(MOD(ROUND(C126,2),Parameters!$B$21),2)=0),1,0)</f>
        <v>0</v>
      </c>
      <c r="U126" s="9" t="n">
        <f aca="false">IF(LEN(TRIM(J126))=0,1,0)</f>
        <v>0</v>
      </c>
      <c r="V126" s="9" t="n">
        <f aca="false">IF(AND(I126="Manual",C126&lt;Parameters!$B$19,C126&gt;=Parameters!$B$19*(1-Parameters!$B$20)),1,0)</f>
        <v>0</v>
      </c>
      <c r="W126" s="9" t="n">
        <f aca="false">IF(AND(I126="Manual",M126&gt;0),1,0)</f>
        <v>0</v>
      </c>
      <c r="X126" s="9" t="n">
        <f aca="false">IF(A126-A125&gt;1,1,0)</f>
        <v>0</v>
      </c>
      <c r="Y126" s="9" t="n">
        <f aca="false">N126*Parameters!$B$38+O126*Parameters!$B$39+P126*Parameters!$B$40+Q126*Parameters!$B$41+R126*Parameters!$B$42+S126*Parameters!$B$43+T126*Parameters!$B$44+U126*Parameters!$B$45+V126*Parameters!$B$46+W126*Parameters!$B$47+X126*Parameters!$B$48</f>
        <v>0</v>
      </c>
      <c r="Z126" s="0" t="str">
        <f aca="false">IF(Y126&gt;=Parameters!$B$25,"High","")</f>
        <v/>
      </c>
    </row>
    <row r="127" customFormat="false" ht="15" hidden="false" customHeight="false" outlineLevel="0" collapsed="false">
      <c r="A127" s="16" t="n">
        <v>1127</v>
      </c>
      <c r="B127" s="9" t="n">
        <f aca="false">COUNTIF(JE_Lines!$B$5:$B$1733,A127)</f>
        <v>2</v>
      </c>
      <c r="C127" s="17" t="n">
        <f aca="false">SUMIFS(JE_Lines!$G$5:$G$1733,JE_Lines!$B$5:$B$1733,A127)</f>
        <v>50670.9</v>
      </c>
      <c r="D127" s="17" t="n">
        <f aca="false">SUMIFS(JE_Lines!$H$5:$H$1733,JE_Lines!$B$5:$B$1733,A127)</f>
        <v>50670.9</v>
      </c>
      <c r="E127" s="17" t="n">
        <f aca="false">C127-D127</f>
        <v>0</v>
      </c>
      <c r="F127" s="18" t="n">
        <f aca="false">INDEX(JE_Lines!$C$5:$C$1733,MATCH(A127,JE_Lines!$B$5:$B$1733,0))</f>
        <v>45708</v>
      </c>
      <c r="G127" s="18" t="n">
        <f aca="false">INDEX(JE_Lines!$D$5:$D$1733,MATCH(A127,JE_Lines!$B$5:$B$1733,0))</f>
        <v>45708</v>
      </c>
      <c r="H127" s="0" t="str">
        <f aca="false">INDEX(JE_Lines!$I$5:$I$1733,MATCH(A127,JE_Lines!$B$5:$B$1733,0))</f>
        <v>TEMP02</v>
      </c>
      <c r="I127" s="0" t="str">
        <f aca="false">INDEX(JE_Lines!$J$5:$J$1733,MATCH(A127,JE_Lines!$B$5:$B$1733,0))</f>
        <v>Manual</v>
      </c>
      <c r="J127" s="0" t="str">
        <f aca="false">IF(LEN(INDEX(JE_Lines!$K$5:$K$1733,MATCH(A127,JE_Lines!$B$5:$B$1733,0)))=0,"",INDEX(JE_Lines!$K$5:$K$1733,MATCH(A127,JE_Lines!$B$5:$B$1733,0)))</f>
        <v>Manual journal 1</v>
      </c>
      <c r="K127" s="9" t="n">
        <f aca="false">F127-G127</f>
        <v>0</v>
      </c>
      <c r="L127" s="9" t="n">
        <f aca="false">COUNTIFS(JE_Lines!$B$5:$B$1733,A127,JE_Lines!$F$5:$F$1733,"Revenue")</f>
        <v>0</v>
      </c>
      <c r="M127" s="9" t="n">
        <f aca="false">COUNTIFS(JE_Lines!$B$5:$B$1733,A127,JE_Lines!$F$5:$F$1733,"Suspense")</f>
        <v>0</v>
      </c>
      <c r="N127" s="9" t="n">
        <f aca="false">IF(ABS(E127)&gt;Parameters!$B$23,1,0)</f>
        <v>0</v>
      </c>
      <c r="O127" s="9" t="n">
        <f aca="false">IF(WEEKDAY(F127,2)&gt;5,1,0)</f>
        <v>0</v>
      </c>
      <c r="P127" s="9" t="n">
        <f aca="false">IF(K127&gt;Parameters!$B$17,1,0)</f>
        <v>0</v>
      </c>
      <c r="Q127" s="9" t="n">
        <f aca="false">IF(AND(F127&lt;=Parameters!$B$6,F127&gt;Parameters!$B$6-Parameters!$B$18),1,0)</f>
        <v>0</v>
      </c>
      <c r="R127" s="9" t="n">
        <f aca="false">IF(COUNTIF(Parameters!$A$51:$A$58,H127)=0,1,0)</f>
        <v>1</v>
      </c>
      <c r="S127" s="9" t="n">
        <f aca="false">IF(AND(I127="Manual",L127&gt;0),1,0)</f>
        <v>0</v>
      </c>
      <c r="T127" s="9" t="n">
        <f aca="false">IF(AND(C127&gt;=Parameters!$B$22,ROUND(MOD(ROUND(C127,2),Parameters!$B$21),2)=0),1,0)</f>
        <v>0</v>
      </c>
      <c r="U127" s="9" t="n">
        <f aca="false">IF(LEN(TRIM(J127))=0,1,0)</f>
        <v>0</v>
      </c>
      <c r="V127" s="9" t="n">
        <f aca="false">IF(AND(I127="Manual",C127&lt;Parameters!$B$19,C127&gt;=Parameters!$B$19*(1-Parameters!$B$20)),1,0)</f>
        <v>0</v>
      </c>
      <c r="W127" s="9" t="n">
        <f aca="false">IF(AND(I127="Manual",M127&gt;0),1,0)</f>
        <v>0</v>
      </c>
      <c r="X127" s="9" t="n">
        <f aca="false">IF(A127-A126&gt;1,1,0)</f>
        <v>0</v>
      </c>
      <c r="Y127" s="9" t="n">
        <f aca="false">N127*Parameters!$B$38+O127*Parameters!$B$39+P127*Parameters!$B$40+Q127*Parameters!$B$41+R127*Parameters!$B$42+S127*Parameters!$B$43+T127*Parameters!$B$44+U127*Parameters!$B$45+V127*Parameters!$B$46+W127*Parameters!$B$47+X127*Parameters!$B$48</f>
        <v>3</v>
      </c>
      <c r="Z127" s="0" t="str">
        <f aca="false">IF(Y127&gt;=Parameters!$B$25,"High","")</f>
        <v/>
      </c>
    </row>
    <row r="128" customFormat="false" ht="15" hidden="false" customHeight="false" outlineLevel="0" collapsed="false">
      <c r="A128" s="16" t="n">
        <v>1128</v>
      </c>
      <c r="B128" s="9" t="n">
        <f aca="false">COUNTIF(JE_Lines!$B$5:$B$1733,A128)</f>
        <v>2</v>
      </c>
      <c r="C128" s="17" t="n">
        <f aca="false">SUMIFS(JE_Lines!$G$5:$G$1733,JE_Lines!$B$5:$B$1733,A128)</f>
        <v>258.78</v>
      </c>
      <c r="D128" s="17" t="n">
        <f aca="false">SUMIFS(JE_Lines!$H$5:$H$1733,JE_Lines!$B$5:$B$1733,A128)</f>
        <v>258.78</v>
      </c>
      <c r="E128" s="17" t="n">
        <f aca="false">C128-D128</f>
        <v>0</v>
      </c>
      <c r="F128" s="18" t="n">
        <f aca="false">INDEX(JE_Lines!$C$5:$C$1733,MATCH(A128,JE_Lines!$B$5:$B$1733,0))</f>
        <v>45708</v>
      </c>
      <c r="G128" s="18" t="n">
        <f aca="false">INDEX(JE_Lines!$D$5:$D$1733,MATCH(A128,JE_Lines!$B$5:$B$1733,0))</f>
        <v>45707</v>
      </c>
      <c r="H128" s="0" t="str">
        <f aca="false">INDEX(JE_Lines!$I$5:$I$1733,MATCH(A128,JE_Lines!$B$5:$B$1733,0))</f>
        <v>SYS_AR</v>
      </c>
      <c r="I128" s="0" t="str">
        <f aca="false">INDEX(JE_Lines!$J$5:$J$1733,MATCH(A128,JE_Lines!$B$5:$B$1733,0))</f>
        <v>System</v>
      </c>
      <c r="J128" s="0" t="str">
        <f aca="false">IF(LEN(INDEX(JE_Lines!$K$5:$K$1733,MATCH(A128,JE_Lines!$B$5:$B$1733,0)))=0,"",INDEX(JE_Lines!$K$5:$K$1733,MATCH(A128,JE_Lines!$B$5:$B$1733,0)))</f>
        <v>Sales invoice batch</v>
      </c>
      <c r="K128" s="9" t="n">
        <f aca="false">F128-G128</f>
        <v>1</v>
      </c>
      <c r="L128" s="9" t="n">
        <f aca="false">COUNTIFS(JE_Lines!$B$5:$B$1733,A128,JE_Lines!$F$5:$F$1733,"Revenue")</f>
        <v>1</v>
      </c>
      <c r="M128" s="9" t="n">
        <f aca="false">COUNTIFS(JE_Lines!$B$5:$B$1733,A128,JE_Lines!$F$5:$F$1733,"Suspense")</f>
        <v>0</v>
      </c>
      <c r="N128" s="9" t="n">
        <f aca="false">IF(ABS(E128)&gt;Parameters!$B$23,1,0)</f>
        <v>0</v>
      </c>
      <c r="O128" s="9" t="n">
        <f aca="false">IF(WEEKDAY(F128,2)&gt;5,1,0)</f>
        <v>0</v>
      </c>
      <c r="P128" s="9" t="n">
        <f aca="false">IF(K128&gt;Parameters!$B$17,1,0)</f>
        <v>0</v>
      </c>
      <c r="Q128" s="9" t="n">
        <f aca="false">IF(AND(F128&lt;=Parameters!$B$6,F128&gt;Parameters!$B$6-Parameters!$B$18),1,0)</f>
        <v>0</v>
      </c>
      <c r="R128" s="9" t="n">
        <f aca="false">IF(COUNTIF(Parameters!$A$51:$A$58,H128)=0,1,0)</f>
        <v>0</v>
      </c>
      <c r="S128" s="9" t="n">
        <f aca="false">IF(AND(I128="Manual",L128&gt;0),1,0)</f>
        <v>0</v>
      </c>
      <c r="T128" s="9" t="n">
        <f aca="false">IF(AND(C128&gt;=Parameters!$B$22,ROUND(MOD(ROUND(C128,2),Parameters!$B$21),2)=0),1,0)</f>
        <v>0</v>
      </c>
      <c r="U128" s="9" t="n">
        <f aca="false">IF(LEN(TRIM(J128))=0,1,0)</f>
        <v>0</v>
      </c>
      <c r="V128" s="9" t="n">
        <f aca="false">IF(AND(I128="Manual",C128&lt;Parameters!$B$19,C128&gt;=Parameters!$B$19*(1-Parameters!$B$20)),1,0)</f>
        <v>0</v>
      </c>
      <c r="W128" s="9" t="n">
        <f aca="false">IF(AND(I128="Manual",M128&gt;0),1,0)</f>
        <v>0</v>
      </c>
      <c r="X128" s="9" t="n">
        <f aca="false">IF(A128-A127&gt;1,1,0)</f>
        <v>0</v>
      </c>
      <c r="Y128" s="9" t="n">
        <f aca="false">N128*Parameters!$B$38+O128*Parameters!$B$39+P128*Parameters!$B$40+Q128*Parameters!$B$41+R128*Parameters!$B$42+S128*Parameters!$B$43+T128*Parameters!$B$44+U128*Parameters!$B$45+V128*Parameters!$B$46+W128*Parameters!$B$47+X128*Parameters!$B$48</f>
        <v>0</v>
      </c>
      <c r="Z128" s="0" t="str">
        <f aca="false">IF(Y128&gt;=Parameters!$B$25,"High","")</f>
        <v/>
      </c>
    </row>
    <row r="129" customFormat="false" ht="15" hidden="false" customHeight="false" outlineLevel="0" collapsed="false">
      <c r="A129" s="16" t="n">
        <v>1129</v>
      </c>
      <c r="B129" s="9" t="n">
        <f aca="false">COUNTIF(JE_Lines!$B$5:$B$1733,A129)</f>
        <v>2</v>
      </c>
      <c r="C129" s="17" t="n">
        <f aca="false">SUMIFS(JE_Lines!$G$5:$G$1733,JE_Lines!$B$5:$B$1733,A129)</f>
        <v>661.47</v>
      </c>
      <c r="D129" s="17" t="n">
        <f aca="false">SUMIFS(JE_Lines!$H$5:$H$1733,JE_Lines!$B$5:$B$1733,A129)</f>
        <v>661.47</v>
      </c>
      <c r="E129" s="17" t="n">
        <f aca="false">C129-D129</f>
        <v>0</v>
      </c>
      <c r="F129" s="18" t="n">
        <f aca="false">INDEX(JE_Lines!$C$5:$C$1733,MATCH(A129,JE_Lines!$B$5:$B$1733,0))</f>
        <v>45708</v>
      </c>
      <c r="G129" s="18" t="n">
        <f aca="false">INDEX(JE_Lines!$D$5:$D$1733,MATCH(A129,JE_Lines!$B$5:$B$1733,0))</f>
        <v>45704</v>
      </c>
      <c r="H129" s="0" t="str">
        <f aca="false">INDEX(JE_Lines!$I$5:$I$1733,MATCH(A129,JE_Lines!$B$5:$B$1733,0))</f>
        <v>SYS_PAY</v>
      </c>
      <c r="I129" s="0" t="str">
        <f aca="false">INDEX(JE_Lines!$J$5:$J$1733,MATCH(A129,JE_Lines!$B$5:$B$1733,0))</f>
        <v>System</v>
      </c>
      <c r="J129" s="0" t="str">
        <f aca="false">IF(LEN(INDEX(JE_Lines!$K$5:$K$1733,MATCH(A129,JE_Lines!$B$5:$B$1733,0)))=0,"",INDEX(JE_Lines!$K$5:$K$1733,MATCH(A129,JE_Lines!$B$5:$B$1733,0)))</f>
        <v>Supplier payments</v>
      </c>
      <c r="K129" s="9" t="n">
        <f aca="false">F129-G129</f>
        <v>4</v>
      </c>
      <c r="L129" s="9" t="n">
        <f aca="false">COUNTIFS(JE_Lines!$B$5:$B$1733,A129,JE_Lines!$F$5:$F$1733,"Revenue")</f>
        <v>0</v>
      </c>
      <c r="M129" s="9" t="n">
        <f aca="false">COUNTIFS(JE_Lines!$B$5:$B$1733,A129,JE_Lines!$F$5:$F$1733,"Suspense")</f>
        <v>0</v>
      </c>
      <c r="N129" s="9" t="n">
        <f aca="false">IF(ABS(E129)&gt;Parameters!$B$23,1,0)</f>
        <v>0</v>
      </c>
      <c r="O129" s="9" t="n">
        <f aca="false">IF(WEEKDAY(F129,2)&gt;5,1,0)</f>
        <v>0</v>
      </c>
      <c r="P129" s="9" t="n">
        <f aca="false">IF(K129&gt;Parameters!$B$17,1,0)</f>
        <v>0</v>
      </c>
      <c r="Q129" s="9" t="n">
        <f aca="false">IF(AND(F129&lt;=Parameters!$B$6,F129&gt;Parameters!$B$6-Parameters!$B$18),1,0)</f>
        <v>0</v>
      </c>
      <c r="R129" s="9" t="n">
        <f aca="false">IF(COUNTIF(Parameters!$A$51:$A$58,H129)=0,1,0)</f>
        <v>0</v>
      </c>
      <c r="S129" s="9" t="n">
        <f aca="false">IF(AND(I129="Manual",L129&gt;0),1,0)</f>
        <v>0</v>
      </c>
      <c r="T129" s="9" t="n">
        <f aca="false">IF(AND(C129&gt;=Parameters!$B$22,ROUND(MOD(ROUND(C129,2),Parameters!$B$21),2)=0),1,0)</f>
        <v>0</v>
      </c>
      <c r="U129" s="9" t="n">
        <f aca="false">IF(LEN(TRIM(J129))=0,1,0)</f>
        <v>0</v>
      </c>
      <c r="V129" s="9" t="n">
        <f aca="false">IF(AND(I129="Manual",C129&lt;Parameters!$B$19,C129&gt;=Parameters!$B$19*(1-Parameters!$B$20)),1,0)</f>
        <v>0</v>
      </c>
      <c r="W129" s="9" t="n">
        <f aca="false">IF(AND(I129="Manual",M129&gt;0),1,0)</f>
        <v>0</v>
      </c>
      <c r="X129" s="9" t="n">
        <f aca="false">IF(A129-A128&gt;1,1,0)</f>
        <v>0</v>
      </c>
      <c r="Y129" s="9" t="n">
        <f aca="false">N129*Parameters!$B$38+O129*Parameters!$B$39+P129*Parameters!$B$40+Q129*Parameters!$B$41+R129*Parameters!$B$42+S129*Parameters!$B$43+T129*Parameters!$B$44+U129*Parameters!$B$45+V129*Parameters!$B$46+W129*Parameters!$B$47+X129*Parameters!$B$48</f>
        <v>0</v>
      </c>
      <c r="Z129" s="0" t="str">
        <f aca="false">IF(Y129&gt;=Parameters!$B$25,"High","")</f>
        <v/>
      </c>
    </row>
    <row r="130" customFormat="false" ht="15" hidden="false" customHeight="false" outlineLevel="0" collapsed="false">
      <c r="A130" s="16" t="n">
        <v>1130</v>
      </c>
      <c r="B130" s="9" t="n">
        <f aca="false">COUNTIF(JE_Lines!$B$5:$B$1733,A130)</f>
        <v>2</v>
      </c>
      <c r="C130" s="17" t="n">
        <f aca="false">SUMIFS(JE_Lines!$G$5:$G$1733,JE_Lines!$B$5:$B$1733,A130)</f>
        <v>4075.03</v>
      </c>
      <c r="D130" s="17" t="n">
        <f aca="false">SUMIFS(JE_Lines!$H$5:$H$1733,JE_Lines!$B$5:$B$1733,A130)</f>
        <v>4075.03</v>
      </c>
      <c r="E130" s="17" t="n">
        <f aca="false">C130-D130</f>
        <v>0</v>
      </c>
      <c r="F130" s="18" t="n">
        <f aca="false">INDEX(JE_Lines!$C$5:$C$1733,MATCH(A130,JE_Lines!$B$5:$B$1733,0))</f>
        <v>45708</v>
      </c>
      <c r="G130" s="18" t="n">
        <f aca="false">INDEX(JE_Lines!$D$5:$D$1733,MATCH(A130,JE_Lines!$B$5:$B$1733,0))</f>
        <v>45705</v>
      </c>
      <c r="H130" s="0" t="str">
        <f aca="false">INDEX(JE_Lines!$I$5:$I$1733,MATCH(A130,JE_Lines!$B$5:$B$1733,0))</f>
        <v>SYS_AR</v>
      </c>
      <c r="I130" s="0" t="str">
        <f aca="false">INDEX(JE_Lines!$J$5:$J$1733,MATCH(A130,JE_Lines!$B$5:$B$1733,0))</f>
        <v>System</v>
      </c>
      <c r="J130" s="0" t="str">
        <f aca="false">IF(LEN(INDEX(JE_Lines!$K$5:$K$1733,MATCH(A130,JE_Lines!$B$5:$B$1733,0)))=0,"",INDEX(JE_Lines!$K$5:$K$1733,MATCH(A130,JE_Lines!$B$5:$B$1733,0)))</f>
        <v>Sales invoice batch</v>
      </c>
      <c r="K130" s="9" t="n">
        <f aca="false">F130-G130</f>
        <v>3</v>
      </c>
      <c r="L130" s="9" t="n">
        <f aca="false">COUNTIFS(JE_Lines!$B$5:$B$1733,A130,JE_Lines!$F$5:$F$1733,"Revenue")</f>
        <v>1</v>
      </c>
      <c r="M130" s="9" t="n">
        <f aca="false">COUNTIFS(JE_Lines!$B$5:$B$1733,A130,JE_Lines!$F$5:$F$1733,"Suspense")</f>
        <v>0</v>
      </c>
      <c r="N130" s="9" t="n">
        <f aca="false">IF(ABS(E130)&gt;Parameters!$B$23,1,0)</f>
        <v>0</v>
      </c>
      <c r="O130" s="9" t="n">
        <f aca="false">IF(WEEKDAY(F130,2)&gt;5,1,0)</f>
        <v>0</v>
      </c>
      <c r="P130" s="9" t="n">
        <f aca="false">IF(K130&gt;Parameters!$B$17,1,0)</f>
        <v>0</v>
      </c>
      <c r="Q130" s="9" t="n">
        <f aca="false">IF(AND(F130&lt;=Parameters!$B$6,F130&gt;Parameters!$B$6-Parameters!$B$18),1,0)</f>
        <v>0</v>
      </c>
      <c r="R130" s="9" t="n">
        <f aca="false">IF(COUNTIF(Parameters!$A$51:$A$58,H130)=0,1,0)</f>
        <v>0</v>
      </c>
      <c r="S130" s="9" t="n">
        <f aca="false">IF(AND(I130="Manual",L130&gt;0),1,0)</f>
        <v>0</v>
      </c>
      <c r="T130" s="9" t="n">
        <f aca="false">IF(AND(C130&gt;=Parameters!$B$22,ROUND(MOD(ROUND(C130,2),Parameters!$B$21),2)=0),1,0)</f>
        <v>0</v>
      </c>
      <c r="U130" s="9" t="n">
        <f aca="false">IF(LEN(TRIM(J130))=0,1,0)</f>
        <v>0</v>
      </c>
      <c r="V130" s="9" t="n">
        <f aca="false">IF(AND(I130="Manual",C130&lt;Parameters!$B$19,C130&gt;=Parameters!$B$19*(1-Parameters!$B$20)),1,0)</f>
        <v>0</v>
      </c>
      <c r="W130" s="9" t="n">
        <f aca="false">IF(AND(I130="Manual",M130&gt;0),1,0)</f>
        <v>0</v>
      </c>
      <c r="X130" s="9" t="n">
        <f aca="false">IF(A130-A129&gt;1,1,0)</f>
        <v>0</v>
      </c>
      <c r="Y130" s="9" t="n">
        <f aca="false">N130*Parameters!$B$38+O130*Parameters!$B$39+P130*Parameters!$B$40+Q130*Parameters!$B$41+R130*Parameters!$B$42+S130*Parameters!$B$43+T130*Parameters!$B$44+U130*Parameters!$B$45+V130*Parameters!$B$46+W130*Parameters!$B$47+X130*Parameters!$B$48</f>
        <v>0</v>
      </c>
      <c r="Z130" s="0" t="str">
        <f aca="false">IF(Y130&gt;=Parameters!$B$25,"High","")</f>
        <v/>
      </c>
    </row>
    <row r="131" customFormat="false" ht="15" hidden="false" customHeight="false" outlineLevel="0" collapsed="false">
      <c r="A131" s="16" t="n">
        <v>1131</v>
      </c>
      <c r="B131" s="9" t="n">
        <f aca="false">COUNTIF(JE_Lines!$B$5:$B$1733,A131)</f>
        <v>2</v>
      </c>
      <c r="C131" s="17" t="n">
        <f aca="false">SUMIFS(JE_Lines!$G$5:$G$1733,JE_Lines!$B$5:$B$1733,A131)</f>
        <v>80340.67</v>
      </c>
      <c r="D131" s="17" t="n">
        <f aca="false">SUMIFS(JE_Lines!$H$5:$H$1733,JE_Lines!$B$5:$B$1733,A131)</f>
        <v>80340.67</v>
      </c>
      <c r="E131" s="17" t="n">
        <f aca="false">C131-D131</f>
        <v>0</v>
      </c>
      <c r="F131" s="18" t="n">
        <f aca="false">INDEX(JE_Lines!$C$5:$C$1733,MATCH(A131,JE_Lines!$B$5:$B$1733,0))</f>
        <v>45709</v>
      </c>
      <c r="G131" s="18" t="n">
        <f aca="false">INDEX(JE_Lines!$D$5:$D$1733,MATCH(A131,JE_Lines!$B$5:$B$1733,0))</f>
        <v>45709</v>
      </c>
      <c r="H131" s="0" t="str">
        <f aca="false">INDEX(JE_Lines!$I$5:$I$1733,MATCH(A131,JE_Lines!$B$5:$B$1733,0))</f>
        <v>SYS_AR</v>
      </c>
      <c r="I131" s="0" t="str">
        <f aca="false">INDEX(JE_Lines!$J$5:$J$1733,MATCH(A131,JE_Lines!$B$5:$B$1733,0))</f>
        <v>System</v>
      </c>
      <c r="J131" s="0" t="str">
        <f aca="false">IF(LEN(INDEX(JE_Lines!$K$5:$K$1733,MATCH(A131,JE_Lines!$B$5:$B$1733,0)))=0,"",INDEX(JE_Lines!$K$5:$K$1733,MATCH(A131,JE_Lines!$B$5:$B$1733,0)))</f>
        <v>Sales invoice batch</v>
      </c>
      <c r="K131" s="9" t="n">
        <f aca="false">F131-G131</f>
        <v>0</v>
      </c>
      <c r="L131" s="9" t="n">
        <f aca="false">COUNTIFS(JE_Lines!$B$5:$B$1733,A131,JE_Lines!$F$5:$F$1733,"Revenue")</f>
        <v>1</v>
      </c>
      <c r="M131" s="9" t="n">
        <f aca="false">COUNTIFS(JE_Lines!$B$5:$B$1733,A131,JE_Lines!$F$5:$F$1733,"Suspense")</f>
        <v>0</v>
      </c>
      <c r="N131" s="9" t="n">
        <f aca="false">IF(ABS(E131)&gt;Parameters!$B$23,1,0)</f>
        <v>0</v>
      </c>
      <c r="O131" s="9" t="n">
        <f aca="false">IF(WEEKDAY(F131,2)&gt;5,1,0)</f>
        <v>0</v>
      </c>
      <c r="P131" s="9" t="n">
        <f aca="false">IF(K131&gt;Parameters!$B$17,1,0)</f>
        <v>0</v>
      </c>
      <c r="Q131" s="9" t="n">
        <f aca="false">IF(AND(F131&lt;=Parameters!$B$6,F131&gt;Parameters!$B$6-Parameters!$B$18),1,0)</f>
        <v>0</v>
      </c>
      <c r="R131" s="9" t="n">
        <f aca="false">IF(COUNTIF(Parameters!$A$51:$A$58,H131)=0,1,0)</f>
        <v>0</v>
      </c>
      <c r="S131" s="9" t="n">
        <f aca="false">IF(AND(I131="Manual",L131&gt;0),1,0)</f>
        <v>0</v>
      </c>
      <c r="T131" s="9" t="n">
        <f aca="false">IF(AND(C131&gt;=Parameters!$B$22,ROUND(MOD(ROUND(C131,2),Parameters!$B$21),2)=0),1,0)</f>
        <v>0</v>
      </c>
      <c r="U131" s="9" t="n">
        <f aca="false">IF(LEN(TRIM(J131))=0,1,0)</f>
        <v>0</v>
      </c>
      <c r="V131" s="9" t="n">
        <f aca="false">IF(AND(I131="Manual",C131&lt;Parameters!$B$19,C131&gt;=Parameters!$B$19*(1-Parameters!$B$20)),1,0)</f>
        <v>0</v>
      </c>
      <c r="W131" s="9" t="n">
        <f aca="false">IF(AND(I131="Manual",M131&gt;0),1,0)</f>
        <v>0</v>
      </c>
      <c r="X131" s="9" t="n">
        <f aca="false">IF(A131-A130&gt;1,1,0)</f>
        <v>0</v>
      </c>
      <c r="Y131" s="9" t="n">
        <f aca="false">N131*Parameters!$B$38+O131*Parameters!$B$39+P131*Parameters!$B$40+Q131*Parameters!$B$41+R131*Parameters!$B$42+S131*Parameters!$B$43+T131*Parameters!$B$44+U131*Parameters!$B$45+V131*Parameters!$B$46+W131*Parameters!$B$47+X131*Parameters!$B$48</f>
        <v>0</v>
      </c>
      <c r="Z131" s="0" t="str">
        <f aca="false">IF(Y131&gt;=Parameters!$B$25,"High","")</f>
        <v/>
      </c>
    </row>
    <row r="132" customFormat="false" ht="15" hidden="false" customHeight="false" outlineLevel="0" collapsed="false">
      <c r="A132" s="16" t="n">
        <v>1132</v>
      </c>
      <c r="B132" s="9" t="n">
        <f aca="false">COUNTIF(JE_Lines!$B$5:$B$1733,A132)</f>
        <v>3</v>
      </c>
      <c r="C132" s="17" t="n">
        <f aca="false">SUMIFS(JE_Lines!$G$5:$G$1733,JE_Lines!$B$5:$B$1733,A132)</f>
        <v>6761.47</v>
      </c>
      <c r="D132" s="17" t="n">
        <f aca="false">SUMIFS(JE_Lines!$H$5:$H$1733,JE_Lines!$B$5:$B$1733,A132)</f>
        <v>6761.47</v>
      </c>
      <c r="E132" s="17" t="n">
        <f aca="false">C132-D132</f>
        <v>0</v>
      </c>
      <c r="F132" s="18" t="n">
        <f aca="false">INDEX(JE_Lines!$C$5:$C$1733,MATCH(A132,JE_Lines!$B$5:$B$1733,0))</f>
        <v>45709</v>
      </c>
      <c r="G132" s="18" t="n">
        <f aca="false">INDEX(JE_Lines!$D$5:$D$1733,MATCH(A132,JE_Lines!$B$5:$B$1733,0))</f>
        <v>45708</v>
      </c>
      <c r="H132" s="0" t="str">
        <f aca="false">INDEX(JE_Lines!$I$5:$I$1733,MATCH(A132,JE_Lines!$B$5:$B$1733,0))</f>
        <v>SYS_AP</v>
      </c>
      <c r="I132" s="0" t="str">
        <f aca="false">INDEX(JE_Lines!$J$5:$J$1733,MATCH(A132,JE_Lines!$B$5:$B$1733,0))</f>
        <v>System</v>
      </c>
      <c r="J132" s="0" t="str">
        <f aca="false">IF(LEN(INDEX(JE_Lines!$K$5:$K$1733,MATCH(A132,JE_Lines!$B$5:$B$1733,0)))=0,"",INDEX(JE_Lines!$K$5:$K$1733,MATCH(A132,JE_Lines!$B$5:$B$1733,0)))</f>
        <v>Supplier invoices</v>
      </c>
      <c r="K132" s="9" t="n">
        <f aca="false">F132-G132</f>
        <v>1</v>
      </c>
      <c r="L132" s="9" t="n">
        <f aca="false">COUNTIFS(JE_Lines!$B$5:$B$1733,A132,JE_Lines!$F$5:$F$1733,"Revenue")</f>
        <v>0</v>
      </c>
      <c r="M132" s="9" t="n">
        <f aca="false">COUNTIFS(JE_Lines!$B$5:$B$1733,A132,JE_Lines!$F$5:$F$1733,"Suspense")</f>
        <v>0</v>
      </c>
      <c r="N132" s="9" t="n">
        <f aca="false">IF(ABS(E132)&gt;Parameters!$B$23,1,0)</f>
        <v>0</v>
      </c>
      <c r="O132" s="9" t="n">
        <f aca="false">IF(WEEKDAY(F132,2)&gt;5,1,0)</f>
        <v>0</v>
      </c>
      <c r="P132" s="9" t="n">
        <f aca="false">IF(K132&gt;Parameters!$B$17,1,0)</f>
        <v>0</v>
      </c>
      <c r="Q132" s="9" t="n">
        <f aca="false">IF(AND(F132&lt;=Parameters!$B$6,F132&gt;Parameters!$B$6-Parameters!$B$18),1,0)</f>
        <v>0</v>
      </c>
      <c r="R132" s="9" t="n">
        <f aca="false">IF(COUNTIF(Parameters!$A$51:$A$58,H132)=0,1,0)</f>
        <v>0</v>
      </c>
      <c r="S132" s="9" t="n">
        <f aca="false">IF(AND(I132="Manual",L132&gt;0),1,0)</f>
        <v>0</v>
      </c>
      <c r="T132" s="9" t="n">
        <f aca="false">IF(AND(C132&gt;=Parameters!$B$22,ROUND(MOD(ROUND(C132,2),Parameters!$B$21),2)=0),1,0)</f>
        <v>0</v>
      </c>
      <c r="U132" s="9" t="n">
        <f aca="false">IF(LEN(TRIM(J132))=0,1,0)</f>
        <v>0</v>
      </c>
      <c r="V132" s="9" t="n">
        <f aca="false">IF(AND(I132="Manual",C132&lt;Parameters!$B$19,C132&gt;=Parameters!$B$19*(1-Parameters!$B$20)),1,0)</f>
        <v>0</v>
      </c>
      <c r="W132" s="9" t="n">
        <f aca="false">IF(AND(I132="Manual",M132&gt;0),1,0)</f>
        <v>0</v>
      </c>
      <c r="X132" s="9" t="n">
        <f aca="false">IF(A132-A131&gt;1,1,0)</f>
        <v>0</v>
      </c>
      <c r="Y132" s="9" t="n">
        <f aca="false">N132*Parameters!$B$38+O132*Parameters!$B$39+P132*Parameters!$B$40+Q132*Parameters!$B$41+R132*Parameters!$B$42+S132*Parameters!$B$43+T132*Parameters!$B$44+U132*Parameters!$B$45+V132*Parameters!$B$46+W132*Parameters!$B$47+X132*Parameters!$B$48</f>
        <v>0</v>
      </c>
      <c r="Z132" s="0" t="str">
        <f aca="false">IF(Y132&gt;=Parameters!$B$25,"High","")</f>
        <v/>
      </c>
    </row>
    <row r="133" customFormat="false" ht="15" hidden="false" customHeight="false" outlineLevel="0" collapsed="false">
      <c r="A133" s="16" t="n">
        <v>1133</v>
      </c>
      <c r="B133" s="9" t="n">
        <f aca="false">COUNTIF(JE_Lines!$B$5:$B$1733,A133)</f>
        <v>2</v>
      </c>
      <c r="C133" s="17" t="n">
        <f aca="false">SUMIFS(JE_Lines!$G$5:$G$1733,JE_Lines!$B$5:$B$1733,A133)</f>
        <v>409.51</v>
      </c>
      <c r="D133" s="17" t="n">
        <f aca="false">SUMIFS(JE_Lines!$H$5:$H$1733,JE_Lines!$B$5:$B$1733,A133)</f>
        <v>409.51</v>
      </c>
      <c r="E133" s="17" t="n">
        <f aca="false">C133-D133</f>
        <v>0</v>
      </c>
      <c r="F133" s="18" t="n">
        <f aca="false">INDEX(JE_Lines!$C$5:$C$1733,MATCH(A133,JE_Lines!$B$5:$B$1733,0))</f>
        <v>45709</v>
      </c>
      <c r="G133" s="18" t="n">
        <f aca="false">INDEX(JE_Lines!$D$5:$D$1733,MATCH(A133,JE_Lines!$B$5:$B$1733,0))</f>
        <v>45707</v>
      </c>
      <c r="H133" s="0" t="str">
        <f aca="false">INDEX(JE_Lines!$I$5:$I$1733,MATCH(A133,JE_Lines!$B$5:$B$1733,0))</f>
        <v>SYS_AP</v>
      </c>
      <c r="I133" s="0" t="str">
        <f aca="false">INDEX(JE_Lines!$J$5:$J$1733,MATCH(A133,JE_Lines!$B$5:$B$1733,0))</f>
        <v>System</v>
      </c>
      <c r="J133" s="0" t="str">
        <f aca="false">IF(LEN(INDEX(JE_Lines!$K$5:$K$1733,MATCH(A133,JE_Lines!$B$5:$B$1733,0)))=0,"",INDEX(JE_Lines!$K$5:$K$1733,MATCH(A133,JE_Lines!$B$5:$B$1733,0)))</f>
        <v>Supplier invoices</v>
      </c>
      <c r="K133" s="9" t="n">
        <f aca="false">F133-G133</f>
        <v>2</v>
      </c>
      <c r="L133" s="9" t="n">
        <f aca="false">COUNTIFS(JE_Lines!$B$5:$B$1733,A133,JE_Lines!$F$5:$F$1733,"Revenue")</f>
        <v>0</v>
      </c>
      <c r="M133" s="9" t="n">
        <f aca="false">COUNTIFS(JE_Lines!$B$5:$B$1733,A133,JE_Lines!$F$5:$F$1733,"Suspense")</f>
        <v>0</v>
      </c>
      <c r="N133" s="9" t="n">
        <f aca="false">IF(ABS(E133)&gt;Parameters!$B$23,1,0)</f>
        <v>0</v>
      </c>
      <c r="O133" s="9" t="n">
        <f aca="false">IF(WEEKDAY(F133,2)&gt;5,1,0)</f>
        <v>0</v>
      </c>
      <c r="P133" s="9" t="n">
        <f aca="false">IF(K133&gt;Parameters!$B$17,1,0)</f>
        <v>0</v>
      </c>
      <c r="Q133" s="9" t="n">
        <f aca="false">IF(AND(F133&lt;=Parameters!$B$6,F133&gt;Parameters!$B$6-Parameters!$B$18),1,0)</f>
        <v>0</v>
      </c>
      <c r="R133" s="9" t="n">
        <f aca="false">IF(COUNTIF(Parameters!$A$51:$A$58,H133)=0,1,0)</f>
        <v>0</v>
      </c>
      <c r="S133" s="9" t="n">
        <f aca="false">IF(AND(I133="Manual",L133&gt;0),1,0)</f>
        <v>0</v>
      </c>
      <c r="T133" s="9" t="n">
        <f aca="false">IF(AND(C133&gt;=Parameters!$B$22,ROUND(MOD(ROUND(C133,2),Parameters!$B$21),2)=0),1,0)</f>
        <v>0</v>
      </c>
      <c r="U133" s="9" t="n">
        <f aca="false">IF(LEN(TRIM(J133))=0,1,0)</f>
        <v>0</v>
      </c>
      <c r="V133" s="9" t="n">
        <f aca="false">IF(AND(I133="Manual",C133&lt;Parameters!$B$19,C133&gt;=Parameters!$B$19*(1-Parameters!$B$20)),1,0)</f>
        <v>0</v>
      </c>
      <c r="W133" s="9" t="n">
        <f aca="false">IF(AND(I133="Manual",M133&gt;0),1,0)</f>
        <v>0</v>
      </c>
      <c r="X133" s="9" t="n">
        <f aca="false">IF(A133-A132&gt;1,1,0)</f>
        <v>0</v>
      </c>
      <c r="Y133" s="9" t="n">
        <f aca="false">N133*Parameters!$B$38+O133*Parameters!$B$39+P133*Parameters!$B$40+Q133*Parameters!$B$41+R133*Parameters!$B$42+S133*Parameters!$B$43+T133*Parameters!$B$44+U133*Parameters!$B$45+V133*Parameters!$B$46+W133*Parameters!$B$47+X133*Parameters!$B$48</f>
        <v>0</v>
      </c>
      <c r="Z133" s="0" t="str">
        <f aca="false">IF(Y133&gt;=Parameters!$B$25,"High","")</f>
        <v/>
      </c>
    </row>
    <row r="134" customFormat="false" ht="15" hidden="false" customHeight="false" outlineLevel="0" collapsed="false">
      <c r="A134" s="16" t="n">
        <v>1134</v>
      </c>
      <c r="B134" s="9" t="n">
        <f aca="false">COUNTIF(JE_Lines!$B$5:$B$1733,A134)</f>
        <v>2</v>
      </c>
      <c r="C134" s="17" t="n">
        <f aca="false">SUMIFS(JE_Lines!$G$5:$G$1733,JE_Lines!$B$5:$B$1733,A134)</f>
        <v>13441.82</v>
      </c>
      <c r="D134" s="17" t="n">
        <f aca="false">SUMIFS(JE_Lines!$H$5:$H$1733,JE_Lines!$B$5:$B$1733,A134)</f>
        <v>13441.82</v>
      </c>
      <c r="E134" s="17" t="n">
        <f aca="false">C134-D134</f>
        <v>0</v>
      </c>
      <c r="F134" s="18" t="n">
        <f aca="false">INDEX(JE_Lines!$C$5:$C$1733,MATCH(A134,JE_Lines!$B$5:$B$1733,0))</f>
        <v>45712</v>
      </c>
      <c r="G134" s="18" t="n">
        <f aca="false">INDEX(JE_Lines!$D$5:$D$1733,MATCH(A134,JE_Lines!$B$5:$B$1733,0))</f>
        <v>45710</v>
      </c>
      <c r="H134" s="0" t="str">
        <f aca="false">INDEX(JE_Lines!$I$5:$I$1733,MATCH(A134,JE_Lines!$B$5:$B$1733,0))</f>
        <v>SYS_AR</v>
      </c>
      <c r="I134" s="0" t="str">
        <f aca="false">INDEX(JE_Lines!$J$5:$J$1733,MATCH(A134,JE_Lines!$B$5:$B$1733,0))</f>
        <v>System</v>
      </c>
      <c r="J134" s="0" t="str">
        <f aca="false">IF(LEN(INDEX(JE_Lines!$K$5:$K$1733,MATCH(A134,JE_Lines!$B$5:$B$1733,0)))=0,"",INDEX(JE_Lines!$K$5:$K$1733,MATCH(A134,JE_Lines!$B$5:$B$1733,0)))</f>
        <v>Customer receipts</v>
      </c>
      <c r="K134" s="9" t="n">
        <f aca="false">F134-G134</f>
        <v>2</v>
      </c>
      <c r="L134" s="9" t="n">
        <f aca="false">COUNTIFS(JE_Lines!$B$5:$B$1733,A134,JE_Lines!$F$5:$F$1733,"Revenue")</f>
        <v>0</v>
      </c>
      <c r="M134" s="9" t="n">
        <f aca="false">COUNTIFS(JE_Lines!$B$5:$B$1733,A134,JE_Lines!$F$5:$F$1733,"Suspense")</f>
        <v>0</v>
      </c>
      <c r="N134" s="9" t="n">
        <f aca="false">IF(ABS(E134)&gt;Parameters!$B$23,1,0)</f>
        <v>0</v>
      </c>
      <c r="O134" s="9" t="n">
        <f aca="false">IF(WEEKDAY(F134,2)&gt;5,1,0)</f>
        <v>0</v>
      </c>
      <c r="P134" s="9" t="n">
        <f aca="false">IF(K134&gt;Parameters!$B$17,1,0)</f>
        <v>0</v>
      </c>
      <c r="Q134" s="9" t="n">
        <f aca="false">IF(AND(F134&lt;=Parameters!$B$6,F134&gt;Parameters!$B$6-Parameters!$B$18),1,0)</f>
        <v>0</v>
      </c>
      <c r="R134" s="9" t="n">
        <f aca="false">IF(COUNTIF(Parameters!$A$51:$A$58,H134)=0,1,0)</f>
        <v>0</v>
      </c>
      <c r="S134" s="9" t="n">
        <f aca="false">IF(AND(I134="Manual",L134&gt;0),1,0)</f>
        <v>0</v>
      </c>
      <c r="T134" s="9" t="n">
        <f aca="false">IF(AND(C134&gt;=Parameters!$B$22,ROUND(MOD(ROUND(C134,2),Parameters!$B$21),2)=0),1,0)</f>
        <v>0</v>
      </c>
      <c r="U134" s="9" t="n">
        <f aca="false">IF(LEN(TRIM(J134))=0,1,0)</f>
        <v>0</v>
      </c>
      <c r="V134" s="9" t="n">
        <f aca="false">IF(AND(I134="Manual",C134&lt;Parameters!$B$19,C134&gt;=Parameters!$B$19*(1-Parameters!$B$20)),1,0)</f>
        <v>0</v>
      </c>
      <c r="W134" s="9" t="n">
        <f aca="false">IF(AND(I134="Manual",M134&gt;0),1,0)</f>
        <v>0</v>
      </c>
      <c r="X134" s="9" t="n">
        <f aca="false">IF(A134-A133&gt;1,1,0)</f>
        <v>0</v>
      </c>
      <c r="Y134" s="9" t="n">
        <f aca="false">N134*Parameters!$B$38+O134*Parameters!$B$39+P134*Parameters!$B$40+Q134*Parameters!$B$41+R134*Parameters!$B$42+S134*Parameters!$B$43+T134*Parameters!$B$44+U134*Parameters!$B$45+V134*Parameters!$B$46+W134*Parameters!$B$47+X134*Parameters!$B$48</f>
        <v>0</v>
      </c>
      <c r="Z134" s="0" t="str">
        <f aca="false">IF(Y134&gt;=Parameters!$B$25,"High","")</f>
        <v/>
      </c>
    </row>
    <row r="135" customFormat="false" ht="15" hidden="false" customHeight="false" outlineLevel="0" collapsed="false">
      <c r="A135" s="16" t="n">
        <v>1135</v>
      </c>
      <c r="B135" s="9" t="n">
        <f aca="false">COUNTIF(JE_Lines!$B$5:$B$1733,A135)</f>
        <v>3</v>
      </c>
      <c r="C135" s="17" t="n">
        <f aca="false">SUMIFS(JE_Lines!$G$5:$G$1733,JE_Lines!$B$5:$B$1733,A135)</f>
        <v>10257.25</v>
      </c>
      <c r="D135" s="17" t="n">
        <f aca="false">SUMIFS(JE_Lines!$H$5:$H$1733,JE_Lines!$B$5:$B$1733,A135)</f>
        <v>10257.25</v>
      </c>
      <c r="E135" s="17" t="n">
        <f aca="false">C135-D135</f>
        <v>0</v>
      </c>
      <c r="F135" s="18" t="n">
        <f aca="false">INDEX(JE_Lines!$C$5:$C$1733,MATCH(A135,JE_Lines!$B$5:$B$1733,0))</f>
        <v>45713</v>
      </c>
      <c r="G135" s="18" t="n">
        <f aca="false">INDEX(JE_Lines!$D$5:$D$1733,MATCH(A135,JE_Lines!$B$5:$B$1733,0))</f>
        <v>45710</v>
      </c>
      <c r="H135" s="0" t="str">
        <f aca="false">INDEX(JE_Lines!$I$5:$I$1733,MATCH(A135,JE_Lines!$B$5:$B$1733,0))</f>
        <v>SYS_AP</v>
      </c>
      <c r="I135" s="0" t="str">
        <f aca="false">INDEX(JE_Lines!$J$5:$J$1733,MATCH(A135,JE_Lines!$B$5:$B$1733,0))</f>
        <v>System</v>
      </c>
      <c r="J135" s="0" t="str">
        <f aca="false">IF(LEN(INDEX(JE_Lines!$K$5:$K$1733,MATCH(A135,JE_Lines!$B$5:$B$1733,0)))=0,"",INDEX(JE_Lines!$K$5:$K$1733,MATCH(A135,JE_Lines!$B$5:$B$1733,0)))</f>
        <v>Supplier invoices</v>
      </c>
      <c r="K135" s="9" t="n">
        <f aca="false">F135-G135</f>
        <v>3</v>
      </c>
      <c r="L135" s="9" t="n">
        <f aca="false">COUNTIFS(JE_Lines!$B$5:$B$1733,A135,JE_Lines!$F$5:$F$1733,"Revenue")</f>
        <v>0</v>
      </c>
      <c r="M135" s="9" t="n">
        <f aca="false">COUNTIFS(JE_Lines!$B$5:$B$1733,A135,JE_Lines!$F$5:$F$1733,"Suspense")</f>
        <v>0</v>
      </c>
      <c r="N135" s="9" t="n">
        <f aca="false">IF(ABS(E135)&gt;Parameters!$B$23,1,0)</f>
        <v>0</v>
      </c>
      <c r="O135" s="9" t="n">
        <f aca="false">IF(WEEKDAY(F135,2)&gt;5,1,0)</f>
        <v>0</v>
      </c>
      <c r="P135" s="9" t="n">
        <f aca="false">IF(K135&gt;Parameters!$B$17,1,0)</f>
        <v>0</v>
      </c>
      <c r="Q135" s="9" t="n">
        <f aca="false">IF(AND(F135&lt;=Parameters!$B$6,F135&gt;Parameters!$B$6-Parameters!$B$18),1,0)</f>
        <v>0</v>
      </c>
      <c r="R135" s="9" t="n">
        <f aca="false">IF(COUNTIF(Parameters!$A$51:$A$58,H135)=0,1,0)</f>
        <v>0</v>
      </c>
      <c r="S135" s="9" t="n">
        <f aca="false">IF(AND(I135="Manual",L135&gt;0),1,0)</f>
        <v>0</v>
      </c>
      <c r="T135" s="9" t="n">
        <f aca="false">IF(AND(C135&gt;=Parameters!$B$22,ROUND(MOD(ROUND(C135,2),Parameters!$B$21),2)=0),1,0)</f>
        <v>0</v>
      </c>
      <c r="U135" s="9" t="n">
        <f aca="false">IF(LEN(TRIM(J135))=0,1,0)</f>
        <v>0</v>
      </c>
      <c r="V135" s="9" t="n">
        <f aca="false">IF(AND(I135="Manual",C135&lt;Parameters!$B$19,C135&gt;=Parameters!$B$19*(1-Parameters!$B$20)),1,0)</f>
        <v>0</v>
      </c>
      <c r="W135" s="9" t="n">
        <f aca="false">IF(AND(I135="Manual",M135&gt;0),1,0)</f>
        <v>0</v>
      </c>
      <c r="X135" s="9" t="n">
        <f aca="false">IF(A135-A134&gt;1,1,0)</f>
        <v>0</v>
      </c>
      <c r="Y135" s="9" t="n">
        <f aca="false">N135*Parameters!$B$38+O135*Parameters!$B$39+P135*Parameters!$B$40+Q135*Parameters!$B$41+R135*Parameters!$B$42+S135*Parameters!$B$43+T135*Parameters!$B$44+U135*Parameters!$B$45+V135*Parameters!$B$46+W135*Parameters!$B$47+X135*Parameters!$B$48</f>
        <v>0</v>
      </c>
      <c r="Z135" s="0" t="str">
        <f aca="false">IF(Y135&gt;=Parameters!$B$25,"High","")</f>
        <v/>
      </c>
    </row>
    <row r="136" customFormat="false" ht="15" hidden="false" customHeight="false" outlineLevel="0" collapsed="false">
      <c r="A136" s="16" t="n">
        <v>1136</v>
      </c>
      <c r="B136" s="9" t="n">
        <f aca="false">COUNTIF(JE_Lines!$B$5:$B$1733,A136)</f>
        <v>2</v>
      </c>
      <c r="C136" s="17" t="n">
        <f aca="false">SUMIFS(JE_Lines!$G$5:$G$1733,JE_Lines!$B$5:$B$1733,A136)</f>
        <v>20615.3</v>
      </c>
      <c r="D136" s="17" t="n">
        <f aca="false">SUMIFS(JE_Lines!$H$5:$H$1733,JE_Lines!$B$5:$B$1733,A136)</f>
        <v>20615.3</v>
      </c>
      <c r="E136" s="17" t="n">
        <f aca="false">C136-D136</f>
        <v>0</v>
      </c>
      <c r="F136" s="18" t="n">
        <f aca="false">INDEX(JE_Lines!$C$5:$C$1733,MATCH(A136,JE_Lines!$B$5:$B$1733,0))</f>
        <v>45713</v>
      </c>
      <c r="G136" s="18" t="n">
        <f aca="false">INDEX(JE_Lines!$D$5:$D$1733,MATCH(A136,JE_Lines!$B$5:$B$1733,0))</f>
        <v>45713</v>
      </c>
      <c r="H136" s="0" t="str">
        <f aca="false">INDEX(JE_Lines!$I$5:$I$1733,MATCH(A136,JE_Lines!$B$5:$B$1733,0))</f>
        <v>SYS_AR</v>
      </c>
      <c r="I136" s="0" t="str">
        <f aca="false">INDEX(JE_Lines!$J$5:$J$1733,MATCH(A136,JE_Lines!$B$5:$B$1733,0))</f>
        <v>System</v>
      </c>
      <c r="J136" s="0" t="str">
        <f aca="false">IF(LEN(INDEX(JE_Lines!$K$5:$K$1733,MATCH(A136,JE_Lines!$B$5:$B$1733,0)))=0,"",INDEX(JE_Lines!$K$5:$K$1733,MATCH(A136,JE_Lines!$B$5:$B$1733,0)))</f>
        <v>Cost of sales posting</v>
      </c>
      <c r="K136" s="9" t="n">
        <f aca="false">F136-G136</f>
        <v>0</v>
      </c>
      <c r="L136" s="9" t="n">
        <f aca="false">COUNTIFS(JE_Lines!$B$5:$B$1733,A136,JE_Lines!$F$5:$F$1733,"Revenue")</f>
        <v>0</v>
      </c>
      <c r="M136" s="9" t="n">
        <f aca="false">COUNTIFS(JE_Lines!$B$5:$B$1733,A136,JE_Lines!$F$5:$F$1733,"Suspense")</f>
        <v>0</v>
      </c>
      <c r="N136" s="9" t="n">
        <f aca="false">IF(ABS(E136)&gt;Parameters!$B$23,1,0)</f>
        <v>0</v>
      </c>
      <c r="O136" s="9" t="n">
        <f aca="false">IF(WEEKDAY(F136,2)&gt;5,1,0)</f>
        <v>0</v>
      </c>
      <c r="P136" s="9" t="n">
        <f aca="false">IF(K136&gt;Parameters!$B$17,1,0)</f>
        <v>0</v>
      </c>
      <c r="Q136" s="9" t="n">
        <f aca="false">IF(AND(F136&lt;=Parameters!$B$6,F136&gt;Parameters!$B$6-Parameters!$B$18),1,0)</f>
        <v>0</v>
      </c>
      <c r="R136" s="9" t="n">
        <f aca="false">IF(COUNTIF(Parameters!$A$51:$A$58,H136)=0,1,0)</f>
        <v>0</v>
      </c>
      <c r="S136" s="9" t="n">
        <f aca="false">IF(AND(I136="Manual",L136&gt;0),1,0)</f>
        <v>0</v>
      </c>
      <c r="T136" s="9" t="n">
        <f aca="false">IF(AND(C136&gt;=Parameters!$B$22,ROUND(MOD(ROUND(C136,2),Parameters!$B$21),2)=0),1,0)</f>
        <v>0</v>
      </c>
      <c r="U136" s="9" t="n">
        <f aca="false">IF(LEN(TRIM(J136))=0,1,0)</f>
        <v>0</v>
      </c>
      <c r="V136" s="9" t="n">
        <f aca="false">IF(AND(I136="Manual",C136&lt;Parameters!$B$19,C136&gt;=Parameters!$B$19*(1-Parameters!$B$20)),1,0)</f>
        <v>0</v>
      </c>
      <c r="W136" s="9" t="n">
        <f aca="false">IF(AND(I136="Manual",M136&gt;0),1,0)</f>
        <v>0</v>
      </c>
      <c r="X136" s="9" t="n">
        <f aca="false">IF(A136-A135&gt;1,1,0)</f>
        <v>0</v>
      </c>
      <c r="Y136" s="9" t="n">
        <f aca="false">N136*Parameters!$B$38+O136*Parameters!$B$39+P136*Parameters!$B$40+Q136*Parameters!$B$41+R136*Parameters!$B$42+S136*Parameters!$B$43+T136*Parameters!$B$44+U136*Parameters!$B$45+V136*Parameters!$B$46+W136*Parameters!$B$47+X136*Parameters!$B$48</f>
        <v>0</v>
      </c>
      <c r="Z136" s="0" t="str">
        <f aca="false">IF(Y136&gt;=Parameters!$B$25,"High","")</f>
        <v/>
      </c>
    </row>
    <row r="137" customFormat="false" ht="15" hidden="false" customHeight="false" outlineLevel="0" collapsed="false">
      <c r="A137" s="16" t="n">
        <v>1137</v>
      </c>
      <c r="B137" s="9" t="n">
        <f aca="false">COUNTIF(JE_Lines!$B$5:$B$1733,A137)</f>
        <v>2</v>
      </c>
      <c r="C137" s="17" t="n">
        <f aca="false">SUMIFS(JE_Lines!$G$5:$G$1733,JE_Lines!$B$5:$B$1733,A137)</f>
        <v>261000</v>
      </c>
      <c r="D137" s="17" t="n">
        <f aca="false">SUMIFS(JE_Lines!$H$5:$H$1733,JE_Lines!$B$5:$B$1733,A137)</f>
        <v>261000</v>
      </c>
      <c r="E137" s="17" t="n">
        <f aca="false">C137-D137</f>
        <v>0</v>
      </c>
      <c r="F137" s="18" t="n">
        <f aca="false">INDEX(JE_Lines!$C$5:$C$1733,MATCH(A137,JE_Lines!$B$5:$B$1733,0))</f>
        <v>45713</v>
      </c>
      <c r="G137" s="18" t="n">
        <f aca="false">INDEX(JE_Lines!$D$5:$D$1733,MATCH(A137,JE_Lines!$B$5:$B$1733,0))</f>
        <v>45713</v>
      </c>
      <c r="H137" s="0" t="str">
        <f aca="false">INDEX(JE_Lines!$I$5:$I$1733,MATCH(A137,JE_Lines!$B$5:$B$1733,0))</f>
        <v>SYS_PAY</v>
      </c>
      <c r="I137" s="0" t="str">
        <f aca="false">INDEX(JE_Lines!$J$5:$J$1733,MATCH(A137,JE_Lines!$B$5:$B$1733,0))</f>
        <v>System</v>
      </c>
      <c r="J137" s="0" t="str">
        <f aca="false">IF(LEN(INDEX(JE_Lines!$K$5:$K$1733,MATCH(A137,JE_Lines!$B$5:$B$1733,0)))=0,"",INDEX(JE_Lines!$K$5:$K$1733,MATCH(A137,JE_Lines!$B$5:$B$1733,0)))</f>
        <v>Monthly payroll</v>
      </c>
      <c r="K137" s="9" t="n">
        <f aca="false">F137-G137</f>
        <v>0</v>
      </c>
      <c r="L137" s="9" t="n">
        <f aca="false">COUNTIFS(JE_Lines!$B$5:$B$1733,A137,JE_Lines!$F$5:$F$1733,"Revenue")</f>
        <v>0</v>
      </c>
      <c r="M137" s="9" t="n">
        <f aca="false">COUNTIFS(JE_Lines!$B$5:$B$1733,A137,JE_Lines!$F$5:$F$1733,"Suspense")</f>
        <v>0</v>
      </c>
      <c r="N137" s="9" t="n">
        <f aca="false">IF(ABS(E137)&gt;Parameters!$B$23,1,0)</f>
        <v>0</v>
      </c>
      <c r="O137" s="9" t="n">
        <f aca="false">IF(WEEKDAY(F137,2)&gt;5,1,0)</f>
        <v>0</v>
      </c>
      <c r="P137" s="9" t="n">
        <f aca="false">IF(K137&gt;Parameters!$B$17,1,0)</f>
        <v>0</v>
      </c>
      <c r="Q137" s="9" t="n">
        <f aca="false">IF(AND(F137&lt;=Parameters!$B$6,F137&gt;Parameters!$B$6-Parameters!$B$18),1,0)</f>
        <v>0</v>
      </c>
      <c r="R137" s="9" t="n">
        <f aca="false">IF(COUNTIF(Parameters!$A$51:$A$58,H137)=0,1,0)</f>
        <v>0</v>
      </c>
      <c r="S137" s="9" t="n">
        <f aca="false">IF(AND(I137="Manual",L137&gt;0),1,0)</f>
        <v>0</v>
      </c>
      <c r="T137" s="9" t="n">
        <f aca="false">IF(AND(C137&gt;=Parameters!$B$22,ROUND(MOD(ROUND(C137,2),Parameters!$B$21),2)=0),1,0)</f>
        <v>1</v>
      </c>
      <c r="U137" s="9" t="n">
        <f aca="false">IF(LEN(TRIM(J137))=0,1,0)</f>
        <v>0</v>
      </c>
      <c r="V137" s="9" t="n">
        <f aca="false">IF(AND(I137="Manual",C137&lt;Parameters!$B$19,C137&gt;=Parameters!$B$19*(1-Parameters!$B$20)),1,0)</f>
        <v>0</v>
      </c>
      <c r="W137" s="9" t="n">
        <f aca="false">IF(AND(I137="Manual",M137&gt;0),1,0)</f>
        <v>0</v>
      </c>
      <c r="X137" s="9" t="n">
        <f aca="false">IF(A137-A136&gt;1,1,0)</f>
        <v>0</v>
      </c>
      <c r="Y137" s="9" t="n">
        <f aca="false">N137*Parameters!$B$38+O137*Parameters!$B$39+P137*Parameters!$B$40+Q137*Parameters!$B$41+R137*Parameters!$B$42+S137*Parameters!$B$43+T137*Parameters!$B$44+U137*Parameters!$B$45+V137*Parameters!$B$46+W137*Parameters!$B$47+X137*Parameters!$B$48</f>
        <v>2</v>
      </c>
      <c r="Z137" s="0" t="str">
        <f aca="false">IF(Y137&gt;=Parameters!$B$25,"High","")</f>
        <v/>
      </c>
    </row>
    <row r="138" customFormat="false" ht="15" hidden="false" customHeight="false" outlineLevel="0" collapsed="false">
      <c r="A138" s="16" t="n">
        <v>1138</v>
      </c>
      <c r="B138" s="9" t="n">
        <f aca="false">COUNTIF(JE_Lines!$B$5:$B$1733,A138)</f>
        <v>2</v>
      </c>
      <c r="C138" s="17" t="n">
        <f aca="false">SUMIFS(JE_Lines!$G$5:$G$1733,JE_Lines!$B$5:$B$1733,A138)</f>
        <v>497.15</v>
      </c>
      <c r="D138" s="17" t="n">
        <f aca="false">SUMIFS(JE_Lines!$H$5:$H$1733,JE_Lines!$B$5:$B$1733,A138)</f>
        <v>497.15</v>
      </c>
      <c r="E138" s="17" t="n">
        <f aca="false">C138-D138</f>
        <v>0</v>
      </c>
      <c r="F138" s="18" t="n">
        <f aca="false">INDEX(JE_Lines!$C$5:$C$1733,MATCH(A138,JE_Lines!$B$5:$B$1733,0))</f>
        <v>45713</v>
      </c>
      <c r="G138" s="18" t="n">
        <f aca="false">INDEX(JE_Lines!$D$5:$D$1733,MATCH(A138,JE_Lines!$B$5:$B$1733,0))</f>
        <v>45710</v>
      </c>
      <c r="H138" s="0" t="str">
        <f aca="false">INDEX(JE_Lines!$I$5:$I$1733,MATCH(A138,JE_Lines!$B$5:$B$1733,0))</f>
        <v>SYS_AR</v>
      </c>
      <c r="I138" s="0" t="str">
        <f aca="false">INDEX(JE_Lines!$J$5:$J$1733,MATCH(A138,JE_Lines!$B$5:$B$1733,0))</f>
        <v>System</v>
      </c>
      <c r="J138" s="0" t="str">
        <f aca="false">IF(LEN(INDEX(JE_Lines!$K$5:$K$1733,MATCH(A138,JE_Lines!$B$5:$B$1733,0)))=0,"",INDEX(JE_Lines!$K$5:$K$1733,MATCH(A138,JE_Lines!$B$5:$B$1733,0)))</f>
        <v>Cost of sales posting</v>
      </c>
      <c r="K138" s="9" t="n">
        <f aca="false">F138-G138</f>
        <v>3</v>
      </c>
      <c r="L138" s="9" t="n">
        <f aca="false">COUNTIFS(JE_Lines!$B$5:$B$1733,A138,JE_Lines!$F$5:$F$1733,"Revenue")</f>
        <v>0</v>
      </c>
      <c r="M138" s="9" t="n">
        <f aca="false">COUNTIFS(JE_Lines!$B$5:$B$1733,A138,JE_Lines!$F$5:$F$1733,"Suspense")</f>
        <v>0</v>
      </c>
      <c r="N138" s="9" t="n">
        <f aca="false">IF(ABS(E138)&gt;Parameters!$B$23,1,0)</f>
        <v>0</v>
      </c>
      <c r="O138" s="9" t="n">
        <f aca="false">IF(WEEKDAY(F138,2)&gt;5,1,0)</f>
        <v>0</v>
      </c>
      <c r="P138" s="9" t="n">
        <f aca="false">IF(K138&gt;Parameters!$B$17,1,0)</f>
        <v>0</v>
      </c>
      <c r="Q138" s="9" t="n">
        <f aca="false">IF(AND(F138&lt;=Parameters!$B$6,F138&gt;Parameters!$B$6-Parameters!$B$18),1,0)</f>
        <v>0</v>
      </c>
      <c r="R138" s="9" t="n">
        <f aca="false">IF(COUNTIF(Parameters!$A$51:$A$58,H138)=0,1,0)</f>
        <v>0</v>
      </c>
      <c r="S138" s="9" t="n">
        <f aca="false">IF(AND(I138="Manual",L138&gt;0),1,0)</f>
        <v>0</v>
      </c>
      <c r="T138" s="9" t="n">
        <f aca="false">IF(AND(C138&gt;=Parameters!$B$22,ROUND(MOD(ROUND(C138,2),Parameters!$B$21),2)=0),1,0)</f>
        <v>0</v>
      </c>
      <c r="U138" s="9" t="n">
        <f aca="false">IF(LEN(TRIM(J138))=0,1,0)</f>
        <v>0</v>
      </c>
      <c r="V138" s="9" t="n">
        <f aca="false">IF(AND(I138="Manual",C138&lt;Parameters!$B$19,C138&gt;=Parameters!$B$19*(1-Parameters!$B$20)),1,0)</f>
        <v>0</v>
      </c>
      <c r="W138" s="9" t="n">
        <f aca="false">IF(AND(I138="Manual",M138&gt;0),1,0)</f>
        <v>0</v>
      </c>
      <c r="X138" s="9" t="n">
        <f aca="false">IF(A138-A137&gt;1,1,0)</f>
        <v>0</v>
      </c>
      <c r="Y138" s="9" t="n">
        <f aca="false">N138*Parameters!$B$38+O138*Parameters!$B$39+P138*Parameters!$B$40+Q138*Parameters!$B$41+R138*Parameters!$B$42+S138*Parameters!$B$43+T138*Parameters!$B$44+U138*Parameters!$B$45+V138*Parameters!$B$46+W138*Parameters!$B$47+X138*Parameters!$B$48</f>
        <v>0</v>
      </c>
      <c r="Z138" s="0" t="str">
        <f aca="false">IF(Y138&gt;=Parameters!$B$25,"High","")</f>
        <v/>
      </c>
    </row>
    <row r="139" customFormat="false" ht="15" hidden="false" customHeight="false" outlineLevel="0" collapsed="false">
      <c r="A139" s="16" t="n">
        <v>1139</v>
      </c>
      <c r="B139" s="9" t="n">
        <f aca="false">COUNTIF(JE_Lines!$B$5:$B$1733,A139)</f>
        <v>2</v>
      </c>
      <c r="C139" s="17" t="n">
        <f aca="false">SUMIFS(JE_Lines!$G$5:$G$1733,JE_Lines!$B$5:$B$1733,A139)</f>
        <v>93527.57</v>
      </c>
      <c r="D139" s="17" t="n">
        <f aca="false">SUMIFS(JE_Lines!$H$5:$H$1733,JE_Lines!$B$5:$B$1733,A139)</f>
        <v>93527.57</v>
      </c>
      <c r="E139" s="17" t="n">
        <f aca="false">C139-D139</f>
        <v>0</v>
      </c>
      <c r="F139" s="18" t="n">
        <f aca="false">INDEX(JE_Lines!$C$5:$C$1733,MATCH(A139,JE_Lines!$B$5:$B$1733,0))</f>
        <v>45714</v>
      </c>
      <c r="G139" s="18" t="n">
        <f aca="false">INDEX(JE_Lines!$D$5:$D$1733,MATCH(A139,JE_Lines!$B$5:$B$1733,0))</f>
        <v>45714</v>
      </c>
      <c r="H139" s="0" t="str">
        <f aca="false">INDEX(JE_Lines!$I$5:$I$1733,MATCH(A139,JE_Lines!$B$5:$B$1733,0))</f>
        <v>SYS_AR</v>
      </c>
      <c r="I139" s="0" t="str">
        <f aca="false">INDEX(JE_Lines!$J$5:$J$1733,MATCH(A139,JE_Lines!$B$5:$B$1733,0))</f>
        <v>System</v>
      </c>
      <c r="J139" s="0" t="str">
        <f aca="false">IF(LEN(INDEX(JE_Lines!$K$5:$K$1733,MATCH(A139,JE_Lines!$B$5:$B$1733,0)))=0,"",INDEX(JE_Lines!$K$5:$K$1733,MATCH(A139,JE_Lines!$B$5:$B$1733,0)))</f>
        <v>Cost of sales posting</v>
      </c>
      <c r="K139" s="9" t="n">
        <f aca="false">F139-G139</f>
        <v>0</v>
      </c>
      <c r="L139" s="9" t="n">
        <f aca="false">COUNTIFS(JE_Lines!$B$5:$B$1733,A139,JE_Lines!$F$5:$F$1733,"Revenue")</f>
        <v>0</v>
      </c>
      <c r="M139" s="9" t="n">
        <f aca="false">COUNTIFS(JE_Lines!$B$5:$B$1733,A139,JE_Lines!$F$5:$F$1733,"Suspense")</f>
        <v>0</v>
      </c>
      <c r="N139" s="9" t="n">
        <f aca="false">IF(ABS(E139)&gt;Parameters!$B$23,1,0)</f>
        <v>0</v>
      </c>
      <c r="O139" s="9" t="n">
        <f aca="false">IF(WEEKDAY(F139,2)&gt;5,1,0)</f>
        <v>0</v>
      </c>
      <c r="P139" s="9" t="n">
        <f aca="false">IF(K139&gt;Parameters!$B$17,1,0)</f>
        <v>0</v>
      </c>
      <c r="Q139" s="9" t="n">
        <f aca="false">IF(AND(F139&lt;=Parameters!$B$6,F139&gt;Parameters!$B$6-Parameters!$B$18),1,0)</f>
        <v>0</v>
      </c>
      <c r="R139" s="9" t="n">
        <f aca="false">IF(COUNTIF(Parameters!$A$51:$A$58,H139)=0,1,0)</f>
        <v>0</v>
      </c>
      <c r="S139" s="9" t="n">
        <f aca="false">IF(AND(I139="Manual",L139&gt;0),1,0)</f>
        <v>0</v>
      </c>
      <c r="T139" s="9" t="n">
        <f aca="false">IF(AND(C139&gt;=Parameters!$B$22,ROUND(MOD(ROUND(C139,2),Parameters!$B$21),2)=0),1,0)</f>
        <v>0</v>
      </c>
      <c r="U139" s="9" t="n">
        <f aca="false">IF(LEN(TRIM(J139))=0,1,0)</f>
        <v>0</v>
      </c>
      <c r="V139" s="9" t="n">
        <f aca="false">IF(AND(I139="Manual",C139&lt;Parameters!$B$19,C139&gt;=Parameters!$B$19*(1-Parameters!$B$20)),1,0)</f>
        <v>0</v>
      </c>
      <c r="W139" s="9" t="n">
        <f aca="false">IF(AND(I139="Manual",M139&gt;0),1,0)</f>
        <v>0</v>
      </c>
      <c r="X139" s="9" t="n">
        <f aca="false">IF(A139-A138&gt;1,1,0)</f>
        <v>0</v>
      </c>
      <c r="Y139" s="9" t="n">
        <f aca="false">N139*Parameters!$B$38+O139*Parameters!$B$39+P139*Parameters!$B$40+Q139*Parameters!$B$41+R139*Parameters!$B$42+S139*Parameters!$B$43+T139*Parameters!$B$44+U139*Parameters!$B$45+V139*Parameters!$B$46+W139*Parameters!$B$47+X139*Parameters!$B$48</f>
        <v>0</v>
      </c>
      <c r="Z139" s="0" t="str">
        <f aca="false">IF(Y139&gt;=Parameters!$B$25,"High","")</f>
        <v/>
      </c>
    </row>
    <row r="140" customFormat="false" ht="15" hidden="false" customHeight="false" outlineLevel="0" collapsed="false">
      <c r="A140" s="16" t="n">
        <v>1140</v>
      </c>
      <c r="B140" s="9" t="n">
        <f aca="false">COUNTIF(JE_Lines!$B$5:$B$1733,A140)</f>
        <v>2</v>
      </c>
      <c r="C140" s="17" t="n">
        <f aca="false">SUMIFS(JE_Lines!$G$5:$G$1733,JE_Lines!$B$5:$B$1733,A140)</f>
        <v>7038.49</v>
      </c>
      <c r="D140" s="17" t="n">
        <f aca="false">SUMIFS(JE_Lines!$H$5:$H$1733,JE_Lines!$B$5:$B$1733,A140)</f>
        <v>7038.49</v>
      </c>
      <c r="E140" s="17" t="n">
        <f aca="false">C140-D140</f>
        <v>0</v>
      </c>
      <c r="F140" s="18" t="n">
        <f aca="false">INDEX(JE_Lines!$C$5:$C$1733,MATCH(A140,JE_Lines!$B$5:$B$1733,0))</f>
        <v>45714</v>
      </c>
      <c r="G140" s="18" t="n">
        <f aca="false">INDEX(JE_Lines!$D$5:$D$1733,MATCH(A140,JE_Lines!$B$5:$B$1733,0))</f>
        <v>45714</v>
      </c>
      <c r="H140" s="0" t="str">
        <f aca="false">INDEX(JE_Lines!$I$5:$I$1733,MATCH(A140,JE_Lines!$B$5:$B$1733,0))</f>
        <v>SYS_AR</v>
      </c>
      <c r="I140" s="0" t="str">
        <f aca="false">INDEX(JE_Lines!$J$5:$J$1733,MATCH(A140,JE_Lines!$B$5:$B$1733,0))</f>
        <v>System</v>
      </c>
      <c r="J140" s="0" t="str">
        <f aca="false">IF(LEN(INDEX(JE_Lines!$K$5:$K$1733,MATCH(A140,JE_Lines!$B$5:$B$1733,0)))=0,"",INDEX(JE_Lines!$K$5:$K$1733,MATCH(A140,JE_Lines!$B$5:$B$1733,0)))</f>
        <v>Cost of sales posting</v>
      </c>
      <c r="K140" s="9" t="n">
        <f aca="false">F140-G140</f>
        <v>0</v>
      </c>
      <c r="L140" s="9" t="n">
        <f aca="false">COUNTIFS(JE_Lines!$B$5:$B$1733,A140,JE_Lines!$F$5:$F$1733,"Revenue")</f>
        <v>0</v>
      </c>
      <c r="M140" s="9" t="n">
        <f aca="false">COUNTIFS(JE_Lines!$B$5:$B$1733,A140,JE_Lines!$F$5:$F$1733,"Suspense")</f>
        <v>0</v>
      </c>
      <c r="N140" s="9" t="n">
        <f aca="false">IF(ABS(E140)&gt;Parameters!$B$23,1,0)</f>
        <v>0</v>
      </c>
      <c r="O140" s="9" t="n">
        <f aca="false">IF(WEEKDAY(F140,2)&gt;5,1,0)</f>
        <v>0</v>
      </c>
      <c r="P140" s="9" t="n">
        <f aca="false">IF(K140&gt;Parameters!$B$17,1,0)</f>
        <v>0</v>
      </c>
      <c r="Q140" s="9" t="n">
        <f aca="false">IF(AND(F140&lt;=Parameters!$B$6,F140&gt;Parameters!$B$6-Parameters!$B$18),1,0)</f>
        <v>0</v>
      </c>
      <c r="R140" s="9" t="n">
        <f aca="false">IF(COUNTIF(Parameters!$A$51:$A$58,H140)=0,1,0)</f>
        <v>0</v>
      </c>
      <c r="S140" s="9" t="n">
        <f aca="false">IF(AND(I140="Manual",L140&gt;0),1,0)</f>
        <v>0</v>
      </c>
      <c r="T140" s="9" t="n">
        <f aca="false">IF(AND(C140&gt;=Parameters!$B$22,ROUND(MOD(ROUND(C140,2),Parameters!$B$21),2)=0),1,0)</f>
        <v>0</v>
      </c>
      <c r="U140" s="9" t="n">
        <f aca="false">IF(LEN(TRIM(J140))=0,1,0)</f>
        <v>0</v>
      </c>
      <c r="V140" s="9" t="n">
        <f aca="false">IF(AND(I140="Manual",C140&lt;Parameters!$B$19,C140&gt;=Parameters!$B$19*(1-Parameters!$B$20)),1,0)</f>
        <v>0</v>
      </c>
      <c r="W140" s="9" t="n">
        <f aca="false">IF(AND(I140="Manual",M140&gt;0),1,0)</f>
        <v>0</v>
      </c>
      <c r="X140" s="9" t="n">
        <f aca="false">IF(A140-A139&gt;1,1,0)</f>
        <v>0</v>
      </c>
      <c r="Y140" s="9" t="n">
        <f aca="false">N140*Parameters!$B$38+O140*Parameters!$B$39+P140*Parameters!$B$40+Q140*Parameters!$B$41+R140*Parameters!$B$42+S140*Parameters!$B$43+T140*Parameters!$B$44+U140*Parameters!$B$45+V140*Parameters!$B$46+W140*Parameters!$B$47+X140*Parameters!$B$48</f>
        <v>0</v>
      </c>
      <c r="Z140" s="0" t="str">
        <f aca="false">IF(Y140&gt;=Parameters!$B$25,"High","")</f>
        <v/>
      </c>
    </row>
    <row r="141" customFormat="false" ht="15" hidden="false" customHeight="false" outlineLevel="0" collapsed="false">
      <c r="A141" s="16" t="n">
        <v>1141</v>
      </c>
      <c r="B141" s="9" t="n">
        <f aca="false">COUNTIF(JE_Lines!$B$5:$B$1733,A141)</f>
        <v>2</v>
      </c>
      <c r="C141" s="17" t="n">
        <f aca="false">SUMIFS(JE_Lines!$G$5:$G$1733,JE_Lines!$B$5:$B$1733,A141)</f>
        <v>289.35</v>
      </c>
      <c r="D141" s="17" t="n">
        <f aca="false">SUMIFS(JE_Lines!$H$5:$H$1733,JE_Lines!$B$5:$B$1733,A141)</f>
        <v>289.35</v>
      </c>
      <c r="E141" s="17" t="n">
        <f aca="false">C141-D141</f>
        <v>0</v>
      </c>
      <c r="F141" s="18" t="n">
        <f aca="false">INDEX(JE_Lines!$C$5:$C$1733,MATCH(A141,JE_Lines!$B$5:$B$1733,0))</f>
        <v>45715</v>
      </c>
      <c r="G141" s="18" t="n">
        <f aca="false">INDEX(JE_Lines!$D$5:$D$1733,MATCH(A141,JE_Lines!$B$5:$B$1733,0))</f>
        <v>45714</v>
      </c>
      <c r="H141" s="0" t="str">
        <f aca="false">INDEX(JE_Lines!$I$5:$I$1733,MATCH(A141,JE_Lines!$B$5:$B$1733,0))</f>
        <v>FIN01</v>
      </c>
      <c r="I141" s="0" t="str">
        <f aca="false">INDEX(JE_Lines!$J$5:$J$1733,MATCH(A141,JE_Lines!$B$5:$B$1733,0))</f>
        <v>Manual</v>
      </c>
      <c r="J141" s="0" t="str">
        <f aca="false">IF(LEN(INDEX(JE_Lines!$K$5:$K$1733,MATCH(A141,JE_Lines!$B$5:$B$1733,0)))=0,"",INDEX(JE_Lines!$K$5:$K$1733,MATCH(A141,JE_Lines!$B$5:$B$1733,0)))</f>
        <v>Accrual reversal</v>
      </c>
      <c r="K141" s="9" t="n">
        <f aca="false">F141-G141</f>
        <v>1</v>
      </c>
      <c r="L141" s="9" t="n">
        <f aca="false">COUNTIFS(JE_Lines!$B$5:$B$1733,A141,JE_Lines!$F$5:$F$1733,"Revenue")</f>
        <v>0</v>
      </c>
      <c r="M141" s="9" t="n">
        <f aca="false">COUNTIFS(JE_Lines!$B$5:$B$1733,A141,JE_Lines!$F$5:$F$1733,"Suspense")</f>
        <v>0</v>
      </c>
      <c r="N141" s="9" t="n">
        <f aca="false">IF(ABS(E141)&gt;Parameters!$B$23,1,0)</f>
        <v>0</v>
      </c>
      <c r="O141" s="9" t="n">
        <f aca="false">IF(WEEKDAY(F141,2)&gt;5,1,0)</f>
        <v>0</v>
      </c>
      <c r="P141" s="9" t="n">
        <f aca="false">IF(K141&gt;Parameters!$B$17,1,0)</f>
        <v>0</v>
      </c>
      <c r="Q141" s="9" t="n">
        <f aca="false">IF(AND(F141&lt;=Parameters!$B$6,F141&gt;Parameters!$B$6-Parameters!$B$18),1,0)</f>
        <v>0</v>
      </c>
      <c r="R141" s="9" t="n">
        <f aca="false">IF(COUNTIF(Parameters!$A$51:$A$58,H141)=0,1,0)</f>
        <v>0</v>
      </c>
      <c r="S141" s="9" t="n">
        <f aca="false">IF(AND(I141="Manual",L141&gt;0),1,0)</f>
        <v>0</v>
      </c>
      <c r="T141" s="9" t="n">
        <f aca="false">IF(AND(C141&gt;=Parameters!$B$22,ROUND(MOD(ROUND(C141,2),Parameters!$B$21),2)=0),1,0)</f>
        <v>0</v>
      </c>
      <c r="U141" s="9" t="n">
        <f aca="false">IF(LEN(TRIM(J141))=0,1,0)</f>
        <v>0</v>
      </c>
      <c r="V141" s="9" t="n">
        <f aca="false">IF(AND(I141="Manual",C141&lt;Parameters!$B$19,C141&gt;=Parameters!$B$19*(1-Parameters!$B$20)),1,0)</f>
        <v>0</v>
      </c>
      <c r="W141" s="9" t="n">
        <f aca="false">IF(AND(I141="Manual",M141&gt;0),1,0)</f>
        <v>0</v>
      </c>
      <c r="X141" s="9" t="n">
        <f aca="false">IF(A141-A140&gt;1,1,0)</f>
        <v>0</v>
      </c>
      <c r="Y141" s="9" t="n">
        <f aca="false">N141*Parameters!$B$38+O141*Parameters!$B$39+P141*Parameters!$B$40+Q141*Parameters!$B$41+R141*Parameters!$B$42+S141*Parameters!$B$43+T141*Parameters!$B$44+U141*Parameters!$B$45+V141*Parameters!$B$46+W141*Parameters!$B$47+X141*Parameters!$B$48</f>
        <v>0</v>
      </c>
      <c r="Z141" s="0" t="str">
        <f aca="false">IF(Y141&gt;=Parameters!$B$25,"High","")</f>
        <v/>
      </c>
    </row>
    <row r="142" customFormat="false" ht="15" hidden="false" customHeight="false" outlineLevel="0" collapsed="false">
      <c r="A142" s="16" t="n">
        <v>1142</v>
      </c>
      <c r="B142" s="9" t="n">
        <f aca="false">COUNTIF(JE_Lines!$B$5:$B$1733,A142)</f>
        <v>2</v>
      </c>
      <c r="C142" s="17" t="n">
        <f aca="false">SUMIFS(JE_Lines!$G$5:$G$1733,JE_Lines!$B$5:$B$1733,A142)</f>
        <v>231.8</v>
      </c>
      <c r="D142" s="17" t="n">
        <f aca="false">SUMIFS(JE_Lines!$H$5:$H$1733,JE_Lines!$B$5:$B$1733,A142)</f>
        <v>231.8</v>
      </c>
      <c r="E142" s="17" t="n">
        <f aca="false">C142-D142</f>
        <v>0</v>
      </c>
      <c r="F142" s="18" t="n">
        <f aca="false">INDEX(JE_Lines!$C$5:$C$1733,MATCH(A142,JE_Lines!$B$5:$B$1733,0))</f>
        <v>45716</v>
      </c>
      <c r="G142" s="18" t="n">
        <f aca="false">INDEX(JE_Lines!$D$5:$D$1733,MATCH(A142,JE_Lines!$B$5:$B$1733,0))</f>
        <v>45713</v>
      </c>
      <c r="H142" s="0" t="str">
        <f aca="false">INDEX(JE_Lines!$I$5:$I$1733,MATCH(A142,JE_Lines!$B$5:$B$1733,0))</f>
        <v>SYS_PAY</v>
      </c>
      <c r="I142" s="0" t="str">
        <f aca="false">INDEX(JE_Lines!$J$5:$J$1733,MATCH(A142,JE_Lines!$B$5:$B$1733,0))</f>
        <v>System</v>
      </c>
      <c r="J142" s="0" t="str">
        <f aca="false">IF(LEN(INDEX(JE_Lines!$K$5:$K$1733,MATCH(A142,JE_Lines!$B$5:$B$1733,0)))=0,"",INDEX(JE_Lines!$K$5:$K$1733,MATCH(A142,JE_Lines!$B$5:$B$1733,0)))</f>
        <v>Supplier payments</v>
      </c>
      <c r="K142" s="9" t="n">
        <f aca="false">F142-G142</f>
        <v>3</v>
      </c>
      <c r="L142" s="9" t="n">
        <f aca="false">COUNTIFS(JE_Lines!$B$5:$B$1733,A142,JE_Lines!$F$5:$F$1733,"Revenue")</f>
        <v>0</v>
      </c>
      <c r="M142" s="9" t="n">
        <f aca="false">COUNTIFS(JE_Lines!$B$5:$B$1733,A142,JE_Lines!$F$5:$F$1733,"Suspense")</f>
        <v>0</v>
      </c>
      <c r="N142" s="9" t="n">
        <f aca="false">IF(ABS(E142)&gt;Parameters!$B$23,1,0)</f>
        <v>0</v>
      </c>
      <c r="O142" s="9" t="n">
        <f aca="false">IF(WEEKDAY(F142,2)&gt;5,1,0)</f>
        <v>0</v>
      </c>
      <c r="P142" s="9" t="n">
        <f aca="false">IF(K142&gt;Parameters!$B$17,1,0)</f>
        <v>0</v>
      </c>
      <c r="Q142" s="9" t="n">
        <f aca="false">IF(AND(F142&lt;=Parameters!$B$6,F142&gt;Parameters!$B$6-Parameters!$B$18),1,0)</f>
        <v>0</v>
      </c>
      <c r="R142" s="9" t="n">
        <f aca="false">IF(COUNTIF(Parameters!$A$51:$A$58,H142)=0,1,0)</f>
        <v>0</v>
      </c>
      <c r="S142" s="9" t="n">
        <f aca="false">IF(AND(I142="Manual",L142&gt;0),1,0)</f>
        <v>0</v>
      </c>
      <c r="T142" s="9" t="n">
        <f aca="false">IF(AND(C142&gt;=Parameters!$B$22,ROUND(MOD(ROUND(C142,2),Parameters!$B$21),2)=0),1,0)</f>
        <v>0</v>
      </c>
      <c r="U142" s="9" t="n">
        <f aca="false">IF(LEN(TRIM(J142))=0,1,0)</f>
        <v>0</v>
      </c>
      <c r="V142" s="9" t="n">
        <f aca="false">IF(AND(I142="Manual",C142&lt;Parameters!$B$19,C142&gt;=Parameters!$B$19*(1-Parameters!$B$20)),1,0)</f>
        <v>0</v>
      </c>
      <c r="W142" s="9" t="n">
        <f aca="false">IF(AND(I142="Manual",M142&gt;0),1,0)</f>
        <v>0</v>
      </c>
      <c r="X142" s="9" t="n">
        <f aca="false">IF(A142-A141&gt;1,1,0)</f>
        <v>0</v>
      </c>
      <c r="Y142" s="9" t="n">
        <f aca="false">N142*Parameters!$B$38+O142*Parameters!$B$39+P142*Parameters!$B$40+Q142*Parameters!$B$41+R142*Parameters!$B$42+S142*Parameters!$B$43+T142*Parameters!$B$44+U142*Parameters!$B$45+V142*Parameters!$B$46+W142*Parameters!$B$47+X142*Parameters!$B$48</f>
        <v>0</v>
      </c>
      <c r="Z142" s="0" t="str">
        <f aca="false">IF(Y142&gt;=Parameters!$B$25,"High","")</f>
        <v/>
      </c>
    </row>
    <row r="143" customFormat="false" ht="15" hidden="false" customHeight="false" outlineLevel="0" collapsed="false">
      <c r="A143" s="16" t="n">
        <v>1143</v>
      </c>
      <c r="B143" s="9" t="n">
        <f aca="false">COUNTIF(JE_Lines!$B$5:$B$1733,A143)</f>
        <v>3</v>
      </c>
      <c r="C143" s="17" t="n">
        <f aca="false">SUMIFS(JE_Lines!$G$5:$G$1733,JE_Lines!$B$5:$B$1733,A143)</f>
        <v>260.34</v>
      </c>
      <c r="D143" s="17" t="n">
        <f aca="false">SUMIFS(JE_Lines!$H$5:$H$1733,JE_Lines!$B$5:$B$1733,A143)</f>
        <v>260.34</v>
      </c>
      <c r="E143" s="17" t="n">
        <f aca="false">C143-D143</f>
        <v>0</v>
      </c>
      <c r="F143" s="18" t="n">
        <f aca="false">INDEX(JE_Lines!$C$5:$C$1733,MATCH(A143,JE_Lines!$B$5:$B$1733,0))</f>
        <v>45717</v>
      </c>
      <c r="G143" s="18" t="n">
        <f aca="false">INDEX(JE_Lines!$D$5:$D$1733,MATCH(A143,JE_Lines!$B$5:$B$1733,0))</f>
        <v>45714</v>
      </c>
      <c r="H143" s="0" t="str">
        <f aca="false">INDEX(JE_Lines!$I$5:$I$1733,MATCH(A143,JE_Lines!$B$5:$B$1733,0))</f>
        <v>SYS_AR</v>
      </c>
      <c r="I143" s="0" t="str">
        <f aca="false">INDEX(JE_Lines!$J$5:$J$1733,MATCH(A143,JE_Lines!$B$5:$B$1733,0))</f>
        <v>System</v>
      </c>
      <c r="J143" s="0" t="str">
        <f aca="false">IF(LEN(INDEX(JE_Lines!$K$5:$K$1733,MATCH(A143,JE_Lines!$B$5:$B$1733,0)))=0,"",INDEX(JE_Lines!$K$5:$K$1733,MATCH(A143,JE_Lines!$B$5:$B$1733,0)))</f>
        <v>Cost of sales posting</v>
      </c>
      <c r="K143" s="9" t="n">
        <f aca="false">F143-G143</f>
        <v>3</v>
      </c>
      <c r="L143" s="9" t="n">
        <f aca="false">COUNTIFS(JE_Lines!$B$5:$B$1733,A143,JE_Lines!$F$5:$F$1733,"Revenue")</f>
        <v>0</v>
      </c>
      <c r="M143" s="9" t="n">
        <f aca="false">COUNTIFS(JE_Lines!$B$5:$B$1733,A143,JE_Lines!$F$5:$F$1733,"Suspense")</f>
        <v>0</v>
      </c>
      <c r="N143" s="9" t="n">
        <f aca="false">IF(ABS(E143)&gt;Parameters!$B$23,1,0)</f>
        <v>0</v>
      </c>
      <c r="O143" s="9" t="n">
        <f aca="false">IF(WEEKDAY(F143,2)&gt;5,1,0)</f>
        <v>1</v>
      </c>
      <c r="P143" s="9" t="n">
        <f aca="false">IF(K143&gt;Parameters!$B$17,1,0)</f>
        <v>0</v>
      </c>
      <c r="Q143" s="9" t="n">
        <f aca="false">IF(AND(F143&lt;=Parameters!$B$6,F143&gt;Parameters!$B$6-Parameters!$B$18),1,0)</f>
        <v>0</v>
      </c>
      <c r="R143" s="9" t="n">
        <f aca="false">IF(COUNTIF(Parameters!$A$51:$A$58,H143)=0,1,0)</f>
        <v>0</v>
      </c>
      <c r="S143" s="9" t="n">
        <f aca="false">IF(AND(I143="Manual",L143&gt;0),1,0)</f>
        <v>0</v>
      </c>
      <c r="T143" s="9" t="n">
        <f aca="false">IF(AND(C143&gt;=Parameters!$B$22,ROUND(MOD(ROUND(C143,2),Parameters!$B$21),2)=0),1,0)</f>
        <v>0</v>
      </c>
      <c r="U143" s="9" t="n">
        <f aca="false">IF(LEN(TRIM(J143))=0,1,0)</f>
        <v>0</v>
      </c>
      <c r="V143" s="9" t="n">
        <f aca="false">IF(AND(I143="Manual",C143&lt;Parameters!$B$19,C143&gt;=Parameters!$B$19*(1-Parameters!$B$20)),1,0)</f>
        <v>0</v>
      </c>
      <c r="W143" s="9" t="n">
        <f aca="false">IF(AND(I143="Manual",M143&gt;0),1,0)</f>
        <v>0</v>
      </c>
      <c r="X143" s="9" t="n">
        <f aca="false">IF(A143-A142&gt;1,1,0)</f>
        <v>0</v>
      </c>
      <c r="Y143" s="9" t="n">
        <f aca="false">N143*Parameters!$B$38+O143*Parameters!$B$39+P143*Parameters!$B$40+Q143*Parameters!$B$41+R143*Parameters!$B$42+S143*Parameters!$B$43+T143*Parameters!$B$44+U143*Parameters!$B$45+V143*Parameters!$B$46+W143*Parameters!$B$47+X143*Parameters!$B$48</f>
        <v>2</v>
      </c>
      <c r="Z143" s="0" t="str">
        <f aca="false">IF(Y143&gt;=Parameters!$B$25,"High","")</f>
        <v/>
      </c>
    </row>
    <row r="144" customFormat="false" ht="15" hidden="false" customHeight="false" outlineLevel="0" collapsed="false">
      <c r="A144" s="16" t="n">
        <v>1144</v>
      </c>
      <c r="B144" s="9" t="n">
        <f aca="false">COUNTIF(JE_Lines!$B$5:$B$1733,A144)</f>
        <v>2</v>
      </c>
      <c r="C144" s="17" t="n">
        <f aca="false">SUMIFS(JE_Lines!$G$5:$G$1733,JE_Lines!$B$5:$B$1733,A144)</f>
        <v>1765.2</v>
      </c>
      <c r="D144" s="17" t="n">
        <f aca="false">SUMIFS(JE_Lines!$H$5:$H$1733,JE_Lines!$B$5:$B$1733,A144)</f>
        <v>1765.2</v>
      </c>
      <c r="E144" s="17" t="n">
        <f aca="false">C144-D144</f>
        <v>0</v>
      </c>
      <c r="F144" s="18" t="n">
        <f aca="false">INDEX(JE_Lines!$C$5:$C$1733,MATCH(A144,JE_Lines!$B$5:$B$1733,0))</f>
        <v>45718</v>
      </c>
      <c r="G144" s="18" t="n">
        <f aca="false">INDEX(JE_Lines!$D$5:$D$1733,MATCH(A144,JE_Lines!$B$5:$B$1733,0))</f>
        <v>45718</v>
      </c>
      <c r="H144" s="0" t="str">
        <f aca="false">INDEX(JE_Lines!$I$5:$I$1733,MATCH(A144,JE_Lines!$B$5:$B$1733,0))</f>
        <v>SYS_PAY</v>
      </c>
      <c r="I144" s="0" t="str">
        <f aca="false">INDEX(JE_Lines!$J$5:$J$1733,MATCH(A144,JE_Lines!$B$5:$B$1733,0))</f>
        <v>System</v>
      </c>
      <c r="J144" s="0" t="str">
        <f aca="false">IF(LEN(INDEX(JE_Lines!$K$5:$K$1733,MATCH(A144,JE_Lines!$B$5:$B$1733,0)))=0,"",INDEX(JE_Lines!$K$5:$K$1733,MATCH(A144,JE_Lines!$B$5:$B$1733,0)))</f>
        <v>Supplier payments</v>
      </c>
      <c r="K144" s="9" t="n">
        <f aca="false">F144-G144</f>
        <v>0</v>
      </c>
      <c r="L144" s="9" t="n">
        <f aca="false">COUNTIFS(JE_Lines!$B$5:$B$1733,A144,JE_Lines!$F$5:$F$1733,"Revenue")</f>
        <v>0</v>
      </c>
      <c r="M144" s="9" t="n">
        <f aca="false">COUNTIFS(JE_Lines!$B$5:$B$1733,A144,JE_Lines!$F$5:$F$1733,"Suspense")</f>
        <v>0</v>
      </c>
      <c r="N144" s="9" t="n">
        <f aca="false">IF(ABS(E144)&gt;Parameters!$B$23,1,0)</f>
        <v>0</v>
      </c>
      <c r="O144" s="9" t="n">
        <f aca="false">IF(WEEKDAY(F144,2)&gt;5,1,0)</f>
        <v>1</v>
      </c>
      <c r="P144" s="9" t="n">
        <f aca="false">IF(K144&gt;Parameters!$B$17,1,0)</f>
        <v>0</v>
      </c>
      <c r="Q144" s="9" t="n">
        <f aca="false">IF(AND(F144&lt;=Parameters!$B$6,F144&gt;Parameters!$B$6-Parameters!$B$18),1,0)</f>
        <v>0</v>
      </c>
      <c r="R144" s="9" t="n">
        <f aca="false">IF(COUNTIF(Parameters!$A$51:$A$58,H144)=0,1,0)</f>
        <v>0</v>
      </c>
      <c r="S144" s="9" t="n">
        <f aca="false">IF(AND(I144="Manual",L144&gt;0),1,0)</f>
        <v>0</v>
      </c>
      <c r="T144" s="9" t="n">
        <f aca="false">IF(AND(C144&gt;=Parameters!$B$22,ROUND(MOD(ROUND(C144,2),Parameters!$B$21),2)=0),1,0)</f>
        <v>0</v>
      </c>
      <c r="U144" s="9" t="n">
        <f aca="false">IF(LEN(TRIM(J144))=0,1,0)</f>
        <v>0</v>
      </c>
      <c r="V144" s="9" t="n">
        <f aca="false">IF(AND(I144="Manual",C144&lt;Parameters!$B$19,C144&gt;=Parameters!$B$19*(1-Parameters!$B$20)),1,0)</f>
        <v>0</v>
      </c>
      <c r="W144" s="9" t="n">
        <f aca="false">IF(AND(I144="Manual",M144&gt;0),1,0)</f>
        <v>0</v>
      </c>
      <c r="X144" s="9" t="n">
        <f aca="false">IF(A144-A143&gt;1,1,0)</f>
        <v>0</v>
      </c>
      <c r="Y144" s="9" t="n">
        <f aca="false">N144*Parameters!$B$38+O144*Parameters!$B$39+P144*Parameters!$B$40+Q144*Parameters!$B$41+R144*Parameters!$B$42+S144*Parameters!$B$43+T144*Parameters!$B$44+U144*Parameters!$B$45+V144*Parameters!$B$46+W144*Parameters!$B$47+X144*Parameters!$B$48</f>
        <v>2</v>
      </c>
      <c r="Z144" s="0" t="str">
        <f aca="false">IF(Y144&gt;=Parameters!$B$25,"High","")</f>
        <v/>
      </c>
    </row>
    <row r="145" customFormat="false" ht="15" hidden="false" customHeight="false" outlineLevel="0" collapsed="false">
      <c r="A145" s="16" t="n">
        <v>1145</v>
      </c>
      <c r="B145" s="9" t="n">
        <f aca="false">COUNTIF(JE_Lines!$B$5:$B$1733,A145)</f>
        <v>2</v>
      </c>
      <c r="C145" s="17" t="n">
        <f aca="false">SUMIFS(JE_Lines!$G$5:$G$1733,JE_Lines!$B$5:$B$1733,A145)</f>
        <v>372.19</v>
      </c>
      <c r="D145" s="17" t="n">
        <f aca="false">SUMIFS(JE_Lines!$H$5:$H$1733,JE_Lines!$B$5:$B$1733,A145)</f>
        <v>372.19</v>
      </c>
      <c r="E145" s="17" t="n">
        <f aca="false">C145-D145</f>
        <v>0</v>
      </c>
      <c r="F145" s="18" t="n">
        <f aca="false">INDEX(JE_Lines!$C$5:$C$1733,MATCH(A145,JE_Lines!$B$5:$B$1733,0))</f>
        <v>45719</v>
      </c>
      <c r="G145" s="18" t="n">
        <f aca="false">INDEX(JE_Lines!$D$5:$D$1733,MATCH(A145,JE_Lines!$B$5:$B$1733,0))</f>
        <v>45716</v>
      </c>
      <c r="H145" s="0" t="str">
        <f aca="false">INDEX(JE_Lines!$I$5:$I$1733,MATCH(A145,JE_Lines!$B$5:$B$1733,0))</f>
        <v>SYS_AR</v>
      </c>
      <c r="I145" s="0" t="str">
        <f aca="false">INDEX(JE_Lines!$J$5:$J$1733,MATCH(A145,JE_Lines!$B$5:$B$1733,0))</f>
        <v>System</v>
      </c>
      <c r="J145" s="0" t="str">
        <f aca="false">IF(LEN(INDEX(JE_Lines!$K$5:$K$1733,MATCH(A145,JE_Lines!$B$5:$B$1733,0)))=0,"",INDEX(JE_Lines!$K$5:$K$1733,MATCH(A145,JE_Lines!$B$5:$B$1733,0)))</f>
        <v>Cost of sales posting</v>
      </c>
      <c r="K145" s="9" t="n">
        <f aca="false">F145-G145</f>
        <v>3</v>
      </c>
      <c r="L145" s="9" t="n">
        <f aca="false">COUNTIFS(JE_Lines!$B$5:$B$1733,A145,JE_Lines!$F$5:$F$1733,"Revenue")</f>
        <v>0</v>
      </c>
      <c r="M145" s="9" t="n">
        <f aca="false">COUNTIFS(JE_Lines!$B$5:$B$1733,A145,JE_Lines!$F$5:$F$1733,"Suspense")</f>
        <v>0</v>
      </c>
      <c r="N145" s="9" t="n">
        <f aca="false">IF(ABS(E145)&gt;Parameters!$B$23,1,0)</f>
        <v>0</v>
      </c>
      <c r="O145" s="9" t="n">
        <f aca="false">IF(WEEKDAY(F145,2)&gt;5,1,0)</f>
        <v>0</v>
      </c>
      <c r="P145" s="9" t="n">
        <f aca="false">IF(K145&gt;Parameters!$B$17,1,0)</f>
        <v>0</v>
      </c>
      <c r="Q145" s="9" t="n">
        <f aca="false">IF(AND(F145&lt;=Parameters!$B$6,F145&gt;Parameters!$B$6-Parameters!$B$18),1,0)</f>
        <v>0</v>
      </c>
      <c r="R145" s="9" t="n">
        <f aca="false">IF(COUNTIF(Parameters!$A$51:$A$58,H145)=0,1,0)</f>
        <v>0</v>
      </c>
      <c r="S145" s="9" t="n">
        <f aca="false">IF(AND(I145="Manual",L145&gt;0),1,0)</f>
        <v>0</v>
      </c>
      <c r="T145" s="9" t="n">
        <f aca="false">IF(AND(C145&gt;=Parameters!$B$22,ROUND(MOD(ROUND(C145,2),Parameters!$B$21),2)=0),1,0)</f>
        <v>0</v>
      </c>
      <c r="U145" s="9" t="n">
        <f aca="false">IF(LEN(TRIM(J145))=0,1,0)</f>
        <v>0</v>
      </c>
      <c r="V145" s="9" t="n">
        <f aca="false">IF(AND(I145="Manual",C145&lt;Parameters!$B$19,C145&gt;=Parameters!$B$19*(1-Parameters!$B$20)),1,0)</f>
        <v>0</v>
      </c>
      <c r="W145" s="9" t="n">
        <f aca="false">IF(AND(I145="Manual",M145&gt;0),1,0)</f>
        <v>0</v>
      </c>
      <c r="X145" s="9" t="n">
        <f aca="false">IF(A145-A144&gt;1,1,0)</f>
        <v>0</v>
      </c>
      <c r="Y145" s="9" t="n">
        <f aca="false">N145*Parameters!$B$38+O145*Parameters!$B$39+P145*Parameters!$B$40+Q145*Parameters!$B$41+R145*Parameters!$B$42+S145*Parameters!$B$43+T145*Parameters!$B$44+U145*Parameters!$B$45+V145*Parameters!$B$46+W145*Parameters!$B$47+X145*Parameters!$B$48</f>
        <v>0</v>
      </c>
      <c r="Z145" s="0" t="str">
        <f aca="false">IF(Y145&gt;=Parameters!$B$25,"High","")</f>
        <v/>
      </c>
    </row>
    <row r="146" customFormat="false" ht="15" hidden="false" customHeight="false" outlineLevel="0" collapsed="false">
      <c r="A146" s="16" t="n">
        <v>1146</v>
      </c>
      <c r="B146" s="9" t="n">
        <f aca="false">COUNTIF(JE_Lines!$B$5:$B$1733,A146)</f>
        <v>2</v>
      </c>
      <c r="C146" s="17" t="n">
        <f aca="false">SUMIFS(JE_Lines!$G$5:$G$1733,JE_Lines!$B$5:$B$1733,A146)</f>
        <v>3590.22</v>
      </c>
      <c r="D146" s="17" t="n">
        <f aca="false">SUMIFS(JE_Lines!$H$5:$H$1733,JE_Lines!$B$5:$B$1733,A146)</f>
        <v>3590.22</v>
      </c>
      <c r="E146" s="17" t="n">
        <f aca="false">C146-D146</f>
        <v>0</v>
      </c>
      <c r="F146" s="18" t="n">
        <f aca="false">INDEX(JE_Lines!$C$5:$C$1733,MATCH(A146,JE_Lines!$B$5:$B$1733,0))</f>
        <v>45719</v>
      </c>
      <c r="G146" s="18" t="n">
        <f aca="false">INDEX(JE_Lines!$D$5:$D$1733,MATCH(A146,JE_Lines!$B$5:$B$1733,0))</f>
        <v>45716</v>
      </c>
      <c r="H146" s="0" t="str">
        <f aca="false">INDEX(JE_Lines!$I$5:$I$1733,MATCH(A146,JE_Lines!$B$5:$B$1733,0))</f>
        <v>SYS_AR</v>
      </c>
      <c r="I146" s="0" t="str">
        <f aca="false">INDEX(JE_Lines!$J$5:$J$1733,MATCH(A146,JE_Lines!$B$5:$B$1733,0))</f>
        <v>System</v>
      </c>
      <c r="J146" s="0" t="str">
        <f aca="false">IF(LEN(INDEX(JE_Lines!$K$5:$K$1733,MATCH(A146,JE_Lines!$B$5:$B$1733,0)))=0,"",INDEX(JE_Lines!$K$5:$K$1733,MATCH(A146,JE_Lines!$B$5:$B$1733,0)))</f>
        <v>Customer receipts</v>
      </c>
      <c r="K146" s="9" t="n">
        <f aca="false">F146-G146</f>
        <v>3</v>
      </c>
      <c r="L146" s="9" t="n">
        <f aca="false">COUNTIFS(JE_Lines!$B$5:$B$1733,A146,JE_Lines!$F$5:$F$1733,"Revenue")</f>
        <v>0</v>
      </c>
      <c r="M146" s="9" t="n">
        <f aca="false">COUNTIFS(JE_Lines!$B$5:$B$1733,A146,JE_Lines!$F$5:$F$1733,"Suspense")</f>
        <v>0</v>
      </c>
      <c r="N146" s="9" t="n">
        <f aca="false">IF(ABS(E146)&gt;Parameters!$B$23,1,0)</f>
        <v>0</v>
      </c>
      <c r="O146" s="9" t="n">
        <f aca="false">IF(WEEKDAY(F146,2)&gt;5,1,0)</f>
        <v>0</v>
      </c>
      <c r="P146" s="9" t="n">
        <f aca="false">IF(K146&gt;Parameters!$B$17,1,0)</f>
        <v>0</v>
      </c>
      <c r="Q146" s="9" t="n">
        <f aca="false">IF(AND(F146&lt;=Parameters!$B$6,F146&gt;Parameters!$B$6-Parameters!$B$18),1,0)</f>
        <v>0</v>
      </c>
      <c r="R146" s="9" t="n">
        <f aca="false">IF(COUNTIF(Parameters!$A$51:$A$58,H146)=0,1,0)</f>
        <v>0</v>
      </c>
      <c r="S146" s="9" t="n">
        <f aca="false">IF(AND(I146="Manual",L146&gt;0),1,0)</f>
        <v>0</v>
      </c>
      <c r="T146" s="9" t="n">
        <f aca="false">IF(AND(C146&gt;=Parameters!$B$22,ROUND(MOD(ROUND(C146,2),Parameters!$B$21),2)=0),1,0)</f>
        <v>0</v>
      </c>
      <c r="U146" s="9" t="n">
        <f aca="false">IF(LEN(TRIM(J146))=0,1,0)</f>
        <v>0</v>
      </c>
      <c r="V146" s="9" t="n">
        <f aca="false">IF(AND(I146="Manual",C146&lt;Parameters!$B$19,C146&gt;=Parameters!$B$19*(1-Parameters!$B$20)),1,0)</f>
        <v>0</v>
      </c>
      <c r="W146" s="9" t="n">
        <f aca="false">IF(AND(I146="Manual",M146&gt;0),1,0)</f>
        <v>0</v>
      </c>
      <c r="X146" s="9" t="n">
        <f aca="false">IF(A146-A145&gt;1,1,0)</f>
        <v>0</v>
      </c>
      <c r="Y146" s="9" t="n">
        <f aca="false">N146*Parameters!$B$38+O146*Parameters!$B$39+P146*Parameters!$B$40+Q146*Parameters!$B$41+R146*Parameters!$B$42+S146*Parameters!$B$43+T146*Parameters!$B$44+U146*Parameters!$B$45+V146*Parameters!$B$46+W146*Parameters!$B$47+X146*Parameters!$B$48</f>
        <v>0</v>
      </c>
      <c r="Z146" s="0" t="str">
        <f aca="false">IF(Y146&gt;=Parameters!$B$25,"High","")</f>
        <v/>
      </c>
    </row>
    <row r="147" customFormat="false" ht="15" hidden="false" customHeight="false" outlineLevel="0" collapsed="false">
      <c r="A147" s="16" t="n">
        <v>1147</v>
      </c>
      <c r="B147" s="9" t="n">
        <f aca="false">COUNTIF(JE_Lines!$B$5:$B$1733,A147)</f>
        <v>2</v>
      </c>
      <c r="C147" s="17" t="n">
        <f aca="false">SUMIFS(JE_Lines!$G$5:$G$1733,JE_Lines!$B$5:$B$1733,A147)</f>
        <v>83973.1</v>
      </c>
      <c r="D147" s="17" t="n">
        <f aca="false">SUMIFS(JE_Lines!$H$5:$H$1733,JE_Lines!$B$5:$B$1733,A147)</f>
        <v>83973.1</v>
      </c>
      <c r="E147" s="17" t="n">
        <f aca="false">C147-D147</f>
        <v>0</v>
      </c>
      <c r="F147" s="18" t="n">
        <f aca="false">INDEX(JE_Lines!$C$5:$C$1733,MATCH(A147,JE_Lines!$B$5:$B$1733,0))</f>
        <v>45719</v>
      </c>
      <c r="G147" s="18" t="n">
        <f aca="false">INDEX(JE_Lines!$D$5:$D$1733,MATCH(A147,JE_Lines!$B$5:$B$1733,0))</f>
        <v>45719</v>
      </c>
      <c r="H147" s="0" t="str">
        <f aca="false">INDEX(JE_Lines!$I$5:$I$1733,MATCH(A147,JE_Lines!$B$5:$B$1733,0))</f>
        <v>SYS_AP</v>
      </c>
      <c r="I147" s="0" t="str">
        <f aca="false">INDEX(JE_Lines!$J$5:$J$1733,MATCH(A147,JE_Lines!$B$5:$B$1733,0))</f>
        <v>System</v>
      </c>
      <c r="J147" s="0" t="str">
        <f aca="false">IF(LEN(INDEX(JE_Lines!$K$5:$K$1733,MATCH(A147,JE_Lines!$B$5:$B$1733,0)))=0,"",INDEX(JE_Lines!$K$5:$K$1733,MATCH(A147,JE_Lines!$B$5:$B$1733,0)))</f>
        <v>Utilities invoices</v>
      </c>
      <c r="K147" s="9" t="n">
        <f aca="false">F147-G147</f>
        <v>0</v>
      </c>
      <c r="L147" s="9" t="n">
        <f aca="false">COUNTIFS(JE_Lines!$B$5:$B$1733,A147,JE_Lines!$F$5:$F$1733,"Revenue")</f>
        <v>0</v>
      </c>
      <c r="M147" s="9" t="n">
        <f aca="false">COUNTIFS(JE_Lines!$B$5:$B$1733,A147,JE_Lines!$F$5:$F$1733,"Suspense")</f>
        <v>0</v>
      </c>
      <c r="N147" s="9" t="n">
        <f aca="false">IF(ABS(E147)&gt;Parameters!$B$23,1,0)</f>
        <v>0</v>
      </c>
      <c r="O147" s="9" t="n">
        <f aca="false">IF(WEEKDAY(F147,2)&gt;5,1,0)</f>
        <v>0</v>
      </c>
      <c r="P147" s="9" t="n">
        <f aca="false">IF(K147&gt;Parameters!$B$17,1,0)</f>
        <v>0</v>
      </c>
      <c r="Q147" s="9" t="n">
        <f aca="false">IF(AND(F147&lt;=Parameters!$B$6,F147&gt;Parameters!$B$6-Parameters!$B$18),1,0)</f>
        <v>0</v>
      </c>
      <c r="R147" s="9" t="n">
        <f aca="false">IF(COUNTIF(Parameters!$A$51:$A$58,H147)=0,1,0)</f>
        <v>0</v>
      </c>
      <c r="S147" s="9" t="n">
        <f aca="false">IF(AND(I147="Manual",L147&gt;0),1,0)</f>
        <v>0</v>
      </c>
      <c r="T147" s="9" t="n">
        <f aca="false">IF(AND(C147&gt;=Parameters!$B$22,ROUND(MOD(ROUND(C147,2),Parameters!$B$21),2)=0),1,0)</f>
        <v>0</v>
      </c>
      <c r="U147" s="9" t="n">
        <f aca="false">IF(LEN(TRIM(J147))=0,1,0)</f>
        <v>0</v>
      </c>
      <c r="V147" s="9" t="n">
        <f aca="false">IF(AND(I147="Manual",C147&lt;Parameters!$B$19,C147&gt;=Parameters!$B$19*(1-Parameters!$B$20)),1,0)</f>
        <v>0</v>
      </c>
      <c r="W147" s="9" t="n">
        <f aca="false">IF(AND(I147="Manual",M147&gt;0),1,0)</f>
        <v>0</v>
      </c>
      <c r="X147" s="9" t="n">
        <f aca="false">IF(A147-A146&gt;1,1,0)</f>
        <v>0</v>
      </c>
      <c r="Y147" s="9" t="n">
        <f aca="false">N147*Parameters!$B$38+O147*Parameters!$B$39+P147*Parameters!$B$40+Q147*Parameters!$B$41+R147*Parameters!$B$42+S147*Parameters!$B$43+T147*Parameters!$B$44+U147*Parameters!$B$45+V147*Parameters!$B$46+W147*Parameters!$B$47+X147*Parameters!$B$48</f>
        <v>0</v>
      </c>
      <c r="Z147" s="0" t="str">
        <f aca="false">IF(Y147&gt;=Parameters!$B$25,"High","")</f>
        <v/>
      </c>
    </row>
    <row r="148" customFormat="false" ht="15" hidden="false" customHeight="false" outlineLevel="0" collapsed="false">
      <c r="A148" s="16" t="n">
        <v>1148</v>
      </c>
      <c r="B148" s="9" t="n">
        <f aca="false">COUNTIF(JE_Lines!$B$5:$B$1733,A148)</f>
        <v>2</v>
      </c>
      <c r="C148" s="17" t="n">
        <f aca="false">SUMIFS(JE_Lines!$G$5:$G$1733,JE_Lines!$B$5:$B$1733,A148)</f>
        <v>2586.88</v>
      </c>
      <c r="D148" s="17" t="n">
        <f aca="false">SUMIFS(JE_Lines!$H$5:$H$1733,JE_Lines!$B$5:$B$1733,A148)</f>
        <v>2586.88</v>
      </c>
      <c r="E148" s="17" t="n">
        <f aca="false">C148-D148</f>
        <v>0</v>
      </c>
      <c r="F148" s="18" t="n">
        <f aca="false">INDEX(JE_Lines!$C$5:$C$1733,MATCH(A148,JE_Lines!$B$5:$B$1733,0))</f>
        <v>45719</v>
      </c>
      <c r="G148" s="18" t="n">
        <f aca="false">INDEX(JE_Lines!$D$5:$D$1733,MATCH(A148,JE_Lines!$B$5:$B$1733,0))</f>
        <v>45715</v>
      </c>
      <c r="H148" s="0" t="str">
        <f aca="false">INDEX(JE_Lines!$I$5:$I$1733,MATCH(A148,JE_Lines!$B$5:$B$1733,0))</f>
        <v>SYS_AR</v>
      </c>
      <c r="I148" s="0" t="str">
        <f aca="false">INDEX(JE_Lines!$J$5:$J$1733,MATCH(A148,JE_Lines!$B$5:$B$1733,0))</f>
        <v>System</v>
      </c>
      <c r="J148" s="0" t="str">
        <f aca="false">IF(LEN(INDEX(JE_Lines!$K$5:$K$1733,MATCH(A148,JE_Lines!$B$5:$B$1733,0)))=0,"",INDEX(JE_Lines!$K$5:$K$1733,MATCH(A148,JE_Lines!$B$5:$B$1733,0)))</f>
        <v>Sales invoice batch</v>
      </c>
      <c r="K148" s="9" t="n">
        <f aca="false">F148-G148</f>
        <v>4</v>
      </c>
      <c r="L148" s="9" t="n">
        <f aca="false">COUNTIFS(JE_Lines!$B$5:$B$1733,A148,JE_Lines!$F$5:$F$1733,"Revenue")</f>
        <v>1</v>
      </c>
      <c r="M148" s="9" t="n">
        <f aca="false">COUNTIFS(JE_Lines!$B$5:$B$1733,A148,JE_Lines!$F$5:$F$1733,"Suspense")</f>
        <v>0</v>
      </c>
      <c r="N148" s="9" t="n">
        <f aca="false">IF(ABS(E148)&gt;Parameters!$B$23,1,0)</f>
        <v>0</v>
      </c>
      <c r="O148" s="9" t="n">
        <f aca="false">IF(WEEKDAY(F148,2)&gt;5,1,0)</f>
        <v>0</v>
      </c>
      <c r="P148" s="9" t="n">
        <f aca="false">IF(K148&gt;Parameters!$B$17,1,0)</f>
        <v>0</v>
      </c>
      <c r="Q148" s="9" t="n">
        <f aca="false">IF(AND(F148&lt;=Parameters!$B$6,F148&gt;Parameters!$B$6-Parameters!$B$18),1,0)</f>
        <v>0</v>
      </c>
      <c r="R148" s="9" t="n">
        <f aca="false">IF(COUNTIF(Parameters!$A$51:$A$58,H148)=0,1,0)</f>
        <v>0</v>
      </c>
      <c r="S148" s="9" t="n">
        <f aca="false">IF(AND(I148="Manual",L148&gt;0),1,0)</f>
        <v>0</v>
      </c>
      <c r="T148" s="9" t="n">
        <f aca="false">IF(AND(C148&gt;=Parameters!$B$22,ROUND(MOD(ROUND(C148,2),Parameters!$B$21),2)=0),1,0)</f>
        <v>0</v>
      </c>
      <c r="U148" s="9" t="n">
        <f aca="false">IF(LEN(TRIM(J148))=0,1,0)</f>
        <v>0</v>
      </c>
      <c r="V148" s="9" t="n">
        <f aca="false">IF(AND(I148="Manual",C148&lt;Parameters!$B$19,C148&gt;=Parameters!$B$19*(1-Parameters!$B$20)),1,0)</f>
        <v>0</v>
      </c>
      <c r="W148" s="9" t="n">
        <f aca="false">IF(AND(I148="Manual",M148&gt;0),1,0)</f>
        <v>0</v>
      </c>
      <c r="X148" s="9" t="n">
        <f aca="false">IF(A148-A147&gt;1,1,0)</f>
        <v>0</v>
      </c>
      <c r="Y148" s="9" t="n">
        <f aca="false">N148*Parameters!$B$38+O148*Parameters!$B$39+P148*Parameters!$B$40+Q148*Parameters!$B$41+R148*Parameters!$B$42+S148*Parameters!$B$43+T148*Parameters!$B$44+U148*Parameters!$B$45+V148*Parameters!$B$46+W148*Parameters!$B$47+X148*Parameters!$B$48</f>
        <v>0</v>
      </c>
      <c r="Z148" s="0" t="str">
        <f aca="false">IF(Y148&gt;=Parameters!$B$25,"High","")</f>
        <v/>
      </c>
    </row>
    <row r="149" customFormat="false" ht="15" hidden="false" customHeight="false" outlineLevel="0" collapsed="false">
      <c r="A149" s="16" t="n">
        <v>1149</v>
      </c>
      <c r="B149" s="9" t="n">
        <f aca="false">COUNTIF(JE_Lines!$B$5:$B$1733,A149)</f>
        <v>2</v>
      </c>
      <c r="C149" s="17" t="n">
        <f aca="false">SUMIFS(JE_Lines!$G$5:$G$1733,JE_Lines!$B$5:$B$1733,A149)</f>
        <v>78168.99</v>
      </c>
      <c r="D149" s="17" t="n">
        <f aca="false">SUMIFS(JE_Lines!$H$5:$H$1733,JE_Lines!$B$5:$B$1733,A149)</f>
        <v>78168.99</v>
      </c>
      <c r="E149" s="17" t="n">
        <f aca="false">C149-D149</f>
        <v>0</v>
      </c>
      <c r="F149" s="18" t="n">
        <f aca="false">INDEX(JE_Lines!$C$5:$C$1733,MATCH(A149,JE_Lines!$B$5:$B$1733,0))</f>
        <v>45719</v>
      </c>
      <c r="G149" s="18" t="n">
        <f aca="false">INDEX(JE_Lines!$D$5:$D$1733,MATCH(A149,JE_Lines!$B$5:$B$1733,0))</f>
        <v>45715</v>
      </c>
      <c r="H149" s="0" t="str">
        <f aca="false">INDEX(JE_Lines!$I$5:$I$1733,MATCH(A149,JE_Lines!$B$5:$B$1733,0))</f>
        <v>SYS_AR</v>
      </c>
      <c r="I149" s="0" t="str">
        <f aca="false">INDEX(JE_Lines!$J$5:$J$1733,MATCH(A149,JE_Lines!$B$5:$B$1733,0))</f>
        <v>System</v>
      </c>
      <c r="J149" s="0" t="str">
        <f aca="false">IF(LEN(INDEX(JE_Lines!$K$5:$K$1733,MATCH(A149,JE_Lines!$B$5:$B$1733,0)))=0,"",INDEX(JE_Lines!$K$5:$K$1733,MATCH(A149,JE_Lines!$B$5:$B$1733,0)))</f>
        <v>Sales invoice batch</v>
      </c>
      <c r="K149" s="9" t="n">
        <f aca="false">F149-G149</f>
        <v>4</v>
      </c>
      <c r="L149" s="9" t="n">
        <f aca="false">COUNTIFS(JE_Lines!$B$5:$B$1733,A149,JE_Lines!$F$5:$F$1733,"Revenue")</f>
        <v>1</v>
      </c>
      <c r="M149" s="9" t="n">
        <f aca="false">COUNTIFS(JE_Lines!$B$5:$B$1733,A149,JE_Lines!$F$5:$F$1733,"Suspense")</f>
        <v>0</v>
      </c>
      <c r="N149" s="9" t="n">
        <f aca="false">IF(ABS(E149)&gt;Parameters!$B$23,1,0)</f>
        <v>0</v>
      </c>
      <c r="O149" s="9" t="n">
        <f aca="false">IF(WEEKDAY(F149,2)&gt;5,1,0)</f>
        <v>0</v>
      </c>
      <c r="P149" s="9" t="n">
        <f aca="false">IF(K149&gt;Parameters!$B$17,1,0)</f>
        <v>0</v>
      </c>
      <c r="Q149" s="9" t="n">
        <f aca="false">IF(AND(F149&lt;=Parameters!$B$6,F149&gt;Parameters!$B$6-Parameters!$B$18),1,0)</f>
        <v>0</v>
      </c>
      <c r="R149" s="9" t="n">
        <f aca="false">IF(COUNTIF(Parameters!$A$51:$A$58,H149)=0,1,0)</f>
        <v>0</v>
      </c>
      <c r="S149" s="9" t="n">
        <f aca="false">IF(AND(I149="Manual",L149&gt;0),1,0)</f>
        <v>0</v>
      </c>
      <c r="T149" s="9" t="n">
        <f aca="false">IF(AND(C149&gt;=Parameters!$B$22,ROUND(MOD(ROUND(C149,2),Parameters!$B$21),2)=0),1,0)</f>
        <v>0</v>
      </c>
      <c r="U149" s="9" t="n">
        <f aca="false">IF(LEN(TRIM(J149))=0,1,0)</f>
        <v>0</v>
      </c>
      <c r="V149" s="9" t="n">
        <f aca="false">IF(AND(I149="Manual",C149&lt;Parameters!$B$19,C149&gt;=Parameters!$B$19*(1-Parameters!$B$20)),1,0)</f>
        <v>0</v>
      </c>
      <c r="W149" s="9" t="n">
        <f aca="false">IF(AND(I149="Manual",M149&gt;0),1,0)</f>
        <v>0</v>
      </c>
      <c r="X149" s="9" t="n">
        <f aca="false">IF(A149-A148&gt;1,1,0)</f>
        <v>0</v>
      </c>
      <c r="Y149" s="9" t="n">
        <f aca="false">N149*Parameters!$B$38+O149*Parameters!$B$39+P149*Parameters!$B$40+Q149*Parameters!$B$41+R149*Parameters!$B$42+S149*Parameters!$B$43+T149*Parameters!$B$44+U149*Parameters!$B$45+V149*Parameters!$B$46+W149*Parameters!$B$47+X149*Parameters!$B$48</f>
        <v>0</v>
      </c>
      <c r="Z149" s="0" t="str">
        <f aca="false">IF(Y149&gt;=Parameters!$B$25,"High","")</f>
        <v/>
      </c>
    </row>
    <row r="150" customFormat="false" ht="15" hidden="false" customHeight="false" outlineLevel="0" collapsed="false">
      <c r="A150" s="16" t="n">
        <v>1150</v>
      </c>
      <c r="B150" s="9" t="n">
        <f aca="false">COUNTIF(JE_Lines!$B$5:$B$1733,A150)</f>
        <v>2</v>
      </c>
      <c r="C150" s="17" t="n">
        <f aca="false">SUMIFS(JE_Lines!$G$5:$G$1733,JE_Lines!$B$5:$B$1733,A150)</f>
        <v>5862.74</v>
      </c>
      <c r="D150" s="17" t="n">
        <f aca="false">SUMIFS(JE_Lines!$H$5:$H$1733,JE_Lines!$B$5:$B$1733,A150)</f>
        <v>5862.74</v>
      </c>
      <c r="E150" s="17" t="n">
        <f aca="false">C150-D150</f>
        <v>0</v>
      </c>
      <c r="F150" s="18" t="n">
        <f aca="false">INDEX(JE_Lines!$C$5:$C$1733,MATCH(A150,JE_Lines!$B$5:$B$1733,0))</f>
        <v>45719</v>
      </c>
      <c r="G150" s="18" t="n">
        <f aca="false">INDEX(JE_Lines!$D$5:$D$1733,MATCH(A150,JE_Lines!$B$5:$B$1733,0))</f>
        <v>45718</v>
      </c>
      <c r="H150" s="0" t="str">
        <f aca="false">INDEX(JE_Lines!$I$5:$I$1733,MATCH(A150,JE_Lines!$B$5:$B$1733,0))</f>
        <v>SYS_AR</v>
      </c>
      <c r="I150" s="0" t="str">
        <f aca="false">INDEX(JE_Lines!$J$5:$J$1733,MATCH(A150,JE_Lines!$B$5:$B$1733,0))</f>
        <v>System</v>
      </c>
      <c r="J150" s="0" t="str">
        <f aca="false">IF(LEN(INDEX(JE_Lines!$K$5:$K$1733,MATCH(A150,JE_Lines!$B$5:$B$1733,0)))=0,"",INDEX(JE_Lines!$K$5:$K$1733,MATCH(A150,JE_Lines!$B$5:$B$1733,0)))</f>
        <v>Customer receipts</v>
      </c>
      <c r="K150" s="9" t="n">
        <f aca="false">F150-G150</f>
        <v>1</v>
      </c>
      <c r="L150" s="9" t="n">
        <f aca="false">COUNTIFS(JE_Lines!$B$5:$B$1733,A150,JE_Lines!$F$5:$F$1733,"Revenue")</f>
        <v>0</v>
      </c>
      <c r="M150" s="9" t="n">
        <f aca="false">COUNTIFS(JE_Lines!$B$5:$B$1733,A150,JE_Lines!$F$5:$F$1733,"Suspense")</f>
        <v>0</v>
      </c>
      <c r="N150" s="9" t="n">
        <f aca="false">IF(ABS(E150)&gt;Parameters!$B$23,1,0)</f>
        <v>0</v>
      </c>
      <c r="O150" s="9" t="n">
        <f aca="false">IF(WEEKDAY(F150,2)&gt;5,1,0)</f>
        <v>0</v>
      </c>
      <c r="P150" s="9" t="n">
        <f aca="false">IF(K150&gt;Parameters!$B$17,1,0)</f>
        <v>0</v>
      </c>
      <c r="Q150" s="9" t="n">
        <f aca="false">IF(AND(F150&lt;=Parameters!$B$6,F150&gt;Parameters!$B$6-Parameters!$B$18),1,0)</f>
        <v>0</v>
      </c>
      <c r="R150" s="9" t="n">
        <f aca="false">IF(COUNTIF(Parameters!$A$51:$A$58,H150)=0,1,0)</f>
        <v>0</v>
      </c>
      <c r="S150" s="9" t="n">
        <f aca="false">IF(AND(I150="Manual",L150&gt;0),1,0)</f>
        <v>0</v>
      </c>
      <c r="T150" s="9" t="n">
        <f aca="false">IF(AND(C150&gt;=Parameters!$B$22,ROUND(MOD(ROUND(C150,2),Parameters!$B$21),2)=0),1,0)</f>
        <v>0</v>
      </c>
      <c r="U150" s="9" t="n">
        <f aca="false">IF(LEN(TRIM(J150))=0,1,0)</f>
        <v>0</v>
      </c>
      <c r="V150" s="9" t="n">
        <f aca="false">IF(AND(I150="Manual",C150&lt;Parameters!$B$19,C150&gt;=Parameters!$B$19*(1-Parameters!$B$20)),1,0)</f>
        <v>0</v>
      </c>
      <c r="W150" s="9" t="n">
        <f aca="false">IF(AND(I150="Manual",M150&gt;0),1,0)</f>
        <v>0</v>
      </c>
      <c r="X150" s="9" t="n">
        <f aca="false">IF(A150-A149&gt;1,1,0)</f>
        <v>0</v>
      </c>
      <c r="Y150" s="9" t="n">
        <f aca="false">N150*Parameters!$B$38+O150*Parameters!$B$39+P150*Parameters!$B$40+Q150*Parameters!$B$41+R150*Parameters!$B$42+S150*Parameters!$B$43+T150*Parameters!$B$44+U150*Parameters!$B$45+V150*Parameters!$B$46+W150*Parameters!$B$47+X150*Parameters!$B$48</f>
        <v>0</v>
      </c>
      <c r="Z150" s="0" t="str">
        <f aca="false">IF(Y150&gt;=Parameters!$B$25,"High","")</f>
        <v/>
      </c>
    </row>
    <row r="151" customFormat="false" ht="15" hidden="false" customHeight="false" outlineLevel="0" collapsed="false">
      <c r="A151" s="16" t="n">
        <v>1151</v>
      </c>
      <c r="B151" s="9" t="n">
        <f aca="false">COUNTIF(JE_Lines!$B$5:$B$1733,A151)</f>
        <v>3</v>
      </c>
      <c r="C151" s="17" t="n">
        <f aca="false">SUMIFS(JE_Lines!$G$5:$G$1733,JE_Lines!$B$5:$B$1733,A151)</f>
        <v>253.65</v>
      </c>
      <c r="D151" s="17" t="n">
        <f aca="false">SUMIFS(JE_Lines!$H$5:$H$1733,JE_Lines!$B$5:$B$1733,A151)</f>
        <v>253.65</v>
      </c>
      <c r="E151" s="17" t="n">
        <f aca="false">C151-D151</f>
        <v>0</v>
      </c>
      <c r="F151" s="18" t="n">
        <f aca="false">INDEX(JE_Lines!$C$5:$C$1733,MATCH(A151,JE_Lines!$B$5:$B$1733,0))</f>
        <v>45719</v>
      </c>
      <c r="G151" s="18" t="n">
        <f aca="false">INDEX(JE_Lines!$D$5:$D$1733,MATCH(A151,JE_Lines!$B$5:$B$1733,0))</f>
        <v>45715</v>
      </c>
      <c r="H151" s="0" t="str">
        <f aca="false">INDEX(JE_Lines!$I$5:$I$1733,MATCH(A151,JE_Lines!$B$5:$B$1733,0))</f>
        <v>SYS_AR</v>
      </c>
      <c r="I151" s="0" t="str">
        <f aca="false">INDEX(JE_Lines!$J$5:$J$1733,MATCH(A151,JE_Lines!$B$5:$B$1733,0))</f>
        <v>System</v>
      </c>
      <c r="J151" s="0" t="str">
        <f aca="false">IF(LEN(INDEX(JE_Lines!$K$5:$K$1733,MATCH(A151,JE_Lines!$B$5:$B$1733,0)))=0,"",INDEX(JE_Lines!$K$5:$K$1733,MATCH(A151,JE_Lines!$B$5:$B$1733,0)))</f>
        <v>Customer receipts</v>
      </c>
      <c r="K151" s="9" t="n">
        <f aca="false">F151-G151</f>
        <v>4</v>
      </c>
      <c r="L151" s="9" t="n">
        <f aca="false">COUNTIFS(JE_Lines!$B$5:$B$1733,A151,JE_Lines!$F$5:$F$1733,"Revenue")</f>
        <v>0</v>
      </c>
      <c r="M151" s="9" t="n">
        <f aca="false">COUNTIFS(JE_Lines!$B$5:$B$1733,A151,JE_Lines!$F$5:$F$1733,"Suspense")</f>
        <v>0</v>
      </c>
      <c r="N151" s="9" t="n">
        <f aca="false">IF(ABS(E151)&gt;Parameters!$B$23,1,0)</f>
        <v>0</v>
      </c>
      <c r="O151" s="9" t="n">
        <f aca="false">IF(WEEKDAY(F151,2)&gt;5,1,0)</f>
        <v>0</v>
      </c>
      <c r="P151" s="9" t="n">
        <f aca="false">IF(K151&gt;Parameters!$B$17,1,0)</f>
        <v>0</v>
      </c>
      <c r="Q151" s="9" t="n">
        <f aca="false">IF(AND(F151&lt;=Parameters!$B$6,F151&gt;Parameters!$B$6-Parameters!$B$18),1,0)</f>
        <v>0</v>
      </c>
      <c r="R151" s="9" t="n">
        <f aca="false">IF(COUNTIF(Parameters!$A$51:$A$58,H151)=0,1,0)</f>
        <v>0</v>
      </c>
      <c r="S151" s="9" t="n">
        <f aca="false">IF(AND(I151="Manual",L151&gt;0),1,0)</f>
        <v>0</v>
      </c>
      <c r="T151" s="9" t="n">
        <f aca="false">IF(AND(C151&gt;=Parameters!$B$22,ROUND(MOD(ROUND(C151,2),Parameters!$B$21),2)=0),1,0)</f>
        <v>0</v>
      </c>
      <c r="U151" s="9" t="n">
        <f aca="false">IF(LEN(TRIM(J151))=0,1,0)</f>
        <v>0</v>
      </c>
      <c r="V151" s="9" t="n">
        <f aca="false">IF(AND(I151="Manual",C151&lt;Parameters!$B$19,C151&gt;=Parameters!$B$19*(1-Parameters!$B$20)),1,0)</f>
        <v>0</v>
      </c>
      <c r="W151" s="9" t="n">
        <f aca="false">IF(AND(I151="Manual",M151&gt;0),1,0)</f>
        <v>0</v>
      </c>
      <c r="X151" s="9" t="n">
        <f aca="false">IF(A151-A150&gt;1,1,0)</f>
        <v>0</v>
      </c>
      <c r="Y151" s="9" t="n">
        <f aca="false">N151*Parameters!$B$38+O151*Parameters!$B$39+P151*Parameters!$B$40+Q151*Parameters!$B$41+R151*Parameters!$B$42+S151*Parameters!$B$43+T151*Parameters!$B$44+U151*Parameters!$B$45+V151*Parameters!$B$46+W151*Parameters!$B$47+X151*Parameters!$B$48</f>
        <v>0</v>
      </c>
      <c r="Z151" s="0" t="str">
        <f aca="false">IF(Y151&gt;=Parameters!$B$25,"High","")</f>
        <v/>
      </c>
    </row>
    <row r="152" customFormat="false" ht="15" hidden="false" customHeight="false" outlineLevel="0" collapsed="false">
      <c r="A152" s="16" t="n">
        <v>1152</v>
      </c>
      <c r="B152" s="9" t="n">
        <f aca="false">COUNTIF(JE_Lines!$B$5:$B$1733,A152)</f>
        <v>2</v>
      </c>
      <c r="C152" s="17" t="n">
        <f aca="false">SUMIFS(JE_Lines!$G$5:$G$1733,JE_Lines!$B$5:$B$1733,A152)</f>
        <v>72042.16</v>
      </c>
      <c r="D152" s="17" t="n">
        <f aca="false">SUMIFS(JE_Lines!$H$5:$H$1733,JE_Lines!$B$5:$B$1733,A152)</f>
        <v>72042.16</v>
      </c>
      <c r="E152" s="17" t="n">
        <f aca="false">C152-D152</f>
        <v>0</v>
      </c>
      <c r="F152" s="18" t="n">
        <f aca="false">INDEX(JE_Lines!$C$5:$C$1733,MATCH(A152,JE_Lines!$B$5:$B$1733,0))</f>
        <v>45719</v>
      </c>
      <c r="G152" s="18" t="n">
        <f aca="false">INDEX(JE_Lines!$D$5:$D$1733,MATCH(A152,JE_Lines!$B$5:$B$1733,0))</f>
        <v>45716</v>
      </c>
      <c r="H152" s="0" t="str">
        <f aca="false">INDEX(JE_Lines!$I$5:$I$1733,MATCH(A152,JE_Lines!$B$5:$B$1733,0))</f>
        <v>SYS_PAY</v>
      </c>
      <c r="I152" s="0" t="str">
        <f aca="false">INDEX(JE_Lines!$J$5:$J$1733,MATCH(A152,JE_Lines!$B$5:$B$1733,0))</f>
        <v>System</v>
      </c>
      <c r="J152" s="0" t="str">
        <f aca="false">IF(LEN(INDEX(JE_Lines!$K$5:$K$1733,MATCH(A152,JE_Lines!$B$5:$B$1733,0)))=0,"",INDEX(JE_Lines!$K$5:$K$1733,MATCH(A152,JE_Lines!$B$5:$B$1733,0)))</f>
        <v>Supplier payments</v>
      </c>
      <c r="K152" s="9" t="n">
        <f aca="false">F152-G152</f>
        <v>3</v>
      </c>
      <c r="L152" s="9" t="n">
        <f aca="false">COUNTIFS(JE_Lines!$B$5:$B$1733,A152,JE_Lines!$F$5:$F$1733,"Revenue")</f>
        <v>0</v>
      </c>
      <c r="M152" s="9" t="n">
        <f aca="false">COUNTIFS(JE_Lines!$B$5:$B$1733,A152,JE_Lines!$F$5:$F$1733,"Suspense")</f>
        <v>0</v>
      </c>
      <c r="N152" s="9" t="n">
        <f aca="false">IF(ABS(E152)&gt;Parameters!$B$23,1,0)</f>
        <v>0</v>
      </c>
      <c r="O152" s="9" t="n">
        <f aca="false">IF(WEEKDAY(F152,2)&gt;5,1,0)</f>
        <v>0</v>
      </c>
      <c r="P152" s="9" t="n">
        <f aca="false">IF(K152&gt;Parameters!$B$17,1,0)</f>
        <v>0</v>
      </c>
      <c r="Q152" s="9" t="n">
        <f aca="false">IF(AND(F152&lt;=Parameters!$B$6,F152&gt;Parameters!$B$6-Parameters!$B$18),1,0)</f>
        <v>0</v>
      </c>
      <c r="R152" s="9" t="n">
        <f aca="false">IF(COUNTIF(Parameters!$A$51:$A$58,H152)=0,1,0)</f>
        <v>0</v>
      </c>
      <c r="S152" s="9" t="n">
        <f aca="false">IF(AND(I152="Manual",L152&gt;0),1,0)</f>
        <v>0</v>
      </c>
      <c r="T152" s="9" t="n">
        <f aca="false">IF(AND(C152&gt;=Parameters!$B$22,ROUND(MOD(ROUND(C152,2),Parameters!$B$21),2)=0),1,0)</f>
        <v>0</v>
      </c>
      <c r="U152" s="9" t="n">
        <f aca="false">IF(LEN(TRIM(J152))=0,1,0)</f>
        <v>0</v>
      </c>
      <c r="V152" s="9" t="n">
        <f aca="false">IF(AND(I152="Manual",C152&lt;Parameters!$B$19,C152&gt;=Parameters!$B$19*(1-Parameters!$B$20)),1,0)</f>
        <v>0</v>
      </c>
      <c r="W152" s="9" t="n">
        <f aca="false">IF(AND(I152="Manual",M152&gt;0),1,0)</f>
        <v>0</v>
      </c>
      <c r="X152" s="9" t="n">
        <f aca="false">IF(A152-A151&gt;1,1,0)</f>
        <v>0</v>
      </c>
      <c r="Y152" s="9" t="n">
        <f aca="false">N152*Parameters!$B$38+O152*Parameters!$B$39+P152*Parameters!$B$40+Q152*Parameters!$B$41+R152*Parameters!$B$42+S152*Parameters!$B$43+T152*Parameters!$B$44+U152*Parameters!$B$45+V152*Parameters!$B$46+W152*Parameters!$B$47+X152*Parameters!$B$48</f>
        <v>0</v>
      </c>
      <c r="Z152" s="0" t="str">
        <f aca="false">IF(Y152&gt;=Parameters!$B$25,"High","")</f>
        <v/>
      </c>
    </row>
    <row r="153" customFormat="false" ht="15" hidden="false" customHeight="false" outlineLevel="0" collapsed="false">
      <c r="A153" s="16" t="n">
        <v>1153</v>
      </c>
      <c r="B153" s="9" t="n">
        <f aca="false">COUNTIF(JE_Lines!$B$5:$B$1733,A153)</f>
        <v>2</v>
      </c>
      <c r="C153" s="17" t="n">
        <f aca="false">SUMIFS(JE_Lines!$G$5:$G$1733,JE_Lines!$B$5:$B$1733,A153)</f>
        <v>671.41</v>
      </c>
      <c r="D153" s="17" t="n">
        <f aca="false">SUMIFS(JE_Lines!$H$5:$H$1733,JE_Lines!$B$5:$B$1733,A153)</f>
        <v>671.41</v>
      </c>
      <c r="E153" s="17" t="n">
        <f aca="false">C153-D153</f>
        <v>0</v>
      </c>
      <c r="F153" s="18" t="n">
        <f aca="false">INDEX(JE_Lines!$C$5:$C$1733,MATCH(A153,JE_Lines!$B$5:$B$1733,0))</f>
        <v>45719</v>
      </c>
      <c r="G153" s="18" t="n">
        <f aca="false">INDEX(JE_Lines!$D$5:$D$1733,MATCH(A153,JE_Lines!$B$5:$B$1733,0))</f>
        <v>45715</v>
      </c>
      <c r="H153" s="0" t="str">
        <f aca="false">INDEX(JE_Lines!$I$5:$I$1733,MATCH(A153,JE_Lines!$B$5:$B$1733,0))</f>
        <v>SYS_AR</v>
      </c>
      <c r="I153" s="0" t="str">
        <f aca="false">INDEX(JE_Lines!$J$5:$J$1733,MATCH(A153,JE_Lines!$B$5:$B$1733,0))</f>
        <v>System</v>
      </c>
      <c r="J153" s="0" t="str">
        <f aca="false">IF(LEN(INDEX(JE_Lines!$K$5:$K$1733,MATCH(A153,JE_Lines!$B$5:$B$1733,0)))=0,"",INDEX(JE_Lines!$K$5:$K$1733,MATCH(A153,JE_Lines!$B$5:$B$1733,0)))</f>
        <v>Customer receipts</v>
      </c>
      <c r="K153" s="9" t="n">
        <f aca="false">F153-G153</f>
        <v>4</v>
      </c>
      <c r="L153" s="9" t="n">
        <f aca="false">COUNTIFS(JE_Lines!$B$5:$B$1733,A153,JE_Lines!$F$5:$F$1733,"Revenue")</f>
        <v>0</v>
      </c>
      <c r="M153" s="9" t="n">
        <f aca="false">COUNTIFS(JE_Lines!$B$5:$B$1733,A153,JE_Lines!$F$5:$F$1733,"Suspense")</f>
        <v>0</v>
      </c>
      <c r="N153" s="9" t="n">
        <f aca="false">IF(ABS(E153)&gt;Parameters!$B$23,1,0)</f>
        <v>0</v>
      </c>
      <c r="O153" s="9" t="n">
        <f aca="false">IF(WEEKDAY(F153,2)&gt;5,1,0)</f>
        <v>0</v>
      </c>
      <c r="P153" s="9" t="n">
        <f aca="false">IF(K153&gt;Parameters!$B$17,1,0)</f>
        <v>0</v>
      </c>
      <c r="Q153" s="9" t="n">
        <f aca="false">IF(AND(F153&lt;=Parameters!$B$6,F153&gt;Parameters!$B$6-Parameters!$B$18),1,0)</f>
        <v>0</v>
      </c>
      <c r="R153" s="9" t="n">
        <f aca="false">IF(COUNTIF(Parameters!$A$51:$A$58,H153)=0,1,0)</f>
        <v>0</v>
      </c>
      <c r="S153" s="9" t="n">
        <f aca="false">IF(AND(I153="Manual",L153&gt;0),1,0)</f>
        <v>0</v>
      </c>
      <c r="T153" s="9" t="n">
        <f aca="false">IF(AND(C153&gt;=Parameters!$B$22,ROUND(MOD(ROUND(C153,2),Parameters!$B$21),2)=0),1,0)</f>
        <v>0</v>
      </c>
      <c r="U153" s="9" t="n">
        <f aca="false">IF(LEN(TRIM(J153))=0,1,0)</f>
        <v>0</v>
      </c>
      <c r="V153" s="9" t="n">
        <f aca="false">IF(AND(I153="Manual",C153&lt;Parameters!$B$19,C153&gt;=Parameters!$B$19*(1-Parameters!$B$20)),1,0)</f>
        <v>0</v>
      </c>
      <c r="W153" s="9" t="n">
        <f aca="false">IF(AND(I153="Manual",M153&gt;0),1,0)</f>
        <v>0</v>
      </c>
      <c r="X153" s="9" t="n">
        <f aca="false">IF(A153-A152&gt;1,1,0)</f>
        <v>0</v>
      </c>
      <c r="Y153" s="9" t="n">
        <f aca="false">N153*Parameters!$B$38+O153*Parameters!$B$39+P153*Parameters!$B$40+Q153*Parameters!$B$41+R153*Parameters!$B$42+S153*Parameters!$B$43+T153*Parameters!$B$44+U153*Parameters!$B$45+V153*Parameters!$B$46+W153*Parameters!$B$47+X153*Parameters!$B$48</f>
        <v>0</v>
      </c>
      <c r="Z153" s="0" t="str">
        <f aca="false">IF(Y153&gt;=Parameters!$B$25,"High","")</f>
        <v/>
      </c>
    </row>
    <row r="154" customFormat="false" ht="15" hidden="false" customHeight="false" outlineLevel="0" collapsed="false">
      <c r="A154" s="16" t="n">
        <v>1154</v>
      </c>
      <c r="B154" s="9" t="n">
        <f aca="false">COUNTIF(JE_Lines!$B$5:$B$1733,A154)</f>
        <v>2</v>
      </c>
      <c r="C154" s="17" t="n">
        <f aca="false">SUMIFS(JE_Lines!$G$5:$G$1733,JE_Lines!$B$5:$B$1733,A154)</f>
        <v>4530.21</v>
      </c>
      <c r="D154" s="17" t="n">
        <f aca="false">SUMIFS(JE_Lines!$H$5:$H$1733,JE_Lines!$B$5:$B$1733,A154)</f>
        <v>4530.21</v>
      </c>
      <c r="E154" s="17" t="n">
        <f aca="false">C154-D154</f>
        <v>0</v>
      </c>
      <c r="F154" s="18" t="n">
        <f aca="false">INDEX(JE_Lines!$C$5:$C$1733,MATCH(A154,JE_Lines!$B$5:$B$1733,0))</f>
        <v>45720</v>
      </c>
      <c r="G154" s="18" t="n">
        <f aca="false">INDEX(JE_Lines!$D$5:$D$1733,MATCH(A154,JE_Lines!$B$5:$B$1733,0))</f>
        <v>45718</v>
      </c>
      <c r="H154" s="0" t="str">
        <f aca="false">INDEX(JE_Lines!$I$5:$I$1733,MATCH(A154,JE_Lines!$B$5:$B$1733,0))</f>
        <v>SYS_AR</v>
      </c>
      <c r="I154" s="0" t="str">
        <f aca="false">INDEX(JE_Lines!$J$5:$J$1733,MATCH(A154,JE_Lines!$B$5:$B$1733,0))</f>
        <v>System</v>
      </c>
      <c r="J154" s="0" t="str">
        <f aca="false">IF(LEN(INDEX(JE_Lines!$K$5:$K$1733,MATCH(A154,JE_Lines!$B$5:$B$1733,0)))=0,"",INDEX(JE_Lines!$K$5:$K$1733,MATCH(A154,JE_Lines!$B$5:$B$1733,0)))</f>
        <v>Cost of sales posting</v>
      </c>
      <c r="K154" s="9" t="n">
        <f aca="false">F154-G154</f>
        <v>2</v>
      </c>
      <c r="L154" s="9" t="n">
        <f aca="false">COUNTIFS(JE_Lines!$B$5:$B$1733,A154,JE_Lines!$F$5:$F$1733,"Revenue")</f>
        <v>0</v>
      </c>
      <c r="M154" s="9" t="n">
        <f aca="false">COUNTIFS(JE_Lines!$B$5:$B$1733,A154,JE_Lines!$F$5:$F$1733,"Suspense")</f>
        <v>0</v>
      </c>
      <c r="N154" s="9" t="n">
        <f aca="false">IF(ABS(E154)&gt;Parameters!$B$23,1,0)</f>
        <v>0</v>
      </c>
      <c r="O154" s="9" t="n">
        <f aca="false">IF(WEEKDAY(F154,2)&gt;5,1,0)</f>
        <v>0</v>
      </c>
      <c r="P154" s="9" t="n">
        <f aca="false">IF(K154&gt;Parameters!$B$17,1,0)</f>
        <v>0</v>
      </c>
      <c r="Q154" s="9" t="n">
        <f aca="false">IF(AND(F154&lt;=Parameters!$B$6,F154&gt;Parameters!$B$6-Parameters!$B$18),1,0)</f>
        <v>0</v>
      </c>
      <c r="R154" s="9" t="n">
        <f aca="false">IF(COUNTIF(Parameters!$A$51:$A$58,H154)=0,1,0)</f>
        <v>0</v>
      </c>
      <c r="S154" s="9" t="n">
        <f aca="false">IF(AND(I154="Manual",L154&gt;0),1,0)</f>
        <v>0</v>
      </c>
      <c r="T154" s="9" t="n">
        <f aca="false">IF(AND(C154&gt;=Parameters!$B$22,ROUND(MOD(ROUND(C154,2),Parameters!$B$21),2)=0),1,0)</f>
        <v>0</v>
      </c>
      <c r="U154" s="9" t="n">
        <f aca="false">IF(LEN(TRIM(J154))=0,1,0)</f>
        <v>0</v>
      </c>
      <c r="V154" s="9" t="n">
        <f aca="false">IF(AND(I154="Manual",C154&lt;Parameters!$B$19,C154&gt;=Parameters!$B$19*(1-Parameters!$B$20)),1,0)</f>
        <v>0</v>
      </c>
      <c r="W154" s="9" t="n">
        <f aca="false">IF(AND(I154="Manual",M154&gt;0),1,0)</f>
        <v>0</v>
      </c>
      <c r="X154" s="9" t="n">
        <f aca="false">IF(A154-A153&gt;1,1,0)</f>
        <v>0</v>
      </c>
      <c r="Y154" s="9" t="n">
        <f aca="false">N154*Parameters!$B$38+O154*Parameters!$B$39+P154*Parameters!$B$40+Q154*Parameters!$B$41+R154*Parameters!$B$42+S154*Parameters!$B$43+T154*Parameters!$B$44+U154*Parameters!$B$45+V154*Parameters!$B$46+W154*Parameters!$B$47+X154*Parameters!$B$48</f>
        <v>0</v>
      </c>
      <c r="Z154" s="0" t="str">
        <f aca="false">IF(Y154&gt;=Parameters!$B$25,"High","")</f>
        <v/>
      </c>
    </row>
    <row r="155" customFormat="false" ht="15" hidden="false" customHeight="false" outlineLevel="0" collapsed="false">
      <c r="A155" s="16" t="n">
        <v>1155</v>
      </c>
      <c r="B155" s="9" t="n">
        <f aca="false">COUNTIF(JE_Lines!$B$5:$B$1733,A155)</f>
        <v>3</v>
      </c>
      <c r="C155" s="17" t="n">
        <f aca="false">SUMIFS(JE_Lines!$G$5:$G$1733,JE_Lines!$B$5:$B$1733,A155)</f>
        <v>47231.17</v>
      </c>
      <c r="D155" s="17" t="n">
        <f aca="false">SUMIFS(JE_Lines!$H$5:$H$1733,JE_Lines!$B$5:$B$1733,A155)</f>
        <v>47231.17</v>
      </c>
      <c r="E155" s="17" t="n">
        <f aca="false">C155-D155</f>
        <v>0</v>
      </c>
      <c r="F155" s="18" t="n">
        <f aca="false">INDEX(JE_Lines!$C$5:$C$1733,MATCH(A155,JE_Lines!$B$5:$B$1733,0))</f>
        <v>45720</v>
      </c>
      <c r="G155" s="18" t="n">
        <f aca="false">INDEX(JE_Lines!$D$5:$D$1733,MATCH(A155,JE_Lines!$B$5:$B$1733,0))</f>
        <v>45717</v>
      </c>
      <c r="H155" s="0" t="str">
        <f aca="false">INDEX(JE_Lines!$I$5:$I$1733,MATCH(A155,JE_Lines!$B$5:$B$1733,0))</f>
        <v>SYS_AR</v>
      </c>
      <c r="I155" s="0" t="str">
        <f aca="false">INDEX(JE_Lines!$J$5:$J$1733,MATCH(A155,JE_Lines!$B$5:$B$1733,0))</f>
        <v>System</v>
      </c>
      <c r="J155" s="0" t="str">
        <f aca="false">IF(LEN(INDEX(JE_Lines!$K$5:$K$1733,MATCH(A155,JE_Lines!$B$5:$B$1733,0)))=0,"",INDEX(JE_Lines!$K$5:$K$1733,MATCH(A155,JE_Lines!$B$5:$B$1733,0)))</f>
        <v>Sales invoice batch</v>
      </c>
      <c r="K155" s="9" t="n">
        <f aca="false">F155-G155</f>
        <v>3</v>
      </c>
      <c r="L155" s="9" t="n">
        <f aca="false">COUNTIFS(JE_Lines!$B$5:$B$1733,A155,JE_Lines!$F$5:$F$1733,"Revenue")</f>
        <v>1</v>
      </c>
      <c r="M155" s="9" t="n">
        <f aca="false">COUNTIFS(JE_Lines!$B$5:$B$1733,A155,JE_Lines!$F$5:$F$1733,"Suspense")</f>
        <v>0</v>
      </c>
      <c r="N155" s="9" t="n">
        <f aca="false">IF(ABS(E155)&gt;Parameters!$B$23,1,0)</f>
        <v>0</v>
      </c>
      <c r="O155" s="9" t="n">
        <f aca="false">IF(WEEKDAY(F155,2)&gt;5,1,0)</f>
        <v>0</v>
      </c>
      <c r="P155" s="9" t="n">
        <f aca="false">IF(K155&gt;Parameters!$B$17,1,0)</f>
        <v>0</v>
      </c>
      <c r="Q155" s="9" t="n">
        <f aca="false">IF(AND(F155&lt;=Parameters!$B$6,F155&gt;Parameters!$B$6-Parameters!$B$18),1,0)</f>
        <v>0</v>
      </c>
      <c r="R155" s="9" t="n">
        <f aca="false">IF(COUNTIF(Parameters!$A$51:$A$58,H155)=0,1,0)</f>
        <v>0</v>
      </c>
      <c r="S155" s="9" t="n">
        <f aca="false">IF(AND(I155="Manual",L155&gt;0),1,0)</f>
        <v>0</v>
      </c>
      <c r="T155" s="9" t="n">
        <f aca="false">IF(AND(C155&gt;=Parameters!$B$22,ROUND(MOD(ROUND(C155,2),Parameters!$B$21),2)=0),1,0)</f>
        <v>0</v>
      </c>
      <c r="U155" s="9" t="n">
        <f aca="false">IF(LEN(TRIM(J155))=0,1,0)</f>
        <v>0</v>
      </c>
      <c r="V155" s="9" t="n">
        <f aca="false">IF(AND(I155="Manual",C155&lt;Parameters!$B$19,C155&gt;=Parameters!$B$19*(1-Parameters!$B$20)),1,0)</f>
        <v>0</v>
      </c>
      <c r="W155" s="9" t="n">
        <f aca="false">IF(AND(I155="Manual",M155&gt;0),1,0)</f>
        <v>0</v>
      </c>
      <c r="X155" s="9" t="n">
        <f aca="false">IF(A155-A154&gt;1,1,0)</f>
        <v>0</v>
      </c>
      <c r="Y155" s="9" t="n">
        <f aca="false">N155*Parameters!$B$38+O155*Parameters!$B$39+P155*Parameters!$B$40+Q155*Parameters!$B$41+R155*Parameters!$B$42+S155*Parameters!$B$43+T155*Parameters!$B$44+U155*Parameters!$B$45+V155*Parameters!$B$46+W155*Parameters!$B$47+X155*Parameters!$B$48</f>
        <v>0</v>
      </c>
      <c r="Z155" s="0" t="str">
        <f aca="false">IF(Y155&gt;=Parameters!$B$25,"High","")</f>
        <v/>
      </c>
    </row>
    <row r="156" customFormat="false" ht="15" hidden="false" customHeight="false" outlineLevel="0" collapsed="false">
      <c r="A156" s="16" t="n">
        <v>1156</v>
      </c>
      <c r="B156" s="9" t="n">
        <f aca="false">COUNTIF(JE_Lines!$B$5:$B$1733,A156)</f>
        <v>3</v>
      </c>
      <c r="C156" s="17" t="n">
        <f aca="false">SUMIFS(JE_Lines!$G$5:$G$1733,JE_Lines!$B$5:$B$1733,A156)</f>
        <v>3247.25</v>
      </c>
      <c r="D156" s="17" t="n">
        <f aca="false">SUMIFS(JE_Lines!$H$5:$H$1733,JE_Lines!$B$5:$B$1733,A156)</f>
        <v>3247.25</v>
      </c>
      <c r="E156" s="17" t="n">
        <f aca="false">C156-D156</f>
        <v>0</v>
      </c>
      <c r="F156" s="18" t="n">
        <f aca="false">INDEX(JE_Lines!$C$5:$C$1733,MATCH(A156,JE_Lines!$B$5:$B$1733,0))</f>
        <v>45720</v>
      </c>
      <c r="G156" s="18" t="n">
        <f aca="false">INDEX(JE_Lines!$D$5:$D$1733,MATCH(A156,JE_Lines!$B$5:$B$1733,0))</f>
        <v>45717</v>
      </c>
      <c r="H156" s="0" t="str">
        <f aca="false">INDEX(JE_Lines!$I$5:$I$1733,MATCH(A156,JE_Lines!$B$5:$B$1733,0))</f>
        <v>FIN01</v>
      </c>
      <c r="I156" s="0" t="str">
        <f aca="false">INDEX(JE_Lines!$J$5:$J$1733,MATCH(A156,JE_Lines!$B$5:$B$1733,0))</f>
        <v>Manual</v>
      </c>
      <c r="J156" s="0" t="str">
        <f aca="false">IF(LEN(INDEX(JE_Lines!$K$5:$K$1733,MATCH(A156,JE_Lines!$B$5:$B$1733,0)))=0,"",INDEX(JE_Lines!$K$5:$K$1733,MATCH(A156,JE_Lines!$B$5:$B$1733,0)))</f>
        <v>Accrual for sundry costs</v>
      </c>
      <c r="K156" s="9" t="n">
        <f aca="false">F156-G156</f>
        <v>3</v>
      </c>
      <c r="L156" s="9" t="n">
        <f aca="false">COUNTIFS(JE_Lines!$B$5:$B$1733,A156,JE_Lines!$F$5:$F$1733,"Revenue")</f>
        <v>0</v>
      </c>
      <c r="M156" s="9" t="n">
        <f aca="false">COUNTIFS(JE_Lines!$B$5:$B$1733,A156,JE_Lines!$F$5:$F$1733,"Suspense")</f>
        <v>0</v>
      </c>
      <c r="N156" s="9" t="n">
        <f aca="false">IF(ABS(E156)&gt;Parameters!$B$23,1,0)</f>
        <v>0</v>
      </c>
      <c r="O156" s="9" t="n">
        <f aca="false">IF(WEEKDAY(F156,2)&gt;5,1,0)</f>
        <v>0</v>
      </c>
      <c r="P156" s="9" t="n">
        <f aca="false">IF(K156&gt;Parameters!$B$17,1,0)</f>
        <v>0</v>
      </c>
      <c r="Q156" s="9" t="n">
        <f aca="false">IF(AND(F156&lt;=Parameters!$B$6,F156&gt;Parameters!$B$6-Parameters!$B$18),1,0)</f>
        <v>0</v>
      </c>
      <c r="R156" s="9" t="n">
        <f aca="false">IF(COUNTIF(Parameters!$A$51:$A$58,H156)=0,1,0)</f>
        <v>0</v>
      </c>
      <c r="S156" s="9" t="n">
        <f aca="false">IF(AND(I156="Manual",L156&gt;0),1,0)</f>
        <v>0</v>
      </c>
      <c r="T156" s="9" t="n">
        <f aca="false">IF(AND(C156&gt;=Parameters!$B$22,ROUND(MOD(ROUND(C156,2),Parameters!$B$21),2)=0),1,0)</f>
        <v>0</v>
      </c>
      <c r="U156" s="9" t="n">
        <f aca="false">IF(LEN(TRIM(J156))=0,1,0)</f>
        <v>0</v>
      </c>
      <c r="V156" s="9" t="n">
        <f aca="false">IF(AND(I156="Manual",C156&lt;Parameters!$B$19,C156&gt;=Parameters!$B$19*(1-Parameters!$B$20)),1,0)</f>
        <v>0</v>
      </c>
      <c r="W156" s="9" t="n">
        <f aca="false">IF(AND(I156="Manual",M156&gt;0),1,0)</f>
        <v>0</v>
      </c>
      <c r="X156" s="9" t="n">
        <f aca="false">IF(A156-A155&gt;1,1,0)</f>
        <v>0</v>
      </c>
      <c r="Y156" s="9" t="n">
        <f aca="false">N156*Parameters!$B$38+O156*Parameters!$B$39+P156*Parameters!$B$40+Q156*Parameters!$B$41+R156*Parameters!$B$42+S156*Parameters!$B$43+T156*Parameters!$B$44+U156*Parameters!$B$45+V156*Parameters!$B$46+W156*Parameters!$B$47+X156*Parameters!$B$48</f>
        <v>0</v>
      </c>
      <c r="Z156" s="0" t="str">
        <f aca="false">IF(Y156&gt;=Parameters!$B$25,"High","")</f>
        <v/>
      </c>
    </row>
    <row r="157" customFormat="false" ht="15" hidden="false" customHeight="false" outlineLevel="0" collapsed="false">
      <c r="A157" s="16" t="n">
        <v>1157</v>
      </c>
      <c r="B157" s="9" t="n">
        <f aca="false">COUNTIF(JE_Lines!$B$5:$B$1733,A157)</f>
        <v>2</v>
      </c>
      <c r="C157" s="17" t="n">
        <f aca="false">SUMIFS(JE_Lines!$G$5:$G$1733,JE_Lines!$B$5:$B$1733,A157)</f>
        <v>86587.6</v>
      </c>
      <c r="D157" s="17" t="n">
        <f aca="false">SUMIFS(JE_Lines!$H$5:$H$1733,JE_Lines!$B$5:$B$1733,A157)</f>
        <v>86587.6</v>
      </c>
      <c r="E157" s="17" t="n">
        <f aca="false">C157-D157</f>
        <v>0</v>
      </c>
      <c r="F157" s="18" t="n">
        <f aca="false">INDEX(JE_Lines!$C$5:$C$1733,MATCH(A157,JE_Lines!$B$5:$B$1733,0))</f>
        <v>45721</v>
      </c>
      <c r="G157" s="18" t="n">
        <f aca="false">INDEX(JE_Lines!$D$5:$D$1733,MATCH(A157,JE_Lines!$B$5:$B$1733,0))</f>
        <v>45719</v>
      </c>
      <c r="H157" s="0" t="str">
        <f aca="false">INDEX(JE_Lines!$I$5:$I$1733,MATCH(A157,JE_Lines!$B$5:$B$1733,0))</f>
        <v>SYS_AP</v>
      </c>
      <c r="I157" s="0" t="str">
        <f aca="false">INDEX(JE_Lines!$J$5:$J$1733,MATCH(A157,JE_Lines!$B$5:$B$1733,0))</f>
        <v>System</v>
      </c>
      <c r="J157" s="0" t="str">
        <f aca="false">IF(LEN(INDEX(JE_Lines!$K$5:$K$1733,MATCH(A157,JE_Lines!$B$5:$B$1733,0)))=0,"",INDEX(JE_Lines!$K$5:$K$1733,MATCH(A157,JE_Lines!$B$5:$B$1733,0)))</f>
        <v>Supplier invoices</v>
      </c>
      <c r="K157" s="9" t="n">
        <f aca="false">F157-G157</f>
        <v>2</v>
      </c>
      <c r="L157" s="9" t="n">
        <f aca="false">COUNTIFS(JE_Lines!$B$5:$B$1733,A157,JE_Lines!$F$5:$F$1733,"Revenue")</f>
        <v>0</v>
      </c>
      <c r="M157" s="9" t="n">
        <f aca="false">COUNTIFS(JE_Lines!$B$5:$B$1733,A157,JE_Lines!$F$5:$F$1733,"Suspense")</f>
        <v>0</v>
      </c>
      <c r="N157" s="9" t="n">
        <f aca="false">IF(ABS(E157)&gt;Parameters!$B$23,1,0)</f>
        <v>0</v>
      </c>
      <c r="O157" s="9" t="n">
        <f aca="false">IF(WEEKDAY(F157,2)&gt;5,1,0)</f>
        <v>0</v>
      </c>
      <c r="P157" s="9" t="n">
        <f aca="false">IF(K157&gt;Parameters!$B$17,1,0)</f>
        <v>0</v>
      </c>
      <c r="Q157" s="9" t="n">
        <f aca="false">IF(AND(F157&lt;=Parameters!$B$6,F157&gt;Parameters!$B$6-Parameters!$B$18),1,0)</f>
        <v>0</v>
      </c>
      <c r="R157" s="9" t="n">
        <f aca="false">IF(COUNTIF(Parameters!$A$51:$A$58,H157)=0,1,0)</f>
        <v>0</v>
      </c>
      <c r="S157" s="9" t="n">
        <f aca="false">IF(AND(I157="Manual",L157&gt;0),1,0)</f>
        <v>0</v>
      </c>
      <c r="T157" s="9" t="n">
        <f aca="false">IF(AND(C157&gt;=Parameters!$B$22,ROUND(MOD(ROUND(C157,2),Parameters!$B$21),2)=0),1,0)</f>
        <v>0</v>
      </c>
      <c r="U157" s="9" t="n">
        <f aca="false">IF(LEN(TRIM(J157))=0,1,0)</f>
        <v>0</v>
      </c>
      <c r="V157" s="9" t="n">
        <f aca="false">IF(AND(I157="Manual",C157&lt;Parameters!$B$19,C157&gt;=Parameters!$B$19*(1-Parameters!$B$20)),1,0)</f>
        <v>0</v>
      </c>
      <c r="W157" s="9" t="n">
        <f aca="false">IF(AND(I157="Manual",M157&gt;0),1,0)</f>
        <v>0</v>
      </c>
      <c r="X157" s="9" t="n">
        <f aca="false">IF(A157-A156&gt;1,1,0)</f>
        <v>0</v>
      </c>
      <c r="Y157" s="9" t="n">
        <f aca="false">N157*Parameters!$B$38+O157*Parameters!$B$39+P157*Parameters!$B$40+Q157*Parameters!$B$41+R157*Parameters!$B$42+S157*Parameters!$B$43+T157*Parameters!$B$44+U157*Parameters!$B$45+V157*Parameters!$B$46+W157*Parameters!$B$47+X157*Parameters!$B$48</f>
        <v>0</v>
      </c>
      <c r="Z157" s="0" t="str">
        <f aca="false">IF(Y157&gt;=Parameters!$B$25,"High","")</f>
        <v/>
      </c>
    </row>
    <row r="158" customFormat="false" ht="15" hidden="false" customHeight="false" outlineLevel="0" collapsed="false">
      <c r="A158" s="16" t="n">
        <v>1158</v>
      </c>
      <c r="B158" s="9" t="n">
        <f aca="false">COUNTIF(JE_Lines!$B$5:$B$1733,A158)</f>
        <v>2</v>
      </c>
      <c r="C158" s="17" t="n">
        <f aca="false">SUMIFS(JE_Lines!$G$5:$G$1733,JE_Lines!$B$5:$B$1733,A158)</f>
        <v>2056.22</v>
      </c>
      <c r="D158" s="17" t="n">
        <f aca="false">SUMIFS(JE_Lines!$H$5:$H$1733,JE_Lines!$B$5:$B$1733,A158)</f>
        <v>2056.22</v>
      </c>
      <c r="E158" s="17" t="n">
        <f aca="false">C158-D158</f>
        <v>0</v>
      </c>
      <c r="F158" s="18" t="n">
        <f aca="false">INDEX(JE_Lines!$C$5:$C$1733,MATCH(A158,JE_Lines!$B$5:$B$1733,0))</f>
        <v>45721</v>
      </c>
      <c r="G158" s="18" t="n">
        <f aca="false">INDEX(JE_Lines!$D$5:$D$1733,MATCH(A158,JE_Lines!$B$5:$B$1733,0))</f>
        <v>45721</v>
      </c>
      <c r="H158" s="0" t="str">
        <f aca="false">INDEX(JE_Lines!$I$5:$I$1733,MATCH(A158,JE_Lines!$B$5:$B$1733,0))</f>
        <v>SYS_AP</v>
      </c>
      <c r="I158" s="0" t="str">
        <f aca="false">INDEX(JE_Lines!$J$5:$J$1733,MATCH(A158,JE_Lines!$B$5:$B$1733,0))</f>
        <v>System</v>
      </c>
      <c r="J158" s="0" t="str">
        <f aca="false">IF(LEN(INDEX(JE_Lines!$K$5:$K$1733,MATCH(A158,JE_Lines!$B$5:$B$1733,0)))=0,"",INDEX(JE_Lines!$K$5:$K$1733,MATCH(A158,JE_Lines!$B$5:$B$1733,0)))</f>
        <v>Utilities invoices</v>
      </c>
      <c r="K158" s="9" t="n">
        <f aca="false">F158-G158</f>
        <v>0</v>
      </c>
      <c r="L158" s="9" t="n">
        <f aca="false">COUNTIFS(JE_Lines!$B$5:$B$1733,A158,JE_Lines!$F$5:$F$1733,"Revenue")</f>
        <v>0</v>
      </c>
      <c r="M158" s="9" t="n">
        <f aca="false">COUNTIFS(JE_Lines!$B$5:$B$1733,A158,JE_Lines!$F$5:$F$1733,"Suspense")</f>
        <v>0</v>
      </c>
      <c r="N158" s="9" t="n">
        <f aca="false">IF(ABS(E158)&gt;Parameters!$B$23,1,0)</f>
        <v>0</v>
      </c>
      <c r="O158" s="9" t="n">
        <f aca="false">IF(WEEKDAY(F158,2)&gt;5,1,0)</f>
        <v>0</v>
      </c>
      <c r="P158" s="9" t="n">
        <f aca="false">IF(K158&gt;Parameters!$B$17,1,0)</f>
        <v>0</v>
      </c>
      <c r="Q158" s="9" t="n">
        <f aca="false">IF(AND(F158&lt;=Parameters!$B$6,F158&gt;Parameters!$B$6-Parameters!$B$18),1,0)</f>
        <v>0</v>
      </c>
      <c r="R158" s="9" t="n">
        <f aca="false">IF(COUNTIF(Parameters!$A$51:$A$58,H158)=0,1,0)</f>
        <v>0</v>
      </c>
      <c r="S158" s="9" t="n">
        <f aca="false">IF(AND(I158="Manual",L158&gt;0),1,0)</f>
        <v>0</v>
      </c>
      <c r="T158" s="9" t="n">
        <f aca="false">IF(AND(C158&gt;=Parameters!$B$22,ROUND(MOD(ROUND(C158,2),Parameters!$B$21),2)=0),1,0)</f>
        <v>0</v>
      </c>
      <c r="U158" s="9" t="n">
        <f aca="false">IF(LEN(TRIM(J158))=0,1,0)</f>
        <v>0</v>
      </c>
      <c r="V158" s="9" t="n">
        <f aca="false">IF(AND(I158="Manual",C158&lt;Parameters!$B$19,C158&gt;=Parameters!$B$19*(1-Parameters!$B$20)),1,0)</f>
        <v>0</v>
      </c>
      <c r="W158" s="9" t="n">
        <f aca="false">IF(AND(I158="Manual",M158&gt;0),1,0)</f>
        <v>0</v>
      </c>
      <c r="X158" s="9" t="n">
        <f aca="false">IF(A158-A157&gt;1,1,0)</f>
        <v>0</v>
      </c>
      <c r="Y158" s="9" t="n">
        <f aca="false">N158*Parameters!$B$38+O158*Parameters!$B$39+P158*Parameters!$B$40+Q158*Parameters!$B$41+R158*Parameters!$B$42+S158*Parameters!$B$43+T158*Parameters!$B$44+U158*Parameters!$B$45+V158*Parameters!$B$46+W158*Parameters!$B$47+X158*Parameters!$B$48</f>
        <v>0</v>
      </c>
      <c r="Z158" s="0" t="str">
        <f aca="false">IF(Y158&gt;=Parameters!$B$25,"High","")</f>
        <v/>
      </c>
    </row>
    <row r="159" customFormat="false" ht="15" hidden="false" customHeight="false" outlineLevel="0" collapsed="false">
      <c r="A159" s="16" t="n">
        <v>1159</v>
      </c>
      <c r="B159" s="9" t="n">
        <f aca="false">COUNTIF(JE_Lines!$B$5:$B$1733,A159)</f>
        <v>2</v>
      </c>
      <c r="C159" s="17" t="n">
        <f aca="false">SUMIFS(JE_Lines!$G$5:$G$1733,JE_Lines!$B$5:$B$1733,A159)</f>
        <v>5919.22</v>
      </c>
      <c r="D159" s="17" t="n">
        <f aca="false">SUMIFS(JE_Lines!$H$5:$H$1733,JE_Lines!$B$5:$B$1733,A159)</f>
        <v>5919.22</v>
      </c>
      <c r="E159" s="17" t="n">
        <f aca="false">C159-D159</f>
        <v>0</v>
      </c>
      <c r="F159" s="18" t="n">
        <f aca="false">INDEX(JE_Lines!$C$5:$C$1733,MATCH(A159,JE_Lines!$B$5:$B$1733,0))</f>
        <v>45721</v>
      </c>
      <c r="G159" s="18" t="n">
        <f aca="false">INDEX(JE_Lines!$D$5:$D$1733,MATCH(A159,JE_Lines!$B$5:$B$1733,0))</f>
        <v>45720</v>
      </c>
      <c r="H159" s="0" t="str">
        <f aca="false">INDEX(JE_Lines!$I$5:$I$1733,MATCH(A159,JE_Lines!$B$5:$B$1733,0))</f>
        <v>SYS_AR</v>
      </c>
      <c r="I159" s="0" t="str">
        <f aca="false">INDEX(JE_Lines!$J$5:$J$1733,MATCH(A159,JE_Lines!$B$5:$B$1733,0))</f>
        <v>System</v>
      </c>
      <c r="J159" s="0" t="str">
        <f aca="false">IF(LEN(INDEX(JE_Lines!$K$5:$K$1733,MATCH(A159,JE_Lines!$B$5:$B$1733,0)))=0,"",INDEX(JE_Lines!$K$5:$K$1733,MATCH(A159,JE_Lines!$B$5:$B$1733,0)))</f>
        <v>Sales invoice batch</v>
      </c>
      <c r="K159" s="9" t="n">
        <f aca="false">F159-G159</f>
        <v>1</v>
      </c>
      <c r="L159" s="9" t="n">
        <f aca="false">COUNTIFS(JE_Lines!$B$5:$B$1733,A159,JE_Lines!$F$5:$F$1733,"Revenue")</f>
        <v>1</v>
      </c>
      <c r="M159" s="9" t="n">
        <f aca="false">COUNTIFS(JE_Lines!$B$5:$B$1733,A159,JE_Lines!$F$5:$F$1733,"Suspense")</f>
        <v>0</v>
      </c>
      <c r="N159" s="9" t="n">
        <f aca="false">IF(ABS(E159)&gt;Parameters!$B$23,1,0)</f>
        <v>0</v>
      </c>
      <c r="O159" s="9" t="n">
        <f aca="false">IF(WEEKDAY(F159,2)&gt;5,1,0)</f>
        <v>0</v>
      </c>
      <c r="P159" s="9" t="n">
        <f aca="false">IF(K159&gt;Parameters!$B$17,1,0)</f>
        <v>0</v>
      </c>
      <c r="Q159" s="9" t="n">
        <f aca="false">IF(AND(F159&lt;=Parameters!$B$6,F159&gt;Parameters!$B$6-Parameters!$B$18),1,0)</f>
        <v>0</v>
      </c>
      <c r="R159" s="9" t="n">
        <f aca="false">IF(COUNTIF(Parameters!$A$51:$A$58,H159)=0,1,0)</f>
        <v>0</v>
      </c>
      <c r="S159" s="9" t="n">
        <f aca="false">IF(AND(I159="Manual",L159&gt;0),1,0)</f>
        <v>0</v>
      </c>
      <c r="T159" s="9" t="n">
        <f aca="false">IF(AND(C159&gt;=Parameters!$B$22,ROUND(MOD(ROUND(C159,2),Parameters!$B$21),2)=0),1,0)</f>
        <v>0</v>
      </c>
      <c r="U159" s="9" t="n">
        <f aca="false">IF(LEN(TRIM(J159))=0,1,0)</f>
        <v>0</v>
      </c>
      <c r="V159" s="9" t="n">
        <f aca="false">IF(AND(I159="Manual",C159&lt;Parameters!$B$19,C159&gt;=Parameters!$B$19*(1-Parameters!$B$20)),1,0)</f>
        <v>0</v>
      </c>
      <c r="W159" s="9" t="n">
        <f aca="false">IF(AND(I159="Manual",M159&gt;0),1,0)</f>
        <v>0</v>
      </c>
      <c r="X159" s="9" t="n">
        <f aca="false">IF(A159-A158&gt;1,1,0)</f>
        <v>0</v>
      </c>
      <c r="Y159" s="9" t="n">
        <f aca="false">N159*Parameters!$B$38+O159*Parameters!$B$39+P159*Parameters!$B$40+Q159*Parameters!$B$41+R159*Parameters!$B$42+S159*Parameters!$B$43+T159*Parameters!$B$44+U159*Parameters!$B$45+V159*Parameters!$B$46+W159*Parameters!$B$47+X159*Parameters!$B$48</f>
        <v>0</v>
      </c>
      <c r="Z159" s="0" t="str">
        <f aca="false">IF(Y159&gt;=Parameters!$B$25,"High","")</f>
        <v/>
      </c>
    </row>
    <row r="160" customFormat="false" ht="15" hidden="false" customHeight="false" outlineLevel="0" collapsed="false">
      <c r="A160" s="16" t="n">
        <v>1160</v>
      </c>
      <c r="B160" s="9" t="n">
        <f aca="false">COUNTIF(JE_Lines!$B$5:$B$1733,A160)</f>
        <v>2</v>
      </c>
      <c r="C160" s="17" t="n">
        <f aca="false">SUMIFS(JE_Lines!$G$5:$G$1733,JE_Lines!$B$5:$B$1733,A160)</f>
        <v>3892.38</v>
      </c>
      <c r="D160" s="17" t="n">
        <f aca="false">SUMIFS(JE_Lines!$H$5:$H$1733,JE_Lines!$B$5:$B$1733,A160)</f>
        <v>3892.38</v>
      </c>
      <c r="E160" s="17" t="n">
        <f aca="false">C160-D160</f>
        <v>0</v>
      </c>
      <c r="F160" s="18" t="n">
        <f aca="false">INDEX(JE_Lines!$C$5:$C$1733,MATCH(A160,JE_Lines!$B$5:$B$1733,0))</f>
        <v>45722</v>
      </c>
      <c r="G160" s="18" t="n">
        <f aca="false">INDEX(JE_Lines!$D$5:$D$1733,MATCH(A160,JE_Lines!$B$5:$B$1733,0))</f>
        <v>45722</v>
      </c>
      <c r="H160" s="0" t="str">
        <f aca="false">INDEX(JE_Lines!$I$5:$I$1733,MATCH(A160,JE_Lines!$B$5:$B$1733,0))</f>
        <v>FIN05</v>
      </c>
      <c r="I160" s="0" t="str">
        <f aca="false">INDEX(JE_Lines!$J$5:$J$1733,MATCH(A160,JE_Lines!$B$5:$B$1733,0))</f>
        <v>Manual</v>
      </c>
      <c r="J160" s="0" t="str">
        <f aca="false">IF(LEN(INDEX(JE_Lines!$K$5:$K$1733,MATCH(A160,JE_Lines!$B$5:$B$1733,0)))=0,"",INDEX(JE_Lines!$K$5:$K$1733,MATCH(A160,JE_Lines!$B$5:$B$1733,0)))</f>
        <v>Accrual for sundry costs</v>
      </c>
      <c r="K160" s="9" t="n">
        <f aca="false">F160-G160</f>
        <v>0</v>
      </c>
      <c r="L160" s="9" t="n">
        <f aca="false">COUNTIFS(JE_Lines!$B$5:$B$1733,A160,JE_Lines!$F$5:$F$1733,"Revenue")</f>
        <v>0</v>
      </c>
      <c r="M160" s="9" t="n">
        <f aca="false">COUNTIFS(JE_Lines!$B$5:$B$1733,A160,JE_Lines!$F$5:$F$1733,"Suspense")</f>
        <v>0</v>
      </c>
      <c r="N160" s="9" t="n">
        <f aca="false">IF(ABS(E160)&gt;Parameters!$B$23,1,0)</f>
        <v>0</v>
      </c>
      <c r="O160" s="9" t="n">
        <f aca="false">IF(WEEKDAY(F160,2)&gt;5,1,0)</f>
        <v>0</v>
      </c>
      <c r="P160" s="9" t="n">
        <f aca="false">IF(K160&gt;Parameters!$B$17,1,0)</f>
        <v>0</v>
      </c>
      <c r="Q160" s="9" t="n">
        <f aca="false">IF(AND(F160&lt;=Parameters!$B$6,F160&gt;Parameters!$B$6-Parameters!$B$18),1,0)</f>
        <v>0</v>
      </c>
      <c r="R160" s="9" t="n">
        <f aca="false">IF(COUNTIF(Parameters!$A$51:$A$58,H160)=0,1,0)</f>
        <v>0</v>
      </c>
      <c r="S160" s="9" t="n">
        <f aca="false">IF(AND(I160="Manual",L160&gt;0),1,0)</f>
        <v>0</v>
      </c>
      <c r="T160" s="9" t="n">
        <f aca="false">IF(AND(C160&gt;=Parameters!$B$22,ROUND(MOD(ROUND(C160,2),Parameters!$B$21),2)=0),1,0)</f>
        <v>0</v>
      </c>
      <c r="U160" s="9" t="n">
        <f aca="false">IF(LEN(TRIM(J160))=0,1,0)</f>
        <v>0</v>
      </c>
      <c r="V160" s="9" t="n">
        <f aca="false">IF(AND(I160="Manual",C160&lt;Parameters!$B$19,C160&gt;=Parameters!$B$19*(1-Parameters!$B$20)),1,0)</f>
        <v>0</v>
      </c>
      <c r="W160" s="9" t="n">
        <f aca="false">IF(AND(I160="Manual",M160&gt;0),1,0)</f>
        <v>0</v>
      </c>
      <c r="X160" s="9" t="n">
        <f aca="false">IF(A160-A159&gt;1,1,0)</f>
        <v>0</v>
      </c>
      <c r="Y160" s="9" t="n">
        <f aca="false">N160*Parameters!$B$38+O160*Parameters!$B$39+P160*Parameters!$B$40+Q160*Parameters!$B$41+R160*Parameters!$B$42+S160*Parameters!$B$43+T160*Parameters!$B$44+U160*Parameters!$B$45+V160*Parameters!$B$46+W160*Parameters!$B$47+X160*Parameters!$B$48</f>
        <v>0</v>
      </c>
      <c r="Z160" s="0" t="str">
        <f aca="false">IF(Y160&gt;=Parameters!$B$25,"High","")</f>
        <v/>
      </c>
    </row>
    <row r="161" customFormat="false" ht="15" hidden="false" customHeight="false" outlineLevel="0" collapsed="false">
      <c r="A161" s="16" t="n">
        <v>1161</v>
      </c>
      <c r="B161" s="9" t="n">
        <f aca="false">COUNTIF(JE_Lines!$B$5:$B$1733,A161)</f>
        <v>2</v>
      </c>
      <c r="C161" s="17" t="n">
        <f aca="false">SUMIFS(JE_Lines!$G$5:$G$1733,JE_Lines!$B$5:$B$1733,A161)</f>
        <v>9897.69</v>
      </c>
      <c r="D161" s="17" t="n">
        <f aca="false">SUMIFS(JE_Lines!$H$5:$H$1733,JE_Lines!$B$5:$B$1733,A161)</f>
        <v>9897.69</v>
      </c>
      <c r="E161" s="17" t="n">
        <f aca="false">C161-D161</f>
        <v>0</v>
      </c>
      <c r="F161" s="18" t="n">
        <f aca="false">INDEX(JE_Lines!$C$5:$C$1733,MATCH(A161,JE_Lines!$B$5:$B$1733,0))</f>
        <v>45723</v>
      </c>
      <c r="G161" s="18" t="n">
        <f aca="false">INDEX(JE_Lines!$D$5:$D$1733,MATCH(A161,JE_Lines!$B$5:$B$1733,0))</f>
        <v>45722</v>
      </c>
      <c r="H161" s="0" t="str">
        <f aca="false">INDEX(JE_Lines!$I$5:$I$1733,MATCH(A161,JE_Lines!$B$5:$B$1733,0))</f>
        <v>SYS_AR</v>
      </c>
      <c r="I161" s="0" t="str">
        <f aca="false">INDEX(JE_Lines!$J$5:$J$1733,MATCH(A161,JE_Lines!$B$5:$B$1733,0))</f>
        <v>System</v>
      </c>
      <c r="J161" s="0" t="str">
        <f aca="false">IF(LEN(INDEX(JE_Lines!$K$5:$K$1733,MATCH(A161,JE_Lines!$B$5:$B$1733,0)))=0,"",INDEX(JE_Lines!$K$5:$K$1733,MATCH(A161,JE_Lines!$B$5:$B$1733,0)))</f>
        <v>Customer receipts</v>
      </c>
      <c r="K161" s="9" t="n">
        <f aca="false">F161-G161</f>
        <v>1</v>
      </c>
      <c r="L161" s="9" t="n">
        <f aca="false">COUNTIFS(JE_Lines!$B$5:$B$1733,A161,JE_Lines!$F$5:$F$1733,"Revenue")</f>
        <v>0</v>
      </c>
      <c r="M161" s="9" t="n">
        <f aca="false">COUNTIFS(JE_Lines!$B$5:$B$1733,A161,JE_Lines!$F$5:$F$1733,"Suspense")</f>
        <v>0</v>
      </c>
      <c r="N161" s="9" t="n">
        <f aca="false">IF(ABS(E161)&gt;Parameters!$B$23,1,0)</f>
        <v>0</v>
      </c>
      <c r="O161" s="9" t="n">
        <f aca="false">IF(WEEKDAY(F161,2)&gt;5,1,0)</f>
        <v>0</v>
      </c>
      <c r="P161" s="9" t="n">
        <f aca="false">IF(K161&gt;Parameters!$B$17,1,0)</f>
        <v>0</v>
      </c>
      <c r="Q161" s="9" t="n">
        <f aca="false">IF(AND(F161&lt;=Parameters!$B$6,F161&gt;Parameters!$B$6-Parameters!$B$18),1,0)</f>
        <v>0</v>
      </c>
      <c r="R161" s="9" t="n">
        <f aca="false">IF(COUNTIF(Parameters!$A$51:$A$58,H161)=0,1,0)</f>
        <v>0</v>
      </c>
      <c r="S161" s="9" t="n">
        <f aca="false">IF(AND(I161="Manual",L161&gt;0),1,0)</f>
        <v>0</v>
      </c>
      <c r="T161" s="9" t="n">
        <f aca="false">IF(AND(C161&gt;=Parameters!$B$22,ROUND(MOD(ROUND(C161,2),Parameters!$B$21),2)=0),1,0)</f>
        <v>0</v>
      </c>
      <c r="U161" s="9" t="n">
        <f aca="false">IF(LEN(TRIM(J161))=0,1,0)</f>
        <v>0</v>
      </c>
      <c r="V161" s="9" t="n">
        <f aca="false">IF(AND(I161="Manual",C161&lt;Parameters!$B$19,C161&gt;=Parameters!$B$19*(1-Parameters!$B$20)),1,0)</f>
        <v>0</v>
      </c>
      <c r="W161" s="9" t="n">
        <f aca="false">IF(AND(I161="Manual",M161&gt;0),1,0)</f>
        <v>0</v>
      </c>
      <c r="X161" s="9" t="n">
        <f aca="false">IF(A161-A160&gt;1,1,0)</f>
        <v>0</v>
      </c>
      <c r="Y161" s="9" t="n">
        <f aca="false">N161*Parameters!$B$38+O161*Parameters!$B$39+P161*Parameters!$B$40+Q161*Parameters!$B$41+R161*Parameters!$B$42+S161*Parameters!$B$43+T161*Parameters!$B$44+U161*Parameters!$B$45+V161*Parameters!$B$46+W161*Parameters!$B$47+X161*Parameters!$B$48</f>
        <v>0</v>
      </c>
      <c r="Z161" s="0" t="str">
        <f aca="false">IF(Y161&gt;=Parameters!$B$25,"High","")</f>
        <v/>
      </c>
    </row>
    <row r="162" customFormat="false" ht="15" hidden="false" customHeight="false" outlineLevel="0" collapsed="false">
      <c r="A162" s="16" t="n">
        <v>1162</v>
      </c>
      <c r="B162" s="9" t="n">
        <f aca="false">COUNTIF(JE_Lines!$B$5:$B$1733,A162)</f>
        <v>2</v>
      </c>
      <c r="C162" s="17" t="n">
        <f aca="false">SUMIFS(JE_Lines!$G$5:$G$1733,JE_Lines!$B$5:$B$1733,A162)</f>
        <v>1310.14</v>
      </c>
      <c r="D162" s="17" t="n">
        <f aca="false">SUMIFS(JE_Lines!$H$5:$H$1733,JE_Lines!$B$5:$B$1733,A162)</f>
        <v>1310.14</v>
      </c>
      <c r="E162" s="17" t="n">
        <f aca="false">C162-D162</f>
        <v>0</v>
      </c>
      <c r="F162" s="18" t="n">
        <f aca="false">INDEX(JE_Lines!$C$5:$C$1733,MATCH(A162,JE_Lines!$B$5:$B$1733,0))</f>
        <v>45723</v>
      </c>
      <c r="G162" s="18" t="n">
        <f aca="false">INDEX(JE_Lines!$D$5:$D$1733,MATCH(A162,JE_Lines!$B$5:$B$1733,0))</f>
        <v>45721</v>
      </c>
      <c r="H162" s="0" t="str">
        <f aca="false">INDEX(JE_Lines!$I$5:$I$1733,MATCH(A162,JE_Lines!$B$5:$B$1733,0))</f>
        <v>SYS_PAY</v>
      </c>
      <c r="I162" s="0" t="str">
        <f aca="false">INDEX(JE_Lines!$J$5:$J$1733,MATCH(A162,JE_Lines!$B$5:$B$1733,0))</f>
        <v>System</v>
      </c>
      <c r="J162" s="0" t="str">
        <f aca="false">IF(LEN(INDEX(JE_Lines!$K$5:$K$1733,MATCH(A162,JE_Lines!$B$5:$B$1733,0)))=0,"",INDEX(JE_Lines!$K$5:$K$1733,MATCH(A162,JE_Lines!$B$5:$B$1733,0)))</f>
        <v>Supplier payments</v>
      </c>
      <c r="K162" s="9" t="n">
        <f aca="false">F162-G162</f>
        <v>2</v>
      </c>
      <c r="L162" s="9" t="n">
        <f aca="false">COUNTIFS(JE_Lines!$B$5:$B$1733,A162,JE_Lines!$F$5:$F$1733,"Revenue")</f>
        <v>0</v>
      </c>
      <c r="M162" s="9" t="n">
        <f aca="false">COUNTIFS(JE_Lines!$B$5:$B$1733,A162,JE_Lines!$F$5:$F$1733,"Suspense")</f>
        <v>0</v>
      </c>
      <c r="N162" s="9" t="n">
        <f aca="false">IF(ABS(E162)&gt;Parameters!$B$23,1,0)</f>
        <v>0</v>
      </c>
      <c r="O162" s="9" t="n">
        <f aca="false">IF(WEEKDAY(F162,2)&gt;5,1,0)</f>
        <v>0</v>
      </c>
      <c r="P162" s="9" t="n">
        <f aca="false">IF(K162&gt;Parameters!$B$17,1,0)</f>
        <v>0</v>
      </c>
      <c r="Q162" s="9" t="n">
        <f aca="false">IF(AND(F162&lt;=Parameters!$B$6,F162&gt;Parameters!$B$6-Parameters!$B$18),1,0)</f>
        <v>0</v>
      </c>
      <c r="R162" s="9" t="n">
        <f aca="false">IF(COUNTIF(Parameters!$A$51:$A$58,H162)=0,1,0)</f>
        <v>0</v>
      </c>
      <c r="S162" s="9" t="n">
        <f aca="false">IF(AND(I162="Manual",L162&gt;0),1,0)</f>
        <v>0</v>
      </c>
      <c r="T162" s="9" t="n">
        <f aca="false">IF(AND(C162&gt;=Parameters!$B$22,ROUND(MOD(ROUND(C162,2),Parameters!$B$21),2)=0),1,0)</f>
        <v>0</v>
      </c>
      <c r="U162" s="9" t="n">
        <f aca="false">IF(LEN(TRIM(J162))=0,1,0)</f>
        <v>0</v>
      </c>
      <c r="V162" s="9" t="n">
        <f aca="false">IF(AND(I162="Manual",C162&lt;Parameters!$B$19,C162&gt;=Parameters!$B$19*(1-Parameters!$B$20)),1,0)</f>
        <v>0</v>
      </c>
      <c r="W162" s="9" t="n">
        <f aca="false">IF(AND(I162="Manual",M162&gt;0),1,0)</f>
        <v>0</v>
      </c>
      <c r="X162" s="9" t="n">
        <f aca="false">IF(A162-A161&gt;1,1,0)</f>
        <v>0</v>
      </c>
      <c r="Y162" s="9" t="n">
        <f aca="false">N162*Parameters!$B$38+O162*Parameters!$B$39+P162*Parameters!$B$40+Q162*Parameters!$B$41+R162*Parameters!$B$42+S162*Parameters!$B$43+T162*Parameters!$B$44+U162*Parameters!$B$45+V162*Parameters!$B$46+W162*Parameters!$B$47+X162*Parameters!$B$48</f>
        <v>0</v>
      </c>
      <c r="Z162" s="0" t="str">
        <f aca="false">IF(Y162&gt;=Parameters!$B$25,"High","")</f>
        <v/>
      </c>
    </row>
    <row r="163" customFormat="false" ht="15" hidden="false" customHeight="false" outlineLevel="0" collapsed="false">
      <c r="A163" s="16" t="n">
        <v>1163</v>
      </c>
      <c r="B163" s="9" t="n">
        <f aca="false">COUNTIF(JE_Lines!$B$5:$B$1733,A163)</f>
        <v>2</v>
      </c>
      <c r="C163" s="17" t="n">
        <f aca="false">SUMIFS(JE_Lines!$G$5:$G$1733,JE_Lines!$B$5:$B$1733,A163)</f>
        <v>39544.88</v>
      </c>
      <c r="D163" s="17" t="n">
        <f aca="false">SUMIFS(JE_Lines!$H$5:$H$1733,JE_Lines!$B$5:$B$1733,A163)</f>
        <v>39544.88</v>
      </c>
      <c r="E163" s="17" t="n">
        <f aca="false">C163-D163</f>
        <v>0</v>
      </c>
      <c r="F163" s="18" t="n">
        <f aca="false">INDEX(JE_Lines!$C$5:$C$1733,MATCH(A163,JE_Lines!$B$5:$B$1733,0))</f>
        <v>45723</v>
      </c>
      <c r="G163" s="18" t="n">
        <f aca="false">INDEX(JE_Lines!$D$5:$D$1733,MATCH(A163,JE_Lines!$B$5:$B$1733,0))</f>
        <v>45722</v>
      </c>
      <c r="H163" s="0" t="str">
        <f aca="false">INDEX(JE_Lines!$I$5:$I$1733,MATCH(A163,JE_Lines!$B$5:$B$1733,0))</f>
        <v>SYS_AR</v>
      </c>
      <c r="I163" s="0" t="str">
        <f aca="false">INDEX(JE_Lines!$J$5:$J$1733,MATCH(A163,JE_Lines!$B$5:$B$1733,0))</f>
        <v>System</v>
      </c>
      <c r="J163" s="0" t="str">
        <f aca="false">IF(LEN(INDEX(JE_Lines!$K$5:$K$1733,MATCH(A163,JE_Lines!$B$5:$B$1733,0)))=0,"",INDEX(JE_Lines!$K$5:$K$1733,MATCH(A163,JE_Lines!$B$5:$B$1733,0)))</f>
        <v>Sales invoice batch</v>
      </c>
      <c r="K163" s="9" t="n">
        <f aca="false">F163-G163</f>
        <v>1</v>
      </c>
      <c r="L163" s="9" t="n">
        <f aca="false">COUNTIFS(JE_Lines!$B$5:$B$1733,A163,JE_Lines!$F$5:$F$1733,"Revenue")</f>
        <v>1</v>
      </c>
      <c r="M163" s="9" t="n">
        <f aca="false">COUNTIFS(JE_Lines!$B$5:$B$1733,A163,JE_Lines!$F$5:$F$1733,"Suspense")</f>
        <v>0</v>
      </c>
      <c r="N163" s="9" t="n">
        <f aca="false">IF(ABS(E163)&gt;Parameters!$B$23,1,0)</f>
        <v>0</v>
      </c>
      <c r="O163" s="9" t="n">
        <f aca="false">IF(WEEKDAY(F163,2)&gt;5,1,0)</f>
        <v>0</v>
      </c>
      <c r="P163" s="9" t="n">
        <f aca="false">IF(K163&gt;Parameters!$B$17,1,0)</f>
        <v>0</v>
      </c>
      <c r="Q163" s="9" t="n">
        <f aca="false">IF(AND(F163&lt;=Parameters!$B$6,F163&gt;Parameters!$B$6-Parameters!$B$18),1,0)</f>
        <v>0</v>
      </c>
      <c r="R163" s="9" t="n">
        <f aca="false">IF(COUNTIF(Parameters!$A$51:$A$58,H163)=0,1,0)</f>
        <v>0</v>
      </c>
      <c r="S163" s="9" t="n">
        <f aca="false">IF(AND(I163="Manual",L163&gt;0),1,0)</f>
        <v>0</v>
      </c>
      <c r="T163" s="9" t="n">
        <f aca="false">IF(AND(C163&gt;=Parameters!$B$22,ROUND(MOD(ROUND(C163,2),Parameters!$B$21),2)=0),1,0)</f>
        <v>0</v>
      </c>
      <c r="U163" s="9" t="n">
        <f aca="false">IF(LEN(TRIM(J163))=0,1,0)</f>
        <v>0</v>
      </c>
      <c r="V163" s="9" t="n">
        <f aca="false">IF(AND(I163="Manual",C163&lt;Parameters!$B$19,C163&gt;=Parameters!$B$19*(1-Parameters!$B$20)),1,0)</f>
        <v>0</v>
      </c>
      <c r="W163" s="9" t="n">
        <f aca="false">IF(AND(I163="Manual",M163&gt;0),1,0)</f>
        <v>0</v>
      </c>
      <c r="X163" s="9" t="n">
        <f aca="false">IF(A163-A162&gt;1,1,0)</f>
        <v>0</v>
      </c>
      <c r="Y163" s="9" t="n">
        <f aca="false">N163*Parameters!$B$38+O163*Parameters!$B$39+P163*Parameters!$B$40+Q163*Parameters!$B$41+R163*Parameters!$B$42+S163*Parameters!$B$43+T163*Parameters!$B$44+U163*Parameters!$B$45+V163*Parameters!$B$46+W163*Parameters!$B$47+X163*Parameters!$B$48</f>
        <v>0</v>
      </c>
      <c r="Z163" s="0" t="str">
        <f aca="false">IF(Y163&gt;=Parameters!$B$25,"High","")</f>
        <v/>
      </c>
    </row>
    <row r="164" customFormat="false" ht="15" hidden="false" customHeight="false" outlineLevel="0" collapsed="false">
      <c r="A164" s="16" t="n">
        <v>1164</v>
      </c>
      <c r="B164" s="9" t="n">
        <f aca="false">COUNTIF(JE_Lines!$B$5:$B$1733,A164)</f>
        <v>2</v>
      </c>
      <c r="C164" s="17" t="n">
        <f aca="false">SUMIFS(JE_Lines!$G$5:$G$1733,JE_Lines!$B$5:$B$1733,A164)</f>
        <v>60379.32</v>
      </c>
      <c r="D164" s="17" t="n">
        <f aca="false">SUMIFS(JE_Lines!$H$5:$H$1733,JE_Lines!$B$5:$B$1733,A164)</f>
        <v>60379.32</v>
      </c>
      <c r="E164" s="17" t="n">
        <f aca="false">C164-D164</f>
        <v>0</v>
      </c>
      <c r="F164" s="18" t="n">
        <f aca="false">INDEX(JE_Lines!$C$5:$C$1733,MATCH(A164,JE_Lines!$B$5:$B$1733,0))</f>
        <v>45723</v>
      </c>
      <c r="G164" s="18" t="n">
        <f aca="false">INDEX(JE_Lines!$D$5:$D$1733,MATCH(A164,JE_Lines!$B$5:$B$1733,0))</f>
        <v>45719</v>
      </c>
      <c r="H164" s="0" t="str">
        <f aca="false">INDEX(JE_Lines!$I$5:$I$1733,MATCH(A164,JE_Lines!$B$5:$B$1733,0))</f>
        <v>SYS_AR</v>
      </c>
      <c r="I164" s="0" t="str">
        <f aca="false">INDEX(JE_Lines!$J$5:$J$1733,MATCH(A164,JE_Lines!$B$5:$B$1733,0))</f>
        <v>System</v>
      </c>
      <c r="J164" s="0" t="str">
        <f aca="false">IF(LEN(INDEX(JE_Lines!$K$5:$K$1733,MATCH(A164,JE_Lines!$B$5:$B$1733,0)))=0,"",INDEX(JE_Lines!$K$5:$K$1733,MATCH(A164,JE_Lines!$B$5:$B$1733,0)))</f>
        <v>Sales invoice batch</v>
      </c>
      <c r="K164" s="9" t="n">
        <f aca="false">F164-G164</f>
        <v>4</v>
      </c>
      <c r="L164" s="9" t="n">
        <f aca="false">COUNTIFS(JE_Lines!$B$5:$B$1733,A164,JE_Lines!$F$5:$F$1733,"Revenue")</f>
        <v>1</v>
      </c>
      <c r="M164" s="9" t="n">
        <f aca="false">COUNTIFS(JE_Lines!$B$5:$B$1733,A164,JE_Lines!$F$5:$F$1733,"Suspense")</f>
        <v>0</v>
      </c>
      <c r="N164" s="9" t="n">
        <f aca="false">IF(ABS(E164)&gt;Parameters!$B$23,1,0)</f>
        <v>0</v>
      </c>
      <c r="O164" s="9" t="n">
        <f aca="false">IF(WEEKDAY(F164,2)&gt;5,1,0)</f>
        <v>0</v>
      </c>
      <c r="P164" s="9" t="n">
        <f aca="false">IF(K164&gt;Parameters!$B$17,1,0)</f>
        <v>0</v>
      </c>
      <c r="Q164" s="9" t="n">
        <f aca="false">IF(AND(F164&lt;=Parameters!$B$6,F164&gt;Parameters!$B$6-Parameters!$B$18),1,0)</f>
        <v>0</v>
      </c>
      <c r="R164" s="9" t="n">
        <f aca="false">IF(COUNTIF(Parameters!$A$51:$A$58,H164)=0,1,0)</f>
        <v>0</v>
      </c>
      <c r="S164" s="9" t="n">
        <f aca="false">IF(AND(I164="Manual",L164&gt;0),1,0)</f>
        <v>0</v>
      </c>
      <c r="T164" s="9" t="n">
        <f aca="false">IF(AND(C164&gt;=Parameters!$B$22,ROUND(MOD(ROUND(C164,2),Parameters!$B$21),2)=0),1,0)</f>
        <v>0</v>
      </c>
      <c r="U164" s="9" t="n">
        <f aca="false">IF(LEN(TRIM(J164))=0,1,0)</f>
        <v>0</v>
      </c>
      <c r="V164" s="9" t="n">
        <f aca="false">IF(AND(I164="Manual",C164&lt;Parameters!$B$19,C164&gt;=Parameters!$B$19*(1-Parameters!$B$20)),1,0)</f>
        <v>0</v>
      </c>
      <c r="W164" s="9" t="n">
        <f aca="false">IF(AND(I164="Manual",M164&gt;0),1,0)</f>
        <v>0</v>
      </c>
      <c r="X164" s="9" t="n">
        <f aca="false">IF(A164-A163&gt;1,1,0)</f>
        <v>0</v>
      </c>
      <c r="Y164" s="9" t="n">
        <f aca="false">N164*Parameters!$B$38+O164*Parameters!$B$39+P164*Parameters!$B$40+Q164*Parameters!$B$41+R164*Parameters!$B$42+S164*Parameters!$B$43+T164*Parameters!$B$44+U164*Parameters!$B$45+V164*Parameters!$B$46+W164*Parameters!$B$47+X164*Parameters!$B$48</f>
        <v>0</v>
      </c>
      <c r="Z164" s="0" t="str">
        <f aca="false">IF(Y164&gt;=Parameters!$B$25,"High","")</f>
        <v/>
      </c>
    </row>
    <row r="165" customFormat="false" ht="15" hidden="false" customHeight="false" outlineLevel="0" collapsed="false">
      <c r="A165" s="16" t="n">
        <v>1165</v>
      </c>
      <c r="B165" s="9" t="n">
        <f aca="false">COUNTIF(JE_Lines!$B$5:$B$1733,A165)</f>
        <v>2</v>
      </c>
      <c r="C165" s="17" t="n">
        <f aca="false">SUMIFS(JE_Lines!$G$5:$G$1733,JE_Lines!$B$5:$B$1733,A165)</f>
        <v>15322.05</v>
      </c>
      <c r="D165" s="17" t="n">
        <f aca="false">SUMIFS(JE_Lines!$H$5:$H$1733,JE_Lines!$B$5:$B$1733,A165)</f>
        <v>15322.05</v>
      </c>
      <c r="E165" s="17" t="n">
        <f aca="false">C165-D165</f>
        <v>0</v>
      </c>
      <c r="F165" s="18" t="n">
        <f aca="false">INDEX(JE_Lines!$C$5:$C$1733,MATCH(A165,JE_Lines!$B$5:$B$1733,0))</f>
        <v>45726</v>
      </c>
      <c r="G165" s="18" t="n">
        <f aca="false">INDEX(JE_Lines!$D$5:$D$1733,MATCH(A165,JE_Lines!$B$5:$B$1733,0))</f>
        <v>45726</v>
      </c>
      <c r="H165" s="0" t="str">
        <f aca="false">INDEX(JE_Lines!$I$5:$I$1733,MATCH(A165,JE_Lines!$B$5:$B$1733,0))</f>
        <v>SYS_PAY</v>
      </c>
      <c r="I165" s="0" t="str">
        <f aca="false">INDEX(JE_Lines!$J$5:$J$1733,MATCH(A165,JE_Lines!$B$5:$B$1733,0))</f>
        <v>System</v>
      </c>
      <c r="J165" s="0" t="str">
        <f aca="false">IF(LEN(INDEX(JE_Lines!$K$5:$K$1733,MATCH(A165,JE_Lines!$B$5:$B$1733,0)))=0,"",INDEX(JE_Lines!$K$5:$K$1733,MATCH(A165,JE_Lines!$B$5:$B$1733,0)))</f>
        <v>Supplier payments</v>
      </c>
      <c r="K165" s="9" t="n">
        <f aca="false">F165-G165</f>
        <v>0</v>
      </c>
      <c r="L165" s="9" t="n">
        <f aca="false">COUNTIFS(JE_Lines!$B$5:$B$1733,A165,JE_Lines!$F$5:$F$1733,"Revenue")</f>
        <v>0</v>
      </c>
      <c r="M165" s="9" t="n">
        <f aca="false">COUNTIFS(JE_Lines!$B$5:$B$1733,A165,JE_Lines!$F$5:$F$1733,"Suspense")</f>
        <v>0</v>
      </c>
      <c r="N165" s="9" t="n">
        <f aca="false">IF(ABS(E165)&gt;Parameters!$B$23,1,0)</f>
        <v>0</v>
      </c>
      <c r="O165" s="9" t="n">
        <f aca="false">IF(WEEKDAY(F165,2)&gt;5,1,0)</f>
        <v>0</v>
      </c>
      <c r="P165" s="9" t="n">
        <f aca="false">IF(K165&gt;Parameters!$B$17,1,0)</f>
        <v>0</v>
      </c>
      <c r="Q165" s="9" t="n">
        <f aca="false">IF(AND(F165&lt;=Parameters!$B$6,F165&gt;Parameters!$B$6-Parameters!$B$18),1,0)</f>
        <v>0</v>
      </c>
      <c r="R165" s="9" t="n">
        <f aca="false">IF(COUNTIF(Parameters!$A$51:$A$58,H165)=0,1,0)</f>
        <v>0</v>
      </c>
      <c r="S165" s="9" t="n">
        <f aca="false">IF(AND(I165="Manual",L165&gt;0),1,0)</f>
        <v>0</v>
      </c>
      <c r="T165" s="9" t="n">
        <f aca="false">IF(AND(C165&gt;=Parameters!$B$22,ROUND(MOD(ROUND(C165,2),Parameters!$B$21),2)=0),1,0)</f>
        <v>0</v>
      </c>
      <c r="U165" s="9" t="n">
        <f aca="false">IF(LEN(TRIM(J165))=0,1,0)</f>
        <v>0</v>
      </c>
      <c r="V165" s="9" t="n">
        <f aca="false">IF(AND(I165="Manual",C165&lt;Parameters!$B$19,C165&gt;=Parameters!$B$19*(1-Parameters!$B$20)),1,0)</f>
        <v>0</v>
      </c>
      <c r="W165" s="9" t="n">
        <f aca="false">IF(AND(I165="Manual",M165&gt;0),1,0)</f>
        <v>0</v>
      </c>
      <c r="X165" s="9" t="n">
        <f aca="false">IF(A165-A164&gt;1,1,0)</f>
        <v>0</v>
      </c>
      <c r="Y165" s="9" t="n">
        <f aca="false">N165*Parameters!$B$38+O165*Parameters!$B$39+P165*Parameters!$B$40+Q165*Parameters!$B$41+R165*Parameters!$B$42+S165*Parameters!$B$43+T165*Parameters!$B$44+U165*Parameters!$B$45+V165*Parameters!$B$46+W165*Parameters!$B$47+X165*Parameters!$B$48</f>
        <v>0</v>
      </c>
      <c r="Z165" s="0" t="str">
        <f aca="false">IF(Y165&gt;=Parameters!$B$25,"High","")</f>
        <v/>
      </c>
    </row>
    <row r="166" customFormat="false" ht="15" hidden="false" customHeight="false" outlineLevel="0" collapsed="false">
      <c r="A166" s="16" t="n">
        <v>1166</v>
      </c>
      <c r="B166" s="9" t="n">
        <f aca="false">COUNTIF(JE_Lines!$B$5:$B$1733,A166)</f>
        <v>2</v>
      </c>
      <c r="C166" s="17" t="n">
        <f aca="false">SUMIFS(JE_Lines!$G$5:$G$1733,JE_Lines!$B$5:$B$1733,A166)</f>
        <v>111013.78</v>
      </c>
      <c r="D166" s="17" t="n">
        <f aca="false">SUMIFS(JE_Lines!$H$5:$H$1733,JE_Lines!$B$5:$B$1733,A166)</f>
        <v>111013.78</v>
      </c>
      <c r="E166" s="17" t="n">
        <f aca="false">C166-D166</f>
        <v>0</v>
      </c>
      <c r="F166" s="18" t="n">
        <f aca="false">INDEX(JE_Lines!$C$5:$C$1733,MATCH(A166,JE_Lines!$B$5:$B$1733,0))</f>
        <v>45726</v>
      </c>
      <c r="G166" s="18" t="n">
        <f aca="false">INDEX(JE_Lines!$D$5:$D$1733,MATCH(A166,JE_Lines!$B$5:$B$1733,0))</f>
        <v>45722</v>
      </c>
      <c r="H166" s="0" t="str">
        <f aca="false">INDEX(JE_Lines!$I$5:$I$1733,MATCH(A166,JE_Lines!$B$5:$B$1733,0))</f>
        <v>FIN02</v>
      </c>
      <c r="I166" s="0" t="str">
        <f aca="false">INDEX(JE_Lines!$J$5:$J$1733,MATCH(A166,JE_Lines!$B$5:$B$1733,0))</f>
        <v>Manual</v>
      </c>
      <c r="J166" s="0" t="str">
        <f aca="false">IF(LEN(INDEX(JE_Lines!$K$5:$K$1733,MATCH(A166,JE_Lines!$B$5:$B$1733,0)))=0,"",INDEX(JE_Lines!$K$5:$K$1733,MATCH(A166,JE_Lines!$B$5:$B$1733,0)))</f>
        <v>Accrual reversal</v>
      </c>
      <c r="K166" s="9" t="n">
        <f aca="false">F166-G166</f>
        <v>4</v>
      </c>
      <c r="L166" s="9" t="n">
        <f aca="false">COUNTIFS(JE_Lines!$B$5:$B$1733,A166,JE_Lines!$F$5:$F$1733,"Revenue")</f>
        <v>0</v>
      </c>
      <c r="M166" s="9" t="n">
        <f aca="false">COUNTIFS(JE_Lines!$B$5:$B$1733,A166,JE_Lines!$F$5:$F$1733,"Suspense")</f>
        <v>0</v>
      </c>
      <c r="N166" s="9" t="n">
        <f aca="false">IF(ABS(E166)&gt;Parameters!$B$23,1,0)</f>
        <v>0</v>
      </c>
      <c r="O166" s="9" t="n">
        <f aca="false">IF(WEEKDAY(F166,2)&gt;5,1,0)</f>
        <v>0</v>
      </c>
      <c r="P166" s="9" t="n">
        <f aca="false">IF(K166&gt;Parameters!$B$17,1,0)</f>
        <v>0</v>
      </c>
      <c r="Q166" s="9" t="n">
        <f aca="false">IF(AND(F166&lt;=Parameters!$B$6,F166&gt;Parameters!$B$6-Parameters!$B$18),1,0)</f>
        <v>0</v>
      </c>
      <c r="R166" s="9" t="n">
        <f aca="false">IF(COUNTIF(Parameters!$A$51:$A$58,H166)=0,1,0)</f>
        <v>0</v>
      </c>
      <c r="S166" s="9" t="n">
        <f aca="false">IF(AND(I166="Manual",L166&gt;0),1,0)</f>
        <v>0</v>
      </c>
      <c r="T166" s="9" t="n">
        <f aca="false">IF(AND(C166&gt;=Parameters!$B$22,ROUND(MOD(ROUND(C166,2),Parameters!$B$21),2)=0),1,0)</f>
        <v>0</v>
      </c>
      <c r="U166" s="9" t="n">
        <f aca="false">IF(LEN(TRIM(J166))=0,1,0)</f>
        <v>0</v>
      </c>
      <c r="V166" s="9" t="n">
        <f aca="false">IF(AND(I166="Manual",C166&lt;Parameters!$B$19,C166&gt;=Parameters!$B$19*(1-Parameters!$B$20)),1,0)</f>
        <v>0</v>
      </c>
      <c r="W166" s="9" t="n">
        <f aca="false">IF(AND(I166="Manual",M166&gt;0),1,0)</f>
        <v>0</v>
      </c>
      <c r="X166" s="9" t="n">
        <f aca="false">IF(A166-A165&gt;1,1,0)</f>
        <v>0</v>
      </c>
      <c r="Y166" s="9" t="n">
        <f aca="false">N166*Parameters!$B$38+O166*Parameters!$B$39+P166*Parameters!$B$40+Q166*Parameters!$B$41+R166*Parameters!$B$42+S166*Parameters!$B$43+T166*Parameters!$B$44+U166*Parameters!$B$45+V166*Parameters!$B$46+W166*Parameters!$B$47+X166*Parameters!$B$48</f>
        <v>0</v>
      </c>
      <c r="Z166" s="0" t="str">
        <f aca="false">IF(Y166&gt;=Parameters!$B$25,"High","")</f>
        <v/>
      </c>
    </row>
    <row r="167" customFormat="false" ht="15" hidden="false" customHeight="false" outlineLevel="0" collapsed="false">
      <c r="A167" s="16" t="n">
        <v>1167</v>
      </c>
      <c r="B167" s="9" t="n">
        <f aca="false">COUNTIF(JE_Lines!$B$5:$B$1733,A167)</f>
        <v>2</v>
      </c>
      <c r="C167" s="17" t="n">
        <f aca="false">SUMIFS(JE_Lines!$G$5:$G$1733,JE_Lines!$B$5:$B$1733,A167)</f>
        <v>70124.66</v>
      </c>
      <c r="D167" s="17" t="n">
        <f aca="false">SUMIFS(JE_Lines!$H$5:$H$1733,JE_Lines!$B$5:$B$1733,A167)</f>
        <v>70124.66</v>
      </c>
      <c r="E167" s="17" t="n">
        <f aca="false">C167-D167</f>
        <v>0</v>
      </c>
      <c r="F167" s="18" t="n">
        <f aca="false">INDEX(JE_Lines!$C$5:$C$1733,MATCH(A167,JE_Lines!$B$5:$B$1733,0))</f>
        <v>45726</v>
      </c>
      <c r="G167" s="18" t="n">
        <f aca="false">INDEX(JE_Lines!$D$5:$D$1733,MATCH(A167,JE_Lines!$B$5:$B$1733,0))</f>
        <v>45699</v>
      </c>
      <c r="H167" s="0" t="str">
        <f aca="false">INDEX(JE_Lines!$I$5:$I$1733,MATCH(A167,JE_Lines!$B$5:$B$1733,0))</f>
        <v>FIN05</v>
      </c>
      <c r="I167" s="0" t="str">
        <f aca="false">INDEX(JE_Lines!$J$5:$J$1733,MATCH(A167,JE_Lines!$B$5:$B$1733,0))</f>
        <v>Manual</v>
      </c>
      <c r="J167" s="0" t="str">
        <f aca="false">IF(LEN(INDEX(JE_Lines!$K$5:$K$1733,MATCH(A167,JE_Lines!$B$5:$B$1733,0)))=0,"",INDEX(JE_Lines!$K$5:$K$1733,MATCH(A167,JE_Lines!$B$5:$B$1733,0)))</f>
        <v>Prior period correction 3</v>
      </c>
      <c r="K167" s="9" t="n">
        <f aca="false">F167-G167</f>
        <v>27</v>
      </c>
      <c r="L167" s="9" t="n">
        <f aca="false">COUNTIFS(JE_Lines!$B$5:$B$1733,A167,JE_Lines!$F$5:$F$1733,"Revenue")</f>
        <v>0</v>
      </c>
      <c r="M167" s="9" t="n">
        <f aca="false">COUNTIFS(JE_Lines!$B$5:$B$1733,A167,JE_Lines!$F$5:$F$1733,"Suspense")</f>
        <v>0</v>
      </c>
      <c r="N167" s="9" t="n">
        <f aca="false">IF(ABS(E167)&gt;Parameters!$B$23,1,0)</f>
        <v>0</v>
      </c>
      <c r="O167" s="9" t="n">
        <f aca="false">IF(WEEKDAY(F167,2)&gt;5,1,0)</f>
        <v>0</v>
      </c>
      <c r="P167" s="9" t="n">
        <f aca="false">IF(K167&gt;Parameters!$B$17,1,0)</f>
        <v>1</v>
      </c>
      <c r="Q167" s="9" t="n">
        <f aca="false">IF(AND(F167&lt;=Parameters!$B$6,F167&gt;Parameters!$B$6-Parameters!$B$18),1,0)</f>
        <v>0</v>
      </c>
      <c r="R167" s="9" t="n">
        <f aca="false">IF(COUNTIF(Parameters!$A$51:$A$58,H167)=0,1,0)</f>
        <v>0</v>
      </c>
      <c r="S167" s="9" t="n">
        <f aca="false">IF(AND(I167="Manual",L167&gt;0),1,0)</f>
        <v>0</v>
      </c>
      <c r="T167" s="9" t="n">
        <f aca="false">IF(AND(C167&gt;=Parameters!$B$22,ROUND(MOD(ROUND(C167,2),Parameters!$B$21),2)=0),1,0)</f>
        <v>0</v>
      </c>
      <c r="U167" s="9" t="n">
        <f aca="false">IF(LEN(TRIM(J167))=0,1,0)</f>
        <v>0</v>
      </c>
      <c r="V167" s="9" t="n">
        <f aca="false">IF(AND(I167="Manual",C167&lt;Parameters!$B$19,C167&gt;=Parameters!$B$19*(1-Parameters!$B$20)),1,0)</f>
        <v>0</v>
      </c>
      <c r="W167" s="9" t="n">
        <f aca="false">IF(AND(I167="Manual",M167&gt;0),1,0)</f>
        <v>0</v>
      </c>
      <c r="X167" s="9" t="n">
        <f aca="false">IF(A167-A166&gt;1,1,0)</f>
        <v>0</v>
      </c>
      <c r="Y167" s="9" t="n">
        <f aca="false">N167*Parameters!$B$38+O167*Parameters!$B$39+P167*Parameters!$B$40+Q167*Parameters!$B$41+R167*Parameters!$B$42+S167*Parameters!$B$43+T167*Parameters!$B$44+U167*Parameters!$B$45+V167*Parameters!$B$46+W167*Parameters!$B$47+X167*Parameters!$B$48</f>
        <v>2</v>
      </c>
      <c r="Z167" s="0" t="str">
        <f aca="false">IF(Y167&gt;=Parameters!$B$25,"High","")</f>
        <v/>
      </c>
    </row>
    <row r="168" customFormat="false" ht="15" hidden="false" customHeight="false" outlineLevel="0" collapsed="false">
      <c r="A168" s="16" t="n">
        <v>1168</v>
      </c>
      <c r="B168" s="9" t="n">
        <f aca="false">COUNTIF(JE_Lines!$B$5:$B$1733,A168)</f>
        <v>2</v>
      </c>
      <c r="C168" s="17" t="n">
        <f aca="false">SUMIFS(JE_Lines!$G$5:$G$1733,JE_Lines!$B$5:$B$1733,A168)</f>
        <v>6768.07</v>
      </c>
      <c r="D168" s="17" t="n">
        <f aca="false">SUMIFS(JE_Lines!$H$5:$H$1733,JE_Lines!$B$5:$B$1733,A168)</f>
        <v>6768.07</v>
      </c>
      <c r="E168" s="17" t="n">
        <f aca="false">C168-D168</f>
        <v>0</v>
      </c>
      <c r="F168" s="18" t="n">
        <f aca="false">INDEX(JE_Lines!$C$5:$C$1733,MATCH(A168,JE_Lines!$B$5:$B$1733,0))</f>
        <v>45726</v>
      </c>
      <c r="G168" s="18" t="n">
        <f aca="false">INDEX(JE_Lines!$D$5:$D$1733,MATCH(A168,JE_Lines!$B$5:$B$1733,0))</f>
        <v>45724</v>
      </c>
      <c r="H168" s="0" t="str">
        <f aca="false">INDEX(JE_Lines!$I$5:$I$1733,MATCH(A168,JE_Lines!$B$5:$B$1733,0))</f>
        <v>SYS_PAY</v>
      </c>
      <c r="I168" s="0" t="str">
        <f aca="false">INDEX(JE_Lines!$J$5:$J$1733,MATCH(A168,JE_Lines!$B$5:$B$1733,0))</f>
        <v>System</v>
      </c>
      <c r="J168" s="0" t="str">
        <f aca="false">IF(LEN(INDEX(JE_Lines!$K$5:$K$1733,MATCH(A168,JE_Lines!$B$5:$B$1733,0)))=0,"",INDEX(JE_Lines!$K$5:$K$1733,MATCH(A168,JE_Lines!$B$5:$B$1733,0)))</f>
        <v>Supplier payments</v>
      </c>
      <c r="K168" s="9" t="n">
        <f aca="false">F168-G168</f>
        <v>2</v>
      </c>
      <c r="L168" s="9" t="n">
        <f aca="false">COUNTIFS(JE_Lines!$B$5:$B$1733,A168,JE_Lines!$F$5:$F$1733,"Revenue")</f>
        <v>0</v>
      </c>
      <c r="M168" s="9" t="n">
        <f aca="false">COUNTIFS(JE_Lines!$B$5:$B$1733,A168,JE_Lines!$F$5:$F$1733,"Suspense")</f>
        <v>0</v>
      </c>
      <c r="N168" s="9" t="n">
        <f aca="false">IF(ABS(E168)&gt;Parameters!$B$23,1,0)</f>
        <v>0</v>
      </c>
      <c r="O168" s="9" t="n">
        <f aca="false">IF(WEEKDAY(F168,2)&gt;5,1,0)</f>
        <v>0</v>
      </c>
      <c r="P168" s="9" t="n">
        <f aca="false">IF(K168&gt;Parameters!$B$17,1,0)</f>
        <v>0</v>
      </c>
      <c r="Q168" s="9" t="n">
        <f aca="false">IF(AND(F168&lt;=Parameters!$B$6,F168&gt;Parameters!$B$6-Parameters!$B$18),1,0)</f>
        <v>0</v>
      </c>
      <c r="R168" s="9" t="n">
        <f aca="false">IF(COUNTIF(Parameters!$A$51:$A$58,H168)=0,1,0)</f>
        <v>0</v>
      </c>
      <c r="S168" s="9" t="n">
        <f aca="false">IF(AND(I168="Manual",L168&gt;0),1,0)</f>
        <v>0</v>
      </c>
      <c r="T168" s="9" t="n">
        <f aca="false">IF(AND(C168&gt;=Parameters!$B$22,ROUND(MOD(ROUND(C168,2),Parameters!$B$21),2)=0),1,0)</f>
        <v>0</v>
      </c>
      <c r="U168" s="9" t="n">
        <f aca="false">IF(LEN(TRIM(J168))=0,1,0)</f>
        <v>0</v>
      </c>
      <c r="V168" s="9" t="n">
        <f aca="false">IF(AND(I168="Manual",C168&lt;Parameters!$B$19,C168&gt;=Parameters!$B$19*(1-Parameters!$B$20)),1,0)</f>
        <v>0</v>
      </c>
      <c r="W168" s="9" t="n">
        <f aca="false">IF(AND(I168="Manual",M168&gt;0),1,0)</f>
        <v>0</v>
      </c>
      <c r="X168" s="9" t="n">
        <f aca="false">IF(A168-A167&gt;1,1,0)</f>
        <v>0</v>
      </c>
      <c r="Y168" s="9" t="n">
        <f aca="false">N168*Parameters!$B$38+O168*Parameters!$B$39+P168*Parameters!$B$40+Q168*Parameters!$B$41+R168*Parameters!$B$42+S168*Parameters!$B$43+T168*Parameters!$B$44+U168*Parameters!$B$45+V168*Parameters!$B$46+W168*Parameters!$B$47+X168*Parameters!$B$48</f>
        <v>0</v>
      </c>
      <c r="Z168" s="0" t="str">
        <f aca="false">IF(Y168&gt;=Parameters!$B$25,"High","")</f>
        <v/>
      </c>
    </row>
    <row r="169" customFormat="false" ht="15" hidden="false" customHeight="false" outlineLevel="0" collapsed="false">
      <c r="A169" s="16" t="n">
        <v>1169</v>
      </c>
      <c r="B169" s="9" t="n">
        <f aca="false">COUNTIF(JE_Lines!$B$5:$B$1733,A169)</f>
        <v>3</v>
      </c>
      <c r="C169" s="17" t="n">
        <f aca="false">SUMIFS(JE_Lines!$G$5:$G$1733,JE_Lines!$B$5:$B$1733,A169)</f>
        <v>148963.93</v>
      </c>
      <c r="D169" s="17" t="n">
        <f aca="false">SUMIFS(JE_Lines!$H$5:$H$1733,JE_Lines!$B$5:$B$1733,A169)</f>
        <v>148963.93</v>
      </c>
      <c r="E169" s="17" t="n">
        <f aca="false">C169-D169</f>
        <v>0</v>
      </c>
      <c r="F169" s="18" t="n">
        <f aca="false">INDEX(JE_Lines!$C$5:$C$1733,MATCH(A169,JE_Lines!$B$5:$B$1733,0))</f>
        <v>45727</v>
      </c>
      <c r="G169" s="18" t="n">
        <f aca="false">INDEX(JE_Lines!$D$5:$D$1733,MATCH(A169,JE_Lines!$B$5:$B$1733,0))</f>
        <v>45723</v>
      </c>
      <c r="H169" s="0" t="str">
        <f aca="false">INDEX(JE_Lines!$I$5:$I$1733,MATCH(A169,JE_Lines!$B$5:$B$1733,0))</f>
        <v>SYS_AR</v>
      </c>
      <c r="I169" s="0" t="str">
        <f aca="false">INDEX(JE_Lines!$J$5:$J$1733,MATCH(A169,JE_Lines!$B$5:$B$1733,0))</f>
        <v>System</v>
      </c>
      <c r="J169" s="0" t="str">
        <f aca="false">IF(LEN(INDEX(JE_Lines!$K$5:$K$1733,MATCH(A169,JE_Lines!$B$5:$B$1733,0)))=0,"",INDEX(JE_Lines!$K$5:$K$1733,MATCH(A169,JE_Lines!$B$5:$B$1733,0)))</f>
        <v>Customer receipts</v>
      </c>
      <c r="K169" s="9" t="n">
        <f aca="false">F169-G169</f>
        <v>4</v>
      </c>
      <c r="L169" s="9" t="n">
        <f aca="false">COUNTIFS(JE_Lines!$B$5:$B$1733,A169,JE_Lines!$F$5:$F$1733,"Revenue")</f>
        <v>0</v>
      </c>
      <c r="M169" s="9" t="n">
        <f aca="false">COUNTIFS(JE_Lines!$B$5:$B$1733,A169,JE_Lines!$F$5:$F$1733,"Suspense")</f>
        <v>0</v>
      </c>
      <c r="N169" s="9" t="n">
        <f aca="false">IF(ABS(E169)&gt;Parameters!$B$23,1,0)</f>
        <v>0</v>
      </c>
      <c r="O169" s="9" t="n">
        <f aca="false">IF(WEEKDAY(F169,2)&gt;5,1,0)</f>
        <v>0</v>
      </c>
      <c r="P169" s="9" t="n">
        <f aca="false">IF(K169&gt;Parameters!$B$17,1,0)</f>
        <v>0</v>
      </c>
      <c r="Q169" s="9" t="n">
        <f aca="false">IF(AND(F169&lt;=Parameters!$B$6,F169&gt;Parameters!$B$6-Parameters!$B$18),1,0)</f>
        <v>0</v>
      </c>
      <c r="R169" s="9" t="n">
        <f aca="false">IF(COUNTIF(Parameters!$A$51:$A$58,H169)=0,1,0)</f>
        <v>0</v>
      </c>
      <c r="S169" s="9" t="n">
        <f aca="false">IF(AND(I169="Manual",L169&gt;0),1,0)</f>
        <v>0</v>
      </c>
      <c r="T169" s="9" t="n">
        <f aca="false">IF(AND(C169&gt;=Parameters!$B$22,ROUND(MOD(ROUND(C169,2),Parameters!$B$21),2)=0),1,0)</f>
        <v>0</v>
      </c>
      <c r="U169" s="9" t="n">
        <f aca="false">IF(LEN(TRIM(J169))=0,1,0)</f>
        <v>0</v>
      </c>
      <c r="V169" s="9" t="n">
        <f aca="false">IF(AND(I169="Manual",C169&lt;Parameters!$B$19,C169&gt;=Parameters!$B$19*(1-Parameters!$B$20)),1,0)</f>
        <v>0</v>
      </c>
      <c r="W169" s="9" t="n">
        <f aca="false">IF(AND(I169="Manual",M169&gt;0),1,0)</f>
        <v>0</v>
      </c>
      <c r="X169" s="9" t="n">
        <f aca="false">IF(A169-A168&gt;1,1,0)</f>
        <v>0</v>
      </c>
      <c r="Y169" s="9" t="n">
        <f aca="false">N169*Parameters!$B$38+O169*Parameters!$B$39+P169*Parameters!$B$40+Q169*Parameters!$B$41+R169*Parameters!$B$42+S169*Parameters!$B$43+T169*Parameters!$B$44+U169*Parameters!$B$45+V169*Parameters!$B$46+W169*Parameters!$B$47+X169*Parameters!$B$48</f>
        <v>0</v>
      </c>
      <c r="Z169" s="0" t="str">
        <f aca="false">IF(Y169&gt;=Parameters!$B$25,"High","")</f>
        <v/>
      </c>
    </row>
    <row r="170" customFormat="false" ht="15" hidden="false" customHeight="false" outlineLevel="0" collapsed="false">
      <c r="A170" s="16" t="n">
        <v>1170</v>
      </c>
      <c r="B170" s="9" t="n">
        <f aca="false">COUNTIF(JE_Lines!$B$5:$B$1733,A170)</f>
        <v>3</v>
      </c>
      <c r="C170" s="17" t="n">
        <f aca="false">SUMIFS(JE_Lines!$G$5:$G$1733,JE_Lines!$B$5:$B$1733,A170)</f>
        <v>14745.57</v>
      </c>
      <c r="D170" s="17" t="n">
        <f aca="false">SUMIFS(JE_Lines!$H$5:$H$1733,JE_Lines!$B$5:$B$1733,A170)</f>
        <v>14745.57</v>
      </c>
      <c r="E170" s="17" t="n">
        <f aca="false">C170-D170</f>
        <v>0</v>
      </c>
      <c r="F170" s="18" t="n">
        <f aca="false">INDEX(JE_Lines!$C$5:$C$1733,MATCH(A170,JE_Lines!$B$5:$B$1733,0))</f>
        <v>45727</v>
      </c>
      <c r="G170" s="18" t="n">
        <f aca="false">INDEX(JE_Lines!$D$5:$D$1733,MATCH(A170,JE_Lines!$B$5:$B$1733,0))</f>
        <v>45727</v>
      </c>
      <c r="H170" s="0" t="str">
        <f aca="false">INDEX(JE_Lines!$I$5:$I$1733,MATCH(A170,JE_Lines!$B$5:$B$1733,0))</f>
        <v>SYS_PAY</v>
      </c>
      <c r="I170" s="0" t="str">
        <f aca="false">INDEX(JE_Lines!$J$5:$J$1733,MATCH(A170,JE_Lines!$B$5:$B$1733,0))</f>
        <v>System</v>
      </c>
      <c r="J170" s="0" t="str">
        <f aca="false">IF(LEN(INDEX(JE_Lines!$K$5:$K$1733,MATCH(A170,JE_Lines!$B$5:$B$1733,0)))=0,"",INDEX(JE_Lines!$K$5:$K$1733,MATCH(A170,JE_Lines!$B$5:$B$1733,0)))</f>
        <v>Supplier payments</v>
      </c>
      <c r="K170" s="9" t="n">
        <f aca="false">F170-G170</f>
        <v>0</v>
      </c>
      <c r="L170" s="9" t="n">
        <f aca="false">COUNTIFS(JE_Lines!$B$5:$B$1733,A170,JE_Lines!$F$5:$F$1733,"Revenue")</f>
        <v>0</v>
      </c>
      <c r="M170" s="9" t="n">
        <f aca="false">COUNTIFS(JE_Lines!$B$5:$B$1733,A170,JE_Lines!$F$5:$F$1733,"Suspense")</f>
        <v>0</v>
      </c>
      <c r="N170" s="9" t="n">
        <f aca="false">IF(ABS(E170)&gt;Parameters!$B$23,1,0)</f>
        <v>0</v>
      </c>
      <c r="O170" s="9" t="n">
        <f aca="false">IF(WEEKDAY(F170,2)&gt;5,1,0)</f>
        <v>0</v>
      </c>
      <c r="P170" s="9" t="n">
        <f aca="false">IF(K170&gt;Parameters!$B$17,1,0)</f>
        <v>0</v>
      </c>
      <c r="Q170" s="9" t="n">
        <f aca="false">IF(AND(F170&lt;=Parameters!$B$6,F170&gt;Parameters!$B$6-Parameters!$B$18),1,0)</f>
        <v>0</v>
      </c>
      <c r="R170" s="9" t="n">
        <f aca="false">IF(COUNTIF(Parameters!$A$51:$A$58,H170)=0,1,0)</f>
        <v>0</v>
      </c>
      <c r="S170" s="9" t="n">
        <f aca="false">IF(AND(I170="Manual",L170&gt;0),1,0)</f>
        <v>0</v>
      </c>
      <c r="T170" s="9" t="n">
        <f aca="false">IF(AND(C170&gt;=Parameters!$B$22,ROUND(MOD(ROUND(C170,2),Parameters!$B$21),2)=0),1,0)</f>
        <v>0</v>
      </c>
      <c r="U170" s="9" t="n">
        <f aca="false">IF(LEN(TRIM(J170))=0,1,0)</f>
        <v>0</v>
      </c>
      <c r="V170" s="9" t="n">
        <f aca="false">IF(AND(I170="Manual",C170&lt;Parameters!$B$19,C170&gt;=Parameters!$B$19*(1-Parameters!$B$20)),1,0)</f>
        <v>0</v>
      </c>
      <c r="W170" s="9" t="n">
        <f aca="false">IF(AND(I170="Manual",M170&gt;0),1,0)</f>
        <v>0</v>
      </c>
      <c r="X170" s="9" t="n">
        <f aca="false">IF(A170-A169&gt;1,1,0)</f>
        <v>0</v>
      </c>
      <c r="Y170" s="9" t="n">
        <f aca="false">N170*Parameters!$B$38+O170*Parameters!$B$39+P170*Parameters!$B$40+Q170*Parameters!$B$41+R170*Parameters!$B$42+S170*Parameters!$B$43+T170*Parameters!$B$44+U170*Parameters!$B$45+V170*Parameters!$B$46+W170*Parameters!$B$47+X170*Parameters!$B$48</f>
        <v>0</v>
      </c>
      <c r="Z170" s="0" t="str">
        <f aca="false">IF(Y170&gt;=Parameters!$B$25,"High","")</f>
        <v/>
      </c>
    </row>
    <row r="171" customFormat="false" ht="15" hidden="false" customHeight="false" outlineLevel="0" collapsed="false">
      <c r="A171" s="16" t="n">
        <v>1171</v>
      </c>
      <c r="B171" s="9" t="n">
        <f aca="false">COUNTIF(JE_Lines!$B$5:$B$1733,A171)</f>
        <v>2</v>
      </c>
      <c r="C171" s="17" t="n">
        <f aca="false">SUMIFS(JE_Lines!$G$5:$G$1733,JE_Lines!$B$5:$B$1733,A171)</f>
        <v>1353.28</v>
      </c>
      <c r="D171" s="17" t="n">
        <f aca="false">SUMIFS(JE_Lines!$H$5:$H$1733,JE_Lines!$B$5:$B$1733,A171)</f>
        <v>1353.28</v>
      </c>
      <c r="E171" s="17" t="n">
        <f aca="false">C171-D171</f>
        <v>0</v>
      </c>
      <c r="F171" s="18" t="n">
        <f aca="false">INDEX(JE_Lines!$C$5:$C$1733,MATCH(A171,JE_Lines!$B$5:$B$1733,0))</f>
        <v>45727</v>
      </c>
      <c r="G171" s="18" t="n">
        <f aca="false">INDEX(JE_Lines!$D$5:$D$1733,MATCH(A171,JE_Lines!$B$5:$B$1733,0))</f>
        <v>45723</v>
      </c>
      <c r="H171" s="0" t="str">
        <f aca="false">INDEX(JE_Lines!$I$5:$I$1733,MATCH(A171,JE_Lines!$B$5:$B$1733,0))</f>
        <v>SYS_AR</v>
      </c>
      <c r="I171" s="0" t="str">
        <f aca="false">INDEX(JE_Lines!$J$5:$J$1733,MATCH(A171,JE_Lines!$B$5:$B$1733,0))</f>
        <v>System</v>
      </c>
      <c r="J171" s="0" t="str">
        <f aca="false">IF(LEN(INDEX(JE_Lines!$K$5:$K$1733,MATCH(A171,JE_Lines!$B$5:$B$1733,0)))=0,"",INDEX(JE_Lines!$K$5:$K$1733,MATCH(A171,JE_Lines!$B$5:$B$1733,0)))</f>
        <v>Sales invoice batch</v>
      </c>
      <c r="K171" s="9" t="n">
        <f aca="false">F171-G171</f>
        <v>4</v>
      </c>
      <c r="L171" s="9" t="n">
        <f aca="false">COUNTIFS(JE_Lines!$B$5:$B$1733,A171,JE_Lines!$F$5:$F$1733,"Revenue")</f>
        <v>1</v>
      </c>
      <c r="M171" s="9" t="n">
        <f aca="false">COUNTIFS(JE_Lines!$B$5:$B$1733,A171,JE_Lines!$F$5:$F$1733,"Suspense")</f>
        <v>0</v>
      </c>
      <c r="N171" s="9" t="n">
        <f aca="false">IF(ABS(E171)&gt;Parameters!$B$23,1,0)</f>
        <v>0</v>
      </c>
      <c r="O171" s="9" t="n">
        <f aca="false">IF(WEEKDAY(F171,2)&gt;5,1,0)</f>
        <v>0</v>
      </c>
      <c r="P171" s="9" t="n">
        <f aca="false">IF(K171&gt;Parameters!$B$17,1,0)</f>
        <v>0</v>
      </c>
      <c r="Q171" s="9" t="n">
        <f aca="false">IF(AND(F171&lt;=Parameters!$B$6,F171&gt;Parameters!$B$6-Parameters!$B$18),1,0)</f>
        <v>0</v>
      </c>
      <c r="R171" s="9" t="n">
        <f aca="false">IF(COUNTIF(Parameters!$A$51:$A$58,H171)=0,1,0)</f>
        <v>0</v>
      </c>
      <c r="S171" s="9" t="n">
        <f aca="false">IF(AND(I171="Manual",L171&gt;0),1,0)</f>
        <v>0</v>
      </c>
      <c r="T171" s="9" t="n">
        <f aca="false">IF(AND(C171&gt;=Parameters!$B$22,ROUND(MOD(ROUND(C171,2),Parameters!$B$21),2)=0),1,0)</f>
        <v>0</v>
      </c>
      <c r="U171" s="9" t="n">
        <f aca="false">IF(LEN(TRIM(J171))=0,1,0)</f>
        <v>0</v>
      </c>
      <c r="V171" s="9" t="n">
        <f aca="false">IF(AND(I171="Manual",C171&lt;Parameters!$B$19,C171&gt;=Parameters!$B$19*(1-Parameters!$B$20)),1,0)</f>
        <v>0</v>
      </c>
      <c r="W171" s="9" t="n">
        <f aca="false">IF(AND(I171="Manual",M171&gt;0),1,0)</f>
        <v>0</v>
      </c>
      <c r="X171" s="9" t="n">
        <f aca="false">IF(A171-A170&gt;1,1,0)</f>
        <v>0</v>
      </c>
      <c r="Y171" s="9" t="n">
        <f aca="false">N171*Parameters!$B$38+O171*Parameters!$B$39+P171*Parameters!$B$40+Q171*Parameters!$B$41+R171*Parameters!$B$42+S171*Parameters!$B$43+T171*Parameters!$B$44+U171*Parameters!$B$45+V171*Parameters!$B$46+W171*Parameters!$B$47+X171*Parameters!$B$48</f>
        <v>0</v>
      </c>
      <c r="Z171" s="0" t="str">
        <f aca="false">IF(Y171&gt;=Parameters!$B$25,"High","")</f>
        <v/>
      </c>
    </row>
    <row r="172" customFormat="false" ht="15" hidden="false" customHeight="false" outlineLevel="0" collapsed="false">
      <c r="A172" s="16" t="n">
        <v>1172</v>
      </c>
      <c r="B172" s="9" t="n">
        <f aca="false">COUNTIF(JE_Lines!$B$5:$B$1733,A172)</f>
        <v>2</v>
      </c>
      <c r="C172" s="17" t="n">
        <f aca="false">SUMIFS(JE_Lines!$G$5:$G$1733,JE_Lines!$B$5:$B$1733,A172)</f>
        <v>3459.68</v>
      </c>
      <c r="D172" s="17" t="n">
        <f aca="false">SUMIFS(JE_Lines!$H$5:$H$1733,JE_Lines!$B$5:$B$1733,A172)</f>
        <v>3459.68</v>
      </c>
      <c r="E172" s="17" t="n">
        <f aca="false">C172-D172</f>
        <v>0</v>
      </c>
      <c r="F172" s="18" t="n">
        <f aca="false">INDEX(JE_Lines!$C$5:$C$1733,MATCH(A172,JE_Lines!$B$5:$B$1733,0))</f>
        <v>45727</v>
      </c>
      <c r="G172" s="18" t="n">
        <f aca="false">INDEX(JE_Lines!$D$5:$D$1733,MATCH(A172,JE_Lines!$B$5:$B$1733,0))</f>
        <v>45726</v>
      </c>
      <c r="H172" s="0" t="str">
        <f aca="false">INDEX(JE_Lines!$I$5:$I$1733,MATCH(A172,JE_Lines!$B$5:$B$1733,0))</f>
        <v>SYS_PAY</v>
      </c>
      <c r="I172" s="0" t="str">
        <f aca="false">INDEX(JE_Lines!$J$5:$J$1733,MATCH(A172,JE_Lines!$B$5:$B$1733,0))</f>
        <v>System</v>
      </c>
      <c r="J172" s="0" t="str">
        <f aca="false">IF(LEN(INDEX(JE_Lines!$K$5:$K$1733,MATCH(A172,JE_Lines!$B$5:$B$1733,0)))=0,"",INDEX(JE_Lines!$K$5:$K$1733,MATCH(A172,JE_Lines!$B$5:$B$1733,0)))</f>
        <v>Supplier payments</v>
      </c>
      <c r="K172" s="9" t="n">
        <f aca="false">F172-G172</f>
        <v>1</v>
      </c>
      <c r="L172" s="9" t="n">
        <f aca="false">COUNTIFS(JE_Lines!$B$5:$B$1733,A172,JE_Lines!$F$5:$F$1733,"Revenue")</f>
        <v>0</v>
      </c>
      <c r="M172" s="9" t="n">
        <f aca="false">COUNTIFS(JE_Lines!$B$5:$B$1733,A172,JE_Lines!$F$5:$F$1733,"Suspense")</f>
        <v>0</v>
      </c>
      <c r="N172" s="9" t="n">
        <f aca="false">IF(ABS(E172)&gt;Parameters!$B$23,1,0)</f>
        <v>0</v>
      </c>
      <c r="O172" s="9" t="n">
        <f aca="false">IF(WEEKDAY(F172,2)&gt;5,1,0)</f>
        <v>0</v>
      </c>
      <c r="P172" s="9" t="n">
        <f aca="false">IF(K172&gt;Parameters!$B$17,1,0)</f>
        <v>0</v>
      </c>
      <c r="Q172" s="9" t="n">
        <f aca="false">IF(AND(F172&lt;=Parameters!$B$6,F172&gt;Parameters!$B$6-Parameters!$B$18),1,0)</f>
        <v>0</v>
      </c>
      <c r="R172" s="9" t="n">
        <f aca="false">IF(COUNTIF(Parameters!$A$51:$A$58,H172)=0,1,0)</f>
        <v>0</v>
      </c>
      <c r="S172" s="9" t="n">
        <f aca="false">IF(AND(I172="Manual",L172&gt;0),1,0)</f>
        <v>0</v>
      </c>
      <c r="T172" s="9" t="n">
        <f aca="false">IF(AND(C172&gt;=Parameters!$B$22,ROUND(MOD(ROUND(C172,2),Parameters!$B$21),2)=0),1,0)</f>
        <v>0</v>
      </c>
      <c r="U172" s="9" t="n">
        <f aca="false">IF(LEN(TRIM(J172))=0,1,0)</f>
        <v>0</v>
      </c>
      <c r="V172" s="9" t="n">
        <f aca="false">IF(AND(I172="Manual",C172&lt;Parameters!$B$19,C172&gt;=Parameters!$B$19*(1-Parameters!$B$20)),1,0)</f>
        <v>0</v>
      </c>
      <c r="W172" s="9" t="n">
        <f aca="false">IF(AND(I172="Manual",M172&gt;0),1,0)</f>
        <v>0</v>
      </c>
      <c r="X172" s="9" t="n">
        <f aca="false">IF(A172-A171&gt;1,1,0)</f>
        <v>0</v>
      </c>
      <c r="Y172" s="9" t="n">
        <f aca="false">N172*Parameters!$B$38+O172*Parameters!$B$39+P172*Parameters!$B$40+Q172*Parameters!$B$41+R172*Parameters!$B$42+S172*Parameters!$B$43+T172*Parameters!$B$44+U172*Parameters!$B$45+V172*Parameters!$B$46+W172*Parameters!$B$47+X172*Parameters!$B$48</f>
        <v>0</v>
      </c>
      <c r="Z172" s="0" t="str">
        <f aca="false">IF(Y172&gt;=Parameters!$B$25,"High","")</f>
        <v/>
      </c>
    </row>
    <row r="173" customFormat="false" ht="15" hidden="false" customHeight="false" outlineLevel="0" collapsed="false">
      <c r="A173" s="16" t="n">
        <v>1173</v>
      </c>
      <c r="B173" s="9" t="n">
        <f aca="false">COUNTIF(JE_Lines!$B$5:$B$1733,A173)</f>
        <v>2</v>
      </c>
      <c r="C173" s="17" t="n">
        <f aca="false">SUMIFS(JE_Lines!$G$5:$G$1733,JE_Lines!$B$5:$B$1733,A173)</f>
        <v>36198.26</v>
      </c>
      <c r="D173" s="17" t="n">
        <f aca="false">SUMIFS(JE_Lines!$H$5:$H$1733,JE_Lines!$B$5:$B$1733,A173)</f>
        <v>36198.26</v>
      </c>
      <c r="E173" s="17" t="n">
        <f aca="false">C173-D173</f>
        <v>0</v>
      </c>
      <c r="F173" s="18" t="n">
        <f aca="false">INDEX(JE_Lines!$C$5:$C$1733,MATCH(A173,JE_Lines!$B$5:$B$1733,0))</f>
        <v>45728</v>
      </c>
      <c r="G173" s="18" t="n">
        <f aca="false">INDEX(JE_Lines!$D$5:$D$1733,MATCH(A173,JE_Lines!$B$5:$B$1733,0))</f>
        <v>45724</v>
      </c>
      <c r="H173" s="0" t="str">
        <f aca="false">INDEX(JE_Lines!$I$5:$I$1733,MATCH(A173,JE_Lines!$B$5:$B$1733,0))</f>
        <v>SYS_AP</v>
      </c>
      <c r="I173" s="0" t="str">
        <f aca="false">INDEX(JE_Lines!$J$5:$J$1733,MATCH(A173,JE_Lines!$B$5:$B$1733,0))</f>
        <v>System</v>
      </c>
      <c r="J173" s="0" t="str">
        <f aca="false">IF(LEN(INDEX(JE_Lines!$K$5:$K$1733,MATCH(A173,JE_Lines!$B$5:$B$1733,0)))=0,"",INDEX(JE_Lines!$K$5:$K$1733,MATCH(A173,JE_Lines!$B$5:$B$1733,0)))</f>
        <v>Supplier invoices</v>
      </c>
      <c r="K173" s="9" t="n">
        <f aca="false">F173-G173</f>
        <v>4</v>
      </c>
      <c r="L173" s="9" t="n">
        <f aca="false">COUNTIFS(JE_Lines!$B$5:$B$1733,A173,JE_Lines!$F$5:$F$1733,"Revenue")</f>
        <v>0</v>
      </c>
      <c r="M173" s="9" t="n">
        <f aca="false">COUNTIFS(JE_Lines!$B$5:$B$1733,A173,JE_Lines!$F$5:$F$1733,"Suspense")</f>
        <v>0</v>
      </c>
      <c r="N173" s="9" t="n">
        <f aca="false">IF(ABS(E173)&gt;Parameters!$B$23,1,0)</f>
        <v>0</v>
      </c>
      <c r="O173" s="9" t="n">
        <f aca="false">IF(WEEKDAY(F173,2)&gt;5,1,0)</f>
        <v>0</v>
      </c>
      <c r="P173" s="9" t="n">
        <f aca="false">IF(K173&gt;Parameters!$B$17,1,0)</f>
        <v>0</v>
      </c>
      <c r="Q173" s="9" t="n">
        <f aca="false">IF(AND(F173&lt;=Parameters!$B$6,F173&gt;Parameters!$B$6-Parameters!$B$18),1,0)</f>
        <v>0</v>
      </c>
      <c r="R173" s="9" t="n">
        <f aca="false">IF(COUNTIF(Parameters!$A$51:$A$58,H173)=0,1,0)</f>
        <v>0</v>
      </c>
      <c r="S173" s="9" t="n">
        <f aca="false">IF(AND(I173="Manual",L173&gt;0),1,0)</f>
        <v>0</v>
      </c>
      <c r="T173" s="9" t="n">
        <f aca="false">IF(AND(C173&gt;=Parameters!$B$22,ROUND(MOD(ROUND(C173,2),Parameters!$B$21),2)=0),1,0)</f>
        <v>0</v>
      </c>
      <c r="U173" s="9" t="n">
        <f aca="false">IF(LEN(TRIM(J173))=0,1,0)</f>
        <v>0</v>
      </c>
      <c r="V173" s="9" t="n">
        <f aca="false">IF(AND(I173="Manual",C173&lt;Parameters!$B$19,C173&gt;=Parameters!$B$19*(1-Parameters!$B$20)),1,0)</f>
        <v>0</v>
      </c>
      <c r="W173" s="9" t="n">
        <f aca="false">IF(AND(I173="Manual",M173&gt;0),1,0)</f>
        <v>0</v>
      </c>
      <c r="X173" s="9" t="n">
        <f aca="false">IF(A173-A172&gt;1,1,0)</f>
        <v>0</v>
      </c>
      <c r="Y173" s="9" t="n">
        <f aca="false">N173*Parameters!$B$38+O173*Parameters!$B$39+P173*Parameters!$B$40+Q173*Parameters!$B$41+R173*Parameters!$B$42+S173*Parameters!$B$43+T173*Parameters!$B$44+U173*Parameters!$B$45+V173*Parameters!$B$46+W173*Parameters!$B$47+X173*Parameters!$B$48</f>
        <v>0</v>
      </c>
      <c r="Z173" s="0" t="str">
        <f aca="false">IF(Y173&gt;=Parameters!$B$25,"High","")</f>
        <v/>
      </c>
    </row>
    <row r="174" customFormat="false" ht="15" hidden="false" customHeight="false" outlineLevel="0" collapsed="false">
      <c r="A174" s="16" t="n">
        <v>1174</v>
      </c>
      <c r="B174" s="9" t="n">
        <f aca="false">COUNTIF(JE_Lines!$B$5:$B$1733,A174)</f>
        <v>2</v>
      </c>
      <c r="C174" s="17" t="n">
        <f aca="false">SUMIFS(JE_Lines!$G$5:$G$1733,JE_Lines!$B$5:$B$1733,A174)</f>
        <v>56453.33</v>
      </c>
      <c r="D174" s="17" t="n">
        <f aca="false">SUMIFS(JE_Lines!$H$5:$H$1733,JE_Lines!$B$5:$B$1733,A174)</f>
        <v>56453.33</v>
      </c>
      <c r="E174" s="17" t="n">
        <f aca="false">C174-D174</f>
        <v>0</v>
      </c>
      <c r="F174" s="18" t="n">
        <f aca="false">INDEX(JE_Lines!$C$5:$C$1733,MATCH(A174,JE_Lines!$B$5:$B$1733,0))</f>
        <v>45728</v>
      </c>
      <c r="G174" s="18" t="n">
        <f aca="false">INDEX(JE_Lines!$D$5:$D$1733,MATCH(A174,JE_Lines!$B$5:$B$1733,0))</f>
        <v>45724</v>
      </c>
      <c r="H174" s="0" t="str">
        <f aca="false">INDEX(JE_Lines!$I$5:$I$1733,MATCH(A174,JE_Lines!$B$5:$B$1733,0))</f>
        <v>SYS_AP</v>
      </c>
      <c r="I174" s="0" t="str">
        <f aca="false">INDEX(JE_Lines!$J$5:$J$1733,MATCH(A174,JE_Lines!$B$5:$B$1733,0))</f>
        <v>System</v>
      </c>
      <c r="J174" s="0" t="str">
        <f aca="false">IF(LEN(INDEX(JE_Lines!$K$5:$K$1733,MATCH(A174,JE_Lines!$B$5:$B$1733,0)))=0,"",INDEX(JE_Lines!$K$5:$K$1733,MATCH(A174,JE_Lines!$B$5:$B$1733,0)))</f>
        <v>Supplier invoices</v>
      </c>
      <c r="K174" s="9" t="n">
        <f aca="false">F174-G174</f>
        <v>4</v>
      </c>
      <c r="L174" s="9" t="n">
        <f aca="false">COUNTIFS(JE_Lines!$B$5:$B$1733,A174,JE_Lines!$F$5:$F$1733,"Revenue")</f>
        <v>0</v>
      </c>
      <c r="M174" s="9" t="n">
        <f aca="false">COUNTIFS(JE_Lines!$B$5:$B$1733,A174,JE_Lines!$F$5:$F$1733,"Suspense")</f>
        <v>0</v>
      </c>
      <c r="N174" s="9" t="n">
        <f aca="false">IF(ABS(E174)&gt;Parameters!$B$23,1,0)</f>
        <v>0</v>
      </c>
      <c r="O174" s="9" t="n">
        <f aca="false">IF(WEEKDAY(F174,2)&gt;5,1,0)</f>
        <v>0</v>
      </c>
      <c r="P174" s="9" t="n">
        <f aca="false">IF(K174&gt;Parameters!$B$17,1,0)</f>
        <v>0</v>
      </c>
      <c r="Q174" s="9" t="n">
        <f aca="false">IF(AND(F174&lt;=Parameters!$B$6,F174&gt;Parameters!$B$6-Parameters!$B$18),1,0)</f>
        <v>0</v>
      </c>
      <c r="R174" s="9" t="n">
        <f aca="false">IF(COUNTIF(Parameters!$A$51:$A$58,H174)=0,1,0)</f>
        <v>0</v>
      </c>
      <c r="S174" s="9" t="n">
        <f aca="false">IF(AND(I174="Manual",L174&gt;0),1,0)</f>
        <v>0</v>
      </c>
      <c r="T174" s="9" t="n">
        <f aca="false">IF(AND(C174&gt;=Parameters!$B$22,ROUND(MOD(ROUND(C174,2),Parameters!$B$21),2)=0),1,0)</f>
        <v>0</v>
      </c>
      <c r="U174" s="9" t="n">
        <f aca="false">IF(LEN(TRIM(J174))=0,1,0)</f>
        <v>0</v>
      </c>
      <c r="V174" s="9" t="n">
        <f aca="false">IF(AND(I174="Manual",C174&lt;Parameters!$B$19,C174&gt;=Parameters!$B$19*(1-Parameters!$B$20)),1,0)</f>
        <v>0</v>
      </c>
      <c r="W174" s="9" t="n">
        <f aca="false">IF(AND(I174="Manual",M174&gt;0),1,0)</f>
        <v>0</v>
      </c>
      <c r="X174" s="9" t="n">
        <f aca="false">IF(A174-A173&gt;1,1,0)</f>
        <v>0</v>
      </c>
      <c r="Y174" s="9" t="n">
        <f aca="false">N174*Parameters!$B$38+O174*Parameters!$B$39+P174*Parameters!$B$40+Q174*Parameters!$B$41+R174*Parameters!$B$42+S174*Parameters!$B$43+T174*Parameters!$B$44+U174*Parameters!$B$45+V174*Parameters!$B$46+W174*Parameters!$B$47+X174*Parameters!$B$48</f>
        <v>0</v>
      </c>
      <c r="Z174" s="0" t="str">
        <f aca="false">IF(Y174&gt;=Parameters!$B$25,"High","")</f>
        <v/>
      </c>
    </row>
    <row r="175" customFormat="false" ht="15" hidden="false" customHeight="false" outlineLevel="0" collapsed="false">
      <c r="A175" s="16" t="n">
        <v>1175</v>
      </c>
      <c r="B175" s="9" t="n">
        <f aca="false">COUNTIF(JE_Lines!$B$5:$B$1733,A175)</f>
        <v>2</v>
      </c>
      <c r="C175" s="17" t="n">
        <f aca="false">SUMIFS(JE_Lines!$G$5:$G$1733,JE_Lines!$B$5:$B$1733,A175)</f>
        <v>3504.34</v>
      </c>
      <c r="D175" s="17" t="n">
        <f aca="false">SUMIFS(JE_Lines!$H$5:$H$1733,JE_Lines!$B$5:$B$1733,A175)</f>
        <v>3504.34</v>
      </c>
      <c r="E175" s="17" t="n">
        <f aca="false">C175-D175</f>
        <v>0</v>
      </c>
      <c r="F175" s="18" t="n">
        <f aca="false">INDEX(JE_Lines!$C$5:$C$1733,MATCH(A175,JE_Lines!$B$5:$B$1733,0))</f>
        <v>45728</v>
      </c>
      <c r="G175" s="18" t="n">
        <f aca="false">INDEX(JE_Lines!$D$5:$D$1733,MATCH(A175,JE_Lines!$B$5:$B$1733,0))</f>
        <v>45728</v>
      </c>
      <c r="H175" s="0" t="str">
        <f aca="false">INDEX(JE_Lines!$I$5:$I$1733,MATCH(A175,JE_Lines!$B$5:$B$1733,0))</f>
        <v>SYS_AP</v>
      </c>
      <c r="I175" s="0" t="str">
        <f aca="false">INDEX(JE_Lines!$J$5:$J$1733,MATCH(A175,JE_Lines!$B$5:$B$1733,0))</f>
        <v>System</v>
      </c>
      <c r="J175" s="0" t="str">
        <f aca="false">IF(LEN(INDEX(JE_Lines!$K$5:$K$1733,MATCH(A175,JE_Lines!$B$5:$B$1733,0)))=0,"",INDEX(JE_Lines!$K$5:$K$1733,MATCH(A175,JE_Lines!$B$5:$B$1733,0)))</f>
        <v>Supplier invoices</v>
      </c>
      <c r="K175" s="9" t="n">
        <f aca="false">F175-G175</f>
        <v>0</v>
      </c>
      <c r="L175" s="9" t="n">
        <f aca="false">COUNTIFS(JE_Lines!$B$5:$B$1733,A175,JE_Lines!$F$5:$F$1733,"Revenue")</f>
        <v>0</v>
      </c>
      <c r="M175" s="9" t="n">
        <f aca="false">COUNTIFS(JE_Lines!$B$5:$B$1733,A175,JE_Lines!$F$5:$F$1733,"Suspense")</f>
        <v>0</v>
      </c>
      <c r="N175" s="9" t="n">
        <f aca="false">IF(ABS(E175)&gt;Parameters!$B$23,1,0)</f>
        <v>0</v>
      </c>
      <c r="O175" s="9" t="n">
        <f aca="false">IF(WEEKDAY(F175,2)&gt;5,1,0)</f>
        <v>0</v>
      </c>
      <c r="P175" s="9" t="n">
        <f aca="false">IF(K175&gt;Parameters!$B$17,1,0)</f>
        <v>0</v>
      </c>
      <c r="Q175" s="9" t="n">
        <f aca="false">IF(AND(F175&lt;=Parameters!$B$6,F175&gt;Parameters!$B$6-Parameters!$B$18),1,0)</f>
        <v>0</v>
      </c>
      <c r="R175" s="9" t="n">
        <f aca="false">IF(COUNTIF(Parameters!$A$51:$A$58,H175)=0,1,0)</f>
        <v>0</v>
      </c>
      <c r="S175" s="9" t="n">
        <f aca="false">IF(AND(I175="Manual",L175&gt;0),1,0)</f>
        <v>0</v>
      </c>
      <c r="T175" s="9" t="n">
        <f aca="false">IF(AND(C175&gt;=Parameters!$B$22,ROUND(MOD(ROUND(C175,2),Parameters!$B$21),2)=0),1,0)</f>
        <v>0</v>
      </c>
      <c r="U175" s="9" t="n">
        <f aca="false">IF(LEN(TRIM(J175))=0,1,0)</f>
        <v>0</v>
      </c>
      <c r="V175" s="9" t="n">
        <f aca="false">IF(AND(I175="Manual",C175&lt;Parameters!$B$19,C175&gt;=Parameters!$B$19*(1-Parameters!$B$20)),1,0)</f>
        <v>0</v>
      </c>
      <c r="W175" s="9" t="n">
        <f aca="false">IF(AND(I175="Manual",M175&gt;0),1,0)</f>
        <v>0</v>
      </c>
      <c r="X175" s="9" t="n">
        <f aca="false">IF(A175-A174&gt;1,1,0)</f>
        <v>0</v>
      </c>
      <c r="Y175" s="9" t="n">
        <f aca="false">N175*Parameters!$B$38+O175*Parameters!$B$39+P175*Parameters!$B$40+Q175*Parameters!$B$41+R175*Parameters!$B$42+S175*Parameters!$B$43+T175*Parameters!$B$44+U175*Parameters!$B$45+V175*Parameters!$B$46+W175*Parameters!$B$47+X175*Parameters!$B$48</f>
        <v>0</v>
      </c>
      <c r="Z175" s="0" t="str">
        <f aca="false">IF(Y175&gt;=Parameters!$B$25,"High","")</f>
        <v/>
      </c>
    </row>
    <row r="176" customFormat="false" ht="15" hidden="false" customHeight="false" outlineLevel="0" collapsed="false">
      <c r="A176" s="16" t="n">
        <v>1176</v>
      </c>
      <c r="B176" s="9" t="n">
        <f aca="false">COUNTIF(JE_Lines!$B$5:$B$1733,A176)</f>
        <v>2</v>
      </c>
      <c r="C176" s="17" t="n">
        <f aca="false">SUMIFS(JE_Lines!$G$5:$G$1733,JE_Lines!$B$5:$B$1733,A176)</f>
        <v>210.87</v>
      </c>
      <c r="D176" s="17" t="n">
        <f aca="false">SUMIFS(JE_Lines!$H$5:$H$1733,JE_Lines!$B$5:$B$1733,A176)</f>
        <v>210.87</v>
      </c>
      <c r="E176" s="17" t="n">
        <f aca="false">C176-D176</f>
        <v>0</v>
      </c>
      <c r="F176" s="18" t="n">
        <f aca="false">INDEX(JE_Lines!$C$5:$C$1733,MATCH(A176,JE_Lines!$B$5:$B$1733,0))</f>
        <v>45728</v>
      </c>
      <c r="G176" s="18" t="n">
        <f aca="false">INDEX(JE_Lines!$D$5:$D$1733,MATCH(A176,JE_Lines!$B$5:$B$1733,0))</f>
        <v>45726</v>
      </c>
      <c r="H176" s="0" t="str">
        <f aca="false">INDEX(JE_Lines!$I$5:$I$1733,MATCH(A176,JE_Lines!$B$5:$B$1733,0))</f>
        <v>SYS_AR</v>
      </c>
      <c r="I176" s="0" t="str">
        <f aca="false">INDEX(JE_Lines!$J$5:$J$1733,MATCH(A176,JE_Lines!$B$5:$B$1733,0))</f>
        <v>System</v>
      </c>
      <c r="J176" s="0" t="str">
        <f aca="false">IF(LEN(INDEX(JE_Lines!$K$5:$K$1733,MATCH(A176,JE_Lines!$B$5:$B$1733,0)))=0,"",INDEX(JE_Lines!$K$5:$K$1733,MATCH(A176,JE_Lines!$B$5:$B$1733,0)))</f>
        <v>Sales invoice batch</v>
      </c>
      <c r="K176" s="9" t="n">
        <f aca="false">F176-G176</f>
        <v>2</v>
      </c>
      <c r="L176" s="9" t="n">
        <f aca="false">COUNTIFS(JE_Lines!$B$5:$B$1733,A176,JE_Lines!$F$5:$F$1733,"Revenue")</f>
        <v>1</v>
      </c>
      <c r="M176" s="9" t="n">
        <f aca="false">COUNTIFS(JE_Lines!$B$5:$B$1733,A176,JE_Lines!$F$5:$F$1733,"Suspense")</f>
        <v>0</v>
      </c>
      <c r="N176" s="9" t="n">
        <f aca="false">IF(ABS(E176)&gt;Parameters!$B$23,1,0)</f>
        <v>0</v>
      </c>
      <c r="O176" s="9" t="n">
        <f aca="false">IF(WEEKDAY(F176,2)&gt;5,1,0)</f>
        <v>0</v>
      </c>
      <c r="P176" s="9" t="n">
        <f aca="false">IF(K176&gt;Parameters!$B$17,1,0)</f>
        <v>0</v>
      </c>
      <c r="Q176" s="9" t="n">
        <f aca="false">IF(AND(F176&lt;=Parameters!$B$6,F176&gt;Parameters!$B$6-Parameters!$B$18),1,0)</f>
        <v>0</v>
      </c>
      <c r="R176" s="9" t="n">
        <f aca="false">IF(COUNTIF(Parameters!$A$51:$A$58,H176)=0,1,0)</f>
        <v>0</v>
      </c>
      <c r="S176" s="9" t="n">
        <f aca="false">IF(AND(I176="Manual",L176&gt;0),1,0)</f>
        <v>0</v>
      </c>
      <c r="T176" s="9" t="n">
        <f aca="false">IF(AND(C176&gt;=Parameters!$B$22,ROUND(MOD(ROUND(C176,2),Parameters!$B$21),2)=0),1,0)</f>
        <v>0</v>
      </c>
      <c r="U176" s="9" t="n">
        <f aca="false">IF(LEN(TRIM(J176))=0,1,0)</f>
        <v>0</v>
      </c>
      <c r="V176" s="9" t="n">
        <f aca="false">IF(AND(I176="Manual",C176&lt;Parameters!$B$19,C176&gt;=Parameters!$B$19*(1-Parameters!$B$20)),1,0)</f>
        <v>0</v>
      </c>
      <c r="W176" s="9" t="n">
        <f aca="false">IF(AND(I176="Manual",M176&gt;0),1,0)</f>
        <v>0</v>
      </c>
      <c r="X176" s="9" t="n">
        <f aca="false">IF(A176-A175&gt;1,1,0)</f>
        <v>0</v>
      </c>
      <c r="Y176" s="9" t="n">
        <f aca="false">N176*Parameters!$B$38+O176*Parameters!$B$39+P176*Parameters!$B$40+Q176*Parameters!$B$41+R176*Parameters!$B$42+S176*Parameters!$B$43+T176*Parameters!$B$44+U176*Parameters!$B$45+V176*Parameters!$B$46+W176*Parameters!$B$47+X176*Parameters!$B$48</f>
        <v>0</v>
      </c>
      <c r="Z176" s="0" t="str">
        <f aca="false">IF(Y176&gt;=Parameters!$B$25,"High","")</f>
        <v/>
      </c>
    </row>
    <row r="177" customFormat="false" ht="15" hidden="false" customHeight="false" outlineLevel="0" collapsed="false">
      <c r="A177" s="16" t="n">
        <v>1177</v>
      </c>
      <c r="B177" s="9" t="n">
        <f aca="false">COUNTIF(JE_Lines!$B$5:$B$1733,A177)</f>
        <v>2</v>
      </c>
      <c r="C177" s="17" t="n">
        <f aca="false">SUMIFS(JE_Lines!$G$5:$G$1733,JE_Lines!$B$5:$B$1733,A177)</f>
        <v>114064.41</v>
      </c>
      <c r="D177" s="17" t="n">
        <f aca="false">SUMIFS(JE_Lines!$H$5:$H$1733,JE_Lines!$B$5:$B$1733,A177)</f>
        <v>114064.41</v>
      </c>
      <c r="E177" s="17" t="n">
        <f aca="false">C177-D177</f>
        <v>0</v>
      </c>
      <c r="F177" s="18" t="n">
        <f aca="false">INDEX(JE_Lines!$C$5:$C$1733,MATCH(A177,JE_Lines!$B$5:$B$1733,0))</f>
        <v>45728</v>
      </c>
      <c r="G177" s="18" t="n">
        <f aca="false">INDEX(JE_Lines!$D$5:$D$1733,MATCH(A177,JE_Lines!$B$5:$B$1733,0))</f>
        <v>45725</v>
      </c>
      <c r="H177" s="0" t="str">
        <f aca="false">INDEX(JE_Lines!$I$5:$I$1733,MATCH(A177,JE_Lines!$B$5:$B$1733,0))</f>
        <v>SYS_AR</v>
      </c>
      <c r="I177" s="0" t="str">
        <f aca="false">INDEX(JE_Lines!$J$5:$J$1733,MATCH(A177,JE_Lines!$B$5:$B$1733,0))</f>
        <v>System</v>
      </c>
      <c r="J177" s="0" t="str">
        <f aca="false">IF(LEN(INDEX(JE_Lines!$K$5:$K$1733,MATCH(A177,JE_Lines!$B$5:$B$1733,0)))=0,"",INDEX(JE_Lines!$K$5:$K$1733,MATCH(A177,JE_Lines!$B$5:$B$1733,0)))</f>
        <v>Customer receipts</v>
      </c>
      <c r="K177" s="9" t="n">
        <f aca="false">F177-G177</f>
        <v>3</v>
      </c>
      <c r="L177" s="9" t="n">
        <f aca="false">COUNTIFS(JE_Lines!$B$5:$B$1733,A177,JE_Lines!$F$5:$F$1733,"Revenue")</f>
        <v>0</v>
      </c>
      <c r="M177" s="9" t="n">
        <f aca="false">COUNTIFS(JE_Lines!$B$5:$B$1733,A177,JE_Lines!$F$5:$F$1733,"Suspense")</f>
        <v>0</v>
      </c>
      <c r="N177" s="9" t="n">
        <f aca="false">IF(ABS(E177)&gt;Parameters!$B$23,1,0)</f>
        <v>0</v>
      </c>
      <c r="O177" s="9" t="n">
        <f aca="false">IF(WEEKDAY(F177,2)&gt;5,1,0)</f>
        <v>0</v>
      </c>
      <c r="P177" s="9" t="n">
        <f aca="false">IF(K177&gt;Parameters!$B$17,1,0)</f>
        <v>0</v>
      </c>
      <c r="Q177" s="9" t="n">
        <f aca="false">IF(AND(F177&lt;=Parameters!$B$6,F177&gt;Parameters!$B$6-Parameters!$B$18),1,0)</f>
        <v>0</v>
      </c>
      <c r="R177" s="9" t="n">
        <f aca="false">IF(COUNTIF(Parameters!$A$51:$A$58,H177)=0,1,0)</f>
        <v>0</v>
      </c>
      <c r="S177" s="9" t="n">
        <f aca="false">IF(AND(I177="Manual",L177&gt;0),1,0)</f>
        <v>0</v>
      </c>
      <c r="T177" s="9" t="n">
        <f aca="false">IF(AND(C177&gt;=Parameters!$B$22,ROUND(MOD(ROUND(C177,2),Parameters!$B$21),2)=0),1,0)</f>
        <v>0</v>
      </c>
      <c r="U177" s="9" t="n">
        <f aca="false">IF(LEN(TRIM(J177))=0,1,0)</f>
        <v>0</v>
      </c>
      <c r="V177" s="9" t="n">
        <f aca="false">IF(AND(I177="Manual",C177&lt;Parameters!$B$19,C177&gt;=Parameters!$B$19*(1-Parameters!$B$20)),1,0)</f>
        <v>0</v>
      </c>
      <c r="W177" s="9" t="n">
        <f aca="false">IF(AND(I177="Manual",M177&gt;0),1,0)</f>
        <v>0</v>
      </c>
      <c r="X177" s="9" t="n">
        <f aca="false">IF(A177-A176&gt;1,1,0)</f>
        <v>0</v>
      </c>
      <c r="Y177" s="9" t="n">
        <f aca="false">N177*Parameters!$B$38+O177*Parameters!$B$39+P177*Parameters!$B$40+Q177*Parameters!$B$41+R177*Parameters!$B$42+S177*Parameters!$B$43+T177*Parameters!$B$44+U177*Parameters!$B$45+V177*Parameters!$B$46+W177*Parameters!$B$47+X177*Parameters!$B$48</f>
        <v>0</v>
      </c>
      <c r="Z177" s="0" t="str">
        <f aca="false">IF(Y177&gt;=Parameters!$B$25,"High","")</f>
        <v/>
      </c>
    </row>
    <row r="178" customFormat="false" ht="15" hidden="false" customHeight="false" outlineLevel="0" collapsed="false">
      <c r="A178" s="16" t="n">
        <v>1178</v>
      </c>
      <c r="B178" s="9" t="n">
        <f aca="false">COUNTIF(JE_Lines!$B$5:$B$1733,A178)</f>
        <v>2</v>
      </c>
      <c r="C178" s="17" t="n">
        <f aca="false">SUMIFS(JE_Lines!$G$5:$G$1733,JE_Lines!$B$5:$B$1733,A178)</f>
        <v>47820.57</v>
      </c>
      <c r="D178" s="17" t="n">
        <f aca="false">SUMIFS(JE_Lines!$H$5:$H$1733,JE_Lines!$B$5:$B$1733,A178)</f>
        <v>47820.57</v>
      </c>
      <c r="E178" s="17" t="n">
        <f aca="false">C178-D178</f>
        <v>0</v>
      </c>
      <c r="F178" s="18" t="n">
        <f aca="false">INDEX(JE_Lines!$C$5:$C$1733,MATCH(A178,JE_Lines!$B$5:$B$1733,0))</f>
        <v>45729</v>
      </c>
      <c r="G178" s="18" t="n">
        <f aca="false">INDEX(JE_Lines!$D$5:$D$1733,MATCH(A178,JE_Lines!$B$5:$B$1733,0))</f>
        <v>45729</v>
      </c>
      <c r="H178" s="0" t="str">
        <f aca="false">INDEX(JE_Lines!$I$5:$I$1733,MATCH(A178,JE_Lines!$B$5:$B$1733,0))</f>
        <v>FIN05</v>
      </c>
      <c r="I178" s="0" t="str">
        <f aca="false">INDEX(JE_Lines!$J$5:$J$1733,MATCH(A178,JE_Lines!$B$5:$B$1733,0))</f>
        <v>Manual</v>
      </c>
      <c r="J178" s="0" t="str">
        <f aca="false">IF(LEN(INDEX(JE_Lines!$K$5:$K$1733,MATCH(A178,JE_Lines!$B$5:$B$1733,0)))=0,"",INDEX(JE_Lines!$K$5:$K$1733,MATCH(A178,JE_Lines!$B$5:$B$1733,0)))</f>
        <v>Manual accrual 5</v>
      </c>
      <c r="K178" s="9" t="n">
        <f aca="false">F178-G178</f>
        <v>0</v>
      </c>
      <c r="L178" s="9" t="n">
        <f aca="false">COUNTIFS(JE_Lines!$B$5:$B$1733,A178,JE_Lines!$F$5:$F$1733,"Revenue")</f>
        <v>0</v>
      </c>
      <c r="M178" s="9" t="n">
        <f aca="false">COUNTIFS(JE_Lines!$B$5:$B$1733,A178,JE_Lines!$F$5:$F$1733,"Suspense")</f>
        <v>0</v>
      </c>
      <c r="N178" s="9" t="n">
        <f aca="false">IF(ABS(E178)&gt;Parameters!$B$23,1,0)</f>
        <v>0</v>
      </c>
      <c r="O178" s="9" t="n">
        <f aca="false">IF(WEEKDAY(F178,2)&gt;5,1,0)</f>
        <v>0</v>
      </c>
      <c r="P178" s="9" t="n">
        <f aca="false">IF(K178&gt;Parameters!$B$17,1,0)</f>
        <v>0</v>
      </c>
      <c r="Q178" s="9" t="n">
        <f aca="false">IF(AND(F178&lt;=Parameters!$B$6,F178&gt;Parameters!$B$6-Parameters!$B$18),1,0)</f>
        <v>0</v>
      </c>
      <c r="R178" s="9" t="n">
        <f aca="false">IF(COUNTIF(Parameters!$A$51:$A$58,H178)=0,1,0)</f>
        <v>0</v>
      </c>
      <c r="S178" s="9" t="n">
        <f aca="false">IF(AND(I178="Manual",L178&gt;0),1,0)</f>
        <v>0</v>
      </c>
      <c r="T178" s="9" t="n">
        <f aca="false">IF(AND(C178&gt;=Parameters!$B$22,ROUND(MOD(ROUND(C178,2),Parameters!$B$21),2)=0),1,0)</f>
        <v>0</v>
      </c>
      <c r="U178" s="9" t="n">
        <f aca="false">IF(LEN(TRIM(J178))=0,1,0)</f>
        <v>0</v>
      </c>
      <c r="V178" s="9" t="n">
        <f aca="false">IF(AND(I178="Manual",C178&lt;Parameters!$B$19,C178&gt;=Parameters!$B$19*(1-Parameters!$B$20)),1,0)</f>
        <v>1</v>
      </c>
      <c r="W178" s="9" t="n">
        <f aca="false">IF(AND(I178="Manual",M178&gt;0),1,0)</f>
        <v>0</v>
      </c>
      <c r="X178" s="9" t="n">
        <f aca="false">IF(A178-A177&gt;1,1,0)</f>
        <v>0</v>
      </c>
      <c r="Y178" s="9" t="n">
        <f aca="false">N178*Parameters!$B$38+O178*Parameters!$B$39+P178*Parameters!$B$40+Q178*Parameters!$B$41+R178*Parameters!$B$42+S178*Parameters!$B$43+T178*Parameters!$B$44+U178*Parameters!$B$45+V178*Parameters!$B$46+W178*Parameters!$B$47+X178*Parameters!$B$48</f>
        <v>3</v>
      </c>
      <c r="Z178" s="0" t="str">
        <f aca="false">IF(Y178&gt;=Parameters!$B$25,"High","")</f>
        <v/>
      </c>
    </row>
    <row r="179" customFormat="false" ht="15" hidden="false" customHeight="false" outlineLevel="0" collapsed="false">
      <c r="A179" s="16" t="n">
        <v>1179</v>
      </c>
      <c r="B179" s="9" t="n">
        <f aca="false">COUNTIF(JE_Lines!$B$5:$B$1733,A179)</f>
        <v>2</v>
      </c>
      <c r="C179" s="17" t="n">
        <f aca="false">SUMIFS(JE_Lines!$G$5:$G$1733,JE_Lines!$B$5:$B$1733,A179)</f>
        <v>261.42</v>
      </c>
      <c r="D179" s="17" t="n">
        <f aca="false">SUMIFS(JE_Lines!$H$5:$H$1733,JE_Lines!$B$5:$B$1733,A179)</f>
        <v>261.42</v>
      </c>
      <c r="E179" s="17" t="n">
        <f aca="false">C179-D179</f>
        <v>0</v>
      </c>
      <c r="F179" s="18" t="n">
        <f aca="false">INDEX(JE_Lines!$C$5:$C$1733,MATCH(A179,JE_Lines!$B$5:$B$1733,0))</f>
        <v>45729</v>
      </c>
      <c r="G179" s="18" t="n">
        <f aca="false">INDEX(JE_Lines!$D$5:$D$1733,MATCH(A179,JE_Lines!$B$5:$B$1733,0))</f>
        <v>45727</v>
      </c>
      <c r="H179" s="0" t="str">
        <f aca="false">INDEX(JE_Lines!$I$5:$I$1733,MATCH(A179,JE_Lines!$B$5:$B$1733,0))</f>
        <v>SYS_AP</v>
      </c>
      <c r="I179" s="0" t="str">
        <f aca="false">INDEX(JE_Lines!$J$5:$J$1733,MATCH(A179,JE_Lines!$B$5:$B$1733,0))</f>
        <v>System</v>
      </c>
      <c r="J179" s="0" t="str">
        <f aca="false">IF(LEN(INDEX(JE_Lines!$K$5:$K$1733,MATCH(A179,JE_Lines!$B$5:$B$1733,0)))=0,"",INDEX(JE_Lines!$K$5:$K$1733,MATCH(A179,JE_Lines!$B$5:$B$1733,0)))</f>
        <v>Supplier invoices</v>
      </c>
      <c r="K179" s="9" t="n">
        <f aca="false">F179-G179</f>
        <v>2</v>
      </c>
      <c r="L179" s="9" t="n">
        <f aca="false">COUNTIFS(JE_Lines!$B$5:$B$1733,A179,JE_Lines!$F$5:$F$1733,"Revenue")</f>
        <v>0</v>
      </c>
      <c r="M179" s="9" t="n">
        <f aca="false">COUNTIFS(JE_Lines!$B$5:$B$1733,A179,JE_Lines!$F$5:$F$1733,"Suspense")</f>
        <v>0</v>
      </c>
      <c r="N179" s="9" t="n">
        <f aca="false">IF(ABS(E179)&gt;Parameters!$B$23,1,0)</f>
        <v>0</v>
      </c>
      <c r="O179" s="9" t="n">
        <f aca="false">IF(WEEKDAY(F179,2)&gt;5,1,0)</f>
        <v>0</v>
      </c>
      <c r="P179" s="9" t="n">
        <f aca="false">IF(K179&gt;Parameters!$B$17,1,0)</f>
        <v>0</v>
      </c>
      <c r="Q179" s="9" t="n">
        <f aca="false">IF(AND(F179&lt;=Parameters!$B$6,F179&gt;Parameters!$B$6-Parameters!$B$18),1,0)</f>
        <v>0</v>
      </c>
      <c r="R179" s="9" t="n">
        <f aca="false">IF(COUNTIF(Parameters!$A$51:$A$58,H179)=0,1,0)</f>
        <v>0</v>
      </c>
      <c r="S179" s="9" t="n">
        <f aca="false">IF(AND(I179="Manual",L179&gt;0),1,0)</f>
        <v>0</v>
      </c>
      <c r="T179" s="9" t="n">
        <f aca="false">IF(AND(C179&gt;=Parameters!$B$22,ROUND(MOD(ROUND(C179,2),Parameters!$B$21),2)=0),1,0)</f>
        <v>0</v>
      </c>
      <c r="U179" s="9" t="n">
        <f aca="false">IF(LEN(TRIM(J179))=0,1,0)</f>
        <v>0</v>
      </c>
      <c r="V179" s="9" t="n">
        <f aca="false">IF(AND(I179="Manual",C179&lt;Parameters!$B$19,C179&gt;=Parameters!$B$19*(1-Parameters!$B$20)),1,0)</f>
        <v>0</v>
      </c>
      <c r="W179" s="9" t="n">
        <f aca="false">IF(AND(I179="Manual",M179&gt;0),1,0)</f>
        <v>0</v>
      </c>
      <c r="X179" s="9" t="n">
        <f aca="false">IF(A179-A178&gt;1,1,0)</f>
        <v>0</v>
      </c>
      <c r="Y179" s="9" t="n">
        <f aca="false">N179*Parameters!$B$38+O179*Parameters!$B$39+P179*Parameters!$B$40+Q179*Parameters!$B$41+R179*Parameters!$B$42+S179*Parameters!$B$43+T179*Parameters!$B$44+U179*Parameters!$B$45+V179*Parameters!$B$46+W179*Parameters!$B$47+X179*Parameters!$B$48</f>
        <v>0</v>
      </c>
      <c r="Z179" s="0" t="str">
        <f aca="false">IF(Y179&gt;=Parameters!$B$25,"High","")</f>
        <v/>
      </c>
    </row>
    <row r="180" customFormat="false" ht="15" hidden="false" customHeight="false" outlineLevel="0" collapsed="false">
      <c r="A180" s="16" t="n">
        <v>1180</v>
      </c>
      <c r="B180" s="9" t="n">
        <f aca="false">COUNTIF(JE_Lines!$B$5:$B$1733,A180)</f>
        <v>2</v>
      </c>
      <c r="C180" s="17" t="n">
        <f aca="false">SUMIFS(JE_Lines!$G$5:$G$1733,JE_Lines!$B$5:$B$1733,A180)</f>
        <v>20531.16</v>
      </c>
      <c r="D180" s="17" t="n">
        <f aca="false">SUMIFS(JE_Lines!$H$5:$H$1733,JE_Lines!$B$5:$B$1733,A180)</f>
        <v>20531.16</v>
      </c>
      <c r="E180" s="17" t="n">
        <f aca="false">C180-D180</f>
        <v>0</v>
      </c>
      <c r="F180" s="18" t="n">
        <f aca="false">INDEX(JE_Lines!$C$5:$C$1733,MATCH(A180,JE_Lines!$B$5:$B$1733,0))</f>
        <v>45729</v>
      </c>
      <c r="G180" s="18" t="n">
        <f aca="false">INDEX(JE_Lines!$D$5:$D$1733,MATCH(A180,JE_Lines!$B$5:$B$1733,0))</f>
        <v>45729</v>
      </c>
      <c r="H180" s="0" t="str">
        <f aca="false">INDEX(JE_Lines!$I$5:$I$1733,MATCH(A180,JE_Lines!$B$5:$B$1733,0))</f>
        <v>SYS_AR</v>
      </c>
      <c r="I180" s="0" t="str">
        <f aca="false">INDEX(JE_Lines!$J$5:$J$1733,MATCH(A180,JE_Lines!$B$5:$B$1733,0))</f>
        <v>System</v>
      </c>
      <c r="J180" s="0" t="str">
        <f aca="false">IF(LEN(INDEX(JE_Lines!$K$5:$K$1733,MATCH(A180,JE_Lines!$B$5:$B$1733,0)))=0,"",INDEX(JE_Lines!$K$5:$K$1733,MATCH(A180,JE_Lines!$B$5:$B$1733,0)))</f>
        <v>Sales invoice batch</v>
      </c>
      <c r="K180" s="9" t="n">
        <f aca="false">F180-G180</f>
        <v>0</v>
      </c>
      <c r="L180" s="9" t="n">
        <f aca="false">COUNTIFS(JE_Lines!$B$5:$B$1733,A180,JE_Lines!$F$5:$F$1733,"Revenue")</f>
        <v>1</v>
      </c>
      <c r="M180" s="9" t="n">
        <f aca="false">COUNTIFS(JE_Lines!$B$5:$B$1733,A180,JE_Lines!$F$5:$F$1733,"Suspense")</f>
        <v>0</v>
      </c>
      <c r="N180" s="9" t="n">
        <f aca="false">IF(ABS(E180)&gt;Parameters!$B$23,1,0)</f>
        <v>0</v>
      </c>
      <c r="O180" s="9" t="n">
        <f aca="false">IF(WEEKDAY(F180,2)&gt;5,1,0)</f>
        <v>0</v>
      </c>
      <c r="P180" s="9" t="n">
        <f aca="false">IF(K180&gt;Parameters!$B$17,1,0)</f>
        <v>0</v>
      </c>
      <c r="Q180" s="9" t="n">
        <f aca="false">IF(AND(F180&lt;=Parameters!$B$6,F180&gt;Parameters!$B$6-Parameters!$B$18),1,0)</f>
        <v>0</v>
      </c>
      <c r="R180" s="9" t="n">
        <f aca="false">IF(COUNTIF(Parameters!$A$51:$A$58,H180)=0,1,0)</f>
        <v>0</v>
      </c>
      <c r="S180" s="9" t="n">
        <f aca="false">IF(AND(I180="Manual",L180&gt;0),1,0)</f>
        <v>0</v>
      </c>
      <c r="T180" s="9" t="n">
        <f aca="false">IF(AND(C180&gt;=Parameters!$B$22,ROUND(MOD(ROUND(C180,2),Parameters!$B$21),2)=0),1,0)</f>
        <v>0</v>
      </c>
      <c r="U180" s="9" t="n">
        <f aca="false">IF(LEN(TRIM(J180))=0,1,0)</f>
        <v>0</v>
      </c>
      <c r="V180" s="9" t="n">
        <f aca="false">IF(AND(I180="Manual",C180&lt;Parameters!$B$19,C180&gt;=Parameters!$B$19*(1-Parameters!$B$20)),1,0)</f>
        <v>0</v>
      </c>
      <c r="W180" s="9" t="n">
        <f aca="false">IF(AND(I180="Manual",M180&gt;0),1,0)</f>
        <v>0</v>
      </c>
      <c r="X180" s="9" t="n">
        <f aca="false">IF(A180-A179&gt;1,1,0)</f>
        <v>0</v>
      </c>
      <c r="Y180" s="9" t="n">
        <f aca="false">N180*Parameters!$B$38+O180*Parameters!$B$39+P180*Parameters!$B$40+Q180*Parameters!$B$41+R180*Parameters!$B$42+S180*Parameters!$B$43+T180*Parameters!$B$44+U180*Parameters!$B$45+V180*Parameters!$B$46+W180*Parameters!$B$47+X180*Parameters!$B$48</f>
        <v>0</v>
      </c>
      <c r="Z180" s="0" t="str">
        <f aca="false">IF(Y180&gt;=Parameters!$B$25,"High","")</f>
        <v/>
      </c>
    </row>
    <row r="181" customFormat="false" ht="15" hidden="false" customHeight="false" outlineLevel="0" collapsed="false">
      <c r="A181" s="16" t="n">
        <v>1181</v>
      </c>
      <c r="B181" s="9" t="n">
        <f aca="false">COUNTIF(JE_Lines!$B$5:$B$1733,A181)</f>
        <v>3</v>
      </c>
      <c r="C181" s="17" t="n">
        <f aca="false">SUMIFS(JE_Lines!$G$5:$G$1733,JE_Lines!$B$5:$B$1733,A181)</f>
        <v>2439.77</v>
      </c>
      <c r="D181" s="17" t="n">
        <f aca="false">SUMIFS(JE_Lines!$H$5:$H$1733,JE_Lines!$B$5:$B$1733,A181)</f>
        <v>2439.77</v>
      </c>
      <c r="E181" s="17" t="n">
        <f aca="false">C181-D181</f>
        <v>0</v>
      </c>
      <c r="F181" s="18" t="n">
        <f aca="false">INDEX(JE_Lines!$C$5:$C$1733,MATCH(A181,JE_Lines!$B$5:$B$1733,0))</f>
        <v>45729</v>
      </c>
      <c r="G181" s="18" t="n">
        <f aca="false">INDEX(JE_Lines!$D$5:$D$1733,MATCH(A181,JE_Lines!$B$5:$B$1733,0))</f>
        <v>45725</v>
      </c>
      <c r="H181" s="0" t="str">
        <f aca="false">INDEX(JE_Lines!$I$5:$I$1733,MATCH(A181,JE_Lines!$B$5:$B$1733,0))</f>
        <v>SYS_AR</v>
      </c>
      <c r="I181" s="0" t="str">
        <f aca="false">INDEX(JE_Lines!$J$5:$J$1733,MATCH(A181,JE_Lines!$B$5:$B$1733,0))</f>
        <v>System</v>
      </c>
      <c r="J181" s="0" t="str">
        <f aca="false">IF(LEN(INDEX(JE_Lines!$K$5:$K$1733,MATCH(A181,JE_Lines!$B$5:$B$1733,0)))=0,"",INDEX(JE_Lines!$K$5:$K$1733,MATCH(A181,JE_Lines!$B$5:$B$1733,0)))</f>
        <v>Cost of sales posting</v>
      </c>
      <c r="K181" s="9" t="n">
        <f aca="false">F181-G181</f>
        <v>4</v>
      </c>
      <c r="L181" s="9" t="n">
        <f aca="false">COUNTIFS(JE_Lines!$B$5:$B$1733,A181,JE_Lines!$F$5:$F$1733,"Revenue")</f>
        <v>0</v>
      </c>
      <c r="M181" s="9" t="n">
        <f aca="false">COUNTIFS(JE_Lines!$B$5:$B$1733,A181,JE_Lines!$F$5:$F$1733,"Suspense")</f>
        <v>0</v>
      </c>
      <c r="N181" s="9" t="n">
        <f aca="false">IF(ABS(E181)&gt;Parameters!$B$23,1,0)</f>
        <v>0</v>
      </c>
      <c r="O181" s="9" t="n">
        <f aca="false">IF(WEEKDAY(F181,2)&gt;5,1,0)</f>
        <v>0</v>
      </c>
      <c r="P181" s="9" t="n">
        <f aca="false">IF(K181&gt;Parameters!$B$17,1,0)</f>
        <v>0</v>
      </c>
      <c r="Q181" s="9" t="n">
        <f aca="false">IF(AND(F181&lt;=Parameters!$B$6,F181&gt;Parameters!$B$6-Parameters!$B$18),1,0)</f>
        <v>0</v>
      </c>
      <c r="R181" s="9" t="n">
        <f aca="false">IF(COUNTIF(Parameters!$A$51:$A$58,H181)=0,1,0)</f>
        <v>0</v>
      </c>
      <c r="S181" s="9" t="n">
        <f aca="false">IF(AND(I181="Manual",L181&gt;0),1,0)</f>
        <v>0</v>
      </c>
      <c r="T181" s="9" t="n">
        <f aca="false">IF(AND(C181&gt;=Parameters!$B$22,ROUND(MOD(ROUND(C181,2),Parameters!$B$21),2)=0),1,0)</f>
        <v>0</v>
      </c>
      <c r="U181" s="9" t="n">
        <f aca="false">IF(LEN(TRIM(J181))=0,1,0)</f>
        <v>0</v>
      </c>
      <c r="V181" s="9" t="n">
        <f aca="false">IF(AND(I181="Manual",C181&lt;Parameters!$B$19,C181&gt;=Parameters!$B$19*(1-Parameters!$B$20)),1,0)</f>
        <v>0</v>
      </c>
      <c r="W181" s="9" t="n">
        <f aca="false">IF(AND(I181="Manual",M181&gt;0),1,0)</f>
        <v>0</v>
      </c>
      <c r="X181" s="9" t="n">
        <f aca="false">IF(A181-A180&gt;1,1,0)</f>
        <v>0</v>
      </c>
      <c r="Y181" s="9" t="n">
        <f aca="false">N181*Parameters!$B$38+O181*Parameters!$B$39+P181*Parameters!$B$40+Q181*Parameters!$B$41+R181*Parameters!$B$42+S181*Parameters!$B$43+T181*Parameters!$B$44+U181*Parameters!$B$45+V181*Parameters!$B$46+W181*Parameters!$B$47+X181*Parameters!$B$48</f>
        <v>0</v>
      </c>
      <c r="Z181" s="0" t="str">
        <f aca="false">IF(Y181&gt;=Parameters!$B$25,"High","")</f>
        <v/>
      </c>
    </row>
    <row r="182" customFormat="false" ht="15" hidden="false" customHeight="false" outlineLevel="0" collapsed="false">
      <c r="A182" s="16" t="n">
        <v>1182</v>
      </c>
      <c r="B182" s="9" t="n">
        <f aca="false">COUNTIF(JE_Lines!$B$5:$B$1733,A182)</f>
        <v>2</v>
      </c>
      <c r="C182" s="17" t="n">
        <f aca="false">SUMIFS(JE_Lines!$G$5:$G$1733,JE_Lines!$B$5:$B$1733,A182)</f>
        <v>3503.61</v>
      </c>
      <c r="D182" s="17" t="n">
        <f aca="false">SUMIFS(JE_Lines!$H$5:$H$1733,JE_Lines!$B$5:$B$1733,A182)</f>
        <v>3503.61</v>
      </c>
      <c r="E182" s="17" t="n">
        <f aca="false">C182-D182</f>
        <v>0</v>
      </c>
      <c r="F182" s="18" t="n">
        <f aca="false">INDEX(JE_Lines!$C$5:$C$1733,MATCH(A182,JE_Lines!$B$5:$B$1733,0))</f>
        <v>45730</v>
      </c>
      <c r="G182" s="18" t="n">
        <f aca="false">INDEX(JE_Lines!$D$5:$D$1733,MATCH(A182,JE_Lines!$B$5:$B$1733,0))</f>
        <v>45727</v>
      </c>
      <c r="H182" s="0" t="str">
        <f aca="false">INDEX(JE_Lines!$I$5:$I$1733,MATCH(A182,JE_Lines!$B$5:$B$1733,0))</f>
        <v>SYS_AP</v>
      </c>
      <c r="I182" s="0" t="str">
        <f aca="false">INDEX(JE_Lines!$J$5:$J$1733,MATCH(A182,JE_Lines!$B$5:$B$1733,0))</f>
        <v>System</v>
      </c>
      <c r="J182" s="0" t="str">
        <f aca="false">IF(LEN(INDEX(JE_Lines!$K$5:$K$1733,MATCH(A182,JE_Lines!$B$5:$B$1733,0)))=0,"",INDEX(JE_Lines!$K$5:$K$1733,MATCH(A182,JE_Lines!$B$5:$B$1733,0)))</f>
        <v>Supplier invoices</v>
      </c>
      <c r="K182" s="9" t="n">
        <f aca="false">F182-G182</f>
        <v>3</v>
      </c>
      <c r="L182" s="9" t="n">
        <f aca="false">COUNTIFS(JE_Lines!$B$5:$B$1733,A182,JE_Lines!$F$5:$F$1733,"Revenue")</f>
        <v>0</v>
      </c>
      <c r="M182" s="9" t="n">
        <f aca="false">COUNTIFS(JE_Lines!$B$5:$B$1733,A182,JE_Lines!$F$5:$F$1733,"Suspense")</f>
        <v>0</v>
      </c>
      <c r="N182" s="9" t="n">
        <f aca="false">IF(ABS(E182)&gt;Parameters!$B$23,1,0)</f>
        <v>0</v>
      </c>
      <c r="O182" s="9" t="n">
        <f aca="false">IF(WEEKDAY(F182,2)&gt;5,1,0)</f>
        <v>0</v>
      </c>
      <c r="P182" s="9" t="n">
        <f aca="false">IF(K182&gt;Parameters!$B$17,1,0)</f>
        <v>0</v>
      </c>
      <c r="Q182" s="9" t="n">
        <f aca="false">IF(AND(F182&lt;=Parameters!$B$6,F182&gt;Parameters!$B$6-Parameters!$B$18),1,0)</f>
        <v>0</v>
      </c>
      <c r="R182" s="9" t="n">
        <f aca="false">IF(COUNTIF(Parameters!$A$51:$A$58,H182)=0,1,0)</f>
        <v>0</v>
      </c>
      <c r="S182" s="9" t="n">
        <f aca="false">IF(AND(I182="Manual",L182&gt;0),1,0)</f>
        <v>0</v>
      </c>
      <c r="T182" s="9" t="n">
        <f aca="false">IF(AND(C182&gt;=Parameters!$B$22,ROUND(MOD(ROUND(C182,2),Parameters!$B$21),2)=0),1,0)</f>
        <v>0</v>
      </c>
      <c r="U182" s="9" t="n">
        <f aca="false">IF(LEN(TRIM(J182))=0,1,0)</f>
        <v>0</v>
      </c>
      <c r="V182" s="9" t="n">
        <f aca="false">IF(AND(I182="Manual",C182&lt;Parameters!$B$19,C182&gt;=Parameters!$B$19*(1-Parameters!$B$20)),1,0)</f>
        <v>0</v>
      </c>
      <c r="W182" s="9" t="n">
        <f aca="false">IF(AND(I182="Manual",M182&gt;0),1,0)</f>
        <v>0</v>
      </c>
      <c r="X182" s="9" t="n">
        <f aca="false">IF(A182-A181&gt;1,1,0)</f>
        <v>0</v>
      </c>
      <c r="Y182" s="9" t="n">
        <f aca="false">N182*Parameters!$B$38+O182*Parameters!$B$39+P182*Parameters!$B$40+Q182*Parameters!$B$41+R182*Parameters!$B$42+S182*Parameters!$B$43+T182*Parameters!$B$44+U182*Parameters!$B$45+V182*Parameters!$B$46+W182*Parameters!$B$47+X182*Parameters!$B$48</f>
        <v>0</v>
      </c>
      <c r="Z182" s="0" t="str">
        <f aca="false">IF(Y182&gt;=Parameters!$B$25,"High","")</f>
        <v/>
      </c>
    </row>
    <row r="183" customFormat="false" ht="15" hidden="false" customHeight="false" outlineLevel="0" collapsed="false">
      <c r="A183" s="16" t="n">
        <v>1183</v>
      </c>
      <c r="B183" s="9" t="n">
        <f aca="false">COUNTIF(JE_Lines!$B$5:$B$1733,A183)</f>
        <v>2</v>
      </c>
      <c r="C183" s="17" t="n">
        <f aca="false">SUMIFS(JE_Lines!$G$5:$G$1733,JE_Lines!$B$5:$B$1733,A183)</f>
        <v>70212.96</v>
      </c>
      <c r="D183" s="17" t="n">
        <f aca="false">SUMIFS(JE_Lines!$H$5:$H$1733,JE_Lines!$B$5:$B$1733,A183)</f>
        <v>70212.96</v>
      </c>
      <c r="E183" s="17" t="n">
        <f aca="false">C183-D183</f>
        <v>0</v>
      </c>
      <c r="F183" s="18" t="n">
        <f aca="false">INDEX(JE_Lines!$C$5:$C$1733,MATCH(A183,JE_Lines!$B$5:$B$1733,0))</f>
        <v>45733</v>
      </c>
      <c r="G183" s="18" t="n">
        <f aca="false">INDEX(JE_Lines!$D$5:$D$1733,MATCH(A183,JE_Lines!$B$5:$B$1733,0))</f>
        <v>45729</v>
      </c>
      <c r="H183" s="0" t="str">
        <f aca="false">INDEX(JE_Lines!$I$5:$I$1733,MATCH(A183,JE_Lines!$B$5:$B$1733,0))</f>
        <v>SYS_PAY</v>
      </c>
      <c r="I183" s="0" t="str">
        <f aca="false">INDEX(JE_Lines!$J$5:$J$1733,MATCH(A183,JE_Lines!$B$5:$B$1733,0))</f>
        <v>System</v>
      </c>
      <c r="J183" s="0" t="str">
        <f aca="false">IF(LEN(INDEX(JE_Lines!$K$5:$K$1733,MATCH(A183,JE_Lines!$B$5:$B$1733,0)))=0,"",INDEX(JE_Lines!$K$5:$K$1733,MATCH(A183,JE_Lines!$B$5:$B$1733,0)))</f>
        <v>Supplier payments</v>
      </c>
      <c r="K183" s="9" t="n">
        <f aca="false">F183-G183</f>
        <v>4</v>
      </c>
      <c r="L183" s="9" t="n">
        <f aca="false">COUNTIFS(JE_Lines!$B$5:$B$1733,A183,JE_Lines!$F$5:$F$1733,"Revenue")</f>
        <v>0</v>
      </c>
      <c r="M183" s="9" t="n">
        <f aca="false">COUNTIFS(JE_Lines!$B$5:$B$1733,A183,JE_Lines!$F$5:$F$1733,"Suspense")</f>
        <v>0</v>
      </c>
      <c r="N183" s="9" t="n">
        <f aca="false">IF(ABS(E183)&gt;Parameters!$B$23,1,0)</f>
        <v>0</v>
      </c>
      <c r="O183" s="9" t="n">
        <f aca="false">IF(WEEKDAY(F183,2)&gt;5,1,0)</f>
        <v>0</v>
      </c>
      <c r="P183" s="9" t="n">
        <f aca="false">IF(K183&gt;Parameters!$B$17,1,0)</f>
        <v>0</v>
      </c>
      <c r="Q183" s="9" t="n">
        <f aca="false">IF(AND(F183&lt;=Parameters!$B$6,F183&gt;Parameters!$B$6-Parameters!$B$18),1,0)</f>
        <v>0</v>
      </c>
      <c r="R183" s="9" t="n">
        <f aca="false">IF(COUNTIF(Parameters!$A$51:$A$58,H183)=0,1,0)</f>
        <v>0</v>
      </c>
      <c r="S183" s="9" t="n">
        <f aca="false">IF(AND(I183="Manual",L183&gt;0),1,0)</f>
        <v>0</v>
      </c>
      <c r="T183" s="9" t="n">
        <f aca="false">IF(AND(C183&gt;=Parameters!$B$22,ROUND(MOD(ROUND(C183,2),Parameters!$B$21),2)=0),1,0)</f>
        <v>0</v>
      </c>
      <c r="U183" s="9" t="n">
        <f aca="false">IF(LEN(TRIM(J183))=0,1,0)</f>
        <v>0</v>
      </c>
      <c r="V183" s="9" t="n">
        <f aca="false">IF(AND(I183="Manual",C183&lt;Parameters!$B$19,C183&gt;=Parameters!$B$19*(1-Parameters!$B$20)),1,0)</f>
        <v>0</v>
      </c>
      <c r="W183" s="9" t="n">
        <f aca="false">IF(AND(I183="Manual",M183&gt;0),1,0)</f>
        <v>0</v>
      </c>
      <c r="X183" s="9" t="n">
        <f aca="false">IF(A183-A182&gt;1,1,0)</f>
        <v>0</v>
      </c>
      <c r="Y183" s="9" t="n">
        <f aca="false">N183*Parameters!$B$38+O183*Parameters!$B$39+P183*Parameters!$B$40+Q183*Parameters!$B$41+R183*Parameters!$B$42+S183*Parameters!$B$43+T183*Parameters!$B$44+U183*Parameters!$B$45+V183*Parameters!$B$46+W183*Parameters!$B$47+X183*Parameters!$B$48</f>
        <v>0</v>
      </c>
      <c r="Z183" s="0" t="str">
        <f aca="false">IF(Y183&gt;=Parameters!$B$25,"High","")</f>
        <v/>
      </c>
    </row>
    <row r="184" customFormat="false" ht="15" hidden="false" customHeight="false" outlineLevel="0" collapsed="false">
      <c r="A184" s="16" t="n">
        <v>1184</v>
      </c>
      <c r="B184" s="9" t="n">
        <f aca="false">COUNTIF(JE_Lines!$B$5:$B$1733,A184)</f>
        <v>2</v>
      </c>
      <c r="C184" s="17" t="n">
        <f aca="false">SUMIFS(JE_Lines!$G$5:$G$1733,JE_Lines!$B$5:$B$1733,A184)</f>
        <v>5467.27</v>
      </c>
      <c r="D184" s="17" t="n">
        <f aca="false">SUMIFS(JE_Lines!$H$5:$H$1733,JE_Lines!$B$5:$B$1733,A184)</f>
        <v>5467.27</v>
      </c>
      <c r="E184" s="17" t="n">
        <f aca="false">C184-D184</f>
        <v>0</v>
      </c>
      <c r="F184" s="18" t="n">
        <f aca="false">INDEX(JE_Lines!$C$5:$C$1733,MATCH(A184,JE_Lines!$B$5:$B$1733,0))</f>
        <v>45733</v>
      </c>
      <c r="G184" s="18" t="n">
        <f aca="false">INDEX(JE_Lines!$D$5:$D$1733,MATCH(A184,JE_Lines!$B$5:$B$1733,0))</f>
        <v>45733</v>
      </c>
      <c r="H184" s="0" t="str">
        <f aca="false">INDEX(JE_Lines!$I$5:$I$1733,MATCH(A184,JE_Lines!$B$5:$B$1733,0))</f>
        <v>SYS_AR</v>
      </c>
      <c r="I184" s="0" t="str">
        <f aca="false">INDEX(JE_Lines!$J$5:$J$1733,MATCH(A184,JE_Lines!$B$5:$B$1733,0))</f>
        <v>System</v>
      </c>
      <c r="J184" s="0" t="str">
        <f aca="false">IF(LEN(INDEX(JE_Lines!$K$5:$K$1733,MATCH(A184,JE_Lines!$B$5:$B$1733,0)))=0,"",INDEX(JE_Lines!$K$5:$K$1733,MATCH(A184,JE_Lines!$B$5:$B$1733,0)))</f>
        <v>Customer receipts</v>
      </c>
      <c r="K184" s="9" t="n">
        <f aca="false">F184-G184</f>
        <v>0</v>
      </c>
      <c r="L184" s="9" t="n">
        <f aca="false">COUNTIFS(JE_Lines!$B$5:$B$1733,A184,JE_Lines!$F$5:$F$1733,"Revenue")</f>
        <v>0</v>
      </c>
      <c r="M184" s="9" t="n">
        <f aca="false">COUNTIFS(JE_Lines!$B$5:$B$1733,A184,JE_Lines!$F$5:$F$1733,"Suspense")</f>
        <v>0</v>
      </c>
      <c r="N184" s="9" t="n">
        <f aca="false">IF(ABS(E184)&gt;Parameters!$B$23,1,0)</f>
        <v>0</v>
      </c>
      <c r="O184" s="9" t="n">
        <f aca="false">IF(WEEKDAY(F184,2)&gt;5,1,0)</f>
        <v>0</v>
      </c>
      <c r="P184" s="9" t="n">
        <f aca="false">IF(K184&gt;Parameters!$B$17,1,0)</f>
        <v>0</v>
      </c>
      <c r="Q184" s="9" t="n">
        <f aca="false">IF(AND(F184&lt;=Parameters!$B$6,F184&gt;Parameters!$B$6-Parameters!$B$18),1,0)</f>
        <v>0</v>
      </c>
      <c r="R184" s="9" t="n">
        <f aca="false">IF(COUNTIF(Parameters!$A$51:$A$58,H184)=0,1,0)</f>
        <v>0</v>
      </c>
      <c r="S184" s="9" t="n">
        <f aca="false">IF(AND(I184="Manual",L184&gt;0),1,0)</f>
        <v>0</v>
      </c>
      <c r="T184" s="9" t="n">
        <f aca="false">IF(AND(C184&gt;=Parameters!$B$22,ROUND(MOD(ROUND(C184,2),Parameters!$B$21),2)=0),1,0)</f>
        <v>0</v>
      </c>
      <c r="U184" s="9" t="n">
        <f aca="false">IF(LEN(TRIM(J184))=0,1,0)</f>
        <v>0</v>
      </c>
      <c r="V184" s="9" t="n">
        <f aca="false">IF(AND(I184="Manual",C184&lt;Parameters!$B$19,C184&gt;=Parameters!$B$19*(1-Parameters!$B$20)),1,0)</f>
        <v>0</v>
      </c>
      <c r="W184" s="9" t="n">
        <f aca="false">IF(AND(I184="Manual",M184&gt;0),1,0)</f>
        <v>0</v>
      </c>
      <c r="X184" s="9" t="n">
        <f aca="false">IF(A184-A183&gt;1,1,0)</f>
        <v>0</v>
      </c>
      <c r="Y184" s="9" t="n">
        <f aca="false">N184*Parameters!$B$38+O184*Parameters!$B$39+P184*Parameters!$B$40+Q184*Parameters!$B$41+R184*Parameters!$B$42+S184*Parameters!$B$43+T184*Parameters!$B$44+U184*Parameters!$B$45+V184*Parameters!$B$46+W184*Parameters!$B$47+X184*Parameters!$B$48</f>
        <v>0</v>
      </c>
      <c r="Z184" s="0" t="str">
        <f aca="false">IF(Y184&gt;=Parameters!$B$25,"High","")</f>
        <v/>
      </c>
    </row>
    <row r="185" customFormat="false" ht="15" hidden="false" customHeight="false" outlineLevel="0" collapsed="false">
      <c r="A185" s="16" t="n">
        <v>1185</v>
      </c>
      <c r="B185" s="9" t="n">
        <f aca="false">COUNTIF(JE_Lines!$B$5:$B$1733,A185)</f>
        <v>2</v>
      </c>
      <c r="C185" s="17" t="n">
        <f aca="false">SUMIFS(JE_Lines!$G$5:$G$1733,JE_Lines!$B$5:$B$1733,A185)</f>
        <v>27385.66</v>
      </c>
      <c r="D185" s="17" t="n">
        <f aca="false">SUMIFS(JE_Lines!$H$5:$H$1733,JE_Lines!$B$5:$B$1733,A185)</f>
        <v>27385.66</v>
      </c>
      <c r="E185" s="17" t="n">
        <f aca="false">C185-D185</f>
        <v>0</v>
      </c>
      <c r="F185" s="18" t="n">
        <f aca="false">INDEX(JE_Lines!$C$5:$C$1733,MATCH(A185,JE_Lines!$B$5:$B$1733,0))</f>
        <v>45733</v>
      </c>
      <c r="G185" s="18" t="n">
        <f aca="false">INDEX(JE_Lines!$D$5:$D$1733,MATCH(A185,JE_Lines!$B$5:$B$1733,0))</f>
        <v>45730</v>
      </c>
      <c r="H185" s="0" t="str">
        <f aca="false">INDEX(JE_Lines!$I$5:$I$1733,MATCH(A185,JE_Lines!$B$5:$B$1733,0))</f>
        <v>SYS_AR</v>
      </c>
      <c r="I185" s="0" t="str">
        <f aca="false">INDEX(JE_Lines!$J$5:$J$1733,MATCH(A185,JE_Lines!$B$5:$B$1733,0))</f>
        <v>System</v>
      </c>
      <c r="J185" s="0" t="str">
        <f aca="false">IF(LEN(INDEX(JE_Lines!$K$5:$K$1733,MATCH(A185,JE_Lines!$B$5:$B$1733,0)))=0,"",INDEX(JE_Lines!$K$5:$K$1733,MATCH(A185,JE_Lines!$B$5:$B$1733,0)))</f>
        <v>Customer receipts</v>
      </c>
      <c r="K185" s="9" t="n">
        <f aca="false">F185-G185</f>
        <v>3</v>
      </c>
      <c r="L185" s="9" t="n">
        <f aca="false">COUNTIFS(JE_Lines!$B$5:$B$1733,A185,JE_Lines!$F$5:$F$1733,"Revenue")</f>
        <v>0</v>
      </c>
      <c r="M185" s="9" t="n">
        <f aca="false">COUNTIFS(JE_Lines!$B$5:$B$1733,A185,JE_Lines!$F$5:$F$1733,"Suspense")</f>
        <v>0</v>
      </c>
      <c r="N185" s="9" t="n">
        <f aca="false">IF(ABS(E185)&gt;Parameters!$B$23,1,0)</f>
        <v>0</v>
      </c>
      <c r="O185" s="9" t="n">
        <f aca="false">IF(WEEKDAY(F185,2)&gt;5,1,0)</f>
        <v>0</v>
      </c>
      <c r="P185" s="9" t="n">
        <f aca="false">IF(K185&gt;Parameters!$B$17,1,0)</f>
        <v>0</v>
      </c>
      <c r="Q185" s="9" t="n">
        <f aca="false">IF(AND(F185&lt;=Parameters!$B$6,F185&gt;Parameters!$B$6-Parameters!$B$18),1,0)</f>
        <v>0</v>
      </c>
      <c r="R185" s="9" t="n">
        <f aca="false">IF(COUNTIF(Parameters!$A$51:$A$58,H185)=0,1,0)</f>
        <v>0</v>
      </c>
      <c r="S185" s="9" t="n">
        <f aca="false">IF(AND(I185="Manual",L185&gt;0),1,0)</f>
        <v>0</v>
      </c>
      <c r="T185" s="9" t="n">
        <f aca="false">IF(AND(C185&gt;=Parameters!$B$22,ROUND(MOD(ROUND(C185,2),Parameters!$B$21),2)=0),1,0)</f>
        <v>0</v>
      </c>
      <c r="U185" s="9" t="n">
        <f aca="false">IF(LEN(TRIM(J185))=0,1,0)</f>
        <v>0</v>
      </c>
      <c r="V185" s="9" t="n">
        <f aca="false">IF(AND(I185="Manual",C185&lt;Parameters!$B$19,C185&gt;=Parameters!$B$19*(1-Parameters!$B$20)),1,0)</f>
        <v>0</v>
      </c>
      <c r="W185" s="9" t="n">
        <f aca="false">IF(AND(I185="Manual",M185&gt;0),1,0)</f>
        <v>0</v>
      </c>
      <c r="X185" s="9" t="n">
        <f aca="false">IF(A185-A184&gt;1,1,0)</f>
        <v>0</v>
      </c>
      <c r="Y185" s="9" t="n">
        <f aca="false">N185*Parameters!$B$38+O185*Parameters!$B$39+P185*Parameters!$B$40+Q185*Parameters!$B$41+R185*Parameters!$B$42+S185*Parameters!$B$43+T185*Parameters!$B$44+U185*Parameters!$B$45+V185*Parameters!$B$46+W185*Parameters!$B$47+X185*Parameters!$B$48</f>
        <v>0</v>
      </c>
      <c r="Z185" s="0" t="str">
        <f aca="false">IF(Y185&gt;=Parameters!$B$25,"High","")</f>
        <v/>
      </c>
    </row>
    <row r="186" customFormat="false" ht="15" hidden="false" customHeight="false" outlineLevel="0" collapsed="false">
      <c r="A186" s="16" t="n">
        <v>1186</v>
      </c>
      <c r="B186" s="9" t="n">
        <f aca="false">COUNTIF(JE_Lines!$B$5:$B$1733,A186)</f>
        <v>2</v>
      </c>
      <c r="C186" s="17" t="n">
        <f aca="false">SUMIFS(JE_Lines!$G$5:$G$1733,JE_Lines!$B$5:$B$1733,A186)</f>
        <v>6334.26</v>
      </c>
      <c r="D186" s="17" t="n">
        <f aca="false">SUMIFS(JE_Lines!$H$5:$H$1733,JE_Lines!$B$5:$B$1733,A186)</f>
        <v>6334.26</v>
      </c>
      <c r="E186" s="17" t="n">
        <f aca="false">C186-D186</f>
        <v>0</v>
      </c>
      <c r="F186" s="18" t="n">
        <f aca="false">INDEX(JE_Lines!$C$5:$C$1733,MATCH(A186,JE_Lines!$B$5:$B$1733,0))</f>
        <v>45734</v>
      </c>
      <c r="G186" s="18" t="n">
        <f aca="false">INDEX(JE_Lines!$D$5:$D$1733,MATCH(A186,JE_Lines!$B$5:$B$1733,0))</f>
        <v>45734</v>
      </c>
      <c r="H186" s="0" t="str">
        <f aca="false">INDEX(JE_Lines!$I$5:$I$1733,MATCH(A186,JE_Lines!$B$5:$B$1733,0))</f>
        <v>FIN01</v>
      </c>
      <c r="I186" s="0" t="str">
        <f aca="false">INDEX(JE_Lines!$J$5:$J$1733,MATCH(A186,JE_Lines!$B$5:$B$1733,0))</f>
        <v>Manual</v>
      </c>
      <c r="J186" s="0" t="str">
        <f aca="false">IF(LEN(INDEX(JE_Lines!$K$5:$K$1733,MATCH(A186,JE_Lines!$B$5:$B$1733,0)))=0,"",INDEX(JE_Lines!$K$5:$K$1733,MATCH(A186,JE_Lines!$B$5:$B$1733,0)))</f>
        <v>Suspense clearing 1</v>
      </c>
      <c r="K186" s="9" t="n">
        <f aca="false">F186-G186</f>
        <v>0</v>
      </c>
      <c r="L186" s="9" t="n">
        <f aca="false">COUNTIFS(JE_Lines!$B$5:$B$1733,A186,JE_Lines!$F$5:$F$1733,"Revenue")</f>
        <v>0</v>
      </c>
      <c r="M186" s="9" t="n">
        <f aca="false">COUNTIFS(JE_Lines!$B$5:$B$1733,A186,JE_Lines!$F$5:$F$1733,"Suspense")</f>
        <v>1</v>
      </c>
      <c r="N186" s="9" t="n">
        <f aca="false">IF(ABS(E186)&gt;Parameters!$B$23,1,0)</f>
        <v>0</v>
      </c>
      <c r="O186" s="9" t="n">
        <f aca="false">IF(WEEKDAY(F186,2)&gt;5,1,0)</f>
        <v>0</v>
      </c>
      <c r="P186" s="9" t="n">
        <f aca="false">IF(K186&gt;Parameters!$B$17,1,0)</f>
        <v>0</v>
      </c>
      <c r="Q186" s="9" t="n">
        <f aca="false">IF(AND(F186&lt;=Parameters!$B$6,F186&gt;Parameters!$B$6-Parameters!$B$18),1,0)</f>
        <v>0</v>
      </c>
      <c r="R186" s="9" t="n">
        <f aca="false">IF(COUNTIF(Parameters!$A$51:$A$58,H186)=0,1,0)</f>
        <v>0</v>
      </c>
      <c r="S186" s="9" t="n">
        <f aca="false">IF(AND(I186="Manual",L186&gt;0),1,0)</f>
        <v>0</v>
      </c>
      <c r="T186" s="9" t="n">
        <f aca="false">IF(AND(C186&gt;=Parameters!$B$22,ROUND(MOD(ROUND(C186,2),Parameters!$B$21),2)=0),1,0)</f>
        <v>0</v>
      </c>
      <c r="U186" s="9" t="n">
        <f aca="false">IF(LEN(TRIM(J186))=0,1,0)</f>
        <v>0</v>
      </c>
      <c r="V186" s="9" t="n">
        <f aca="false">IF(AND(I186="Manual",C186&lt;Parameters!$B$19,C186&gt;=Parameters!$B$19*(1-Parameters!$B$20)),1,0)</f>
        <v>0</v>
      </c>
      <c r="W186" s="9" t="n">
        <f aca="false">IF(AND(I186="Manual",M186&gt;0),1,0)</f>
        <v>1</v>
      </c>
      <c r="X186" s="9" t="n">
        <f aca="false">IF(A186-A185&gt;1,1,0)</f>
        <v>0</v>
      </c>
      <c r="Y186" s="9" t="n">
        <f aca="false">N186*Parameters!$B$38+O186*Parameters!$B$39+P186*Parameters!$B$40+Q186*Parameters!$B$41+R186*Parameters!$B$42+S186*Parameters!$B$43+T186*Parameters!$B$44+U186*Parameters!$B$45+V186*Parameters!$B$46+W186*Parameters!$B$47+X186*Parameters!$B$48</f>
        <v>2</v>
      </c>
      <c r="Z186" s="0" t="str">
        <f aca="false">IF(Y186&gt;=Parameters!$B$25,"High","")</f>
        <v/>
      </c>
    </row>
    <row r="187" customFormat="false" ht="15" hidden="false" customHeight="false" outlineLevel="0" collapsed="false">
      <c r="A187" s="16" t="n">
        <v>1187</v>
      </c>
      <c r="B187" s="9" t="n">
        <f aca="false">COUNTIF(JE_Lines!$B$5:$B$1733,A187)</f>
        <v>2</v>
      </c>
      <c r="C187" s="17" t="n">
        <f aca="false">SUMIFS(JE_Lines!$G$5:$G$1733,JE_Lines!$B$5:$B$1733,A187)</f>
        <v>1661.52</v>
      </c>
      <c r="D187" s="17" t="n">
        <f aca="false">SUMIFS(JE_Lines!$H$5:$H$1733,JE_Lines!$B$5:$B$1733,A187)</f>
        <v>1661.52</v>
      </c>
      <c r="E187" s="17" t="n">
        <f aca="false">C187-D187</f>
        <v>0</v>
      </c>
      <c r="F187" s="18" t="n">
        <f aca="false">INDEX(JE_Lines!$C$5:$C$1733,MATCH(A187,JE_Lines!$B$5:$B$1733,0))</f>
        <v>45734</v>
      </c>
      <c r="G187" s="18" t="n">
        <f aca="false">INDEX(JE_Lines!$D$5:$D$1733,MATCH(A187,JE_Lines!$B$5:$B$1733,0))</f>
        <v>45730</v>
      </c>
      <c r="H187" s="0" t="str">
        <f aca="false">INDEX(JE_Lines!$I$5:$I$1733,MATCH(A187,JE_Lines!$B$5:$B$1733,0))</f>
        <v>FIN03</v>
      </c>
      <c r="I187" s="0" t="str">
        <f aca="false">INDEX(JE_Lines!$J$5:$J$1733,MATCH(A187,JE_Lines!$B$5:$B$1733,0))</f>
        <v>Manual</v>
      </c>
      <c r="J187" s="0" t="str">
        <f aca="false">IF(LEN(INDEX(JE_Lines!$K$5:$K$1733,MATCH(A187,JE_Lines!$B$5:$B$1733,0)))=0,"",INDEX(JE_Lines!$K$5:$K$1733,MATCH(A187,JE_Lines!$B$5:$B$1733,0)))</f>
        <v>Accrual for sundry costs</v>
      </c>
      <c r="K187" s="9" t="n">
        <f aca="false">F187-G187</f>
        <v>4</v>
      </c>
      <c r="L187" s="9" t="n">
        <f aca="false">COUNTIFS(JE_Lines!$B$5:$B$1733,A187,JE_Lines!$F$5:$F$1733,"Revenue")</f>
        <v>0</v>
      </c>
      <c r="M187" s="9" t="n">
        <f aca="false">COUNTIFS(JE_Lines!$B$5:$B$1733,A187,JE_Lines!$F$5:$F$1733,"Suspense")</f>
        <v>0</v>
      </c>
      <c r="N187" s="9" t="n">
        <f aca="false">IF(ABS(E187)&gt;Parameters!$B$23,1,0)</f>
        <v>0</v>
      </c>
      <c r="O187" s="9" t="n">
        <f aca="false">IF(WEEKDAY(F187,2)&gt;5,1,0)</f>
        <v>0</v>
      </c>
      <c r="P187" s="9" t="n">
        <f aca="false">IF(K187&gt;Parameters!$B$17,1,0)</f>
        <v>0</v>
      </c>
      <c r="Q187" s="9" t="n">
        <f aca="false">IF(AND(F187&lt;=Parameters!$B$6,F187&gt;Parameters!$B$6-Parameters!$B$18),1,0)</f>
        <v>0</v>
      </c>
      <c r="R187" s="9" t="n">
        <f aca="false">IF(COUNTIF(Parameters!$A$51:$A$58,H187)=0,1,0)</f>
        <v>0</v>
      </c>
      <c r="S187" s="9" t="n">
        <f aca="false">IF(AND(I187="Manual",L187&gt;0),1,0)</f>
        <v>0</v>
      </c>
      <c r="T187" s="9" t="n">
        <f aca="false">IF(AND(C187&gt;=Parameters!$B$22,ROUND(MOD(ROUND(C187,2),Parameters!$B$21),2)=0),1,0)</f>
        <v>0</v>
      </c>
      <c r="U187" s="9" t="n">
        <f aca="false">IF(LEN(TRIM(J187))=0,1,0)</f>
        <v>0</v>
      </c>
      <c r="V187" s="9" t="n">
        <f aca="false">IF(AND(I187="Manual",C187&lt;Parameters!$B$19,C187&gt;=Parameters!$B$19*(1-Parameters!$B$20)),1,0)</f>
        <v>0</v>
      </c>
      <c r="W187" s="9" t="n">
        <f aca="false">IF(AND(I187="Manual",M187&gt;0),1,0)</f>
        <v>0</v>
      </c>
      <c r="X187" s="9" t="n">
        <f aca="false">IF(A187-A186&gt;1,1,0)</f>
        <v>0</v>
      </c>
      <c r="Y187" s="9" t="n">
        <f aca="false">N187*Parameters!$B$38+O187*Parameters!$B$39+P187*Parameters!$B$40+Q187*Parameters!$B$41+R187*Parameters!$B$42+S187*Parameters!$B$43+T187*Parameters!$B$44+U187*Parameters!$B$45+V187*Parameters!$B$46+W187*Parameters!$B$47+X187*Parameters!$B$48</f>
        <v>0</v>
      </c>
      <c r="Z187" s="0" t="str">
        <f aca="false">IF(Y187&gt;=Parameters!$B$25,"High","")</f>
        <v/>
      </c>
    </row>
    <row r="188" customFormat="false" ht="15" hidden="false" customHeight="false" outlineLevel="0" collapsed="false">
      <c r="A188" s="16" t="n">
        <v>1188</v>
      </c>
      <c r="B188" s="9" t="n">
        <f aca="false">COUNTIF(JE_Lines!$B$5:$B$1733,A188)</f>
        <v>2</v>
      </c>
      <c r="C188" s="17" t="n">
        <f aca="false">SUMIFS(JE_Lines!$G$5:$G$1733,JE_Lines!$B$5:$B$1733,A188)</f>
        <v>6831.07</v>
      </c>
      <c r="D188" s="17" t="n">
        <f aca="false">SUMIFS(JE_Lines!$H$5:$H$1733,JE_Lines!$B$5:$B$1733,A188)</f>
        <v>6831.07</v>
      </c>
      <c r="E188" s="17" t="n">
        <f aca="false">C188-D188</f>
        <v>0</v>
      </c>
      <c r="F188" s="18" t="n">
        <f aca="false">INDEX(JE_Lines!$C$5:$C$1733,MATCH(A188,JE_Lines!$B$5:$B$1733,0))</f>
        <v>45734</v>
      </c>
      <c r="G188" s="18" t="n">
        <f aca="false">INDEX(JE_Lines!$D$5:$D$1733,MATCH(A188,JE_Lines!$B$5:$B$1733,0))</f>
        <v>45731</v>
      </c>
      <c r="H188" s="0" t="str">
        <f aca="false">INDEX(JE_Lines!$I$5:$I$1733,MATCH(A188,JE_Lines!$B$5:$B$1733,0))</f>
        <v>SYS_AP</v>
      </c>
      <c r="I188" s="0" t="str">
        <f aca="false">INDEX(JE_Lines!$J$5:$J$1733,MATCH(A188,JE_Lines!$B$5:$B$1733,0))</f>
        <v>System</v>
      </c>
      <c r="J188" s="0" t="str">
        <f aca="false">IF(LEN(INDEX(JE_Lines!$K$5:$K$1733,MATCH(A188,JE_Lines!$B$5:$B$1733,0)))=0,"",INDEX(JE_Lines!$K$5:$K$1733,MATCH(A188,JE_Lines!$B$5:$B$1733,0)))</f>
        <v>Supplier invoices</v>
      </c>
      <c r="K188" s="9" t="n">
        <f aca="false">F188-G188</f>
        <v>3</v>
      </c>
      <c r="L188" s="9" t="n">
        <f aca="false">COUNTIFS(JE_Lines!$B$5:$B$1733,A188,JE_Lines!$F$5:$F$1733,"Revenue")</f>
        <v>0</v>
      </c>
      <c r="M188" s="9" t="n">
        <f aca="false">COUNTIFS(JE_Lines!$B$5:$B$1733,A188,JE_Lines!$F$5:$F$1733,"Suspense")</f>
        <v>0</v>
      </c>
      <c r="N188" s="9" t="n">
        <f aca="false">IF(ABS(E188)&gt;Parameters!$B$23,1,0)</f>
        <v>0</v>
      </c>
      <c r="O188" s="9" t="n">
        <f aca="false">IF(WEEKDAY(F188,2)&gt;5,1,0)</f>
        <v>0</v>
      </c>
      <c r="P188" s="9" t="n">
        <f aca="false">IF(K188&gt;Parameters!$B$17,1,0)</f>
        <v>0</v>
      </c>
      <c r="Q188" s="9" t="n">
        <f aca="false">IF(AND(F188&lt;=Parameters!$B$6,F188&gt;Parameters!$B$6-Parameters!$B$18),1,0)</f>
        <v>0</v>
      </c>
      <c r="R188" s="9" t="n">
        <f aca="false">IF(COUNTIF(Parameters!$A$51:$A$58,H188)=0,1,0)</f>
        <v>0</v>
      </c>
      <c r="S188" s="9" t="n">
        <f aca="false">IF(AND(I188="Manual",L188&gt;0),1,0)</f>
        <v>0</v>
      </c>
      <c r="T188" s="9" t="n">
        <f aca="false">IF(AND(C188&gt;=Parameters!$B$22,ROUND(MOD(ROUND(C188,2),Parameters!$B$21),2)=0),1,0)</f>
        <v>0</v>
      </c>
      <c r="U188" s="9" t="n">
        <f aca="false">IF(LEN(TRIM(J188))=0,1,0)</f>
        <v>0</v>
      </c>
      <c r="V188" s="9" t="n">
        <f aca="false">IF(AND(I188="Manual",C188&lt;Parameters!$B$19,C188&gt;=Parameters!$B$19*(1-Parameters!$B$20)),1,0)</f>
        <v>0</v>
      </c>
      <c r="W188" s="9" t="n">
        <f aca="false">IF(AND(I188="Manual",M188&gt;0),1,0)</f>
        <v>0</v>
      </c>
      <c r="X188" s="9" t="n">
        <f aca="false">IF(A188-A187&gt;1,1,0)</f>
        <v>0</v>
      </c>
      <c r="Y188" s="9" t="n">
        <f aca="false">N188*Parameters!$B$38+O188*Parameters!$B$39+P188*Parameters!$B$40+Q188*Parameters!$B$41+R188*Parameters!$B$42+S188*Parameters!$B$43+T188*Parameters!$B$44+U188*Parameters!$B$45+V188*Parameters!$B$46+W188*Parameters!$B$47+X188*Parameters!$B$48</f>
        <v>0</v>
      </c>
      <c r="Z188" s="0" t="str">
        <f aca="false">IF(Y188&gt;=Parameters!$B$25,"High","")</f>
        <v/>
      </c>
    </row>
    <row r="189" customFormat="false" ht="15" hidden="false" customHeight="false" outlineLevel="0" collapsed="false">
      <c r="A189" s="16" t="n">
        <v>1189</v>
      </c>
      <c r="B189" s="9" t="n">
        <f aca="false">COUNTIF(JE_Lines!$B$5:$B$1733,A189)</f>
        <v>2</v>
      </c>
      <c r="C189" s="17" t="n">
        <f aca="false">SUMIFS(JE_Lines!$G$5:$G$1733,JE_Lines!$B$5:$B$1733,A189)</f>
        <v>1467.32</v>
      </c>
      <c r="D189" s="17" t="n">
        <f aca="false">SUMIFS(JE_Lines!$H$5:$H$1733,JE_Lines!$B$5:$B$1733,A189)</f>
        <v>1467.32</v>
      </c>
      <c r="E189" s="17" t="n">
        <f aca="false">C189-D189</f>
        <v>0</v>
      </c>
      <c r="F189" s="18" t="n">
        <f aca="false">INDEX(JE_Lines!$C$5:$C$1733,MATCH(A189,JE_Lines!$B$5:$B$1733,0))</f>
        <v>45735</v>
      </c>
      <c r="G189" s="18" t="n">
        <f aca="false">INDEX(JE_Lines!$D$5:$D$1733,MATCH(A189,JE_Lines!$B$5:$B$1733,0))</f>
        <v>45735</v>
      </c>
      <c r="H189" s="0" t="str">
        <f aca="false">INDEX(JE_Lines!$I$5:$I$1733,MATCH(A189,JE_Lines!$B$5:$B$1733,0))</f>
        <v>SYS_AR</v>
      </c>
      <c r="I189" s="0" t="str">
        <f aca="false">INDEX(JE_Lines!$J$5:$J$1733,MATCH(A189,JE_Lines!$B$5:$B$1733,0))</f>
        <v>System</v>
      </c>
      <c r="J189" s="0" t="str">
        <f aca="false">IF(LEN(INDEX(JE_Lines!$K$5:$K$1733,MATCH(A189,JE_Lines!$B$5:$B$1733,0)))=0,"",INDEX(JE_Lines!$K$5:$K$1733,MATCH(A189,JE_Lines!$B$5:$B$1733,0)))</f>
        <v>Sales invoice batch</v>
      </c>
      <c r="K189" s="9" t="n">
        <f aca="false">F189-G189</f>
        <v>0</v>
      </c>
      <c r="L189" s="9" t="n">
        <f aca="false">COUNTIFS(JE_Lines!$B$5:$B$1733,A189,JE_Lines!$F$5:$F$1733,"Revenue")</f>
        <v>1</v>
      </c>
      <c r="M189" s="9" t="n">
        <f aca="false">COUNTIFS(JE_Lines!$B$5:$B$1733,A189,JE_Lines!$F$5:$F$1733,"Suspense")</f>
        <v>0</v>
      </c>
      <c r="N189" s="9" t="n">
        <f aca="false">IF(ABS(E189)&gt;Parameters!$B$23,1,0)</f>
        <v>0</v>
      </c>
      <c r="O189" s="9" t="n">
        <f aca="false">IF(WEEKDAY(F189,2)&gt;5,1,0)</f>
        <v>0</v>
      </c>
      <c r="P189" s="9" t="n">
        <f aca="false">IF(K189&gt;Parameters!$B$17,1,0)</f>
        <v>0</v>
      </c>
      <c r="Q189" s="9" t="n">
        <f aca="false">IF(AND(F189&lt;=Parameters!$B$6,F189&gt;Parameters!$B$6-Parameters!$B$18),1,0)</f>
        <v>0</v>
      </c>
      <c r="R189" s="9" t="n">
        <f aca="false">IF(COUNTIF(Parameters!$A$51:$A$58,H189)=0,1,0)</f>
        <v>0</v>
      </c>
      <c r="S189" s="9" t="n">
        <f aca="false">IF(AND(I189="Manual",L189&gt;0),1,0)</f>
        <v>0</v>
      </c>
      <c r="T189" s="9" t="n">
        <f aca="false">IF(AND(C189&gt;=Parameters!$B$22,ROUND(MOD(ROUND(C189,2),Parameters!$B$21),2)=0),1,0)</f>
        <v>0</v>
      </c>
      <c r="U189" s="9" t="n">
        <f aca="false">IF(LEN(TRIM(J189))=0,1,0)</f>
        <v>0</v>
      </c>
      <c r="V189" s="9" t="n">
        <f aca="false">IF(AND(I189="Manual",C189&lt;Parameters!$B$19,C189&gt;=Parameters!$B$19*(1-Parameters!$B$20)),1,0)</f>
        <v>0</v>
      </c>
      <c r="W189" s="9" t="n">
        <f aca="false">IF(AND(I189="Manual",M189&gt;0),1,0)</f>
        <v>0</v>
      </c>
      <c r="X189" s="9" t="n">
        <f aca="false">IF(A189-A188&gt;1,1,0)</f>
        <v>0</v>
      </c>
      <c r="Y189" s="9" t="n">
        <f aca="false">N189*Parameters!$B$38+O189*Parameters!$B$39+P189*Parameters!$B$40+Q189*Parameters!$B$41+R189*Parameters!$B$42+S189*Parameters!$B$43+T189*Parameters!$B$44+U189*Parameters!$B$45+V189*Parameters!$B$46+W189*Parameters!$B$47+X189*Parameters!$B$48</f>
        <v>0</v>
      </c>
      <c r="Z189" s="0" t="str">
        <f aca="false">IF(Y189&gt;=Parameters!$B$25,"High","")</f>
        <v/>
      </c>
    </row>
    <row r="190" customFormat="false" ht="15" hidden="false" customHeight="false" outlineLevel="0" collapsed="false">
      <c r="A190" s="16" t="n">
        <v>1190</v>
      </c>
      <c r="B190" s="9" t="n">
        <f aca="false">COUNTIF(JE_Lines!$B$5:$B$1733,A190)</f>
        <v>2</v>
      </c>
      <c r="C190" s="17" t="n">
        <f aca="false">SUMIFS(JE_Lines!$G$5:$G$1733,JE_Lines!$B$5:$B$1733,A190)</f>
        <v>531.59</v>
      </c>
      <c r="D190" s="17" t="n">
        <f aca="false">SUMIFS(JE_Lines!$H$5:$H$1733,JE_Lines!$B$5:$B$1733,A190)</f>
        <v>531.59</v>
      </c>
      <c r="E190" s="17" t="n">
        <f aca="false">C190-D190</f>
        <v>0</v>
      </c>
      <c r="F190" s="18" t="n">
        <f aca="false">INDEX(JE_Lines!$C$5:$C$1733,MATCH(A190,JE_Lines!$B$5:$B$1733,0))</f>
        <v>45735</v>
      </c>
      <c r="G190" s="18" t="n">
        <f aca="false">INDEX(JE_Lines!$D$5:$D$1733,MATCH(A190,JE_Lines!$B$5:$B$1733,0))</f>
        <v>45735</v>
      </c>
      <c r="H190" s="0" t="str">
        <f aca="false">INDEX(JE_Lines!$I$5:$I$1733,MATCH(A190,JE_Lines!$B$5:$B$1733,0))</f>
        <v>SYS_AR</v>
      </c>
      <c r="I190" s="0" t="str">
        <f aca="false">INDEX(JE_Lines!$J$5:$J$1733,MATCH(A190,JE_Lines!$B$5:$B$1733,0))</f>
        <v>System</v>
      </c>
      <c r="J190" s="0" t="str">
        <f aca="false">IF(LEN(INDEX(JE_Lines!$K$5:$K$1733,MATCH(A190,JE_Lines!$B$5:$B$1733,0)))=0,"",INDEX(JE_Lines!$K$5:$K$1733,MATCH(A190,JE_Lines!$B$5:$B$1733,0)))</f>
        <v>Customer receipts</v>
      </c>
      <c r="K190" s="9" t="n">
        <f aca="false">F190-G190</f>
        <v>0</v>
      </c>
      <c r="L190" s="9" t="n">
        <f aca="false">COUNTIFS(JE_Lines!$B$5:$B$1733,A190,JE_Lines!$F$5:$F$1733,"Revenue")</f>
        <v>0</v>
      </c>
      <c r="M190" s="9" t="n">
        <f aca="false">COUNTIFS(JE_Lines!$B$5:$B$1733,A190,JE_Lines!$F$5:$F$1733,"Suspense")</f>
        <v>0</v>
      </c>
      <c r="N190" s="9" t="n">
        <f aca="false">IF(ABS(E190)&gt;Parameters!$B$23,1,0)</f>
        <v>0</v>
      </c>
      <c r="O190" s="9" t="n">
        <f aca="false">IF(WEEKDAY(F190,2)&gt;5,1,0)</f>
        <v>0</v>
      </c>
      <c r="P190" s="9" t="n">
        <f aca="false">IF(K190&gt;Parameters!$B$17,1,0)</f>
        <v>0</v>
      </c>
      <c r="Q190" s="9" t="n">
        <f aca="false">IF(AND(F190&lt;=Parameters!$B$6,F190&gt;Parameters!$B$6-Parameters!$B$18),1,0)</f>
        <v>0</v>
      </c>
      <c r="R190" s="9" t="n">
        <f aca="false">IF(COUNTIF(Parameters!$A$51:$A$58,H190)=0,1,0)</f>
        <v>0</v>
      </c>
      <c r="S190" s="9" t="n">
        <f aca="false">IF(AND(I190="Manual",L190&gt;0),1,0)</f>
        <v>0</v>
      </c>
      <c r="T190" s="9" t="n">
        <f aca="false">IF(AND(C190&gt;=Parameters!$B$22,ROUND(MOD(ROUND(C190,2),Parameters!$B$21),2)=0),1,0)</f>
        <v>0</v>
      </c>
      <c r="U190" s="9" t="n">
        <f aca="false">IF(LEN(TRIM(J190))=0,1,0)</f>
        <v>0</v>
      </c>
      <c r="V190" s="9" t="n">
        <f aca="false">IF(AND(I190="Manual",C190&lt;Parameters!$B$19,C190&gt;=Parameters!$B$19*(1-Parameters!$B$20)),1,0)</f>
        <v>0</v>
      </c>
      <c r="W190" s="9" t="n">
        <f aca="false">IF(AND(I190="Manual",M190&gt;0),1,0)</f>
        <v>0</v>
      </c>
      <c r="X190" s="9" t="n">
        <f aca="false">IF(A190-A189&gt;1,1,0)</f>
        <v>0</v>
      </c>
      <c r="Y190" s="9" t="n">
        <f aca="false">N190*Parameters!$B$38+O190*Parameters!$B$39+P190*Parameters!$B$40+Q190*Parameters!$B$41+R190*Parameters!$B$42+S190*Parameters!$B$43+T190*Parameters!$B$44+U190*Parameters!$B$45+V190*Parameters!$B$46+W190*Parameters!$B$47+X190*Parameters!$B$48</f>
        <v>0</v>
      </c>
      <c r="Z190" s="0" t="str">
        <f aca="false">IF(Y190&gt;=Parameters!$B$25,"High","")</f>
        <v/>
      </c>
    </row>
    <row r="191" customFormat="false" ht="15" hidden="false" customHeight="false" outlineLevel="0" collapsed="false">
      <c r="A191" s="16" t="n">
        <v>1191</v>
      </c>
      <c r="B191" s="9" t="n">
        <f aca="false">COUNTIF(JE_Lines!$B$5:$B$1733,A191)</f>
        <v>2</v>
      </c>
      <c r="C191" s="17" t="n">
        <f aca="false">SUMIFS(JE_Lines!$G$5:$G$1733,JE_Lines!$B$5:$B$1733,A191)</f>
        <v>685.47</v>
      </c>
      <c r="D191" s="17" t="n">
        <f aca="false">SUMIFS(JE_Lines!$H$5:$H$1733,JE_Lines!$B$5:$B$1733,A191)</f>
        <v>685.47</v>
      </c>
      <c r="E191" s="17" t="n">
        <f aca="false">C191-D191</f>
        <v>0</v>
      </c>
      <c r="F191" s="18" t="n">
        <f aca="false">INDEX(JE_Lines!$C$5:$C$1733,MATCH(A191,JE_Lines!$B$5:$B$1733,0))</f>
        <v>45735</v>
      </c>
      <c r="G191" s="18" t="n">
        <f aca="false">INDEX(JE_Lines!$D$5:$D$1733,MATCH(A191,JE_Lines!$B$5:$B$1733,0))</f>
        <v>45732</v>
      </c>
      <c r="H191" s="0" t="str">
        <f aca="false">INDEX(JE_Lines!$I$5:$I$1733,MATCH(A191,JE_Lines!$B$5:$B$1733,0))</f>
        <v>SYS_AR</v>
      </c>
      <c r="I191" s="0" t="str">
        <f aca="false">INDEX(JE_Lines!$J$5:$J$1733,MATCH(A191,JE_Lines!$B$5:$B$1733,0))</f>
        <v>System</v>
      </c>
      <c r="J191" s="0" t="str">
        <f aca="false">IF(LEN(INDEX(JE_Lines!$K$5:$K$1733,MATCH(A191,JE_Lines!$B$5:$B$1733,0)))=0,"",INDEX(JE_Lines!$K$5:$K$1733,MATCH(A191,JE_Lines!$B$5:$B$1733,0)))</f>
        <v>Cost of sales posting</v>
      </c>
      <c r="K191" s="9" t="n">
        <f aca="false">F191-G191</f>
        <v>3</v>
      </c>
      <c r="L191" s="9" t="n">
        <f aca="false">COUNTIFS(JE_Lines!$B$5:$B$1733,A191,JE_Lines!$F$5:$F$1733,"Revenue")</f>
        <v>0</v>
      </c>
      <c r="M191" s="9" t="n">
        <f aca="false">COUNTIFS(JE_Lines!$B$5:$B$1733,A191,JE_Lines!$F$5:$F$1733,"Suspense")</f>
        <v>0</v>
      </c>
      <c r="N191" s="9" t="n">
        <f aca="false">IF(ABS(E191)&gt;Parameters!$B$23,1,0)</f>
        <v>0</v>
      </c>
      <c r="O191" s="9" t="n">
        <f aca="false">IF(WEEKDAY(F191,2)&gt;5,1,0)</f>
        <v>0</v>
      </c>
      <c r="P191" s="9" t="n">
        <f aca="false">IF(K191&gt;Parameters!$B$17,1,0)</f>
        <v>0</v>
      </c>
      <c r="Q191" s="9" t="n">
        <f aca="false">IF(AND(F191&lt;=Parameters!$B$6,F191&gt;Parameters!$B$6-Parameters!$B$18),1,0)</f>
        <v>0</v>
      </c>
      <c r="R191" s="9" t="n">
        <f aca="false">IF(COUNTIF(Parameters!$A$51:$A$58,H191)=0,1,0)</f>
        <v>0</v>
      </c>
      <c r="S191" s="9" t="n">
        <f aca="false">IF(AND(I191="Manual",L191&gt;0),1,0)</f>
        <v>0</v>
      </c>
      <c r="T191" s="9" t="n">
        <f aca="false">IF(AND(C191&gt;=Parameters!$B$22,ROUND(MOD(ROUND(C191,2),Parameters!$B$21),2)=0),1,0)</f>
        <v>0</v>
      </c>
      <c r="U191" s="9" t="n">
        <f aca="false">IF(LEN(TRIM(J191))=0,1,0)</f>
        <v>0</v>
      </c>
      <c r="V191" s="9" t="n">
        <f aca="false">IF(AND(I191="Manual",C191&lt;Parameters!$B$19,C191&gt;=Parameters!$B$19*(1-Parameters!$B$20)),1,0)</f>
        <v>0</v>
      </c>
      <c r="W191" s="9" t="n">
        <f aca="false">IF(AND(I191="Manual",M191&gt;0),1,0)</f>
        <v>0</v>
      </c>
      <c r="X191" s="9" t="n">
        <f aca="false">IF(A191-A190&gt;1,1,0)</f>
        <v>0</v>
      </c>
      <c r="Y191" s="9" t="n">
        <f aca="false">N191*Parameters!$B$38+O191*Parameters!$B$39+P191*Parameters!$B$40+Q191*Parameters!$B$41+R191*Parameters!$B$42+S191*Parameters!$B$43+T191*Parameters!$B$44+U191*Parameters!$B$45+V191*Parameters!$B$46+W191*Parameters!$B$47+X191*Parameters!$B$48</f>
        <v>0</v>
      </c>
      <c r="Z191" s="0" t="str">
        <f aca="false">IF(Y191&gt;=Parameters!$B$25,"High","")</f>
        <v/>
      </c>
    </row>
    <row r="192" customFormat="false" ht="15" hidden="false" customHeight="false" outlineLevel="0" collapsed="false">
      <c r="A192" s="16" t="n">
        <v>1192</v>
      </c>
      <c r="B192" s="9" t="n">
        <f aca="false">COUNTIF(JE_Lines!$B$5:$B$1733,A192)</f>
        <v>2</v>
      </c>
      <c r="C192" s="17" t="n">
        <f aca="false">SUMIFS(JE_Lines!$G$5:$G$1733,JE_Lines!$B$5:$B$1733,A192)</f>
        <v>35281.47</v>
      </c>
      <c r="D192" s="17" t="n">
        <f aca="false">SUMIFS(JE_Lines!$H$5:$H$1733,JE_Lines!$B$5:$B$1733,A192)</f>
        <v>35281.47</v>
      </c>
      <c r="E192" s="17" t="n">
        <f aca="false">C192-D192</f>
        <v>0</v>
      </c>
      <c r="F192" s="18" t="n">
        <f aca="false">INDEX(JE_Lines!$C$5:$C$1733,MATCH(A192,JE_Lines!$B$5:$B$1733,0))</f>
        <v>45735</v>
      </c>
      <c r="G192" s="18" t="n">
        <f aca="false">INDEX(JE_Lines!$D$5:$D$1733,MATCH(A192,JE_Lines!$B$5:$B$1733,0))</f>
        <v>45731</v>
      </c>
      <c r="H192" s="0" t="str">
        <f aca="false">INDEX(JE_Lines!$I$5:$I$1733,MATCH(A192,JE_Lines!$B$5:$B$1733,0))</f>
        <v>SYS_AP</v>
      </c>
      <c r="I192" s="0" t="str">
        <f aca="false">INDEX(JE_Lines!$J$5:$J$1733,MATCH(A192,JE_Lines!$B$5:$B$1733,0))</f>
        <v>System</v>
      </c>
      <c r="J192" s="0" t="str">
        <f aca="false">IF(LEN(INDEX(JE_Lines!$K$5:$K$1733,MATCH(A192,JE_Lines!$B$5:$B$1733,0)))=0,"",INDEX(JE_Lines!$K$5:$K$1733,MATCH(A192,JE_Lines!$B$5:$B$1733,0)))</f>
        <v>Supplier invoices</v>
      </c>
      <c r="K192" s="9" t="n">
        <f aca="false">F192-G192</f>
        <v>4</v>
      </c>
      <c r="L192" s="9" t="n">
        <f aca="false">COUNTIFS(JE_Lines!$B$5:$B$1733,A192,JE_Lines!$F$5:$F$1733,"Revenue")</f>
        <v>0</v>
      </c>
      <c r="M192" s="9" t="n">
        <f aca="false">COUNTIFS(JE_Lines!$B$5:$B$1733,A192,JE_Lines!$F$5:$F$1733,"Suspense")</f>
        <v>0</v>
      </c>
      <c r="N192" s="9" t="n">
        <f aca="false">IF(ABS(E192)&gt;Parameters!$B$23,1,0)</f>
        <v>0</v>
      </c>
      <c r="O192" s="9" t="n">
        <f aca="false">IF(WEEKDAY(F192,2)&gt;5,1,0)</f>
        <v>0</v>
      </c>
      <c r="P192" s="9" t="n">
        <f aca="false">IF(K192&gt;Parameters!$B$17,1,0)</f>
        <v>0</v>
      </c>
      <c r="Q192" s="9" t="n">
        <f aca="false">IF(AND(F192&lt;=Parameters!$B$6,F192&gt;Parameters!$B$6-Parameters!$B$18),1,0)</f>
        <v>0</v>
      </c>
      <c r="R192" s="9" t="n">
        <f aca="false">IF(COUNTIF(Parameters!$A$51:$A$58,H192)=0,1,0)</f>
        <v>0</v>
      </c>
      <c r="S192" s="9" t="n">
        <f aca="false">IF(AND(I192="Manual",L192&gt;0),1,0)</f>
        <v>0</v>
      </c>
      <c r="T192" s="9" t="n">
        <f aca="false">IF(AND(C192&gt;=Parameters!$B$22,ROUND(MOD(ROUND(C192,2),Parameters!$B$21),2)=0),1,0)</f>
        <v>0</v>
      </c>
      <c r="U192" s="9" t="n">
        <f aca="false">IF(LEN(TRIM(J192))=0,1,0)</f>
        <v>0</v>
      </c>
      <c r="V192" s="9" t="n">
        <f aca="false">IF(AND(I192="Manual",C192&lt;Parameters!$B$19,C192&gt;=Parameters!$B$19*(1-Parameters!$B$20)),1,0)</f>
        <v>0</v>
      </c>
      <c r="W192" s="9" t="n">
        <f aca="false">IF(AND(I192="Manual",M192&gt;0),1,0)</f>
        <v>0</v>
      </c>
      <c r="X192" s="9" t="n">
        <f aca="false">IF(A192-A191&gt;1,1,0)</f>
        <v>0</v>
      </c>
      <c r="Y192" s="9" t="n">
        <f aca="false">N192*Parameters!$B$38+O192*Parameters!$B$39+P192*Parameters!$B$40+Q192*Parameters!$B$41+R192*Parameters!$B$42+S192*Parameters!$B$43+T192*Parameters!$B$44+U192*Parameters!$B$45+V192*Parameters!$B$46+W192*Parameters!$B$47+X192*Parameters!$B$48</f>
        <v>0</v>
      </c>
      <c r="Z192" s="0" t="str">
        <f aca="false">IF(Y192&gt;=Parameters!$B$25,"High","")</f>
        <v/>
      </c>
    </row>
    <row r="193" customFormat="false" ht="15" hidden="false" customHeight="false" outlineLevel="0" collapsed="false">
      <c r="A193" s="16" t="n">
        <v>1193</v>
      </c>
      <c r="B193" s="9" t="n">
        <f aca="false">COUNTIF(JE_Lines!$B$5:$B$1733,A193)</f>
        <v>2</v>
      </c>
      <c r="C193" s="17" t="n">
        <f aca="false">SUMIFS(JE_Lines!$G$5:$G$1733,JE_Lines!$B$5:$B$1733,A193)</f>
        <v>123626.27</v>
      </c>
      <c r="D193" s="17" t="n">
        <f aca="false">SUMIFS(JE_Lines!$H$5:$H$1733,JE_Lines!$B$5:$B$1733,A193)</f>
        <v>123626.27</v>
      </c>
      <c r="E193" s="17" t="n">
        <f aca="false">C193-D193</f>
        <v>0</v>
      </c>
      <c r="F193" s="18" t="n">
        <f aca="false">INDEX(JE_Lines!$C$5:$C$1733,MATCH(A193,JE_Lines!$B$5:$B$1733,0))</f>
        <v>45735</v>
      </c>
      <c r="G193" s="18" t="n">
        <f aca="false">INDEX(JE_Lines!$D$5:$D$1733,MATCH(A193,JE_Lines!$B$5:$B$1733,0))</f>
        <v>45734</v>
      </c>
      <c r="H193" s="0" t="str">
        <f aca="false">INDEX(JE_Lines!$I$5:$I$1733,MATCH(A193,JE_Lines!$B$5:$B$1733,0))</f>
        <v>SYS_AR</v>
      </c>
      <c r="I193" s="0" t="str">
        <f aca="false">INDEX(JE_Lines!$J$5:$J$1733,MATCH(A193,JE_Lines!$B$5:$B$1733,0))</f>
        <v>System</v>
      </c>
      <c r="J193" s="0" t="str">
        <f aca="false">IF(LEN(INDEX(JE_Lines!$K$5:$K$1733,MATCH(A193,JE_Lines!$B$5:$B$1733,0)))=0,"",INDEX(JE_Lines!$K$5:$K$1733,MATCH(A193,JE_Lines!$B$5:$B$1733,0)))</f>
        <v>Sales invoice batch</v>
      </c>
      <c r="K193" s="9" t="n">
        <f aca="false">F193-G193</f>
        <v>1</v>
      </c>
      <c r="L193" s="9" t="n">
        <f aca="false">COUNTIFS(JE_Lines!$B$5:$B$1733,A193,JE_Lines!$F$5:$F$1733,"Revenue")</f>
        <v>1</v>
      </c>
      <c r="M193" s="9" t="n">
        <f aca="false">COUNTIFS(JE_Lines!$B$5:$B$1733,A193,JE_Lines!$F$5:$F$1733,"Suspense")</f>
        <v>0</v>
      </c>
      <c r="N193" s="9" t="n">
        <f aca="false">IF(ABS(E193)&gt;Parameters!$B$23,1,0)</f>
        <v>0</v>
      </c>
      <c r="O193" s="9" t="n">
        <f aca="false">IF(WEEKDAY(F193,2)&gt;5,1,0)</f>
        <v>0</v>
      </c>
      <c r="P193" s="9" t="n">
        <f aca="false">IF(K193&gt;Parameters!$B$17,1,0)</f>
        <v>0</v>
      </c>
      <c r="Q193" s="9" t="n">
        <f aca="false">IF(AND(F193&lt;=Parameters!$B$6,F193&gt;Parameters!$B$6-Parameters!$B$18),1,0)</f>
        <v>0</v>
      </c>
      <c r="R193" s="9" t="n">
        <f aca="false">IF(COUNTIF(Parameters!$A$51:$A$58,H193)=0,1,0)</f>
        <v>0</v>
      </c>
      <c r="S193" s="9" t="n">
        <f aca="false">IF(AND(I193="Manual",L193&gt;0),1,0)</f>
        <v>0</v>
      </c>
      <c r="T193" s="9" t="n">
        <f aca="false">IF(AND(C193&gt;=Parameters!$B$22,ROUND(MOD(ROUND(C193,2),Parameters!$B$21),2)=0),1,0)</f>
        <v>0</v>
      </c>
      <c r="U193" s="9" t="n">
        <f aca="false">IF(LEN(TRIM(J193))=0,1,0)</f>
        <v>0</v>
      </c>
      <c r="V193" s="9" t="n">
        <f aca="false">IF(AND(I193="Manual",C193&lt;Parameters!$B$19,C193&gt;=Parameters!$B$19*(1-Parameters!$B$20)),1,0)</f>
        <v>0</v>
      </c>
      <c r="W193" s="9" t="n">
        <f aca="false">IF(AND(I193="Manual",M193&gt;0),1,0)</f>
        <v>0</v>
      </c>
      <c r="X193" s="9" t="n">
        <f aca="false">IF(A193-A192&gt;1,1,0)</f>
        <v>0</v>
      </c>
      <c r="Y193" s="9" t="n">
        <f aca="false">N193*Parameters!$B$38+O193*Parameters!$B$39+P193*Parameters!$B$40+Q193*Parameters!$B$41+R193*Parameters!$B$42+S193*Parameters!$B$43+T193*Parameters!$B$44+U193*Parameters!$B$45+V193*Parameters!$B$46+W193*Parameters!$B$47+X193*Parameters!$B$48</f>
        <v>0</v>
      </c>
      <c r="Z193" s="0" t="str">
        <f aca="false">IF(Y193&gt;=Parameters!$B$25,"High","")</f>
        <v/>
      </c>
    </row>
    <row r="194" customFormat="false" ht="15" hidden="false" customHeight="false" outlineLevel="0" collapsed="false">
      <c r="A194" s="16" t="n">
        <v>1194</v>
      </c>
      <c r="B194" s="9" t="n">
        <f aca="false">COUNTIF(JE_Lines!$B$5:$B$1733,A194)</f>
        <v>2</v>
      </c>
      <c r="C194" s="17" t="n">
        <f aca="false">SUMIFS(JE_Lines!$G$5:$G$1733,JE_Lines!$B$5:$B$1733,A194)</f>
        <v>64403.3</v>
      </c>
      <c r="D194" s="17" t="n">
        <f aca="false">SUMIFS(JE_Lines!$H$5:$H$1733,JE_Lines!$B$5:$B$1733,A194)</f>
        <v>64403.3</v>
      </c>
      <c r="E194" s="17" t="n">
        <f aca="false">C194-D194</f>
        <v>0</v>
      </c>
      <c r="F194" s="18" t="n">
        <f aca="false">INDEX(JE_Lines!$C$5:$C$1733,MATCH(A194,JE_Lines!$B$5:$B$1733,0))</f>
        <v>45736</v>
      </c>
      <c r="G194" s="18" t="n">
        <f aca="false">INDEX(JE_Lines!$D$5:$D$1733,MATCH(A194,JE_Lines!$B$5:$B$1733,0))</f>
        <v>45734</v>
      </c>
      <c r="H194" s="0" t="str">
        <f aca="false">INDEX(JE_Lines!$I$5:$I$1733,MATCH(A194,JE_Lines!$B$5:$B$1733,0))</f>
        <v>SYS_AP</v>
      </c>
      <c r="I194" s="0" t="str">
        <f aca="false">INDEX(JE_Lines!$J$5:$J$1733,MATCH(A194,JE_Lines!$B$5:$B$1733,0))</f>
        <v>System</v>
      </c>
      <c r="J194" s="0" t="str">
        <f aca="false">IF(LEN(INDEX(JE_Lines!$K$5:$K$1733,MATCH(A194,JE_Lines!$B$5:$B$1733,0)))=0,"",INDEX(JE_Lines!$K$5:$K$1733,MATCH(A194,JE_Lines!$B$5:$B$1733,0)))</f>
        <v>Supplier invoices</v>
      </c>
      <c r="K194" s="9" t="n">
        <f aca="false">F194-G194</f>
        <v>2</v>
      </c>
      <c r="L194" s="9" t="n">
        <f aca="false">COUNTIFS(JE_Lines!$B$5:$B$1733,A194,JE_Lines!$F$5:$F$1733,"Revenue")</f>
        <v>0</v>
      </c>
      <c r="M194" s="9" t="n">
        <f aca="false">COUNTIFS(JE_Lines!$B$5:$B$1733,A194,JE_Lines!$F$5:$F$1733,"Suspense")</f>
        <v>0</v>
      </c>
      <c r="N194" s="9" t="n">
        <f aca="false">IF(ABS(E194)&gt;Parameters!$B$23,1,0)</f>
        <v>0</v>
      </c>
      <c r="O194" s="9" t="n">
        <f aca="false">IF(WEEKDAY(F194,2)&gt;5,1,0)</f>
        <v>0</v>
      </c>
      <c r="P194" s="9" t="n">
        <f aca="false">IF(K194&gt;Parameters!$B$17,1,0)</f>
        <v>0</v>
      </c>
      <c r="Q194" s="9" t="n">
        <f aca="false">IF(AND(F194&lt;=Parameters!$B$6,F194&gt;Parameters!$B$6-Parameters!$B$18),1,0)</f>
        <v>0</v>
      </c>
      <c r="R194" s="9" t="n">
        <f aca="false">IF(COUNTIF(Parameters!$A$51:$A$58,H194)=0,1,0)</f>
        <v>0</v>
      </c>
      <c r="S194" s="9" t="n">
        <f aca="false">IF(AND(I194="Manual",L194&gt;0),1,0)</f>
        <v>0</v>
      </c>
      <c r="T194" s="9" t="n">
        <f aca="false">IF(AND(C194&gt;=Parameters!$B$22,ROUND(MOD(ROUND(C194,2),Parameters!$B$21),2)=0),1,0)</f>
        <v>0</v>
      </c>
      <c r="U194" s="9" t="n">
        <f aca="false">IF(LEN(TRIM(J194))=0,1,0)</f>
        <v>0</v>
      </c>
      <c r="V194" s="9" t="n">
        <f aca="false">IF(AND(I194="Manual",C194&lt;Parameters!$B$19,C194&gt;=Parameters!$B$19*(1-Parameters!$B$20)),1,0)</f>
        <v>0</v>
      </c>
      <c r="W194" s="9" t="n">
        <f aca="false">IF(AND(I194="Manual",M194&gt;0),1,0)</f>
        <v>0</v>
      </c>
      <c r="X194" s="9" t="n">
        <f aca="false">IF(A194-A193&gt;1,1,0)</f>
        <v>0</v>
      </c>
      <c r="Y194" s="9" t="n">
        <f aca="false">N194*Parameters!$B$38+O194*Parameters!$B$39+P194*Parameters!$B$40+Q194*Parameters!$B$41+R194*Parameters!$B$42+S194*Parameters!$B$43+T194*Parameters!$B$44+U194*Parameters!$B$45+V194*Parameters!$B$46+W194*Parameters!$B$47+X194*Parameters!$B$48</f>
        <v>0</v>
      </c>
      <c r="Z194" s="0" t="str">
        <f aca="false">IF(Y194&gt;=Parameters!$B$25,"High","")</f>
        <v/>
      </c>
    </row>
    <row r="195" customFormat="false" ht="15" hidden="false" customHeight="false" outlineLevel="0" collapsed="false">
      <c r="A195" s="16" t="n">
        <v>1195</v>
      </c>
      <c r="B195" s="9" t="n">
        <f aca="false">COUNTIF(JE_Lines!$B$5:$B$1733,A195)</f>
        <v>3</v>
      </c>
      <c r="C195" s="17" t="n">
        <f aca="false">SUMIFS(JE_Lines!$G$5:$G$1733,JE_Lines!$B$5:$B$1733,A195)</f>
        <v>19250.36</v>
      </c>
      <c r="D195" s="17" t="n">
        <f aca="false">SUMIFS(JE_Lines!$H$5:$H$1733,JE_Lines!$B$5:$B$1733,A195)</f>
        <v>19250.36</v>
      </c>
      <c r="E195" s="17" t="n">
        <f aca="false">C195-D195</f>
        <v>0</v>
      </c>
      <c r="F195" s="18" t="n">
        <f aca="false">INDEX(JE_Lines!$C$5:$C$1733,MATCH(A195,JE_Lines!$B$5:$B$1733,0))</f>
        <v>45736</v>
      </c>
      <c r="G195" s="18" t="n">
        <f aca="false">INDEX(JE_Lines!$D$5:$D$1733,MATCH(A195,JE_Lines!$B$5:$B$1733,0))</f>
        <v>45733</v>
      </c>
      <c r="H195" s="0" t="str">
        <f aca="false">INDEX(JE_Lines!$I$5:$I$1733,MATCH(A195,JE_Lines!$B$5:$B$1733,0))</f>
        <v>SYS_AP</v>
      </c>
      <c r="I195" s="0" t="str">
        <f aca="false">INDEX(JE_Lines!$J$5:$J$1733,MATCH(A195,JE_Lines!$B$5:$B$1733,0))</f>
        <v>System</v>
      </c>
      <c r="J195" s="0" t="str">
        <f aca="false">IF(LEN(INDEX(JE_Lines!$K$5:$K$1733,MATCH(A195,JE_Lines!$B$5:$B$1733,0)))=0,"",INDEX(JE_Lines!$K$5:$K$1733,MATCH(A195,JE_Lines!$B$5:$B$1733,0)))</f>
        <v/>
      </c>
      <c r="K195" s="9" t="n">
        <f aca="false">F195-G195</f>
        <v>3</v>
      </c>
      <c r="L195" s="9" t="n">
        <f aca="false">COUNTIFS(JE_Lines!$B$5:$B$1733,A195,JE_Lines!$F$5:$F$1733,"Revenue")</f>
        <v>0</v>
      </c>
      <c r="M195" s="9" t="n">
        <f aca="false">COUNTIFS(JE_Lines!$B$5:$B$1733,A195,JE_Lines!$F$5:$F$1733,"Suspense")</f>
        <v>0</v>
      </c>
      <c r="N195" s="9" t="n">
        <f aca="false">IF(ABS(E195)&gt;Parameters!$B$23,1,0)</f>
        <v>0</v>
      </c>
      <c r="O195" s="9" t="n">
        <f aca="false">IF(WEEKDAY(F195,2)&gt;5,1,0)</f>
        <v>0</v>
      </c>
      <c r="P195" s="9" t="n">
        <f aca="false">IF(K195&gt;Parameters!$B$17,1,0)</f>
        <v>0</v>
      </c>
      <c r="Q195" s="9" t="n">
        <f aca="false">IF(AND(F195&lt;=Parameters!$B$6,F195&gt;Parameters!$B$6-Parameters!$B$18),1,0)</f>
        <v>0</v>
      </c>
      <c r="R195" s="9" t="n">
        <f aca="false">IF(COUNTIF(Parameters!$A$51:$A$58,H195)=0,1,0)</f>
        <v>0</v>
      </c>
      <c r="S195" s="9" t="n">
        <f aca="false">IF(AND(I195="Manual",L195&gt;0),1,0)</f>
        <v>0</v>
      </c>
      <c r="T195" s="9" t="n">
        <f aca="false">IF(AND(C195&gt;=Parameters!$B$22,ROUND(MOD(ROUND(C195,2),Parameters!$B$21),2)=0),1,0)</f>
        <v>0</v>
      </c>
      <c r="U195" s="9" t="n">
        <f aca="false">IF(LEN(TRIM(J195))=0,1,0)</f>
        <v>1</v>
      </c>
      <c r="V195" s="9" t="n">
        <f aca="false">IF(AND(I195="Manual",C195&lt;Parameters!$B$19,C195&gt;=Parameters!$B$19*(1-Parameters!$B$20)),1,0)</f>
        <v>0</v>
      </c>
      <c r="W195" s="9" t="n">
        <f aca="false">IF(AND(I195="Manual",M195&gt;0),1,0)</f>
        <v>0</v>
      </c>
      <c r="X195" s="9" t="n">
        <f aca="false">IF(A195-A194&gt;1,1,0)</f>
        <v>0</v>
      </c>
      <c r="Y195" s="9" t="n">
        <f aca="false">N195*Parameters!$B$38+O195*Parameters!$B$39+P195*Parameters!$B$40+Q195*Parameters!$B$41+R195*Parameters!$B$42+S195*Parameters!$B$43+T195*Parameters!$B$44+U195*Parameters!$B$45+V195*Parameters!$B$46+W195*Parameters!$B$47+X195*Parameters!$B$48</f>
        <v>2</v>
      </c>
      <c r="Z195" s="0" t="str">
        <f aca="false">IF(Y195&gt;=Parameters!$B$25,"High","")</f>
        <v/>
      </c>
    </row>
    <row r="196" customFormat="false" ht="15" hidden="false" customHeight="false" outlineLevel="0" collapsed="false">
      <c r="A196" s="16" t="n">
        <v>1196</v>
      </c>
      <c r="B196" s="9" t="n">
        <f aca="false">COUNTIF(JE_Lines!$B$5:$B$1733,A196)</f>
        <v>2</v>
      </c>
      <c r="C196" s="17" t="n">
        <f aca="false">SUMIFS(JE_Lines!$G$5:$G$1733,JE_Lines!$B$5:$B$1733,A196)</f>
        <v>3204.52</v>
      </c>
      <c r="D196" s="17" t="n">
        <f aca="false">SUMIFS(JE_Lines!$H$5:$H$1733,JE_Lines!$B$5:$B$1733,A196)</f>
        <v>3204.52</v>
      </c>
      <c r="E196" s="17" t="n">
        <f aca="false">C196-D196</f>
        <v>0</v>
      </c>
      <c r="F196" s="18" t="n">
        <f aca="false">INDEX(JE_Lines!$C$5:$C$1733,MATCH(A196,JE_Lines!$B$5:$B$1733,0))</f>
        <v>45736</v>
      </c>
      <c r="G196" s="18" t="n">
        <f aca="false">INDEX(JE_Lines!$D$5:$D$1733,MATCH(A196,JE_Lines!$B$5:$B$1733,0))</f>
        <v>45733</v>
      </c>
      <c r="H196" s="0" t="str">
        <f aca="false">INDEX(JE_Lines!$I$5:$I$1733,MATCH(A196,JE_Lines!$B$5:$B$1733,0))</f>
        <v>SYS_AR</v>
      </c>
      <c r="I196" s="0" t="str">
        <f aca="false">INDEX(JE_Lines!$J$5:$J$1733,MATCH(A196,JE_Lines!$B$5:$B$1733,0))</f>
        <v>System</v>
      </c>
      <c r="J196" s="0" t="str">
        <f aca="false">IF(LEN(INDEX(JE_Lines!$K$5:$K$1733,MATCH(A196,JE_Lines!$B$5:$B$1733,0)))=0,"",INDEX(JE_Lines!$K$5:$K$1733,MATCH(A196,JE_Lines!$B$5:$B$1733,0)))</f>
        <v>Cost of sales posting</v>
      </c>
      <c r="K196" s="9" t="n">
        <f aca="false">F196-G196</f>
        <v>3</v>
      </c>
      <c r="L196" s="9" t="n">
        <f aca="false">COUNTIFS(JE_Lines!$B$5:$B$1733,A196,JE_Lines!$F$5:$F$1733,"Revenue")</f>
        <v>0</v>
      </c>
      <c r="M196" s="9" t="n">
        <f aca="false">COUNTIFS(JE_Lines!$B$5:$B$1733,A196,JE_Lines!$F$5:$F$1733,"Suspense")</f>
        <v>0</v>
      </c>
      <c r="N196" s="9" t="n">
        <f aca="false">IF(ABS(E196)&gt;Parameters!$B$23,1,0)</f>
        <v>0</v>
      </c>
      <c r="O196" s="9" t="n">
        <f aca="false">IF(WEEKDAY(F196,2)&gt;5,1,0)</f>
        <v>0</v>
      </c>
      <c r="P196" s="9" t="n">
        <f aca="false">IF(K196&gt;Parameters!$B$17,1,0)</f>
        <v>0</v>
      </c>
      <c r="Q196" s="9" t="n">
        <f aca="false">IF(AND(F196&lt;=Parameters!$B$6,F196&gt;Parameters!$B$6-Parameters!$B$18),1,0)</f>
        <v>0</v>
      </c>
      <c r="R196" s="9" t="n">
        <f aca="false">IF(COUNTIF(Parameters!$A$51:$A$58,H196)=0,1,0)</f>
        <v>0</v>
      </c>
      <c r="S196" s="9" t="n">
        <f aca="false">IF(AND(I196="Manual",L196&gt;0),1,0)</f>
        <v>0</v>
      </c>
      <c r="T196" s="9" t="n">
        <f aca="false">IF(AND(C196&gt;=Parameters!$B$22,ROUND(MOD(ROUND(C196,2),Parameters!$B$21),2)=0),1,0)</f>
        <v>0</v>
      </c>
      <c r="U196" s="9" t="n">
        <f aca="false">IF(LEN(TRIM(J196))=0,1,0)</f>
        <v>0</v>
      </c>
      <c r="V196" s="9" t="n">
        <f aca="false">IF(AND(I196="Manual",C196&lt;Parameters!$B$19,C196&gt;=Parameters!$B$19*(1-Parameters!$B$20)),1,0)</f>
        <v>0</v>
      </c>
      <c r="W196" s="9" t="n">
        <f aca="false">IF(AND(I196="Manual",M196&gt;0),1,0)</f>
        <v>0</v>
      </c>
      <c r="X196" s="9" t="n">
        <f aca="false">IF(A196-A195&gt;1,1,0)</f>
        <v>0</v>
      </c>
      <c r="Y196" s="9" t="n">
        <f aca="false">N196*Parameters!$B$38+O196*Parameters!$B$39+P196*Parameters!$B$40+Q196*Parameters!$B$41+R196*Parameters!$B$42+S196*Parameters!$B$43+T196*Parameters!$B$44+U196*Parameters!$B$45+V196*Parameters!$B$46+W196*Parameters!$B$47+X196*Parameters!$B$48</f>
        <v>0</v>
      </c>
      <c r="Z196" s="0" t="str">
        <f aca="false">IF(Y196&gt;=Parameters!$B$25,"High","")</f>
        <v/>
      </c>
    </row>
    <row r="197" customFormat="false" ht="15" hidden="false" customHeight="false" outlineLevel="0" collapsed="false">
      <c r="A197" s="16" t="n">
        <v>1197</v>
      </c>
      <c r="B197" s="9" t="n">
        <f aca="false">COUNTIF(JE_Lines!$B$5:$B$1733,A197)</f>
        <v>2</v>
      </c>
      <c r="C197" s="17" t="n">
        <f aca="false">SUMIFS(JE_Lines!$G$5:$G$1733,JE_Lines!$B$5:$B$1733,A197)</f>
        <v>74350.97</v>
      </c>
      <c r="D197" s="17" t="n">
        <f aca="false">SUMIFS(JE_Lines!$H$5:$H$1733,JE_Lines!$B$5:$B$1733,A197)</f>
        <v>74350.97</v>
      </c>
      <c r="E197" s="17" t="n">
        <f aca="false">C197-D197</f>
        <v>0</v>
      </c>
      <c r="F197" s="18" t="n">
        <f aca="false">INDEX(JE_Lines!$C$5:$C$1733,MATCH(A197,JE_Lines!$B$5:$B$1733,0))</f>
        <v>45736</v>
      </c>
      <c r="G197" s="18" t="n">
        <f aca="false">INDEX(JE_Lines!$D$5:$D$1733,MATCH(A197,JE_Lines!$B$5:$B$1733,0))</f>
        <v>45733</v>
      </c>
      <c r="H197" s="0" t="str">
        <f aca="false">INDEX(JE_Lines!$I$5:$I$1733,MATCH(A197,JE_Lines!$B$5:$B$1733,0))</f>
        <v>SYS_AR</v>
      </c>
      <c r="I197" s="0" t="str">
        <f aca="false">INDEX(JE_Lines!$J$5:$J$1733,MATCH(A197,JE_Lines!$B$5:$B$1733,0))</f>
        <v>System</v>
      </c>
      <c r="J197" s="0" t="str">
        <f aca="false">IF(LEN(INDEX(JE_Lines!$K$5:$K$1733,MATCH(A197,JE_Lines!$B$5:$B$1733,0)))=0,"",INDEX(JE_Lines!$K$5:$K$1733,MATCH(A197,JE_Lines!$B$5:$B$1733,0)))</f>
        <v>Sales invoice batch</v>
      </c>
      <c r="K197" s="9" t="n">
        <f aca="false">F197-G197</f>
        <v>3</v>
      </c>
      <c r="L197" s="9" t="n">
        <f aca="false">COUNTIFS(JE_Lines!$B$5:$B$1733,A197,JE_Lines!$F$5:$F$1733,"Revenue")</f>
        <v>1</v>
      </c>
      <c r="M197" s="9" t="n">
        <f aca="false">COUNTIFS(JE_Lines!$B$5:$B$1733,A197,JE_Lines!$F$5:$F$1733,"Suspense")</f>
        <v>0</v>
      </c>
      <c r="N197" s="9" t="n">
        <f aca="false">IF(ABS(E197)&gt;Parameters!$B$23,1,0)</f>
        <v>0</v>
      </c>
      <c r="O197" s="9" t="n">
        <f aca="false">IF(WEEKDAY(F197,2)&gt;5,1,0)</f>
        <v>0</v>
      </c>
      <c r="P197" s="9" t="n">
        <f aca="false">IF(K197&gt;Parameters!$B$17,1,0)</f>
        <v>0</v>
      </c>
      <c r="Q197" s="9" t="n">
        <f aca="false">IF(AND(F197&lt;=Parameters!$B$6,F197&gt;Parameters!$B$6-Parameters!$B$18),1,0)</f>
        <v>0</v>
      </c>
      <c r="R197" s="9" t="n">
        <f aca="false">IF(COUNTIF(Parameters!$A$51:$A$58,H197)=0,1,0)</f>
        <v>0</v>
      </c>
      <c r="S197" s="9" t="n">
        <f aca="false">IF(AND(I197="Manual",L197&gt;0),1,0)</f>
        <v>0</v>
      </c>
      <c r="T197" s="9" t="n">
        <f aca="false">IF(AND(C197&gt;=Parameters!$B$22,ROUND(MOD(ROUND(C197,2),Parameters!$B$21),2)=0),1,0)</f>
        <v>0</v>
      </c>
      <c r="U197" s="9" t="n">
        <f aca="false">IF(LEN(TRIM(J197))=0,1,0)</f>
        <v>0</v>
      </c>
      <c r="V197" s="9" t="n">
        <f aca="false">IF(AND(I197="Manual",C197&lt;Parameters!$B$19,C197&gt;=Parameters!$B$19*(1-Parameters!$B$20)),1,0)</f>
        <v>0</v>
      </c>
      <c r="W197" s="9" t="n">
        <f aca="false">IF(AND(I197="Manual",M197&gt;0),1,0)</f>
        <v>0</v>
      </c>
      <c r="X197" s="9" t="n">
        <f aca="false">IF(A197-A196&gt;1,1,0)</f>
        <v>0</v>
      </c>
      <c r="Y197" s="9" t="n">
        <f aca="false">N197*Parameters!$B$38+O197*Parameters!$B$39+P197*Parameters!$B$40+Q197*Parameters!$B$41+R197*Parameters!$B$42+S197*Parameters!$B$43+T197*Parameters!$B$44+U197*Parameters!$B$45+V197*Parameters!$B$46+W197*Parameters!$B$47+X197*Parameters!$B$48</f>
        <v>0</v>
      </c>
      <c r="Z197" s="0" t="str">
        <f aca="false">IF(Y197&gt;=Parameters!$B$25,"High","")</f>
        <v/>
      </c>
    </row>
    <row r="198" customFormat="false" ht="15" hidden="false" customHeight="false" outlineLevel="0" collapsed="false">
      <c r="A198" s="16" t="n">
        <v>1198</v>
      </c>
      <c r="B198" s="9" t="n">
        <f aca="false">COUNTIF(JE_Lines!$B$5:$B$1733,A198)</f>
        <v>2</v>
      </c>
      <c r="C198" s="17" t="n">
        <f aca="false">SUMIFS(JE_Lines!$G$5:$G$1733,JE_Lines!$B$5:$B$1733,A198)</f>
        <v>213.17</v>
      </c>
      <c r="D198" s="17" t="n">
        <f aca="false">SUMIFS(JE_Lines!$H$5:$H$1733,JE_Lines!$B$5:$B$1733,A198)</f>
        <v>213.17</v>
      </c>
      <c r="E198" s="17" t="n">
        <f aca="false">C198-D198</f>
        <v>0</v>
      </c>
      <c r="F198" s="18" t="n">
        <f aca="false">INDEX(JE_Lines!$C$5:$C$1733,MATCH(A198,JE_Lines!$B$5:$B$1733,0))</f>
        <v>45736</v>
      </c>
      <c r="G198" s="18" t="n">
        <f aca="false">INDEX(JE_Lines!$D$5:$D$1733,MATCH(A198,JE_Lines!$B$5:$B$1733,0))</f>
        <v>45735</v>
      </c>
      <c r="H198" s="0" t="str">
        <f aca="false">INDEX(JE_Lines!$I$5:$I$1733,MATCH(A198,JE_Lines!$B$5:$B$1733,0))</f>
        <v>SYS_AR</v>
      </c>
      <c r="I198" s="0" t="str">
        <f aca="false">INDEX(JE_Lines!$J$5:$J$1733,MATCH(A198,JE_Lines!$B$5:$B$1733,0))</f>
        <v>System</v>
      </c>
      <c r="J198" s="0" t="str">
        <f aca="false">IF(LEN(INDEX(JE_Lines!$K$5:$K$1733,MATCH(A198,JE_Lines!$B$5:$B$1733,0)))=0,"",INDEX(JE_Lines!$K$5:$K$1733,MATCH(A198,JE_Lines!$B$5:$B$1733,0)))</f>
        <v>Cost of sales posting</v>
      </c>
      <c r="K198" s="9" t="n">
        <f aca="false">F198-G198</f>
        <v>1</v>
      </c>
      <c r="L198" s="9" t="n">
        <f aca="false">COUNTIFS(JE_Lines!$B$5:$B$1733,A198,JE_Lines!$F$5:$F$1733,"Revenue")</f>
        <v>0</v>
      </c>
      <c r="M198" s="9" t="n">
        <f aca="false">COUNTIFS(JE_Lines!$B$5:$B$1733,A198,JE_Lines!$F$5:$F$1733,"Suspense")</f>
        <v>0</v>
      </c>
      <c r="N198" s="9" t="n">
        <f aca="false">IF(ABS(E198)&gt;Parameters!$B$23,1,0)</f>
        <v>0</v>
      </c>
      <c r="O198" s="9" t="n">
        <f aca="false">IF(WEEKDAY(F198,2)&gt;5,1,0)</f>
        <v>0</v>
      </c>
      <c r="P198" s="9" t="n">
        <f aca="false">IF(K198&gt;Parameters!$B$17,1,0)</f>
        <v>0</v>
      </c>
      <c r="Q198" s="9" t="n">
        <f aca="false">IF(AND(F198&lt;=Parameters!$B$6,F198&gt;Parameters!$B$6-Parameters!$B$18),1,0)</f>
        <v>0</v>
      </c>
      <c r="R198" s="9" t="n">
        <f aca="false">IF(COUNTIF(Parameters!$A$51:$A$58,H198)=0,1,0)</f>
        <v>0</v>
      </c>
      <c r="S198" s="9" t="n">
        <f aca="false">IF(AND(I198="Manual",L198&gt;0),1,0)</f>
        <v>0</v>
      </c>
      <c r="T198" s="9" t="n">
        <f aca="false">IF(AND(C198&gt;=Parameters!$B$22,ROUND(MOD(ROUND(C198,2),Parameters!$B$21),2)=0),1,0)</f>
        <v>0</v>
      </c>
      <c r="U198" s="9" t="n">
        <f aca="false">IF(LEN(TRIM(J198))=0,1,0)</f>
        <v>0</v>
      </c>
      <c r="V198" s="9" t="n">
        <f aca="false">IF(AND(I198="Manual",C198&lt;Parameters!$B$19,C198&gt;=Parameters!$B$19*(1-Parameters!$B$20)),1,0)</f>
        <v>0</v>
      </c>
      <c r="W198" s="9" t="n">
        <f aca="false">IF(AND(I198="Manual",M198&gt;0),1,0)</f>
        <v>0</v>
      </c>
      <c r="X198" s="9" t="n">
        <f aca="false">IF(A198-A197&gt;1,1,0)</f>
        <v>0</v>
      </c>
      <c r="Y198" s="9" t="n">
        <f aca="false">N198*Parameters!$B$38+O198*Parameters!$B$39+P198*Parameters!$B$40+Q198*Parameters!$B$41+R198*Parameters!$B$42+S198*Parameters!$B$43+T198*Parameters!$B$44+U198*Parameters!$B$45+V198*Parameters!$B$46+W198*Parameters!$B$47+X198*Parameters!$B$48</f>
        <v>0</v>
      </c>
      <c r="Z198" s="0" t="str">
        <f aca="false">IF(Y198&gt;=Parameters!$B$25,"High","")</f>
        <v/>
      </c>
    </row>
    <row r="199" customFormat="false" ht="15" hidden="false" customHeight="false" outlineLevel="0" collapsed="false">
      <c r="A199" s="16" t="n">
        <v>1199</v>
      </c>
      <c r="B199" s="9" t="n">
        <f aca="false">COUNTIF(JE_Lines!$B$5:$B$1733,A199)</f>
        <v>2</v>
      </c>
      <c r="C199" s="17" t="n">
        <f aca="false">SUMIFS(JE_Lines!$G$5:$G$1733,JE_Lines!$B$5:$B$1733,A199)</f>
        <v>220.28</v>
      </c>
      <c r="D199" s="17" t="n">
        <f aca="false">SUMIFS(JE_Lines!$H$5:$H$1733,JE_Lines!$B$5:$B$1733,A199)</f>
        <v>220.28</v>
      </c>
      <c r="E199" s="17" t="n">
        <f aca="false">C199-D199</f>
        <v>0</v>
      </c>
      <c r="F199" s="18" t="n">
        <f aca="false">INDEX(JE_Lines!$C$5:$C$1733,MATCH(A199,JE_Lines!$B$5:$B$1733,0))</f>
        <v>45737</v>
      </c>
      <c r="G199" s="18" t="n">
        <f aca="false">INDEX(JE_Lines!$D$5:$D$1733,MATCH(A199,JE_Lines!$B$5:$B$1733,0))</f>
        <v>45736</v>
      </c>
      <c r="H199" s="0" t="str">
        <f aca="false">INDEX(JE_Lines!$I$5:$I$1733,MATCH(A199,JE_Lines!$B$5:$B$1733,0))</f>
        <v>SYS_AR</v>
      </c>
      <c r="I199" s="0" t="str">
        <f aca="false">INDEX(JE_Lines!$J$5:$J$1733,MATCH(A199,JE_Lines!$B$5:$B$1733,0))</f>
        <v>System</v>
      </c>
      <c r="J199" s="0" t="str">
        <f aca="false">IF(LEN(INDEX(JE_Lines!$K$5:$K$1733,MATCH(A199,JE_Lines!$B$5:$B$1733,0)))=0,"",INDEX(JE_Lines!$K$5:$K$1733,MATCH(A199,JE_Lines!$B$5:$B$1733,0)))</f>
        <v>Sales invoice batch</v>
      </c>
      <c r="K199" s="9" t="n">
        <f aca="false">F199-G199</f>
        <v>1</v>
      </c>
      <c r="L199" s="9" t="n">
        <f aca="false">COUNTIFS(JE_Lines!$B$5:$B$1733,A199,JE_Lines!$F$5:$F$1733,"Revenue")</f>
        <v>1</v>
      </c>
      <c r="M199" s="9" t="n">
        <f aca="false">COUNTIFS(JE_Lines!$B$5:$B$1733,A199,JE_Lines!$F$5:$F$1733,"Suspense")</f>
        <v>0</v>
      </c>
      <c r="N199" s="9" t="n">
        <f aca="false">IF(ABS(E199)&gt;Parameters!$B$23,1,0)</f>
        <v>0</v>
      </c>
      <c r="O199" s="9" t="n">
        <f aca="false">IF(WEEKDAY(F199,2)&gt;5,1,0)</f>
        <v>0</v>
      </c>
      <c r="P199" s="9" t="n">
        <f aca="false">IF(K199&gt;Parameters!$B$17,1,0)</f>
        <v>0</v>
      </c>
      <c r="Q199" s="9" t="n">
        <f aca="false">IF(AND(F199&lt;=Parameters!$B$6,F199&gt;Parameters!$B$6-Parameters!$B$18),1,0)</f>
        <v>0</v>
      </c>
      <c r="R199" s="9" t="n">
        <f aca="false">IF(COUNTIF(Parameters!$A$51:$A$58,H199)=0,1,0)</f>
        <v>0</v>
      </c>
      <c r="S199" s="9" t="n">
        <f aca="false">IF(AND(I199="Manual",L199&gt;0),1,0)</f>
        <v>0</v>
      </c>
      <c r="T199" s="9" t="n">
        <f aca="false">IF(AND(C199&gt;=Parameters!$B$22,ROUND(MOD(ROUND(C199,2),Parameters!$B$21),2)=0),1,0)</f>
        <v>0</v>
      </c>
      <c r="U199" s="9" t="n">
        <f aca="false">IF(LEN(TRIM(J199))=0,1,0)</f>
        <v>0</v>
      </c>
      <c r="V199" s="9" t="n">
        <f aca="false">IF(AND(I199="Manual",C199&lt;Parameters!$B$19,C199&gt;=Parameters!$B$19*(1-Parameters!$B$20)),1,0)</f>
        <v>0</v>
      </c>
      <c r="W199" s="9" t="n">
        <f aca="false">IF(AND(I199="Manual",M199&gt;0),1,0)</f>
        <v>0</v>
      </c>
      <c r="X199" s="9" t="n">
        <f aca="false">IF(A199-A198&gt;1,1,0)</f>
        <v>0</v>
      </c>
      <c r="Y199" s="9" t="n">
        <f aca="false">N199*Parameters!$B$38+O199*Parameters!$B$39+P199*Parameters!$B$40+Q199*Parameters!$B$41+R199*Parameters!$B$42+S199*Parameters!$B$43+T199*Parameters!$B$44+U199*Parameters!$B$45+V199*Parameters!$B$46+W199*Parameters!$B$47+X199*Parameters!$B$48</f>
        <v>0</v>
      </c>
      <c r="Z199" s="0" t="str">
        <f aca="false">IF(Y199&gt;=Parameters!$B$25,"High","")</f>
        <v/>
      </c>
    </row>
    <row r="200" customFormat="false" ht="15" hidden="false" customHeight="false" outlineLevel="0" collapsed="false">
      <c r="A200" s="16" t="n">
        <v>1200</v>
      </c>
      <c r="B200" s="9" t="n">
        <f aca="false">COUNTIF(JE_Lines!$B$5:$B$1733,A200)</f>
        <v>3</v>
      </c>
      <c r="C200" s="17" t="n">
        <f aca="false">SUMIFS(JE_Lines!$G$5:$G$1733,JE_Lines!$B$5:$B$1733,A200)</f>
        <v>294.41</v>
      </c>
      <c r="D200" s="17" t="n">
        <f aca="false">SUMIFS(JE_Lines!$H$5:$H$1733,JE_Lines!$B$5:$B$1733,A200)</f>
        <v>294.41</v>
      </c>
      <c r="E200" s="17" t="n">
        <f aca="false">C200-D200</f>
        <v>0</v>
      </c>
      <c r="F200" s="18" t="n">
        <f aca="false">INDEX(JE_Lines!$C$5:$C$1733,MATCH(A200,JE_Lines!$B$5:$B$1733,0))</f>
        <v>45737</v>
      </c>
      <c r="G200" s="18" t="n">
        <f aca="false">INDEX(JE_Lines!$D$5:$D$1733,MATCH(A200,JE_Lines!$B$5:$B$1733,0))</f>
        <v>45737</v>
      </c>
      <c r="H200" s="0" t="str">
        <f aca="false">INDEX(JE_Lines!$I$5:$I$1733,MATCH(A200,JE_Lines!$B$5:$B$1733,0))</f>
        <v>SYS_AR</v>
      </c>
      <c r="I200" s="0" t="str">
        <f aca="false">INDEX(JE_Lines!$J$5:$J$1733,MATCH(A200,JE_Lines!$B$5:$B$1733,0))</f>
        <v>System</v>
      </c>
      <c r="J200" s="0" t="str">
        <f aca="false">IF(LEN(INDEX(JE_Lines!$K$5:$K$1733,MATCH(A200,JE_Lines!$B$5:$B$1733,0)))=0,"",INDEX(JE_Lines!$K$5:$K$1733,MATCH(A200,JE_Lines!$B$5:$B$1733,0)))</f>
        <v>Cost of sales posting</v>
      </c>
      <c r="K200" s="9" t="n">
        <f aca="false">F200-G200</f>
        <v>0</v>
      </c>
      <c r="L200" s="9" t="n">
        <f aca="false">COUNTIFS(JE_Lines!$B$5:$B$1733,A200,JE_Lines!$F$5:$F$1733,"Revenue")</f>
        <v>0</v>
      </c>
      <c r="M200" s="9" t="n">
        <f aca="false">COUNTIFS(JE_Lines!$B$5:$B$1733,A200,JE_Lines!$F$5:$F$1733,"Suspense")</f>
        <v>0</v>
      </c>
      <c r="N200" s="9" t="n">
        <f aca="false">IF(ABS(E200)&gt;Parameters!$B$23,1,0)</f>
        <v>0</v>
      </c>
      <c r="O200" s="9" t="n">
        <f aca="false">IF(WEEKDAY(F200,2)&gt;5,1,0)</f>
        <v>0</v>
      </c>
      <c r="P200" s="9" t="n">
        <f aca="false">IF(K200&gt;Parameters!$B$17,1,0)</f>
        <v>0</v>
      </c>
      <c r="Q200" s="9" t="n">
        <f aca="false">IF(AND(F200&lt;=Parameters!$B$6,F200&gt;Parameters!$B$6-Parameters!$B$18),1,0)</f>
        <v>0</v>
      </c>
      <c r="R200" s="9" t="n">
        <f aca="false">IF(COUNTIF(Parameters!$A$51:$A$58,H200)=0,1,0)</f>
        <v>0</v>
      </c>
      <c r="S200" s="9" t="n">
        <f aca="false">IF(AND(I200="Manual",L200&gt;0),1,0)</f>
        <v>0</v>
      </c>
      <c r="T200" s="9" t="n">
        <f aca="false">IF(AND(C200&gt;=Parameters!$B$22,ROUND(MOD(ROUND(C200,2),Parameters!$B$21),2)=0),1,0)</f>
        <v>0</v>
      </c>
      <c r="U200" s="9" t="n">
        <f aca="false">IF(LEN(TRIM(J200))=0,1,0)</f>
        <v>0</v>
      </c>
      <c r="V200" s="9" t="n">
        <f aca="false">IF(AND(I200="Manual",C200&lt;Parameters!$B$19,C200&gt;=Parameters!$B$19*(1-Parameters!$B$20)),1,0)</f>
        <v>0</v>
      </c>
      <c r="W200" s="9" t="n">
        <f aca="false">IF(AND(I200="Manual",M200&gt;0),1,0)</f>
        <v>0</v>
      </c>
      <c r="X200" s="9" t="n">
        <f aca="false">IF(A200-A199&gt;1,1,0)</f>
        <v>0</v>
      </c>
      <c r="Y200" s="9" t="n">
        <f aca="false">N200*Parameters!$B$38+O200*Parameters!$B$39+P200*Parameters!$B$40+Q200*Parameters!$B$41+R200*Parameters!$B$42+S200*Parameters!$B$43+T200*Parameters!$B$44+U200*Parameters!$B$45+V200*Parameters!$B$46+W200*Parameters!$B$47+X200*Parameters!$B$48</f>
        <v>0</v>
      </c>
      <c r="Z200" s="0" t="str">
        <f aca="false">IF(Y200&gt;=Parameters!$B$25,"High","")</f>
        <v/>
      </c>
    </row>
    <row r="201" customFormat="false" ht="15" hidden="false" customHeight="false" outlineLevel="0" collapsed="false">
      <c r="A201" s="16" t="n">
        <v>1201</v>
      </c>
      <c r="B201" s="9" t="n">
        <f aca="false">COUNTIF(JE_Lines!$B$5:$B$1733,A201)</f>
        <v>2</v>
      </c>
      <c r="C201" s="17" t="n">
        <f aca="false">SUMIFS(JE_Lines!$G$5:$G$1733,JE_Lines!$B$5:$B$1733,A201)</f>
        <v>4879.69</v>
      </c>
      <c r="D201" s="17" t="n">
        <f aca="false">SUMIFS(JE_Lines!$H$5:$H$1733,JE_Lines!$B$5:$B$1733,A201)</f>
        <v>4879.69</v>
      </c>
      <c r="E201" s="17" t="n">
        <f aca="false">C201-D201</f>
        <v>0</v>
      </c>
      <c r="F201" s="18" t="n">
        <f aca="false">INDEX(JE_Lines!$C$5:$C$1733,MATCH(A201,JE_Lines!$B$5:$B$1733,0))</f>
        <v>45737</v>
      </c>
      <c r="G201" s="18" t="n">
        <f aca="false">INDEX(JE_Lines!$D$5:$D$1733,MATCH(A201,JE_Lines!$B$5:$B$1733,0))</f>
        <v>45736</v>
      </c>
      <c r="H201" s="0" t="str">
        <f aca="false">INDEX(JE_Lines!$I$5:$I$1733,MATCH(A201,JE_Lines!$B$5:$B$1733,0))</f>
        <v>SYS_AR</v>
      </c>
      <c r="I201" s="0" t="str">
        <f aca="false">INDEX(JE_Lines!$J$5:$J$1733,MATCH(A201,JE_Lines!$B$5:$B$1733,0))</f>
        <v>System</v>
      </c>
      <c r="J201" s="0" t="str">
        <f aca="false">IF(LEN(INDEX(JE_Lines!$K$5:$K$1733,MATCH(A201,JE_Lines!$B$5:$B$1733,0)))=0,"",INDEX(JE_Lines!$K$5:$K$1733,MATCH(A201,JE_Lines!$B$5:$B$1733,0)))</f>
        <v>Cost of sales posting</v>
      </c>
      <c r="K201" s="9" t="n">
        <f aca="false">F201-G201</f>
        <v>1</v>
      </c>
      <c r="L201" s="9" t="n">
        <f aca="false">COUNTIFS(JE_Lines!$B$5:$B$1733,A201,JE_Lines!$F$5:$F$1733,"Revenue")</f>
        <v>0</v>
      </c>
      <c r="M201" s="9" t="n">
        <f aca="false">COUNTIFS(JE_Lines!$B$5:$B$1733,A201,JE_Lines!$F$5:$F$1733,"Suspense")</f>
        <v>0</v>
      </c>
      <c r="N201" s="9" t="n">
        <f aca="false">IF(ABS(E201)&gt;Parameters!$B$23,1,0)</f>
        <v>0</v>
      </c>
      <c r="O201" s="9" t="n">
        <f aca="false">IF(WEEKDAY(F201,2)&gt;5,1,0)</f>
        <v>0</v>
      </c>
      <c r="P201" s="9" t="n">
        <f aca="false">IF(K201&gt;Parameters!$B$17,1,0)</f>
        <v>0</v>
      </c>
      <c r="Q201" s="9" t="n">
        <f aca="false">IF(AND(F201&lt;=Parameters!$B$6,F201&gt;Parameters!$B$6-Parameters!$B$18),1,0)</f>
        <v>0</v>
      </c>
      <c r="R201" s="9" t="n">
        <f aca="false">IF(COUNTIF(Parameters!$A$51:$A$58,H201)=0,1,0)</f>
        <v>0</v>
      </c>
      <c r="S201" s="9" t="n">
        <f aca="false">IF(AND(I201="Manual",L201&gt;0),1,0)</f>
        <v>0</v>
      </c>
      <c r="T201" s="9" t="n">
        <f aca="false">IF(AND(C201&gt;=Parameters!$B$22,ROUND(MOD(ROUND(C201,2),Parameters!$B$21),2)=0),1,0)</f>
        <v>0</v>
      </c>
      <c r="U201" s="9" t="n">
        <f aca="false">IF(LEN(TRIM(J201))=0,1,0)</f>
        <v>0</v>
      </c>
      <c r="V201" s="9" t="n">
        <f aca="false">IF(AND(I201="Manual",C201&lt;Parameters!$B$19,C201&gt;=Parameters!$B$19*(1-Parameters!$B$20)),1,0)</f>
        <v>0</v>
      </c>
      <c r="W201" s="9" t="n">
        <f aca="false">IF(AND(I201="Manual",M201&gt;0),1,0)</f>
        <v>0</v>
      </c>
      <c r="X201" s="9" t="n">
        <f aca="false">IF(A201-A200&gt;1,1,0)</f>
        <v>0</v>
      </c>
      <c r="Y201" s="9" t="n">
        <f aca="false">N201*Parameters!$B$38+O201*Parameters!$B$39+P201*Parameters!$B$40+Q201*Parameters!$B$41+R201*Parameters!$B$42+S201*Parameters!$B$43+T201*Parameters!$B$44+U201*Parameters!$B$45+V201*Parameters!$B$46+W201*Parameters!$B$47+X201*Parameters!$B$48</f>
        <v>0</v>
      </c>
      <c r="Z201" s="0" t="str">
        <f aca="false">IF(Y201&gt;=Parameters!$B$25,"High","")</f>
        <v/>
      </c>
    </row>
    <row r="202" customFormat="false" ht="15" hidden="false" customHeight="false" outlineLevel="0" collapsed="false">
      <c r="A202" s="16" t="n">
        <v>1202</v>
      </c>
      <c r="B202" s="9" t="n">
        <f aca="false">COUNTIF(JE_Lines!$B$5:$B$1733,A202)</f>
        <v>2</v>
      </c>
      <c r="C202" s="17" t="n">
        <f aca="false">SUMIFS(JE_Lines!$G$5:$G$1733,JE_Lines!$B$5:$B$1733,A202)</f>
        <v>21241.92</v>
      </c>
      <c r="D202" s="17" t="n">
        <f aca="false">SUMIFS(JE_Lines!$H$5:$H$1733,JE_Lines!$B$5:$B$1733,A202)</f>
        <v>21241.92</v>
      </c>
      <c r="E202" s="17" t="n">
        <f aca="false">C202-D202</f>
        <v>0</v>
      </c>
      <c r="F202" s="18" t="n">
        <f aca="false">INDEX(JE_Lines!$C$5:$C$1733,MATCH(A202,JE_Lines!$B$5:$B$1733,0))</f>
        <v>45737</v>
      </c>
      <c r="G202" s="18" t="n">
        <f aca="false">INDEX(JE_Lines!$D$5:$D$1733,MATCH(A202,JE_Lines!$B$5:$B$1733,0))</f>
        <v>45733</v>
      </c>
      <c r="H202" s="0" t="str">
        <f aca="false">INDEX(JE_Lines!$I$5:$I$1733,MATCH(A202,JE_Lines!$B$5:$B$1733,0))</f>
        <v>SYS_AR</v>
      </c>
      <c r="I202" s="0" t="str">
        <f aca="false">INDEX(JE_Lines!$J$5:$J$1733,MATCH(A202,JE_Lines!$B$5:$B$1733,0))</f>
        <v>System</v>
      </c>
      <c r="J202" s="0" t="str">
        <f aca="false">IF(LEN(INDEX(JE_Lines!$K$5:$K$1733,MATCH(A202,JE_Lines!$B$5:$B$1733,0)))=0,"",INDEX(JE_Lines!$K$5:$K$1733,MATCH(A202,JE_Lines!$B$5:$B$1733,0)))</f>
        <v>Sales invoice batch</v>
      </c>
      <c r="K202" s="9" t="n">
        <f aca="false">F202-G202</f>
        <v>4</v>
      </c>
      <c r="L202" s="9" t="n">
        <f aca="false">COUNTIFS(JE_Lines!$B$5:$B$1733,A202,JE_Lines!$F$5:$F$1733,"Revenue")</f>
        <v>1</v>
      </c>
      <c r="M202" s="9" t="n">
        <f aca="false">COUNTIFS(JE_Lines!$B$5:$B$1733,A202,JE_Lines!$F$5:$F$1733,"Suspense")</f>
        <v>0</v>
      </c>
      <c r="N202" s="9" t="n">
        <f aca="false">IF(ABS(E202)&gt;Parameters!$B$23,1,0)</f>
        <v>0</v>
      </c>
      <c r="O202" s="9" t="n">
        <f aca="false">IF(WEEKDAY(F202,2)&gt;5,1,0)</f>
        <v>0</v>
      </c>
      <c r="P202" s="9" t="n">
        <f aca="false">IF(K202&gt;Parameters!$B$17,1,0)</f>
        <v>0</v>
      </c>
      <c r="Q202" s="9" t="n">
        <f aca="false">IF(AND(F202&lt;=Parameters!$B$6,F202&gt;Parameters!$B$6-Parameters!$B$18),1,0)</f>
        <v>0</v>
      </c>
      <c r="R202" s="9" t="n">
        <f aca="false">IF(COUNTIF(Parameters!$A$51:$A$58,H202)=0,1,0)</f>
        <v>0</v>
      </c>
      <c r="S202" s="9" t="n">
        <f aca="false">IF(AND(I202="Manual",L202&gt;0),1,0)</f>
        <v>0</v>
      </c>
      <c r="T202" s="9" t="n">
        <f aca="false">IF(AND(C202&gt;=Parameters!$B$22,ROUND(MOD(ROUND(C202,2),Parameters!$B$21),2)=0),1,0)</f>
        <v>0</v>
      </c>
      <c r="U202" s="9" t="n">
        <f aca="false">IF(LEN(TRIM(J202))=0,1,0)</f>
        <v>0</v>
      </c>
      <c r="V202" s="9" t="n">
        <f aca="false">IF(AND(I202="Manual",C202&lt;Parameters!$B$19,C202&gt;=Parameters!$B$19*(1-Parameters!$B$20)),1,0)</f>
        <v>0</v>
      </c>
      <c r="W202" s="9" t="n">
        <f aca="false">IF(AND(I202="Manual",M202&gt;0),1,0)</f>
        <v>0</v>
      </c>
      <c r="X202" s="9" t="n">
        <f aca="false">IF(A202-A201&gt;1,1,0)</f>
        <v>0</v>
      </c>
      <c r="Y202" s="9" t="n">
        <f aca="false">N202*Parameters!$B$38+O202*Parameters!$B$39+P202*Parameters!$B$40+Q202*Parameters!$B$41+R202*Parameters!$B$42+S202*Parameters!$B$43+T202*Parameters!$B$44+U202*Parameters!$B$45+V202*Parameters!$B$46+W202*Parameters!$B$47+X202*Parameters!$B$48</f>
        <v>0</v>
      </c>
      <c r="Z202" s="0" t="str">
        <f aca="false">IF(Y202&gt;=Parameters!$B$25,"High","")</f>
        <v/>
      </c>
    </row>
    <row r="203" customFormat="false" ht="15" hidden="false" customHeight="false" outlineLevel="0" collapsed="false">
      <c r="A203" s="16" t="n">
        <v>1203</v>
      </c>
      <c r="B203" s="9" t="n">
        <f aca="false">COUNTIF(JE_Lines!$B$5:$B$1733,A203)</f>
        <v>2</v>
      </c>
      <c r="C203" s="17" t="n">
        <f aca="false">SUMIFS(JE_Lines!$G$5:$G$1733,JE_Lines!$B$5:$B$1733,A203)</f>
        <v>12742.1</v>
      </c>
      <c r="D203" s="17" t="n">
        <f aca="false">SUMIFS(JE_Lines!$H$5:$H$1733,JE_Lines!$B$5:$B$1733,A203)</f>
        <v>12742.1</v>
      </c>
      <c r="E203" s="17" t="n">
        <f aca="false">C203-D203</f>
        <v>0</v>
      </c>
      <c r="F203" s="18" t="n">
        <f aca="false">INDEX(JE_Lines!$C$5:$C$1733,MATCH(A203,JE_Lines!$B$5:$B$1733,0))</f>
        <v>45739</v>
      </c>
      <c r="G203" s="18" t="n">
        <f aca="false">INDEX(JE_Lines!$D$5:$D$1733,MATCH(A203,JE_Lines!$B$5:$B$1733,0))</f>
        <v>45739</v>
      </c>
      <c r="H203" s="0" t="str">
        <f aca="false">INDEX(JE_Lines!$I$5:$I$1733,MATCH(A203,JE_Lines!$B$5:$B$1733,0))</f>
        <v>FIN04</v>
      </c>
      <c r="I203" s="0" t="str">
        <f aca="false">INDEX(JE_Lines!$J$5:$J$1733,MATCH(A203,JE_Lines!$B$5:$B$1733,0))</f>
        <v>Manual</v>
      </c>
      <c r="J203" s="0" t="str">
        <f aca="false">IF(LEN(INDEX(JE_Lines!$K$5:$K$1733,MATCH(A203,JE_Lines!$B$5:$B$1733,0)))=0,"",INDEX(JE_Lines!$K$5:$K$1733,MATCH(A203,JE_Lines!$B$5:$B$1733,0)))</f>
        <v>Weekend adjustment 2</v>
      </c>
      <c r="K203" s="9" t="n">
        <f aca="false">F203-G203</f>
        <v>0</v>
      </c>
      <c r="L203" s="9" t="n">
        <f aca="false">COUNTIFS(JE_Lines!$B$5:$B$1733,A203,JE_Lines!$F$5:$F$1733,"Revenue")</f>
        <v>0</v>
      </c>
      <c r="M203" s="9" t="n">
        <f aca="false">COUNTIFS(JE_Lines!$B$5:$B$1733,A203,JE_Lines!$F$5:$F$1733,"Suspense")</f>
        <v>0</v>
      </c>
      <c r="N203" s="9" t="n">
        <f aca="false">IF(ABS(E203)&gt;Parameters!$B$23,1,0)</f>
        <v>0</v>
      </c>
      <c r="O203" s="9" t="n">
        <f aca="false">IF(WEEKDAY(F203,2)&gt;5,1,0)</f>
        <v>1</v>
      </c>
      <c r="P203" s="9" t="n">
        <f aca="false">IF(K203&gt;Parameters!$B$17,1,0)</f>
        <v>0</v>
      </c>
      <c r="Q203" s="9" t="n">
        <f aca="false">IF(AND(F203&lt;=Parameters!$B$6,F203&gt;Parameters!$B$6-Parameters!$B$18),1,0)</f>
        <v>0</v>
      </c>
      <c r="R203" s="9" t="n">
        <f aca="false">IF(COUNTIF(Parameters!$A$51:$A$58,H203)=0,1,0)</f>
        <v>0</v>
      </c>
      <c r="S203" s="9" t="n">
        <f aca="false">IF(AND(I203="Manual",L203&gt;0),1,0)</f>
        <v>0</v>
      </c>
      <c r="T203" s="9" t="n">
        <f aca="false">IF(AND(C203&gt;=Parameters!$B$22,ROUND(MOD(ROUND(C203,2),Parameters!$B$21),2)=0),1,0)</f>
        <v>0</v>
      </c>
      <c r="U203" s="9" t="n">
        <f aca="false">IF(LEN(TRIM(J203))=0,1,0)</f>
        <v>0</v>
      </c>
      <c r="V203" s="9" t="n">
        <f aca="false">IF(AND(I203="Manual",C203&lt;Parameters!$B$19,C203&gt;=Parameters!$B$19*(1-Parameters!$B$20)),1,0)</f>
        <v>0</v>
      </c>
      <c r="W203" s="9" t="n">
        <f aca="false">IF(AND(I203="Manual",M203&gt;0),1,0)</f>
        <v>0</v>
      </c>
      <c r="X203" s="9" t="n">
        <f aca="false">IF(A203-A202&gt;1,1,0)</f>
        <v>0</v>
      </c>
      <c r="Y203" s="9" t="n">
        <f aca="false">N203*Parameters!$B$38+O203*Parameters!$B$39+P203*Parameters!$B$40+Q203*Parameters!$B$41+R203*Parameters!$B$42+S203*Parameters!$B$43+T203*Parameters!$B$44+U203*Parameters!$B$45+V203*Parameters!$B$46+W203*Parameters!$B$47+X203*Parameters!$B$48</f>
        <v>2</v>
      </c>
      <c r="Z203" s="0" t="str">
        <f aca="false">IF(Y203&gt;=Parameters!$B$25,"High","")</f>
        <v/>
      </c>
    </row>
    <row r="204" customFormat="false" ht="15" hidden="false" customHeight="false" outlineLevel="0" collapsed="false">
      <c r="A204" s="16" t="n">
        <v>1204</v>
      </c>
      <c r="B204" s="9" t="n">
        <f aca="false">COUNTIF(JE_Lines!$B$5:$B$1733,A204)</f>
        <v>3</v>
      </c>
      <c r="C204" s="17" t="n">
        <f aca="false">SUMIFS(JE_Lines!$G$5:$G$1733,JE_Lines!$B$5:$B$1733,A204)</f>
        <v>825.71</v>
      </c>
      <c r="D204" s="17" t="n">
        <f aca="false">SUMIFS(JE_Lines!$H$5:$H$1733,JE_Lines!$B$5:$B$1733,A204)</f>
        <v>825.71</v>
      </c>
      <c r="E204" s="17" t="n">
        <f aca="false">C204-D204</f>
        <v>0</v>
      </c>
      <c r="F204" s="18" t="n">
        <f aca="false">INDEX(JE_Lines!$C$5:$C$1733,MATCH(A204,JE_Lines!$B$5:$B$1733,0))</f>
        <v>45740</v>
      </c>
      <c r="G204" s="18" t="n">
        <f aca="false">INDEX(JE_Lines!$D$5:$D$1733,MATCH(A204,JE_Lines!$B$5:$B$1733,0))</f>
        <v>45736</v>
      </c>
      <c r="H204" s="0" t="str">
        <f aca="false">INDEX(JE_Lines!$I$5:$I$1733,MATCH(A204,JE_Lines!$B$5:$B$1733,0))</f>
        <v>SYS_AR</v>
      </c>
      <c r="I204" s="0" t="str">
        <f aca="false">INDEX(JE_Lines!$J$5:$J$1733,MATCH(A204,JE_Lines!$B$5:$B$1733,0))</f>
        <v>System</v>
      </c>
      <c r="J204" s="0" t="str">
        <f aca="false">IF(LEN(INDEX(JE_Lines!$K$5:$K$1733,MATCH(A204,JE_Lines!$B$5:$B$1733,0)))=0,"",INDEX(JE_Lines!$K$5:$K$1733,MATCH(A204,JE_Lines!$B$5:$B$1733,0)))</f>
        <v>Sales invoice batch</v>
      </c>
      <c r="K204" s="9" t="n">
        <f aca="false">F204-G204</f>
        <v>4</v>
      </c>
      <c r="L204" s="9" t="n">
        <f aca="false">COUNTIFS(JE_Lines!$B$5:$B$1733,A204,JE_Lines!$F$5:$F$1733,"Revenue")</f>
        <v>1</v>
      </c>
      <c r="M204" s="9" t="n">
        <f aca="false">COUNTIFS(JE_Lines!$B$5:$B$1733,A204,JE_Lines!$F$5:$F$1733,"Suspense")</f>
        <v>0</v>
      </c>
      <c r="N204" s="9" t="n">
        <f aca="false">IF(ABS(E204)&gt;Parameters!$B$23,1,0)</f>
        <v>0</v>
      </c>
      <c r="O204" s="9" t="n">
        <f aca="false">IF(WEEKDAY(F204,2)&gt;5,1,0)</f>
        <v>0</v>
      </c>
      <c r="P204" s="9" t="n">
        <f aca="false">IF(K204&gt;Parameters!$B$17,1,0)</f>
        <v>0</v>
      </c>
      <c r="Q204" s="9" t="n">
        <f aca="false">IF(AND(F204&lt;=Parameters!$B$6,F204&gt;Parameters!$B$6-Parameters!$B$18),1,0)</f>
        <v>0</v>
      </c>
      <c r="R204" s="9" t="n">
        <f aca="false">IF(COUNTIF(Parameters!$A$51:$A$58,H204)=0,1,0)</f>
        <v>0</v>
      </c>
      <c r="S204" s="9" t="n">
        <f aca="false">IF(AND(I204="Manual",L204&gt;0),1,0)</f>
        <v>0</v>
      </c>
      <c r="T204" s="9" t="n">
        <f aca="false">IF(AND(C204&gt;=Parameters!$B$22,ROUND(MOD(ROUND(C204,2),Parameters!$B$21),2)=0),1,0)</f>
        <v>0</v>
      </c>
      <c r="U204" s="9" t="n">
        <f aca="false">IF(LEN(TRIM(J204))=0,1,0)</f>
        <v>0</v>
      </c>
      <c r="V204" s="9" t="n">
        <f aca="false">IF(AND(I204="Manual",C204&lt;Parameters!$B$19,C204&gt;=Parameters!$B$19*(1-Parameters!$B$20)),1,0)</f>
        <v>0</v>
      </c>
      <c r="W204" s="9" t="n">
        <f aca="false">IF(AND(I204="Manual",M204&gt;0),1,0)</f>
        <v>0</v>
      </c>
      <c r="X204" s="9" t="n">
        <f aca="false">IF(A204-A203&gt;1,1,0)</f>
        <v>0</v>
      </c>
      <c r="Y204" s="9" t="n">
        <f aca="false">N204*Parameters!$B$38+O204*Parameters!$B$39+P204*Parameters!$B$40+Q204*Parameters!$B$41+R204*Parameters!$B$42+S204*Parameters!$B$43+T204*Parameters!$B$44+U204*Parameters!$B$45+V204*Parameters!$B$46+W204*Parameters!$B$47+X204*Parameters!$B$48</f>
        <v>0</v>
      </c>
      <c r="Z204" s="0" t="str">
        <f aca="false">IF(Y204&gt;=Parameters!$B$25,"High","")</f>
        <v/>
      </c>
    </row>
    <row r="205" customFormat="false" ht="15" hidden="false" customHeight="false" outlineLevel="0" collapsed="false">
      <c r="A205" s="16" t="n">
        <v>1205</v>
      </c>
      <c r="B205" s="9" t="n">
        <f aca="false">COUNTIF(JE_Lines!$B$5:$B$1733,A205)</f>
        <v>2</v>
      </c>
      <c r="C205" s="17" t="n">
        <f aca="false">SUMIFS(JE_Lines!$G$5:$G$1733,JE_Lines!$B$5:$B$1733,A205)</f>
        <v>247000</v>
      </c>
      <c r="D205" s="17" t="n">
        <f aca="false">SUMIFS(JE_Lines!$H$5:$H$1733,JE_Lines!$B$5:$B$1733,A205)</f>
        <v>247000</v>
      </c>
      <c r="E205" s="17" t="n">
        <f aca="false">C205-D205</f>
        <v>0</v>
      </c>
      <c r="F205" s="18" t="n">
        <f aca="false">INDEX(JE_Lines!$C$5:$C$1733,MATCH(A205,JE_Lines!$B$5:$B$1733,0))</f>
        <v>45741</v>
      </c>
      <c r="G205" s="18" t="n">
        <f aca="false">INDEX(JE_Lines!$D$5:$D$1733,MATCH(A205,JE_Lines!$B$5:$B$1733,0))</f>
        <v>45741</v>
      </c>
      <c r="H205" s="0" t="str">
        <f aca="false">INDEX(JE_Lines!$I$5:$I$1733,MATCH(A205,JE_Lines!$B$5:$B$1733,0))</f>
        <v>SYS_PAY</v>
      </c>
      <c r="I205" s="0" t="str">
        <f aca="false">INDEX(JE_Lines!$J$5:$J$1733,MATCH(A205,JE_Lines!$B$5:$B$1733,0))</f>
        <v>System</v>
      </c>
      <c r="J205" s="0" t="str">
        <f aca="false">IF(LEN(INDEX(JE_Lines!$K$5:$K$1733,MATCH(A205,JE_Lines!$B$5:$B$1733,0)))=0,"",INDEX(JE_Lines!$K$5:$K$1733,MATCH(A205,JE_Lines!$B$5:$B$1733,0)))</f>
        <v>Monthly payroll</v>
      </c>
      <c r="K205" s="9" t="n">
        <f aca="false">F205-G205</f>
        <v>0</v>
      </c>
      <c r="L205" s="9" t="n">
        <f aca="false">COUNTIFS(JE_Lines!$B$5:$B$1733,A205,JE_Lines!$F$5:$F$1733,"Revenue")</f>
        <v>0</v>
      </c>
      <c r="M205" s="9" t="n">
        <f aca="false">COUNTIFS(JE_Lines!$B$5:$B$1733,A205,JE_Lines!$F$5:$F$1733,"Suspense")</f>
        <v>0</v>
      </c>
      <c r="N205" s="9" t="n">
        <f aca="false">IF(ABS(E205)&gt;Parameters!$B$23,1,0)</f>
        <v>0</v>
      </c>
      <c r="O205" s="9" t="n">
        <f aca="false">IF(WEEKDAY(F205,2)&gt;5,1,0)</f>
        <v>0</v>
      </c>
      <c r="P205" s="9" t="n">
        <f aca="false">IF(K205&gt;Parameters!$B$17,1,0)</f>
        <v>0</v>
      </c>
      <c r="Q205" s="9" t="n">
        <f aca="false">IF(AND(F205&lt;=Parameters!$B$6,F205&gt;Parameters!$B$6-Parameters!$B$18),1,0)</f>
        <v>0</v>
      </c>
      <c r="R205" s="9" t="n">
        <f aca="false">IF(COUNTIF(Parameters!$A$51:$A$58,H205)=0,1,0)</f>
        <v>0</v>
      </c>
      <c r="S205" s="9" t="n">
        <f aca="false">IF(AND(I205="Manual",L205&gt;0),1,0)</f>
        <v>0</v>
      </c>
      <c r="T205" s="9" t="n">
        <f aca="false">IF(AND(C205&gt;=Parameters!$B$22,ROUND(MOD(ROUND(C205,2),Parameters!$B$21),2)=0),1,0)</f>
        <v>1</v>
      </c>
      <c r="U205" s="9" t="n">
        <f aca="false">IF(LEN(TRIM(J205))=0,1,0)</f>
        <v>0</v>
      </c>
      <c r="V205" s="9" t="n">
        <f aca="false">IF(AND(I205="Manual",C205&lt;Parameters!$B$19,C205&gt;=Parameters!$B$19*(1-Parameters!$B$20)),1,0)</f>
        <v>0</v>
      </c>
      <c r="W205" s="9" t="n">
        <f aca="false">IF(AND(I205="Manual",M205&gt;0),1,0)</f>
        <v>0</v>
      </c>
      <c r="X205" s="9" t="n">
        <f aca="false">IF(A205-A204&gt;1,1,0)</f>
        <v>0</v>
      </c>
      <c r="Y205" s="9" t="n">
        <f aca="false">N205*Parameters!$B$38+O205*Parameters!$B$39+P205*Parameters!$B$40+Q205*Parameters!$B$41+R205*Parameters!$B$42+S205*Parameters!$B$43+T205*Parameters!$B$44+U205*Parameters!$B$45+V205*Parameters!$B$46+W205*Parameters!$B$47+X205*Parameters!$B$48</f>
        <v>2</v>
      </c>
      <c r="Z205" s="0" t="str">
        <f aca="false">IF(Y205&gt;=Parameters!$B$25,"High","")</f>
        <v/>
      </c>
    </row>
    <row r="206" customFormat="false" ht="15" hidden="false" customHeight="false" outlineLevel="0" collapsed="false">
      <c r="A206" s="16" t="n">
        <v>1206</v>
      </c>
      <c r="B206" s="9" t="n">
        <f aca="false">COUNTIF(JE_Lines!$B$5:$B$1733,A206)</f>
        <v>2</v>
      </c>
      <c r="C206" s="17" t="n">
        <f aca="false">SUMIFS(JE_Lines!$G$5:$G$1733,JE_Lines!$B$5:$B$1733,A206)</f>
        <v>376.59</v>
      </c>
      <c r="D206" s="17" t="n">
        <f aca="false">SUMIFS(JE_Lines!$H$5:$H$1733,JE_Lines!$B$5:$B$1733,A206)</f>
        <v>376.59</v>
      </c>
      <c r="E206" s="17" t="n">
        <f aca="false">C206-D206</f>
        <v>0</v>
      </c>
      <c r="F206" s="18" t="n">
        <f aca="false">INDEX(JE_Lines!$C$5:$C$1733,MATCH(A206,JE_Lines!$B$5:$B$1733,0))</f>
        <v>45741</v>
      </c>
      <c r="G206" s="18" t="n">
        <f aca="false">INDEX(JE_Lines!$D$5:$D$1733,MATCH(A206,JE_Lines!$B$5:$B$1733,0))</f>
        <v>45740</v>
      </c>
      <c r="H206" s="0" t="str">
        <f aca="false">INDEX(JE_Lines!$I$5:$I$1733,MATCH(A206,JE_Lines!$B$5:$B$1733,0))</f>
        <v>SYS_AR</v>
      </c>
      <c r="I206" s="0" t="str">
        <f aca="false">INDEX(JE_Lines!$J$5:$J$1733,MATCH(A206,JE_Lines!$B$5:$B$1733,0))</f>
        <v>System</v>
      </c>
      <c r="J206" s="0" t="str">
        <f aca="false">IF(LEN(INDEX(JE_Lines!$K$5:$K$1733,MATCH(A206,JE_Lines!$B$5:$B$1733,0)))=0,"",INDEX(JE_Lines!$K$5:$K$1733,MATCH(A206,JE_Lines!$B$5:$B$1733,0)))</f>
        <v>Customer receipts</v>
      </c>
      <c r="K206" s="9" t="n">
        <f aca="false">F206-G206</f>
        <v>1</v>
      </c>
      <c r="L206" s="9" t="n">
        <f aca="false">COUNTIFS(JE_Lines!$B$5:$B$1733,A206,JE_Lines!$F$5:$F$1733,"Revenue")</f>
        <v>0</v>
      </c>
      <c r="M206" s="9" t="n">
        <f aca="false">COUNTIFS(JE_Lines!$B$5:$B$1733,A206,JE_Lines!$F$5:$F$1733,"Suspense")</f>
        <v>0</v>
      </c>
      <c r="N206" s="9" t="n">
        <f aca="false">IF(ABS(E206)&gt;Parameters!$B$23,1,0)</f>
        <v>0</v>
      </c>
      <c r="O206" s="9" t="n">
        <f aca="false">IF(WEEKDAY(F206,2)&gt;5,1,0)</f>
        <v>0</v>
      </c>
      <c r="P206" s="9" t="n">
        <f aca="false">IF(K206&gt;Parameters!$B$17,1,0)</f>
        <v>0</v>
      </c>
      <c r="Q206" s="9" t="n">
        <f aca="false">IF(AND(F206&lt;=Parameters!$B$6,F206&gt;Parameters!$B$6-Parameters!$B$18),1,0)</f>
        <v>0</v>
      </c>
      <c r="R206" s="9" t="n">
        <f aca="false">IF(COUNTIF(Parameters!$A$51:$A$58,H206)=0,1,0)</f>
        <v>0</v>
      </c>
      <c r="S206" s="9" t="n">
        <f aca="false">IF(AND(I206="Manual",L206&gt;0),1,0)</f>
        <v>0</v>
      </c>
      <c r="T206" s="9" t="n">
        <f aca="false">IF(AND(C206&gt;=Parameters!$B$22,ROUND(MOD(ROUND(C206,2),Parameters!$B$21),2)=0),1,0)</f>
        <v>0</v>
      </c>
      <c r="U206" s="9" t="n">
        <f aca="false">IF(LEN(TRIM(J206))=0,1,0)</f>
        <v>0</v>
      </c>
      <c r="V206" s="9" t="n">
        <f aca="false">IF(AND(I206="Manual",C206&lt;Parameters!$B$19,C206&gt;=Parameters!$B$19*(1-Parameters!$B$20)),1,0)</f>
        <v>0</v>
      </c>
      <c r="W206" s="9" t="n">
        <f aca="false">IF(AND(I206="Manual",M206&gt;0),1,0)</f>
        <v>0</v>
      </c>
      <c r="X206" s="9" t="n">
        <f aca="false">IF(A206-A205&gt;1,1,0)</f>
        <v>0</v>
      </c>
      <c r="Y206" s="9" t="n">
        <f aca="false">N206*Parameters!$B$38+O206*Parameters!$B$39+P206*Parameters!$B$40+Q206*Parameters!$B$41+R206*Parameters!$B$42+S206*Parameters!$B$43+T206*Parameters!$B$44+U206*Parameters!$B$45+V206*Parameters!$B$46+W206*Parameters!$B$47+X206*Parameters!$B$48</f>
        <v>0</v>
      </c>
      <c r="Z206" s="0" t="str">
        <f aca="false">IF(Y206&gt;=Parameters!$B$25,"High","")</f>
        <v/>
      </c>
    </row>
    <row r="207" customFormat="false" ht="15" hidden="false" customHeight="false" outlineLevel="0" collapsed="false">
      <c r="A207" s="16" t="n">
        <v>1207</v>
      </c>
      <c r="B207" s="9" t="n">
        <f aca="false">COUNTIF(JE_Lines!$B$5:$B$1733,A207)</f>
        <v>2</v>
      </c>
      <c r="C207" s="17" t="n">
        <f aca="false">SUMIFS(JE_Lines!$G$5:$G$1733,JE_Lines!$B$5:$B$1733,A207)</f>
        <v>878.18</v>
      </c>
      <c r="D207" s="17" t="n">
        <f aca="false">SUMIFS(JE_Lines!$H$5:$H$1733,JE_Lines!$B$5:$B$1733,A207)</f>
        <v>878.18</v>
      </c>
      <c r="E207" s="17" t="n">
        <f aca="false">C207-D207</f>
        <v>0</v>
      </c>
      <c r="F207" s="18" t="n">
        <f aca="false">INDEX(JE_Lines!$C$5:$C$1733,MATCH(A207,JE_Lines!$B$5:$B$1733,0))</f>
        <v>45742</v>
      </c>
      <c r="G207" s="18" t="n">
        <f aca="false">INDEX(JE_Lines!$D$5:$D$1733,MATCH(A207,JE_Lines!$B$5:$B$1733,0))</f>
        <v>45742</v>
      </c>
      <c r="H207" s="0" t="str">
        <f aca="false">INDEX(JE_Lines!$I$5:$I$1733,MATCH(A207,JE_Lines!$B$5:$B$1733,0))</f>
        <v>SYS_AR</v>
      </c>
      <c r="I207" s="0" t="str">
        <f aca="false">INDEX(JE_Lines!$J$5:$J$1733,MATCH(A207,JE_Lines!$B$5:$B$1733,0))</f>
        <v>System</v>
      </c>
      <c r="J207" s="0" t="str">
        <f aca="false">IF(LEN(INDEX(JE_Lines!$K$5:$K$1733,MATCH(A207,JE_Lines!$B$5:$B$1733,0)))=0,"",INDEX(JE_Lines!$K$5:$K$1733,MATCH(A207,JE_Lines!$B$5:$B$1733,0)))</f>
        <v>Sales invoice batch</v>
      </c>
      <c r="K207" s="9" t="n">
        <f aca="false">F207-G207</f>
        <v>0</v>
      </c>
      <c r="L207" s="9" t="n">
        <f aca="false">COUNTIFS(JE_Lines!$B$5:$B$1733,A207,JE_Lines!$F$5:$F$1733,"Revenue")</f>
        <v>1</v>
      </c>
      <c r="M207" s="9" t="n">
        <f aca="false">COUNTIFS(JE_Lines!$B$5:$B$1733,A207,JE_Lines!$F$5:$F$1733,"Suspense")</f>
        <v>0</v>
      </c>
      <c r="N207" s="9" t="n">
        <f aca="false">IF(ABS(E207)&gt;Parameters!$B$23,1,0)</f>
        <v>0</v>
      </c>
      <c r="O207" s="9" t="n">
        <f aca="false">IF(WEEKDAY(F207,2)&gt;5,1,0)</f>
        <v>0</v>
      </c>
      <c r="P207" s="9" t="n">
        <f aca="false">IF(K207&gt;Parameters!$B$17,1,0)</f>
        <v>0</v>
      </c>
      <c r="Q207" s="9" t="n">
        <f aca="false">IF(AND(F207&lt;=Parameters!$B$6,F207&gt;Parameters!$B$6-Parameters!$B$18),1,0)</f>
        <v>0</v>
      </c>
      <c r="R207" s="9" t="n">
        <f aca="false">IF(COUNTIF(Parameters!$A$51:$A$58,H207)=0,1,0)</f>
        <v>0</v>
      </c>
      <c r="S207" s="9" t="n">
        <f aca="false">IF(AND(I207="Manual",L207&gt;0),1,0)</f>
        <v>0</v>
      </c>
      <c r="T207" s="9" t="n">
        <f aca="false">IF(AND(C207&gt;=Parameters!$B$22,ROUND(MOD(ROUND(C207,2),Parameters!$B$21),2)=0),1,0)</f>
        <v>0</v>
      </c>
      <c r="U207" s="9" t="n">
        <f aca="false">IF(LEN(TRIM(J207))=0,1,0)</f>
        <v>0</v>
      </c>
      <c r="V207" s="9" t="n">
        <f aca="false">IF(AND(I207="Manual",C207&lt;Parameters!$B$19,C207&gt;=Parameters!$B$19*(1-Parameters!$B$20)),1,0)</f>
        <v>0</v>
      </c>
      <c r="W207" s="9" t="n">
        <f aca="false">IF(AND(I207="Manual",M207&gt;0),1,0)</f>
        <v>0</v>
      </c>
      <c r="X207" s="9" t="n">
        <f aca="false">IF(A207-A206&gt;1,1,0)</f>
        <v>0</v>
      </c>
      <c r="Y207" s="9" t="n">
        <f aca="false">N207*Parameters!$B$38+O207*Parameters!$B$39+P207*Parameters!$B$40+Q207*Parameters!$B$41+R207*Parameters!$B$42+S207*Parameters!$B$43+T207*Parameters!$B$44+U207*Parameters!$B$45+V207*Parameters!$B$46+W207*Parameters!$B$47+X207*Parameters!$B$48</f>
        <v>0</v>
      </c>
      <c r="Z207" s="0" t="str">
        <f aca="false">IF(Y207&gt;=Parameters!$B$25,"High","")</f>
        <v/>
      </c>
    </row>
    <row r="208" customFormat="false" ht="15" hidden="false" customHeight="false" outlineLevel="0" collapsed="false">
      <c r="A208" s="16" t="n">
        <v>1208</v>
      </c>
      <c r="B208" s="9" t="n">
        <f aca="false">COUNTIF(JE_Lines!$B$5:$B$1733,A208)</f>
        <v>2</v>
      </c>
      <c r="C208" s="17" t="n">
        <f aca="false">SUMIFS(JE_Lines!$G$5:$G$1733,JE_Lines!$B$5:$B$1733,A208)</f>
        <v>32121.51</v>
      </c>
      <c r="D208" s="17" t="n">
        <f aca="false">SUMIFS(JE_Lines!$H$5:$H$1733,JE_Lines!$B$5:$B$1733,A208)</f>
        <v>32121.51</v>
      </c>
      <c r="E208" s="17" t="n">
        <f aca="false">C208-D208</f>
        <v>0</v>
      </c>
      <c r="F208" s="18" t="n">
        <f aca="false">INDEX(JE_Lines!$C$5:$C$1733,MATCH(A208,JE_Lines!$B$5:$B$1733,0))</f>
        <v>45742</v>
      </c>
      <c r="G208" s="18" t="n">
        <f aca="false">INDEX(JE_Lines!$D$5:$D$1733,MATCH(A208,JE_Lines!$B$5:$B$1733,0))</f>
        <v>45738</v>
      </c>
      <c r="H208" s="0" t="str">
        <f aca="false">INDEX(JE_Lines!$I$5:$I$1733,MATCH(A208,JE_Lines!$B$5:$B$1733,0))</f>
        <v>SYS_AR</v>
      </c>
      <c r="I208" s="0" t="str">
        <f aca="false">INDEX(JE_Lines!$J$5:$J$1733,MATCH(A208,JE_Lines!$B$5:$B$1733,0))</f>
        <v>System</v>
      </c>
      <c r="J208" s="0" t="str">
        <f aca="false">IF(LEN(INDEX(JE_Lines!$K$5:$K$1733,MATCH(A208,JE_Lines!$B$5:$B$1733,0)))=0,"",INDEX(JE_Lines!$K$5:$K$1733,MATCH(A208,JE_Lines!$B$5:$B$1733,0)))</f>
        <v>Customer receipts</v>
      </c>
      <c r="K208" s="9" t="n">
        <f aca="false">F208-G208</f>
        <v>4</v>
      </c>
      <c r="L208" s="9" t="n">
        <f aca="false">COUNTIFS(JE_Lines!$B$5:$B$1733,A208,JE_Lines!$F$5:$F$1733,"Revenue")</f>
        <v>0</v>
      </c>
      <c r="M208" s="9" t="n">
        <f aca="false">COUNTIFS(JE_Lines!$B$5:$B$1733,A208,JE_Lines!$F$5:$F$1733,"Suspense")</f>
        <v>0</v>
      </c>
      <c r="N208" s="9" t="n">
        <f aca="false">IF(ABS(E208)&gt;Parameters!$B$23,1,0)</f>
        <v>0</v>
      </c>
      <c r="O208" s="9" t="n">
        <f aca="false">IF(WEEKDAY(F208,2)&gt;5,1,0)</f>
        <v>0</v>
      </c>
      <c r="P208" s="9" t="n">
        <f aca="false">IF(K208&gt;Parameters!$B$17,1,0)</f>
        <v>0</v>
      </c>
      <c r="Q208" s="9" t="n">
        <f aca="false">IF(AND(F208&lt;=Parameters!$B$6,F208&gt;Parameters!$B$6-Parameters!$B$18),1,0)</f>
        <v>0</v>
      </c>
      <c r="R208" s="9" t="n">
        <f aca="false">IF(COUNTIF(Parameters!$A$51:$A$58,H208)=0,1,0)</f>
        <v>0</v>
      </c>
      <c r="S208" s="9" t="n">
        <f aca="false">IF(AND(I208="Manual",L208&gt;0),1,0)</f>
        <v>0</v>
      </c>
      <c r="T208" s="9" t="n">
        <f aca="false">IF(AND(C208&gt;=Parameters!$B$22,ROUND(MOD(ROUND(C208,2),Parameters!$B$21),2)=0),1,0)</f>
        <v>0</v>
      </c>
      <c r="U208" s="9" t="n">
        <f aca="false">IF(LEN(TRIM(J208))=0,1,0)</f>
        <v>0</v>
      </c>
      <c r="V208" s="9" t="n">
        <f aca="false">IF(AND(I208="Manual",C208&lt;Parameters!$B$19,C208&gt;=Parameters!$B$19*(1-Parameters!$B$20)),1,0)</f>
        <v>0</v>
      </c>
      <c r="W208" s="9" t="n">
        <f aca="false">IF(AND(I208="Manual",M208&gt;0),1,0)</f>
        <v>0</v>
      </c>
      <c r="X208" s="9" t="n">
        <f aca="false">IF(A208-A207&gt;1,1,0)</f>
        <v>0</v>
      </c>
      <c r="Y208" s="9" t="n">
        <f aca="false">N208*Parameters!$B$38+O208*Parameters!$B$39+P208*Parameters!$B$40+Q208*Parameters!$B$41+R208*Parameters!$B$42+S208*Parameters!$B$43+T208*Parameters!$B$44+U208*Parameters!$B$45+V208*Parameters!$B$46+W208*Parameters!$B$47+X208*Parameters!$B$48</f>
        <v>0</v>
      </c>
      <c r="Z208" s="0" t="str">
        <f aca="false">IF(Y208&gt;=Parameters!$B$25,"High","")</f>
        <v/>
      </c>
    </row>
    <row r="209" customFormat="false" ht="15" hidden="false" customHeight="false" outlineLevel="0" collapsed="false">
      <c r="A209" s="16" t="n">
        <v>1209</v>
      </c>
      <c r="B209" s="9" t="n">
        <f aca="false">COUNTIF(JE_Lines!$B$5:$B$1733,A209)</f>
        <v>2</v>
      </c>
      <c r="C209" s="17" t="n">
        <f aca="false">SUMIFS(JE_Lines!$G$5:$G$1733,JE_Lines!$B$5:$B$1733,A209)</f>
        <v>131516.79</v>
      </c>
      <c r="D209" s="17" t="n">
        <f aca="false">SUMIFS(JE_Lines!$H$5:$H$1733,JE_Lines!$B$5:$B$1733,A209)</f>
        <v>131516.79</v>
      </c>
      <c r="E209" s="17" t="n">
        <f aca="false">C209-D209</f>
        <v>0</v>
      </c>
      <c r="F209" s="18" t="n">
        <f aca="false">INDEX(JE_Lines!$C$5:$C$1733,MATCH(A209,JE_Lines!$B$5:$B$1733,0))</f>
        <v>45743</v>
      </c>
      <c r="G209" s="18" t="n">
        <f aca="false">INDEX(JE_Lines!$D$5:$D$1733,MATCH(A209,JE_Lines!$B$5:$B$1733,0))</f>
        <v>45741</v>
      </c>
      <c r="H209" s="0" t="str">
        <f aca="false">INDEX(JE_Lines!$I$5:$I$1733,MATCH(A209,JE_Lines!$B$5:$B$1733,0))</f>
        <v>SYS_PAY</v>
      </c>
      <c r="I209" s="0" t="str">
        <f aca="false">INDEX(JE_Lines!$J$5:$J$1733,MATCH(A209,JE_Lines!$B$5:$B$1733,0))</f>
        <v>System</v>
      </c>
      <c r="J209" s="0" t="str">
        <f aca="false">IF(LEN(INDEX(JE_Lines!$K$5:$K$1733,MATCH(A209,JE_Lines!$B$5:$B$1733,0)))=0,"",INDEX(JE_Lines!$K$5:$K$1733,MATCH(A209,JE_Lines!$B$5:$B$1733,0)))</f>
        <v>Supplier payments</v>
      </c>
      <c r="K209" s="9" t="n">
        <f aca="false">F209-G209</f>
        <v>2</v>
      </c>
      <c r="L209" s="9" t="n">
        <f aca="false">COUNTIFS(JE_Lines!$B$5:$B$1733,A209,JE_Lines!$F$5:$F$1733,"Revenue")</f>
        <v>0</v>
      </c>
      <c r="M209" s="9" t="n">
        <f aca="false">COUNTIFS(JE_Lines!$B$5:$B$1733,A209,JE_Lines!$F$5:$F$1733,"Suspense")</f>
        <v>0</v>
      </c>
      <c r="N209" s="9" t="n">
        <f aca="false">IF(ABS(E209)&gt;Parameters!$B$23,1,0)</f>
        <v>0</v>
      </c>
      <c r="O209" s="9" t="n">
        <f aca="false">IF(WEEKDAY(F209,2)&gt;5,1,0)</f>
        <v>0</v>
      </c>
      <c r="P209" s="9" t="n">
        <f aca="false">IF(K209&gt;Parameters!$B$17,1,0)</f>
        <v>0</v>
      </c>
      <c r="Q209" s="9" t="n">
        <f aca="false">IF(AND(F209&lt;=Parameters!$B$6,F209&gt;Parameters!$B$6-Parameters!$B$18),1,0)</f>
        <v>0</v>
      </c>
      <c r="R209" s="9" t="n">
        <f aca="false">IF(COUNTIF(Parameters!$A$51:$A$58,H209)=0,1,0)</f>
        <v>0</v>
      </c>
      <c r="S209" s="9" t="n">
        <f aca="false">IF(AND(I209="Manual",L209&gt;0),1,0)</f>
        <v>0</v>
      </c>
      <c r="T209" s="9" t="n">
        <f aca="false">IF(AND(C209&gt;=Parameters!$B$22,ROUND(MOD(ROUND(C209,2),Parameters!$B$21),2)=0),1,0)</f>
        <v>0</v>
      </c>
      <c r="U209" s="9" t="n">
        <f aca="false">IF(LEN(TRIM(J209))=0,1,0)</f>
        <v>0</v>
      </c>
      <c r="V209" s="9" t="n">
        <f aca="false">IF(AND(I209="Manual",C209&lt;Parameters!$B$19,C209&gt;=Parameters!$B$19*(1-Parameters!$B$20)),1,0)</f>
        <v>0</v>
      </c>
      <c r="W209" s="9" t="n">
        <f aca="false">IF(AND(I209="Manual",M209&gt;0),1,0)</f>
        <v>0</v>
      </c>
      <c r="X209" s="9" t="n">
        <f aca="false">IF(A209-A208&gt;1,1,0)</f>
        <v>0</v>
      </c>
      <c r="Y209" s="9" t="n">
        <f aca="false">N209*Parameters!$B$38+O209*Parameters!$B$39+P209*Parameters!$B$40+Q209*Parameters!$B$41+R209*Parameters!$B$42+S209*Parameters!$B$43+T209*Parameters!$B$44+U209*Parameters!$B$45+V209*Parameters!$B$46+W209*Parameters!$B$47+X209*Parameters!$B$48</f>
        <v>0</v>
      </c>
      <c r="Z209" s="0" t="str">
        <f aca="false">IF(Y209&gt;=Parameters!$B$25,"High","")</f>
        <v/>
      </c>
    </row>
    <row r="210" customFormat="false" ht="15" hidden="false" customHeight="false" outlineLevel="0" collapsed="false">
      <c r="A210" s="16" t="n">
        <v>1210</v>
      </c>
      <c r="B210" s="9" t="n">
        <f aca="false">COUNTIF(JE_Lines!$B$5:$B$1733,A210)</f>
        <v>2</v>
      </c>
      <c r="C210" s="17" t="n">
        <f aca="false">SUMIFS(JE_Lines!$G$5:$G$1733,JE_Lines!$B$5:$B$1733,A210)</f>
        <v>425.85</v>
      </c>
      <c r="D210" s="17" t="n">
        <f aca="false">SUMIFS(JE_Lines!$H$5:$H$1733,JE_Lines!$B$5:$B$1733,A210)</f>
        <v>425.85</v>
      </c>
      <c r="E210" s="17" t="n">
        <f aca="false">C210-D210</f>
        <v>0</v>
      </c>
      <c r="F210" s="18" t="n">
        <f aca="false">INDEX(JE_Lines!$C$5:$C$1733,MATCH(A210,JE_Lines!$B$5:$B$1733,0))</f>
        <v>45744</v>
      </c>
      <c r="G210" s="18" t="n">
        <f aca="false">INDEX(JE_Lines!$D$5:$D$1733,MATCH(A210,JE_Lines!$B$5:$B$1733,0))</f>
        <v>45740</v>
      </c>
      <c r="H210" s="0" t="str">
        <f aca="false">INDEX(JE_Lines!$I$5:$I$1733,MATCH(A210,JE_Lines!$B$5:$B$1733,0))</f>
        <v>SYS_AR</v>
      </c>
      <c r="I210" s="0" t="str">
        <f aca="false">INDEX(JE_Lines!$J$5:$J$1733,MATCH(A210,JE_Lines!$B$5:$B$1733,0))</f>
        <v>System</v>
      </c>
      <c r="J210" s="0" t="str">
        <f aca="false">IF(LEN(INDEX(JE_Lines!$K$5:$K$1733,MATCH(A210,JE_Lines!$B$5:$B$1733,0)))=0,"",INDEX(JE_Lines!$K$5:$K$1733,MATCH(A210,JE_Lines!$B$5:$B$1733,0)))</f>
        <v>Customer receipts</v>
      </c>
      <c r="K210" s="9" t="n">
        <f aca="false">F210-G210</f>
        <v>4</v>
      </c>
      <c r="L210" s="9" t="n">
        <f aca="false">COUNTIFS(JE_Lines!$B$5:$B$1733,A210,JE_Lines!$F$5:$F$1733,"Revenue")</f>
        <v>0</v>
      </c>
      <c r="M210" s="9" t="n">
        <f aca="false">COUNTIFS(JE_Lines!$B$5:$B$1733,A210,JE_Lines!$F$5:$F$1733,"Suspense")</f>
        <v>0</v>
      </c>
      <c r="N210" s="9" t="n">
        <f aca="false">IF(ABS(E210)&gt;Parameters!$B$23,1,0)</f>
        <v>0</v>
      </c>
      <c r="O210" s="9" t="n">
        <f aca="false">IF(WEEKDAY(F210,2)&gt;5,1,0)</f>
        <v>0</v>
      </c>
      <c r="P210" s="9" t="n">
        <f aca="false">IF(K210&gt;Parameters!$B$17,1,0)</f>
        <v>0</v>
      </c>
      <c r="Q210" s="9" t="n">
        <f aca="false">IF(AND(F210&lt;=Parameters!$B$6,F210&gt;Parameters!$B$6-Parameters!$B$18),1,0)</f>
        <v>0</v>
      </c>
      <c r="R210" s="9" t="n">
        <f aca="false">IF(COUNTIF(Parameters!$A$51:$A$58,H210)=0,1,0)</f>
        <v>0</v>
      </c>
      <c r="S210" s="9" t="n">
        <f aca="false">IF(AND(I210="Manual",L210&gt;0),1,0)</f>
        <v>0</v>
      </c>
      <c r="T210" s="9" t="n">
        <f aca="false">IF(AND(C210&gt;=Parameters!$B$22,ROUND(MOD(ROUND(C210,2),Parameters!$B$21),2)=0),1,0)</f>
        <v>0</v>
      </c>
      <c r="U210" s="9" t="n">
        <f aca="false">IF(LEN(TRIM(J210))=0,1,0)</f>
        <v>0</v>
      </c>
      <c r="V210" s="9" t="n">
        <f aca="false">IF(AND(I210="Manual",C210&lt;Parameters!$B$19,C210&gt;=Parameters!$B$19*(1-Parameters!$B$20)),1,0)</f>
        <v>0</v>
      </c>
      <c r="W210" s="9" t="n">
        <f aca="false">IF(AND(I210="Manual",M210&gt;0),1,0)</f>
        <v>0</v>
      </c>
      <c r="X210" s="9" t="n">
        <f aca="false">IF(A210-A209&gt;1,1,0)</f>
        <v>0</v>
      </c>
      <c r="Y210" s="9" t="n">
        <f aca="false">N210*Parameters!$B$38+O210*Parameters!$B$39+P210*Parameters!$B$40+Q210*Parameters!$B$41+R210*Parameters!$B$42+S210*Parameters!$B$43+T210*Parameters!$B$44+U210*Parameters!$B$45+V210*Parameters!$B$46+W210*Parameters!$B$47+X210*Parameters!$B$48</f>
        <v>0</v>
      </c>
      <c r="Z210" s="0" t="str">
        <f aca="false">IF(Y210&gt;=Parameters!$B$25,"High","")</f>
        <v/>
      </c>
    </row>
    <row r="211" customFormat="false" ht="15" hidden="false" customHeight="false" outlineLevel="0" collapsed="false">
      <c r="A211" s="16" t="n">
        <v>1211</v>
      </c>
      <c r="B211" s="9" t="n">
        <f aca="false">COUNTIF(JE_Lines!$B$5:$B$1733,A211)</f>
        <v>2</v>
      </c>
      <c r="C211" s="17" t="n">
        <f aca="false">SUMIFS(JE_Lines!$G$5:$G$1733,JE_Lines!$B$5:$B$1733,A211)</f>
        <v>480.56</v>
      </c>
      <c r="D211" s="17" t="n">
        <f aca="false">SUMIFS(JE_Lines!$H$5:$H$1733,JE_Lines!$B$5:$B$1733,A211)</f>
        <v>480.56</v>
      </c>
      <c r="E211" s="17" t="n">
        <f aca="false">C211-D211</f>
        <v>0</v>
      </c>
      <c r="F211" s="18" t="n">
        <f aca="false">INDEX(JE_Lines!$C$5:$C$1733,MATCH(A211,JE_Lines!$B$5:$B$1733,0))</f>
        <v>45744</v>
      </c>
      <c r="G211" s="18" t="n">
        <f aca="false">INDEX(JE_Lines!$D$5:$D$1733,MATCH(A211,JE_Lines!$B$5:$B$1733,0))</f>
        <v>45741</v>
      </c>
      <c r="H211" s="0" t="str">
        <f aca="false">INDEX(JE_Lines!$I$5:$I$1733,MATCH(A211,JE_Lines!$B$5:$B$1733,0))</f>
        <v>FIN02</v>
      </c>
      <c r="I211" s="0" t="str">
        <f aca="false">INDEX(JE_Lines!$J$5:$J$1733,MATCH(A211,JE_Lines!$B$5:$B$1733,0))</f>
        <v>Manual</v>
      </c>
      <c r="J211" s="0" t="str">
        <f aca="false">IF(LEN(INDEX(JE_Lines!$K$5:$K$1733,MATCH(A211,JE_Lines!$B$5:$B$1733,0)))=0,"",INDEX(JE_Lines!$K$5:$K$1733,MATCH(A211,JE_Lines!$B$5:$B$1733,0)))</f>
        <v>Accrual for sundry costs</v>
      </c>
      <c r="K211" s="9" t="n">
        <f aca="false">F211-G211</f>
        <v>3</v>
      </c>
      <c r="L211" s="9" t="n">
        <f aca="false">COUNTIFS(JE_Lines!$B$5:$B$1733,A211,JE_Lines!$F$5:$F$1733,"Revenue")</f>
        <v>0</v>
      </c>
      <c r="M211" s="9" t="n">
        <f aca="false">COUNTIFS(JE_Lines!$B$5:$B$1733,A211,JE_Lines!$F$5:$F$1733,"Suspense")</f>
        <v>0</v>
      </c>
      <c r="N211" s="9" t="n">
        <f aca="false">IF(ABS(E211)&gt;Parameters!$B$23,1,0)</f>
        <v>0</v>
      </c>
      <c r="O211" s="9" t="n">
        <f aca="false">IF(WEEKDAY(F211,2)&gt;5,1,0)</f>
        <v>0</v>
      </c>
      <c r="P211" s="9" t="n">
        <f aca="false">IF(K211&gt;Parameters!$B$17,1,0)</f>
        <v>0</v>
      </c>
      <c r="Q211" s="9" t="n">
        <f aca="false">IF(AND(F211&lt;=Parameters!$B$6,F211&gt;Parameters!$B$6-Parameters!$B$18),1,0)</f>
        <v>0</v>
      </c>
      <c r="R211" s="9" t="n">
        <f aca="false">IF(COUNTIF(Parameters!$A$51:$A$58,H211)=0,1,0)</f>
        <v>0</v>
      </c>
      <c r="S211" s="9" t="n">
        <f aca="false">IF(AND(I211="Manual",L211&gt;0),1,0)</f>
        <v>0</v>
      </c>
      <c r="T211" s="9" t="n">
        <f aca="false">IF(AND(C211&gt;=Parameters!$B$22,ROUND(MOD(ROUND(C211,2),Parameters!$B$21),2)=0),1,0)</f>
        <v>0</v>
      </c>
      <c r="U211" s="9" t="n">
        <f aca="false">IF(LEN(TRIM(J211))=0,1,0)</f>
        <v>0</v>
      </c>
      <c r="V211" s="9" t="n">
        <f aca="false">IF(AND(I211="Manual",C211&lt;Parameters!$B$19,C211&gt;=Parameters!$B$19*(1-Parameters!$B$20)),1,0)</f>
        <v>0</v>
      </c>
      <c r="W211" s="9" t="n">
        <f aca="false">IF(AND(I211="Manual",M211&gt;0),1,0)</f>
        <v>0</v>
      </c>
      <c r="X211" s="9" t="n">
        <f aca="false">IF(A211-A210&gt;1,1,0)</f>
        <v>0</v>
      </c>
      <c r="Y211" s="9" t="n">
        <f aca="false">N211*Parameters!$B$38+O211*Parameters!$B$39+P211*Parameters!$B$40+Q211*Parameters!$B$41+R211*Parameters!$B$42+S211*Parameters!$B$43+T211*Parameters!$B$44+U211*Parameters!$B$45+V211*Parameters!$B$46+W211*Parameters!$B$47+X211*Parameters!$B$48</f>
        <v>0</v>
      </c>
      <c r="Z211" s="0" t="str">
        <f aca="false">IF(Y211&gt;=Parameters!$B$25,"High","")</f>
        <v/>
      </c>
    </row>
    <row r="212" customFormat="false" ht="15" hidden="false" customHeight="false" outlineLevel="0" collapsed="false">
      <c r="A212" s="16" t="n">
        <v>1212</v>
      </c>
      <c r="B212" s="9" t="n">
        <f aca="false">COUNTIF(JE_Lines!$B$5:$B$1733,A212)</f>
        <v>3</v>
      </c>
      <c r="C212" s="17" t="n">
        <f aca="false">SUMIFS(JE_Lines!$G$5:$G$1733,JE_Lines!$B$5:$B$1733,A212)</f>
        <v>31260.25</v>
      </c>
      <c r="D212" s="17" t="n">
        <f aca="false">SUMIFS(JE_Lines!$H$5:$H$1733,JE_Lines!$B$5:$B$1733,A212)</f>
        <v>31260.25</v>
      </c>
      <c r="E212" s="17" t="n">
        <f aca="false">C212-D212</f>
        <v>0</v>
      </c>
      <c r="F212" s="18" t="n">
        <f aca="false">INDEX(JE_Lines!$C$5:$C$1733,MATCH(A212,JE_Lines!$B$5:$B$1733,0))</f>
        <v>45747</v>
      </c>
      <c r="G212" s="18" t="n">
        <f aca="false">INDEX(JE_Lines!$D$5:$D$1733,MATCH(A212,JE_Lines!$B$5:$B$1733,0))</f>
        <v>45743</v>
      </c>
      <c r="H212" s="0" t="str">
        <f aca="false">INDEX(JE_Lines!$I$5:$I$1733,MATCH(A212,JE_Lines!$B$5:$B$1733,0))</f>
        <v>FIN02</v>
      </c>
      <c r="I212" s="0" t="str">
        <f aca="false">INDEX(JE_Lines!$J$5:$J$1733,MATCH(A212,JE_Lines!$B$5:$B$1733,0))</f>
        <v>Manual</v>
      </c>
      <c r="J212" s="0" t="str">
        <f aca="false">IF(LEN(INDEX(JE_Lines!$K$5:$K$1733,MATCH(A212,JE_Lines!$B$5:$B$1733,0)))=0,"",INDEX(JE_Lines!$K$5:$K$1733,MATCH(A212,JE_Lines!$B$5:$B$1733,0)))</f>
        <v>Accrual reversal</v>
      </c>
      <c r="K212" s="9" t="n">
        <f aca="false">F212-G212</f>
        <v>4</v>
      </c>
      <c r="L212" s="9" t="n">
        <f aca="false">COUNTIFS(JE_Lines!$B$5:$B$1733,A212,JE_Lines!$F$5:$F$1733,"Revenue")</f>
        <v>0</v>
      </c>
      <c r="M212" s="9" t="n">
        <f aca="false">COUNTIFS(JE_Lines!$B$5:$B$1733,A212,JE_Lines!$F$5:$F$1733,"Suspense")</f>
        <v>0</v>
      </c>
      <c r="N212" s="9" t="n">
        <f aca="false">IF(ABS(E212)&gt;Parameters!$B$23,1,0)</f>
        <v>0</v>
      </c>
      <c r="O212" s="9" t="n">
        <f aca="false">IF(WEEKDAY(F212,2)&gt;5,1,0)</f>
        <v>0</v>
      </c>
      <c r="P212" s="9" t="n">
        <f aca="false">IF(K212&gt;Parameters!$B$17,1,0)</f>
        <v>0</v>
      </c>
      <c r="Q212" s="9" t="n">
        <f aca="false">IF(AND(F212&lt;=Parameters!$B$6,F212&gt;Parameters!$B$6-Parameters!$B$18),1,0)</f>
        <v>0</v>
      </c>
      <c r="R212" s="9" t="n">
        <f aca="false">IF(COUNTIF(Parameters!$A$51:$A$58,H212)=0,1,0)</f>
        <v>0</v>
      </c>
      <c r="S212" s="9" t="n">
        <f aca="false">IF(AND(I212="Manual",L212&gt;0),1,0)</f>
        <v>0</v>
      </c>
      <c r="T212" s="9" t="n">
        <f aca="false">IF(AND(C212&gt;=Parameters!$B$22,ROUND(MOD(ROUND(C212,2),Parameters!$B$21),2)=0),1,0)</f>
        <v>0</v>
      </c>
      <c r="U212" s="9" t="n">
        <f aca="false">IF(LEN(TRIM(J212))=0,1,0)</f>
        <v>0</v>
      </c>
      <c r="V212" s="9" t="n">
        <f aca="false">IF(AND(I212="Manual",C212&lt;Parameters!$B$19,C212&gt;=Parameters!$B$19*(1-Parameters!$B$20)),1,0)</f>
        <v>0</v>
      </c>
      <c r="W212" s="9" t="n">
        <f aca="false">IF(AND(I212="Manual",M212&gt;0),1,0)</f>
        <v>0</v>
      </c>
      <c r="X212" s="9" t="n">
        <f aca="false">IF(A212-A211&gt;1,1,0)</f>
        <v>0</v>
      </c>
      <c r="Y212" s="9" t="n">
        <f aca="false">N212*Parameters!$B$38+O212*Parameters!$B$39+P212*Parameters!$B$40+Q212*Parameters!$B$41+R212*Parameters!$B$42+S212*Parameters!$B$43+T212*Parameters!$B$44+U212*Parameters!$B$45+V212*Parameters!$B$46+W212*Parameters!$B$47+X212*Parameters!$B$48</f>
        <v>0</v>
      </c>
      <c r="Z212" s="0" t="str">
        <f aca="false">IF(Y212&gt;=Parameters!$B$25,"High","")</f>
        <v/>
      </c>
    </row>
    <row r="213" customFormat="false" ht="15" hidden="false" customHeight="false" outlineLevel="0" collapsed="false">
      <c r="A213" s="16" t="n">
        <v>1213</v>
      </c>
      <c r="B213" s="9" t="n">
        <f aca="false">COUNTIF(JE_Lines!$B$5:$B$1733,A213)</f>
        <v>2</v>
      </c>
      <c r="C213" s="17" t="n">
        <f aca="false">SUMIFS(JE_Lines!$G$5:$G$1733,JE_Lines!$B$5:$B$1733,A213)</f>
        <v>71988.26</v>
      </c>
      <c r="D213" s="17" t="n">
        <f aca="false">SUMIFS(JE_Lines!$H$5:$H$1733,JE_Lines!$B$5:$B$1733,A213)</f>
        <v>71988.26</v>
      </c>
      <c r="E213" s="17" t="n">
        <f aca="false">C213-D213</f>
        <v>0</v>
      </c>
      <c r="F213" s="18" t="n">
        <f aca="false">INDEX(JE_Lines!$C$5:$C$1733,MATCH(A213,JE_Lines!$B$5:$B$1733,0))</f>
        <v>45747</v>
      </c>
      <c r="G213" s="18" t="n">
        <f aca="false">INDEX(JE_Lines!$D$5:$D$1733,MATCH(A213,JE_Lines!$B$5:$B$1733,0))</f>
        <v>45747</v>
      </c>
      <c r="H213" s="0" t="str">
        <f aca="false">INDEX(JE_Lines!$I$5:$I$1733,MATCH(A213,JE_Lines!$B$5:$B$1733,0))</f>
        <v>FIN05</v>
      </c>
      <c r="I213" s="0" t="str">
        <f aca="false">INDEX(JE_Lines!$J$5:$J$1733,MATCH(A213,JE_Lines!$B$5:$B$1733,0))</f>
        <v>Manual</v>
      </c>
      <c r="J213" s="0" t="str">
        <f aca="false">IF(LEN(INDEX(JE_Lines!$K$5:$K$1733,MATCH(A213,JE_Lines!$B$5:$B$1733,0)))=0,"",INDEX(JE_Lines!$K$5:$K$1733,MATCH(A213,JE_Lines!$B$5:$B$1733,0)))</f>
        <v>Accrual for sundry costs</v>
      </c>
      <c r="K213" s="9" t="n">
        <f aca="false">F213-G213</f>
        <v>0</v>
      </c>
      <c r="L213" s="9" t="n">
        <f aca="false">COUNTIFS(JE_Lines!$B$5:$B$1733,A213,JE_Lines!$F$5:$F$1733,"Revenue")</f>
        <v>0</v>
      </c>
      <c r="M213" s="9" t="n">
        <f aca="false">COUNTIFS(JE_Lines!$B$5:$B$1733,A213,JE_Lines!$F$5:$F$1733,"Suspense")</f>
        <v>0</v>
      </c>
      <c r="N213" s="9" t="n">
        <f aca="false">IF(ABS(E213)&gt;Parameters!$B$23,1,0)</f>
        <v>0</v>
      </c>
      <c r="O213" s="9" t="n">
        <f aca="false">IF(WEEKDAY(F213,2)&gt;5,1,0)</f>
        <v>0</v>
      </c>
      <c r="P213" s="9" t="n">
        <f aca="false">IF(K213&gt;Parameters!$B$17,1,0)</f>
        <v>0</v>
      </c>
      <c r="Q213" s="9" t="n">
        <f aca="false">IF(AND(F213&lt;=Parameters!$B$6,F213&gt;Parameters!$B$6-Parameters!$B$18),1,0)</f>
        <v>0</v>
      </c>
      <c r="R213" s="9" t="n">
        <f aca="false">IF(COUNTIF(Parameters!$A$51:$A$58,H213)=0,1,0)</f>
        <v>0</v>
      </c>
      <c r="S213" s="9" t="n">
        <f aca="false">IF(AND(I213="Manual",L213&gt;0),1,0)</f>
        <v>0</v>
      </c>
      <c r="T213" s="9" t="n">
        <f aca="false">IF(AND(C213&gt;=Parameters!$B$22,ROUND(MOD(ROUND(C213,2),Parameters!$B$21),2)=0),1,0)</f>
        <v>0</v>
      </c>
      <c r="U213" s="9" t="n">
        <f aca="false">IF(LEN(TRIM(J213))=0,1,0)</f>
        <v>0</v>
      </c>
      <c r="V213" s="9" t="n">
        <f aca="false">IF(AND(I213="Manual",C213&lt;Parameters!$B$19,C213&gt;=Parameters!$B$19*(1-Parameters!$B$20)),1,0)</f>
        <v>0</v>
      </c>
      <c r="W213" s="9" t="n">
        <f aca="false">IF(AND(I213="Manual",M213&gt;0),1,0)</f>
        <v>0</v>
      </c>
      <c r="X213" s="9" t="n">
        <f aca="false">IF(A213-A212&gt;1,1,0)</f>
        <v>0</v>
      </c>
      <c r="Y213" s="9" t="n">
        <f aca="false">N213*Parameters!$B$38+O213*Parameters!$B$39+P213*Parameters!$B$40+Q213*Parameters!$B$41+R213*Parameters!$B$42+S213*Parameters!$B$43+T213*Parameters!$B$44+U213*Parameters!$B$45+V213*Parameters!$B$46+W213*Parameters!$B$47+X213*Parameters!$B$48</f>
        <v>0</v>
      </c>
      <c r="Z213" s="0" t="str">
        <f aca="false">IF(Y213&gt;=Parameters!$B$25,"High","")</f>
        <v/>
      </c>
    </row>
    <row r="214" customFormat="false" ht="15" hidden="false" customHeight="false" outlineLevel="0" collapsed="false">
      <c r="A214" s="16" t="n">
        <v>1214</v>
      </c>
      <c r="B214" s="9" t="n">
        <f aca="false">COUNTIF(JE_Lines!$B$5:$B$1733,A214)</f>
        <v>2</v>
      </c>
      <c r="C214" s="17" t="n">
        <f aca="false">SUMIFS(JE_Lines!$G$5:$G$1733,JE_Lines!$B$5:$B$1733,A214)</f>
        <v>45582.92</v>
      </c>
      <c r="D214" s="17" t="n">
        <f aca="false">SUMIFS(JE_Lines!$H$5:$H$1733,JE_Lines!$B$5:$B$1733,A214)</f>
        <v>45582.92</v>
      </c>
      <c r="E214" s="17" t="n">
        <f aca="false">C214-D214</f>
        <v>0</v>
      </c>
      <c r="F214" s="18" t="n">
        <f aca="false">INDEX(JE_Lines!$C$5:$C$1733,MATCH(A214,JE_Lines!$B$5:$B$1733,0))</f>
        <v>45747</v>
      </c>
      <c r="G214" s="18" t="n">
        <f aca="false">INDEX(JE_Lines!$D$5:$D$1733,MATCH(A214,JE_Lines!$B$5:$B$1733,0))</f>
        <v>45746</v>
      </c>
      <c r="H214" s="0" t="str">
        <f aca="false">INDEX(JE_Lines!$I$5:$I$1733,MATCH(A214,JE_Lines!$B$5:$B$1733,0))</f>
        <v>SYS_AR</v>
      </c>
      <c r="I214" s="0" t="str">
        <f aca="false">INDEX(JE_Lines!$J$5:$J$1733,MATCH(A214,JE_Lines!$B$5:$B$1733,0))</f>
        <v>System</v>
      </c>
      <c r="J214" s="0" t="str">
        <f aca="false">IF(LEN(INDEX(JE_Lines!$K$5:$K$1733,MATCH(A214,JE_Lines!$B$5:$B$1733,0)))=0,"",INDEX(JE_Lines!$K$5:$K$1733,MATCH(A214,JE_Lines!$B$5:$B$1733,0)))</f>
        <v>Sales invoice batch</v>
      </c>
      <c r="K214" s="9" t="n">
        <f aca="false">F214-G214</f>
        <v>1</v>
      </c>
      <c r="L214" s="9" t="n">
        <f aca="false">COUNTIFS(JE_Lines!$B$5:$B$1733,A214,JE_Lines!$F$5:$F$1733,"Revenue")</f>
        <v>1</v>
      </c>
      <c r="M214" s="9" t="n">
        <f aca="false">COUNTIFS(JE_Lines!$B$5:$B$1733,A214,JE_Lines!$F$5:$F$1733,"Suspense")</f>
        <v>0</v>
      </c>
      <c r="N214" s="9" t="n">
        <f aca="false">IF(ABS(E214)&gt;Parameters!$B$23,1,0)</f>
        <v>0</v>
      </c>
      <c r="O214" s="9" t="n">
        <f aca="false">IF(WEEKDAY(F214,2)&gt;5,1,0)</f>
        <v>0</v>
      </c>
      <c r="P214" s="9" t="n">
        <f aca="false">IF(K214&gt;Parameters!$B$17,1,0)</f>
        <v>0</v>
      </c>
      <c r="Q214" s="9" t="n">
        <f aca="false">IF(AND(F214&lt;=Parameters!$B$6,F214&gt;Parameters!$B$6-Parameters!$B$18),1,0)</f>
        <v>0</v>
      </c>
      <c r="R214" s="9" t="n">
        <f aca="false">IF(COUNTIF(Parameters!$A$51:$A$58,H214)=0,1,0)</f>
        <v>0</v>
      </c>
      <c r="S214" s="9" t="n">
        <f aca="false">IF(AND(I214="Manual",L214&gt;0),1,0)</f>
        <v>0</v>
      </c>
      <c r="T214" s="9" t="n">
        <f aca="false">IF(AND(C214&gt;=Parameters!$B$22,ROUND(MOD(ROUND(C214,2),Parameters!$B$21),2)=0),1,0)</f>
        <v>0</v>
      </c>
      <c r="U214" s="9" t="n">
        <f aca="false">IF(LEN(TRIM(J214))=0,1,0)</f>
        <v>0</v>
      </c>
      <c r="V214" s="9" t="n">
        <f aca="false">IF(AND(I214="Manual",C214&lt;Parameters!$B$19,C214&gt;=Parameters!$B$19*(1-Parameters!$B$20)),1,0)</f>
        <v>0</v>
      </c>
      <c r="W214" s="9" t="n">
        <f aca="false">IF(AND(I214="Manual",M214&gt;0),1,0)</f>
        <v>0</v>
      </c>
      <c r="X214" s="9" t="n">
        <f aca="false">IF(A214-A213&gt;1,1,0)</f>
        <v>0</v>
      </c>
      <c r="Y214" s="9" t="n">
        <f aca="false">N214*Parameters!$B$38+O214*Parameters!$B$39+P214*Parameters!$B$40+Q214*Parameters!$B$41+R214*Parameters!$B$42+S214*Parameters!$B$43+T214*Parameters!$B$44+U214*Parameters!$B$45+V214*Parameters!$B$46+W214*Parameters!$B$47+X214*Parameters!$B$48</f>
        <v>0</v>
      </c>
      <c r="Z214" s="0" t="str">
        <f aca="false">IF(Y214&gt;=Parameters!$B$25,"High","")</f>
        <v/>
      </c>
    </row>
    <row r="215" customFormat="false" ht="15" hidden="false" customHeight="false" outlineLevel="0" collapsed="false">
      <c r="A215" s="16" t="n">
        <v>1215</v>
      </c>
      <c r="B215" s="9" t="n">
        <f aca="false">COUNTIF(JE_Lines!$B$5:$B$1733,A215)</f>
        <v>2</v>
      </c>
      <c r="C215" s="17" t="n">
        <f aca="false">SUMIFS(JE_Lines!$G$5:$G$1733,JE_Lines!$B$5:$B$1733,A215)</f>
        <v>69244.5</v>
      </c>
      <c r="D215" s="17" t="n">
        <f aca="false">SUMIFS(JE_Lines!$H$5:$H$1733,JE_Lines!$B$5:$B$1733,A215)</f>
        <v>69244.5</v>
      </c>
      <c r="E215" s="17" t="n">
        <f aca="false">C215-D215</f>
        <v>0</v>
      </c>
      <c r="F215" s="18" t="n">
        <f aca="false">INDEX(JE_Lines!$C$5:$C$1733,MATCH(A215,JE_Lines!$B$5:$B$1733,0))</f>
        <v>45749</v>
      </c>
      <c r="G215" s="18" t="n">
        <f aca="false">INDEX(JE_Lines!$D$5:$D$1733,MATCH(A215,JE_Lines!$B$5:$B$1733,0))</f>
        <v>45746</v>
      </c>
      <c r="H215" s="0" t="str">
        <f aca="false">INDEX(JE_Lines!$I$5:$I$1733,MATCH(A215,JE_Lines!$B$5:$B$1733,0))</f>
        <v>SYS_AR</v>
      </c>
      <c r="I215" s="0" t="str">
        <f aca="false">INDEX(JE_Lines!$J$5:$J$1733,MATCH(A215,JE_Lines!$B$5:$B$1733,0))</f>
        <v>System</v>
      </c>
      <c r="J215" s="0" t="str">
        <f aca="false">IF(LEN(INDEX(JE_Lines!$K$5:$K$1733,MATCH(A215,JE_Lines!$B$5:$B$1733,0)))=0,"",INDEX(JE_Lines!$K$5:$K$1733,MATCH(A215,JE_Lines!$B$5:$B$1733,0)))</f>
        <v>Cost of sales posting</v>
      </c>
      <c r="K215" s="9" t="n">
        <f aca="false">F215-G215</f>
        <v>3</v>
      </c>
      <c r="L215" s="9" t="n">
        <f aca="false">COUNTIFS(JE_Lines!$B$5:$B$1733,A215,JE_Lines!$F$5:$F$1733,"Revenue")</f>
        <v>0</v>
      </c>
      <c r="M215" s="9" t="n">
        <f aca="false">COUNTIFS(JE_Lines!$B$5:$B$1733,A215,JE_Lines!$F$5:$F$1733,"Suspense")</f>
        <v>0</v>
      </c>
      <c r="N215" s="9" t="n">
        <f aca="false">IF(ABS(E215)&gt;Parameters!$B$23,1,0)</f>
        <v>0</v>
      </c>
      <c r="O215" s="9" t="n">
        <f aca="false">IF(WEEKDAY(F215,2)&gt;5,1,0)</f>
        <v>0</v>
      </c>
      <c r="P215" s="9" t="n">
        <f aca="false">IF(K215&gt;Parameters!$B$17,1,0)</f>
        <v>0</v>
      </c>
      <c r="Q215" s="9" t="n">
        <f aca="false">IF(AND(F215&lt;=Parameters!$B$6,F215&gt;Parameters!$B$6-Parameters!$B$18),1,0)</f>
        <v>0</v>
      </c>
      <c r="R215" s="9" t="n">
        <f aca="false">IF(COUNTIF(Parameters!$A$51:$A$58,H215)=0,1,0)</f>
        <v>0</v>
      </c>
      <c r="S215" s="9" t="n">
        <f aca="false">IF(AND(I215="Manual",L215&gt;0),1,0)</f>
        <v>0</v>
      </c>
      <c r="T215" s="9" t="n">
        <f aca="false">IF(AND(C215&gt;=Parameters!$B$22,ROUND(MOD(ROUND(C215,2),Parameters!$B$21),2)=0),1,0)</f>
        <v>0</v>
      </c>
      <c r="U215" s="9" t="n">
        <f aca="false">IF(LEN(TRIM(J215))=0,1,0)</f>
        <v>0</v>
      </c>
      <c r="V215" s="9" t="n">
        <f aca="false">IF(AND(I215="Manual",C215&lt;Parameters!$B$19,C215&gt;=Parameters!$B$19*(1-Parameters!$B$20)),1,0)</f>
        <v>0</v>
      </c>
      <c r="W215" s="9" t="n">
        <f aca="false">IF(AND(I215="Manual",M215&gt;0),1,0)</f>
        <v>0</v>
      </c>
      <c r="X215" s="9" t="n">
        <f aca="false">IF(A215-A214&gt;1,1,0)</f>
        <v>0</v>
      </c>
      <c r="Y215" s="9" t="n">
        <f aca="false">N215*Parameters!$B$38+O215*Parameters!$B$39+P215*Parameters!$B$40+Q215*Parameters!$B$41+R215*Parameters!$B$42+S215*Parameters!$B$43+T215*Parameters!$B$44+U215*Parameters!$B$45+V215*Parameters!$B$46+W215*Parameters!$B$47+X215*Parameters!$B$48</f>
        <v>0</v>
      </c>
      <c r="Z215" s="0" t="str">
        <f aca="false">IF(Y215&gt;=Parameters!$B$25,"High","")</f>
        <v/>
      </c>
    </row>
    <row r="216" customFormat="false" ht="15" hidden="false" customHeight="false" outlineLevel="0" collapsed="false">
      <c r="A216" s="16" t="n">
        <v>1216</v>
      </c>
      <c r="B216" s="9" t="n">
        <f aca="false">COUNTIF(JE_Lines!$B$5:$B$1733,A216)</f>
        <v>3</v>
      </c>
      <c r="C216" s="17" t="n">
        <f aca="false">SUMIFS(JE_Lines!$G$5:$G$1733,JE_Lines!$B$5:$B$1733,A216)</f>
        <v>316.17</v>
      </c>
      <c r="D216" s="17" t="n">
        <f aca="false">SUMIFS(JE_Lines!$H$5:$H$1733,JE_Lines!$B$5:$B$1733,A216)</f>
        <v>316.17</v>
      </c>
      <c r="E216" s="17" t="n">
        <f aca="false">C216-D216</f>
        <v>0</v>
      </c>
      <c r="F216" s="18" t="n">
        <f aca="false">INDEX(JE_Lines!$C$5:$C$1733,MATCH(A216,JE_Lines!$B$5:$B$1733,0))</f>
        <v>45749</v>
      </c>
      <c r="G216" s="18" t="n">
        <f aca="false">INDEX(JE_Lines!$D$5:$D$1733,MATCH(A216,JE_Lines!$B$5:$B$1733,0))</f>
        <v>45748</v>
      </c>
      <c r="H216" s="0" t="str">
        <f aca="false">INDEX(JE_Lines!$I$5:$I$1733,MATCH(A216,JE_Lines!$B$5:$B$1733,0))</f>
        <v>SYS_PAY</v>
      </c>
      <c r="I216" s="0" t="str">
        <f aca="false">INDEX(JE_Lines!$J$5:$J$1733,MATCH(A216,JE_Lines!$B$5:$B$1733,0))</f>
        <v>System</v>
      </c>
      <c r="J216" s="0" t="str">
        <f aca="false">IF(LEN(INDEX(JE_Lines!$K$5:$K$1733,MATCH(A216,JE_Lines!$B$5:$B$1733,0)))=0,"",INDEX(JE_Lines!$K$5:$K$1733,MATCH(A216,JE_Lines!$B$5:$B$1733,0)))</f>
        <v>Supplier payments</v>
      </c>
      <c r="K216" s="9" t="n">
        <f aca="false">F216-G216</f>
        <v>1</v>
      </c>
      <c r="L216" s="9" t="n">
        <f aca="false">COUNTIFS(JE_Lines!$B$5:$B$1733,A216,JE_Lines!$F$5:$F$1733,"Revenue")</f>
        <v>0</v>
      </c>
      <c r="M216" s="9" t="n">
        <f aca="false">COUNTIFS(JE_Lines!$B$5:$B$1733,A216,JE_Lines!$F$5:$F$1733,"Suspense")</f>
        <v>0</v>
      </c>
      <c r="N216" s="9" t="n">
        <f aca="false">IF(ABS(E216)&gt;Parameters!$B$23,1,0)</f>
        <v>0</v>
      </c>
      <c r="O216" s="9" t="n">
        <f aca="false">IF(WEEKDAY(F216,2)&gt;5,1,0)</f>
        <v>0</v>
      </c>
      <c r="P216" s="9" t="n">
        <f aca="false">IF(K216&gt;Parameters!$B$17,1,0)</f>
        <v>0</v>
      </c>
      <c r="Q216" s="9" t="n">
        <f aca="false">IF(AND(F216&lt;=Parameters!$B$6,F216&gt;Parameters!$B$6-Parameters!$B$18),1,0)</f>
        <v>0</v>
      </c>
      <c r="R216" s="9" t="n">
        <f aca="false">IF(COUNTIF(Parameters!$A$51:$A$58,H216)=0,1,0)</f>
        <v>0</v>
      </c>
      <c r="S216" s="9" t="n">
        <f aca="false">IF(AND(I216="Manual",L216&gt;0),1,0)</f>
        <v>0</v>
      </c>
      <c r="T216" s="9" t="n">
        <f aca="false">IF(AND(C216&gt;=Parameters!$B$22,ROUND(MOD(ROUND(C216,2),Parameters!$B$21),2)=0),1,0)</f>
        <v>0</v>
      </c>
      <c r="U216" s="9" t="n">
        <f aca="false">IF(LEN(TRIM(J216))=0,1,0)</f>
        <v>0</v>
      </c>
      <c r="V216" s="9" t="n">
        <f aca="false">IF(AND(I216="Manual",C216&lt;Parameters!$B$19,C216&gt;=Parameters!$B$19*(1-Parameters!$B$20)),1,0)</f>
        <v>0</v>
      </c>
      <c r="W216" s="9" t="n">
        <f aca="false">IF(AND(I216="Manual",M216&gt;0),1,0)</f>
        <v>0</v>
      </c>
      <c r="X216" s="9" t="n">
        <f aca="false">IF(A216-A215&gt;1,1,0)</f>
        <v>0</v>
      </c>
      <c r="Y216" s="9" t="n">
        <f aca="false">N216*Parameters!$B$38+O216*Parameters!$B$39+P216*Parameters!$B$40+Q216*Parameters!$B$41+R216*Parameters!$B$42+S216*Parameters!$B$43+T216*Parameters!$B$44+U216*Parameters!$B$45+V216*Parameters!$B$46+W216*Parameters!$B$47+X216*Parameters!$B$48</f>
        <v>0</v>
      </c>
      <c r="Z216" s="0" t="str">
        <f aca="false">IF(Y216&gt;=Parameters!$B$25,"High","")</f>
        <v/>
      </c>
    </row>
    <row r="217" customFormat="false" ht="15" hidden="false" customHeight="false" outlineLevel="0" collapsed="false">
      <c r="A217" s="16" t="n">
        <v>1217</v>
      </c>
      <c r="B217" s="9" t="n">
        <f aca="false">COUNTIF(JE_Lines!$B$5:$B$1733,A217)</f>
        <v>2</v>
      </c>
      <c r="C217" s="17" t="n">
        <f aca="false">SUMIFS(JE_Lines!$G$5:$G$1733,JE_Lines!$B$5:$B$1733,A217)</f>
        <v>7483.95</v>
      </c>
      <c r="D217" s="17" t="n">
        <f aca="false">SUMIFS(JE_Lines!$H$5:$H$1733,JE_Lines!$B$5:$B$1733,A217)</f>
        <v>7483.95</v>
      </c>
      <c r="E217" s="17" t="n">
        <f aca="false">C217-D217</f>
        <v>0</v>
      </c>
      <c r="F217" s="18" t="n">
        <f aca="false">INDEX(JE_Lines!$C$5:$C$1733,MATCH(A217,JE_Lines!$B$5:$B$1733,0))</f>
        <v>45749</v>
      </c>
      <c r="G217" s="18" t="n">
        <f aca="false">INDEX(JE_Lines!$D$5:$D$1733,MATCH(A217,JE_Lines!$B$5:$B$1733,0))</f>
        <v>45746</v>
      </c>
      <c r="H217" s="0" t="str">
        <f aca="false">INDEX(JE_Lines!$I$5:$I$1733,MATCH(A217,JE_Lines!$B$5:$B$1733,0))</f>
        <v>SYS_AR</v>
      </c>
      <c r="I217" s="0" t="str">
        <f aca="false">INDEX(JE_Lines!$J$5:$J$1733,MATCH(A217,JE_Lines!$B$5:$B$1733,0))</f>
        <v>System</v>
      </c>
      <c r="J217" s="0" t="str">
        <f aca="false">IF(LEN(INDEX(JE_Lines!$K$5:$K$1733,MATCH(A217,JE_Lines!$B$5:$B$1733,0)))=0,"",INDEX(JE_Lines!$K$5:$K$1733,MATCH(A217,JE_Lines!$B$5:$B$1733,0)))</f>
        <v>Cost of sales posting</v>
      </c>
      <c r="K217" s="9" t="n">
        <f aca="false">F217-G217</f>
        <v>3</v>
      </c>
      <c r="L217" s="9" t="n">
        <f aca="false">COUNTIFS(JE_Lines!$B$5:$B$1733,A217,JE_Lines!$F$5:$F$1733,"Revenue")</f>
        <v>0</v>
      </c>
      <c r="M217" s="9" t="n">
        <f aca="false">COUNTIFS(JE_Lines!$B$5:$B$1733,A217,JE_Lines!$F$5:$F$1733,"Suspense")</f>
        <v>0</v>
      </c>
      <c r="N217" s="9" t="n">
        <f aca="false">IF(ABS(E217)&gt;Parameters!$B$23,1,0)</f>
        <v>0</v>
      </c>
      <c r="O217" s="9" t="n">
        <f aca="false">IF(WEEKDAY(F217,2)&gt;5,1,0)</f>
        <v>0</v>
      </c>
      <c r="P217" s="9" t="n">
        <f aca="false">IF(K217&gt;Parameters!$B$17,1,0)</f>
        <v>0</v>
      </c>
      <c r="Q217" s="9" t="n">
        <f aca="false">IF(AND(F217&lt;=Parameters!$B$6,F217&gt;Parameters!$B$6-Parameters!$B$18),1,0)</f>
        <v>0</v>
      </c>
      <c r="R217" s="9" t="n">
        <f aca="false">IF(COUNTIF(Parameters!$A$51:$A$58,H217)=0,1,0)</f>
        <v>0</v>
      </c>
      <c r="S217" s="9" t="n">
        <f aca="false">IF(AND(I217="Manual",L217&gt;0),1,0)</f>
        <v>0</v>
      </c>
      <c r="T217" s="9" t="n">
        <f aca="false">IF(AND(C217&gt;=Parameters!$B$22,ROUND(MOD(ROUND(C217,2),Parameters!$B$21),2)=0),1,0)</f>
        <v>0</v>
      </c>
      <c r="U217" s="9" t="n">
        <f aca="false">IF(LEN(TRIM(J217))=0,1,0)</f>
        <v>0</v>
      </c>
      <c r="V217" s="9" t="n">
        <f aca="false">IF(AND(I217="Manual",C217&lt;Parameters!$B$19,C217&gt;=Parameters!$B$19*(1-Parameters!$B$20)),1,0)</f>
        <v>0</v>
      </c>
      <c r="W217" s="9" t="n">
        <f aca="false">IF(AND(I217="Manual",M217&gt;0),1,0)</f>
        <v>0</v>
      </c>
      <c r="X217" s="9" t="n">
        <f aca="false">IF(A217-A216&gt;1,1,0)</f>
        <v>0</v>
      </c>
      <c r="Y217" s="9" t="n">
        <f aca="false">N217*Parameters!$B$38+O217*Parameters!$B$39+P217*Parameters!$B$40+Q217*Parameters!$B$41+R217*Parameters!$B$42+S217*Parameters!$B$43+T217*Parameters!$B$44+U217*Parameters!$B$45+V217*Parameters!$B$46+W217*Parameters!$B$47+X217*Parameters!$B$48</f>
        <v>0</v>
      </c>
      <c r="Z217" s="0" t="str">
        <f aca="false">IF(Y217&gt;=Parameters!$B$25,"High","")</f>
        <v/>
      </c>
    </row>
    <row r="218" customFormat="false" ht="15" hidden="false" customHeight="false" outlineLevel="0" collapsed="false">
      <c r="A218" s="16" t="n">
        <v>1218</v>
      </c>
      <c r="B218" s="9" t="n">
        <f aca="false">COUNTIF(JE_Lines!$B$5:$B$1733,A218)</f>
        <v>2</v>
      </c>
      <c r="C218" s="17" t="n">
        <f aca="false">SUMIFS(JE_Lines!$G$5:$G$1733,JE_Lines!$B$5:$B$1733,A218)</f>
        <v>23370.69</v>
      </c>
      <c r="D218" s="17" t="n">
        <f aca="false">SUMIFS(JE_Lines!$H$5:$H$1733,JE_Lines!$B$5:$B$1733,A218)</f>
        <v>23370.69</v>
      </c>
      <c r="E218" s="17" t="n">
        <f aca="false">C218-D218</f>
        <v>0</v>
      </c>
      <c r="F218" s="18" t="n">
        <f aca="false">INDEX(JE_Lines!$C$5:$C$1733,MATCH(A218,JE_Lines!$B$5:$B$1733,0))</f>
        <v>45750</v>
      </c>
      <c r="G218" s="18" t="n">
        <f aca="false">INDEX(JE_Lines!$D$5:$D$1733,MATCH(A218,JE_Lines!$B$5:$B$1733,0))</f>
        <v>45748</v>
      </c>
      <c r="H218" s="0" t="str">
        <f aca="false">INDEX(JE_Lines!$I$5:$I$1733,MATCH(A218,JE_Lines!$B$5:$B$1733,0))</f>
        <v>SYS_AR</v>
      </c>
      <c r="I218" s="0" t="str">
        <f aca="false">INDEX(JE_Lines!$J$5:$J$1733,MATCH(A218,JE_Lines!$B$5:$B$1733,0))</f>
        <v>System</v>
      </c>
      <c r="J218" s="0" t="str">
        <f aca="false">IF(LEN(INDEX(JE_Lines!$K$5:$K$1733,MATCH(A218,JE_Lines!$B$5:$B$1733,0)))=0,"",INDEX(JE_Lines!$K$5:$K$1733,MATCH(A218,JE_Lines!$B$5:$B$1733,0)))</f>
        <v>Customer receipts</v>
      </c>
      <c r="K218" s="9" t="n">
        <f aca="false">F218-G218</f>
        <v>2</v>
      </c>
      <c r="L218" s="9" t="n">
        <f aca="false">COUNTIFS(JE_Lines!$B$5:$B$1733,A218,JE_Lines!$F$5:$F$1733,"Revenue")</f>
        <v>0</v>
      </c>
      <c r="M218" s="9" t="n">
        <f aca="false">COUNTIFS(JE_Lines!$B$5:$B$1733,A218,JE_Lines!$F$5:$F$1733,"Suspense")</f>
        <v>0</v>
      </c>
      <c r="N218" s="9" t="n">
        <f aca="false">IF(ABS(E218)&gt;Parameters!$B$23,1,0)</f>
        <v>0</v>
      </c>
      <c r="O218" s="9" t="n">
        <f aca="false">IF(WEEKDAY(F218,2)&gt;5,1,0)</f>
        <v>0</v>
      </c>
      <c r="P218" s="9" t="n">
        <f aca="false">IF(K218&gt;Parameters!$B$17,1,0)</f>
        <v>0</v>
      </c>
      <c r="Q218" s="9" t="n">
        <f aca="false">IF(AND(F218&lt;=Parameters!$B$6,F218&gt;Parameters!$B$6-Parameters!$B$18),1,0)</f>
        <v>0</v>
      </c>
      <c r="R218" s="9" t="n">
        <f aca="false">IF(COUNTIF(Parameters!$A$51:$A$58,H218)=0,1,0)</f>
        <v>0</v>
      </c>
      <c r="S218" s="9" t="n">
        <f aca="false">IF(AND(I218="Manual",L218&gt;0),1,0)</f>
        <v>0</v>
      </c>
      <c r="T218" s="9" t="n">
        <f aca="false">IF(AND(C218&gt;=Parameters!$B$22,ROUND(MOD(ROUND(C218,2),Parameters!$B$21),2)=0),1,0)</f>
        <v>0</v>
      </c>
      <c r="U218" s="9" t="n">
        <f aca="false">IF(LEN(TRIM(J218))=0,1,0)</f>
        <v>0</v>
      </c>
      <c r="V218" s="9" t="n">
        <f aca="false">IF(AND(I218="Manual",C218&lt;Parameters!$B$19,C218&gt;=Parameters!$B$19*(1-Parameters!$B$20)),1,0)</f>
        <v>0</v>
      </c>
      <c r="W218" s="9" t="n">
        <f aca="false">IF(AND(I218="Manual",M218&gt;0),1,0)</f>
        <v>0</v>
      </c>
      <c r="X218" s="9" t="n">
        <f aca="false">IF(A218-A217&gt;1,1,0)</f>
        <v>0</v>
      </c>
      <c r="Y218" s="9" t="n">
        <f aca="false">N218*Parameters!$B$38+O218*Parameters!$B$39+P218*Parameters!$B$40+Q218*Parameters!$B$41+R218*Parameters!$B$42+S218*Parameters!$B$43+T218*Parameters!$B$44+U218*Parameters!$B$45+V218*Parameters!$B$46+W218*Parameters!$B$47+X218*Parameters!$B$48</f>
        <v>0</v>
      </c>
      <c r="Z218" s="0" t="str">
        <f aca="false">IF(Y218&gt;=Parameters!$B$25,"High","")</f>
        <v/>
      </c>
    </row>
    <row r="219" customFormat="false" ht="15" hidden="false" customHeight="false" outlineLevel="0" collapsed="false">
      <c r="A219" s="16" t="n">
        <v>1219</v>
      </c>
      <c r="B219" s="9" t="n">
        <f aca="false">COUNTIF(JE_Lines!$B$5:$B$1733,A219)</f>
        <v>3</v>
      </c>
      <c r="C219" s="17" t="n">
        <f aca="false">SUMIFS(JE_Lines!$G$5:$G$1733,JE_Lines!$B$5:$B$1733,A219)</f>
        <v>6467.31</v>
      </c>
      <c r="D219" s="17" t="n">
        <f aca="false">SUMIFS(JE_Lines!$H$5:$H$1733,JE_Lines!$B$5:$B$1733,A219)</f>
        <v>6467.31</v>
      </c>
      <c r="E219" s="17" t="n">
        <f aca="false">C219-D219</f>
        <v>0</v>
      </c>
      <c r="F219" s="18" t="n">
        <f aca="false">INDEX(JE_Lines!$C$5:$C$1733,MATCH(A219,JE_Lines!$B$5:$B$1733,0))</f>
        <v>45750</v>
      </c>
      <c r="G219" s="18" t="n">
        <f aca="false">INDEX(JE_Lines!$D$5:$D$1733,MATCH(A219,JE_Lines!$B$5:$B$1733,0))</f>
        <v>45748</v>
      </c>
      <c r="H219" s="0" t="str">
        <f aca="false">INDEX(JE_Lines!$I$5:$I$1733,MATCH(A219,JE_Lines!$B$5:$B$1733,0))</f>
        <v>SYS_AR</v>
      </c>
      <c r="I219" s="0" t="str">
        <f aca="false">INDEX(JE_Lines!$J$5:$J$1733,MATCH(A219,JE_Lines!$B$5:$B$1733,0))</f>
        <v>System</v>
      </c>
      <c r="J219" s="0" t="str">
        <f aca="false">IF(LEN(INDEX(JE_Lines!$K$5:$K$1733,MATCH(A219,JE_Lines!$B$5:$B$1733,0)))=0,"",INDEX(JE_Lines!$K$5:$K$1733,MATCH(A219,JE_Lines!$B$5:$B$1733,0)))</f>
        <v>Customer receipts</v>
      </c>
      <c r="K219" s="9" t="n">
        <f aca="false">F219-G219</f>
        <v>2</v>
      </c>
      <c r="L219" s="9" t="n">
        <f aca="false">COUNTIFS(JE_Lines!$B$5:$B$1733,A219,JE_Lines!$F$5:$F$1733,"Revenue")</f>
        <v>0</v>
      </c>
      <c r="M219" s="9" t="n">
        <f aca="false">COUNTIFS(JE_Lines!$B$5:$B$1733,A219,JE_Lines!$F$5:$F$1733,"Suspense")</f>
        <v>0</v>
      </c>
      <c r="N219" s="9" t="n">
        <f aca="false">IF(ABS(E219)&gt;Parameters!$B$23,1,0)</f>
        <v>0</v>
      </c>
      <c r="O219" s="9" t="n">
        <f aca="false">IF(WEEKDAY(F219,2)&gt;5,1,0)</f>
        <v>0</v>
      </c>
      <c r="P219" s="9" t="n">
        <f aca="false">IF(K219&gt;Parameters!$B$17,1,0)</f>
        <v>0</v>
      </c>
      <c r="Q219" s="9" t="n">
        <f aca="false">IF(AND(F219&lt;=Parameters!$B$6,F219&gt;Parameters!$B$6-Parameters!$B$18),1,0)</f>
        <v>0</v>
      </c>
      <c r="R219" s="9" t="n">
        <f aca="false">IF(COUNTIF(Parameters!$A$51:$A$58,H219)=0,1,0)</f>
        <v>0</v>
      </c>
      <c r="S219" s="9" t="n">
        <f aca="false">IF(AND(I219="Manual",L219&gt;0),1,0)</f>
        <v>0</v>
      </c>
      <c r="T219" s="9" t="n">
        <f aca="false">IF(AND(C219&gt;=Parameters!$B$22,ROUND(MOD(ROUND(C219,2),Parameters!$B$21),2)=0),1,0)</f>
        <v>0</v>
      </c>
      <c r="U219" s="9" t="n">
        <f aca="false">IF(LEN(TRIM(J219))=0,1,0)</f>
        <v>0</v>
      </c>
      <c r="V219" s="9" t="n">
        <f aca="false">IF(AND(I219="Manual",C219&lt;Parameters!$B$19,C219&gt;=Parameters!$B$19*(1-Parameters!$B$20)),1,0)</f>
        <v>0</v>
      </c>
      <c r="W219" s="9" t="n">
        <f aca="false">IF(AND(I219="Manual",M219&gt;0),1,0)</f>
        <v>0</v>
      </c>
      <c r="X219" s="9" t="n">
        <f aca="false">IF(A219-A218&gt;1,1,0)</f>
        <v>0</v>
      </c>
      <c r="Y219" s="9" t="n">
        <f aca="false">N219*Parameters!$B$38+O219*Parameters!$B$39+P219*Parameters!$B$40+Q219*Parameters!$B$41+R219*Parameters!$B$42+S219*Parameters!$B$43+T219*Parameters!$B$44+U219*Parameters!$B$45+V219*Parameters!$B$46+W219*Parameters!$B$47+X219*Parameters!$B$48</f>
        <v>0</v>
      </c>
      <c r="Z219" s="0" t="str">
        <f aca="false">IF(Y219&gt;=Parameters!$B$25,"High","")</f>
        <v/>
      </c>
    </row>
    <row r="220" customFormat="false" ht="15" hidden="false" customHeight="false" outlineLevel="0" collapsed="false">
      <c r="A220" s="16" t="n">
        <v>1220</v>
      </c>
      <c r="B220" s="9" t="n">
        <f aca="false">COUNTIF(JE_Lines!$B$5:$B$1733,A220)</f>
        <v>2</v>
      </c>
      <c r="C220" s="17" t="n">
        <f aca="false">SUMIFS(JE_Lines!$G$5:$G$1733,JE_Lines!$B$5:$B$1733,A220)</f>
        <v>238.99</v>
      </c>
      <c r="D220" s="17" t="n">
        <f aca="false">SUMIFS(JE_Lines!$H$5:$H$1733,JE_Lines!$B$5:$B$1733,A220)</f>
        <v>238.99</v>
      </c>
      <c r="E220" s="17" t="n">
        <f aca="false">C220-D220</f>
        <v>0</v>
      </c>
      <c r="F220" s="18" t="n">
        <f aca="false">INDEX(JE_Lines!$C$5:$C$1733,MATCH(A220,JE_Lines!$B$5:$B$1733,0))</f>
        <v>45750</v>
      </c>
      <c r="G220" s="18" t="n">
        <f aca="false">INDEX(JE_Lines!$D$5:$D$1733,MATCH(A220,JE_Lines!$B$5:$B$1733,0))</f>
        <v>45749</v>
      </c>
      <c r="H220" s="0" t="str">
        <f aca="false">INDEX(JE_Lines!$I$5:$I$1733,MATCH(A220,JE_Lines!$B$5:$B$1733,0))</f>
        <v>SYS_AP</v>
      </c>
      <c r="I220" s="0" t="str">
        <f aca="false">INDEX(JE_Lines!$J$5:$J$1733,MATCH(A220,JE_Lines!$B$5:$B$1733,0))</f>
        <v>System</v>
      </c>
      <c r="J220" s="0" t="str">
        <f aca="false">IF(LEN(INDEX(JE_Lines!$K$5:$K$1733,MATCH(A220,JE_Lines!$B$5:$B$1733,0)))=0,"",INDEX(JE_Lines!$K$5:$K$1733,MATCH(A220,JE_Lines!$B$5:$B$1733,0)))</f>
        <v>Supplier invoices</v>
      </c>
      <c r="K220" s="9" t="n">
        <f aca="false">F220-G220</f>
        <v>1</v>
      </c>
      <c r="L220" s="9" t="n">
        <f aca="false">COUNTIFS(JE_Lines!$B$5:$B$1733,A220,JE_Lines!$F$5:$F$1733,"Revenue")</f>
        <v>0</v>
      </c>
      <c r="M220" s="9" t="n">
        <f aca="false">COUNTIFS(JE_Lines!$B$5:$B$1733,A220,JE_Lines!$F$5:$F$1733,"Suspense")</f>
        <v>0</v>
      </c>
      <c r="N220" s="9" t="n">
        <f aca="false">IF(ABS(E220)&gt;Parameters!$B$23,1,0)</f>
        <v>0</v>
      </c>
      <c r="O220" s="9" t="n">
        <f aca="false">IF(WEEKDAY(F220,2)&gt;5,1,0)</f>
        <v>0</v>
      </c>
      <c r="P220" s="9" t="n">
        <f aca="false">IF(K220&gt;Parameters!$B$17,1,0)</f>
        <v>0</v>
      </c>
      <c r="Q220" s="9" t="n">
        <f aca="false">IF(AND(F220&lt;=Parameters!$B$6,F220&gt;Parameters!$B$6-Parameters!$B$18),1,0)</f>
        <v>0</v>
      </c>
      <c r="R220" s="9" t="n">
        <f aca="false">IF(COUNTIF(Parameters!$A$51:$A$58,H220)=0,1,0)</f>
        <v>0</v>
      </c>
      <c r="S220" s="9" t="n">
        <f aca="false">IF(AND(I220="Manual",L220&gt;0),1,0)</f>
        <v>0</v>
      </c>
      <c r="T220" s="9" t="n">
        <f aca="false">IF(AND(C220&gt;=Parameters!$B$22,ROUND(MOD(ROUND(C220,2),Parameters!$B$21),2)=0),1,0)</f>
        <v>0</v>
      </c>
      <c r="U220" s="9" t="n">
        <f aca="false">IF(LEN(TRIM(J220))=0,1,0)</f>
        <v>0</v>
      </c>
      <c r="V220" s="9" t="n">
        <f aca="false">IF(AND(I220="Manual",C220&lt;Parameters!$B$19,C220&gt;=Parameters!$B$19*(1-Parameters!$B$20)),1,0)</f>
        <v>0</v>
      </c>
      <c r="W220" s="9" t="n">
        <f aca="false">IF(AND(I220="Manual",M220&gt;0),1,0)</f>
        <v>0</v>
      </c>
      <c r="X220" s="9" t="n">
        <f aca="false">IF(A220-A219&gt;1,1,0)</f>
        <v>0</v>
      </c>
      <c r="Y220" s="9" t="n">
        <f aca="false">N220*Parameters!$B$38+O220*Parameters!$B$39+P220*Parameters!$B$40+Q220*Parameters!$B$41+R220*Parameters!$B$42+S220*Parameters!$B$43+T220*Parameters!$B$44+U220*Parameters!$B$45+V220*Parameters!$B$46+W220*Parameters!$B$47+X220*Parameters!$B$48</f>
        <v>0</v>
      </c>
      <c r="Z220" s="0" t="str">
        <f aca="false">IF(Y220&gt;=Parameters!$B$25,"High","")</f>
        <v/>
      </c>
    </row>
    <row r="221" customFormat="false" ht="15" hidden="false" customHeight="false" outlineLevel="0" collapsed="false">
      <c r="A221" s="16" t="n">
        <v>1221</v>
      </c>
      <c r="B221" s="9" t="n">
        <f aca="false">COUNTIF(JE_Lines!$B$5:$B$1733,A221)</f>
        <v>3</v>
      </c>
      <c r="C221" s="17" t="n">
        <f aca="false">SUMIFS(JE_Lines!$G$5:$G$1733,JE_Lines!$B$5:$B$1733,A221)</f>
        <v>252.53</v>
      </c>
      <c r="D221" s="17" t="n">
        <f aca="false">SUMIFS(JE_Lines!$H$5:$H$1733,JE_Lines!$B$5:$B$1733,A221)</f>
        <v>252.53</v>
      </c>
      <c r="E221" s="17" t="n">
        <f aca="false">C221-D221</f>
        <v>0</v>
      </c>
      <c r="F221" s="18" t="n">
        <f aca="false">INDEX(JE_Lines!$C$5:$C$1733,MATCH(A221,JE_Lines!$B$5:$B$1733,0))</f>
        <v>45750</v>
      </c>
      <c r="G221" s="18" t="n">
        <f aca="false">INDEX(JE_Lines!$D$5:$D$1733,MATCH(A221,JE_Lines!$B$5:$B$1733,0))</f>
        <v>45749</v>
      </c>
      <c r="H221" s="0" t="str">
        <f aca="false">INDEX(JE_Lines!$I$5:$I$1733,MATCH(A221,JE_Lines!$B$5:$B$1733,0))</f>
        <v>SYS_AP</v>
      </c>
      <c r="I221" s="0" t="str">
        <f aca="false">INDEX(JE_Lines!$J$5:$J$1733,MATCH(A221,JE_Lines!$B$5:$B$1733,0))</f>
        <v>System</v>
      </c>
      <c r="J221" s="0" t="str">
        <f aca="false">IF(LEN(INDEX(JE_Lines!$K$5:$K$1733,MATCH(A221,JE_Lines!$B$5:$B$1733,0)))=0,"",INDEX(JE_Lines!$K$5:$K$1733,MATCH(A221,JE_Lines!$B$5:$B$1733,0)))</f>
        <v>Utilities invoices</v>
      </c>
      <c r="K221" s="9" t="n">
        <f aca="false">F221-G221</f>
        <v>1</v>
      </c>
      <c r="L221" s="9" t="n">
        <f aca="false">COUNTIFS(JE_Lines!$B$5:$B$1733,A221,JE_Lines!$F$5:$F$1733,"Revenue")</f>
        <v>0</v>
      </c>
      <c r="M221" s="9" t="n">
        <f aca="false">COUNTIFS(JE_Lines!$B$5:$B$1733,A221,JE_Lines!$F$5:$F$1733,"Suspense")</f>
        <v>0</v>
      </c>
      <c r="N221" s="9" t="n">
        <f aca="false">IF(ABS(E221)&gt;Parameters!$B$23,1,0)</f>
        <v>0</v>
      </c>
      <c r="O221" s="9" t="n">
        <f aca="false">IF(WEEKDAY(F221,2)&gt;5,1,0)</f>
        <v>0</v>
      </c>
      <c r="P221" s="9" t="n">
        <f aca="false">IF(K221&gt;Parameters!$B$17,1,0)</f>
        <v>0</v>
      </c>
      <c r="Q221" s="9" t="n">
        <f aca="false">IF(AND(F221&lt;=Parameters!$B$6,F221&gt;Parameters!$B$6-Parameters!$B$18),1,0)</f>
        <v>0</v>
      </c>
      <c r="R221" s="9" t="n">
        <f aca="false">IF(COUNTIF(Parameters!$A$51:$A$58,H221)=0,1,0)</f>
        <v>0</v>
      </c>
      <c r="S221" s="9" t="n">
        <f aca="false">IF(AND(I221="Manual",L221&gt;0),1,0)</f>
        <v>0</v>
      </c>
      <c r="T221" s="9" t="n">
        <f aca="false">IF(AND(C221&gt;=Parameters!$B$22,ROUND(MOD(ROUND(C221,2),Parameters!$B$21),2)=0),1,0)</f>
        <v>0</v>
      </c>
      <c r="U221" s="9" t="n">
        <f aca="false">IF(LEN(TRIM(J221))=0,1,0)</f>
        <v>0</v>
      </c>
      <c r="V221" s="9" t="n">
        <f aca="false">IF(AND(I221="Manual",C221&lt;Parameters!$B$19,C221&gt;=Parameters!$B$19*(1-Parameters!$B$20)),1,0)</f>
        <v>0</v>
      </c>
      <c r="W221" s="9" t="n">
        <f aca="false">IF(AND(I221="Manual",M221&gt;0),1,0)</f>
        <v>0</v>
      </c>
      <c r="X221" s="9" t="n">
        <f aca="false">IF(A221-A220&gt;1,1,0)</f>
        <v>0</v>
      </c>
      <c r="Y221" s="9" t="n">
        <f aca="false">N221*Parameters!$B$38+O221*Parameters!$B$39+P221*Parameters!$B$40+Q221*Parameters!$B$41+R221*Parameters!$B$42+S221*Parameters!$B$43+T221*Parameters!$B$44+U221*Parameters!$B$45+V221*Parameters!$B$46+W221*Parameters!$B$47+X221*Parameters!$B$48</f>
        <v>0</v>
      </c>
      <c r="Z221" s="0" t="str">
        <f aca="false">IF(Y221&gt;=Parameters!$B$25,"High","")</f>
        <v/>
      </c>
    </row>
    <row r="222" customFormat="false" ht="15" hidden="false" customHeight="false" outlineLevel="0" collapsed="false">
      <c r="A222" s="16" t="n">
        <v>1222</v>
      </c>
      <c r="B222" s="9" t="n">
        <f aca="false">COUNTIF(JE_Lines!$B$5:$B$1733,A222)</f>
        <v>2</v>
      </c>
      <c r="C222" s="17" t="n">
        <f aca="false">SUMIFS(JE_Lines!$G$5:$G$1733,JE_Lines!$B$5:$B$1733,A222)</f>
        <v>4533.3</v>
      </c>
      <c r="D222" s="17" t="n">
        <f aca="false">SUMIFS(JE_Lines!$H$5:$H$1733,JE_Lines!$B$5:$B$1733,A222)</f>
        <v>4533.3</v>
      </c>
      <c r="E222" s="17" t="n">
        <f aca="false">C222-D222</f>
        <v>0</v>
      </c>
      <c r="F222" s="18" t="n">
        <f aca="false">INDEX(JE_Lines!$C$5:$C$1733,MATCH(A222,JE_Lines!$B$5:$B$1733,0))</f>
        <v>45751</v>
      </c>
      <c r="G222" s="18" t="n">
        <f aca="false">INDEX(JE_Lines!$D$5:$D$1733,MATCH(A222,JE_Lines!$B$5:$B$1733,0))</f>
        <v>45751</v>
      </c>
      <c r="H222" s="0" t="str">
        <f aca="false">INDEX(JE_Lines!$I$5:$I$1733,MATCH(A222,JE_Lines!$B$5:$B$1733,0))</f>
        <v>SYS_AR</v>
      </c>
      <c r="I222" s="0" t="str">
        <f aca="false">INDEX(JE_Lines!$J$5:$J$1733,MATCH(A222,JE_Lines!$B$5:$B$1733,0))</f>
        <v>System</v>
      </c>
      <c r="J222" s="0" t="str">
        <f aca="false">IF(LEN(INDEX(JE_Lines!$K$5:$K$1733,MATCH(A222,JE_Lines!$B$5:$B$1733,0)))=0,"",INDEX(JE_Lines!$K$5:$K$1733,MATCH(A222,JE_Lines!$B$5:$B$1733,0)))</f>
        <v>Sales invoice batch</v>
      </c>
      <c r="K222" s="9" t="n">
        <f aca="false">F222-G222</f>
        <v>0</v>
      </c>
      <c r="L222" s="9" t="n">
        <f aca="false">COUNTIFS(JE_Lines!$B$5:$B$1733,A222,JE_Lines!$F$5:$F$1733,"Revenue")</f>
        <v>1</v>
      </c>
      <c r="M222" s="9" t="n">
        <f aca="false">COUNTIFS(JE_Lines!$B$5:$B$1733,A222,JE_Lines!$F$5:$F$1733,"Suspense")</f>
        <v>0</v>
      </c>
      <c r="N222" s="9" t="n">
        <f aca="false">IF(ABS(E222)&gt;Parameters!$B$23,1,0)</f>
        <v>0</v>
      </c>
      <c r="O222" s="9" t="n">
        <f aca="false">IF(WEEKDAY(F222,2)&gt;5,1,0)</f>
        <v>0</v>
      </c>
      <c r="P222" s="9" t="n">
        <f aca="false">IF(K222&gt;Parameters!$B$17,1,0)</f>
        <v>0</v>
      </c>
      <c r="Q222" s="9" t="n">
        <f aca="false">IF(AND(F222&lt;=Parameters!$B$6,F222&gt;Parameters!$B$6-Parameters!$B$18),1,0)</f>
        <v>0</v>
      </c>
      <c r="R222" s="9" t="n">
        <f aca="false">IF(COUNTIF(Parameters!$A$51:$A$58,H222)=0,1,0)</f>
        <v>0</v>
      </c>
      <c r="S222" s="9" t="n">
        <f aca="false">IF(AND(I222="Manual",L222&gt;0),1,0)</f>
        <v>0</v>
      </c>
      <c r="T222" s="9" t="n">
        <f aca="false">IF(AND(C222&gt;=Parameters!$B$22,ROUND(MOD(ROUND(C222,2),Parameters!$B$21),2)=0),1,0)</f>
        <v>0</v>
      </c>
      <c r="U222" s="9" t="n">
        <f aca="false">IF(LEN(TRIM(J222))=0,1,0)</f>
        <v>0</v>
      </c>
      <c r="V222" s="9" t="n">
        <f aca="false">IF(AND(I222="Manual",C222&lt;Parameters!$B$19,C222&gt;=Parameters!$B$19*(1-Parameters!$B$20)),1,0)</f>
        <v>0</v>
      </c>
      <c r="W222" s="9" t="n">
        <f aca="false">IF(AND(I222="Manual",M222&gt;0),1,0)</f>
        <v>0</v>
      </c>
      <c r="X222" s="9" t="n">
        <f aca="false">IF(A222-A221&gt;1,1,0)</f>
        <v>0</v>
      </c>
      <c r="Y222" s="9" t="n">
        <f aca="false">N222*Parameters!$B$38+O222*Parameters!$B$39+P222*Parameters!$B$40+Q222*Parameters!$B$41+R222*Parameters!$B$42+S222*Parameters!$B$43+T222*Parameters!$B$44+U222*Parameters!$B$45+V222*Parameters!$B$46+W222*Parameters!$B$47+X222*Parameters!$B$48</f>
        <v>0</v>
      </c>
      <c r="Z222" s="0" t="str">
        <f aca="false">IF(Y222&gt;=Parameters!$B$25,"High","")</f>
        <v/>
      </c>
    </row>
    <row r="223" customFormat="false" ht="15" hidden="false" customHeight="false" outlineLevel="0" collapsed="false">
      <c r="A223" s="16" t="n">
        <v>1223</v>
      </c>
      <c r="B223" s="9" t="n">
        <f aca="false">COUNTIF(JE_Lines!$B$5:$B$1733,A223)</f>
        <v>3</v>
      </c>
      <c r="C223" s="17" t="n">
        <f aca="false">SUMIFS(JE_Lines!$G$5:$G$1733,JE_Lines!$B$5:$B$1733,A223)</f>
        <v>44937.14</v>
      </c>
      <c r="D223" s="17" t="n">
        <f aca="false">SUMIFS(JE_Lines!$H$5:$H$1733,JE_Lines!$B$5:$B$1733,A223)</f>
        <v>44937.14</v>
      </c>
      <c r="E223" s="17" t="n">
        <f aca="false">C223-D223</f>
        <v>0</v>
      </c>
      <c r="F223" s="18" t="n">
        <f aca="false">INDEX(JE_Lines!$C$5:$C$1733,MATCH(A223,JE_Lines!$B$5:$B$1733,0))</f>
        <v>45754</v>
      </c>
      <c r="G223" s="18" t="n">
        <f aca="false">INDEX(JE_Lines!$D$5:$D$1733,MATCH(A223,JE_Lines!$B$5:$B$1733,0))</f>
        <v>45752</v>
      </c>
      <c r="H223" s="0" t="str">
        <f aca="false">INDEX(JE_Lines!$I$5:$I$1733,MATCH(A223,JE_Lines!$B$5:$B$1733,0))</f>
        <v>SYS_AR</v>
      </c>
      <c r="I223" s="0" t="str">
        <f aca="false">INDEX(JE_Lines!$J$5:$J$1733,MATCH(A223,JE_Lines!$B$5:$B$1733,0))</f>
        <v>System</v>
      </c>
      <c r="J223" s="0" t="str">
        <f aca="false">IF(LEN(INDEX(JE_Lines!$K$5:$K$1733,MATCH(A223,JE_Lines!$B$5:$B$1733,0)))=0,"",INDEX(JE_Lines!$K$5:$K$1733,MATCH(A223,JE_Lines!$B$5:$B$1733,0)))</f>
        <v>Sales invoice batch</v>
      </c>
      <c r="K223" s="9" t="n">
        <f aca="false">F223-G223</f>
        <v>2</v>
      </c>
      <c r="L223" s="9" t="n">
        <f aca="false">COUNTIFS(JE_Lines!$B$5:$B$1733,A223,JE_Lines!$F$5:$F$1733,"Revenue")</f>
        <v>1</v>
      </c>
      <c r="M223" s="9" t="n">
        <f aca="false">COUNTIFS(JE_Lines!$B$5:$B$1733,A223,JE_Lines!$F$5:$F$1733,"Suspense")</f>
        <v>0</v>
      </c>
      <c r="N223" s="9" t="n">
        <f aca="false">IF(ABS(E223)&gt;Parameters!$B$23,1,0)</f>
        <v>0</v>
      </c>
      <c r="O223" s="9" t="n">
        <f aca="false">IF(WEEKDAY(F223,2)&gt;5,1,0)</f>
        <v>0</v>
      </c>
      <c r="P223" s="9" t="n">
        <f aca="false">IF(K223&gt;Parameters!$B$17,1,0)</f>
        <v>0</v>
      </c>
      <c r="Q223" s="9" t="n">
        <f aca="false">IF(AND(F223&lt;=Parameters!$B$6,F223&gt;Parameters!$B$6-Parameters!$B$18),1,0)</f>
        <v>0</v>
      </c>
      <c r="R223" s="9" t="n">
        <f aca="false">IF(COUNTIF(Parameters!$A$51:$A$58,H223)=0,1,0)</f>
        <v>0</v>
      </c>
      <c r="S223" s="9" t="n">
        <f aca="false">IF(AND(I223="Manual",L223&gt;0),1,0)</f>
        <v>0</v>
      </c>
      <c r="T223" s="9" t="n">
        <f aca="false">IF(AND(C223&gt;=Parameters!$B$22,ROUND(MOD(ROUND(C223,2),Parameters!$B$21),2)=0),1,0)</f>
        <v>0</v>
      </c>
      <c r="U223" s="9" t="n">
        <f aca="false">IF(LEN(TRIM(J223))=0,1,0)</f>
        <v>0</v>
      </c>
      <c r="V223" s="9" t="n">
        <f aca="false">IF(AND(I223="Manual",C223&lt;Parameters!$B$19,C223&gt;=Parameters!$B$19*(1-Parameters!$B$20)),1,0)</f>
        <v>0</v>
      </c>
      <c r="W223" s="9" t="n">
        <f aca="false">IF(AND(I223="Manual",M223&gt;0),1,0)</f>
        <v>0</v>
      </c>
      <c r="X223" s="9" t="n">
        <f aca="false">IF(A223-A222&gt;1,1,0)</f>
        <v>0</v>
      </c>
      <c r="Y223" s="9" t="n">
        <f aca="false">N223*Parameters!$B$38+O223*Parameters!$B$39+P223*Parameters!$B$40+Q223*Parameters!$B$41+R223*Parameters!$B$42+S223*Parameters!$B$43+T223*Parameters!$B$44+U223*Parameters!$B$45+V223*Parameters!$B$46+W223*Parameters!$B$47+X223*Parameters!$B$48</f>
        <v>0</v>
      </c>
      <c r="Z223" s="0" t="str">
        <f aca="false">IF(Y223&gt;=Parameters!$B$25,"High","")</f>
        <v/>
      </c>
    </row>
    <row r="224" customFormat="false" ht="15" hidden="false" customHeight="false" outlineLevel="0" collapsed="false">
      <c r="A224" s="16" t="n">
        <v>1224</v>
      </c>
      <c r="B224" s="9" t="n">
        <f aca="false">COUNTIF(JE_Lines!$B$5:$B$1733,A224)</f>
        <v>3</v>
      </c>
      <c r="C224" s="17" t="n">
        <f aca="false">SUMIFS(JE_Lines!$G$5:$G$1733,JE_Lines!$B$5:$B$1733,A224)</f>
        <v>77356.14</v>
      </c>
      <c r="D224" s="17" t="n">
        <f aca="false">SUMIFS(JE_Lines!$H$5:$H$1733,JE_Lines!$B$5:$B$1733,A224)</f>
        <v>77356.14</v>
      </c>
      <c r="E224" s="17" t="n">
        <f aca="false">C224-D224</f>
        <v>0</v>
      </c>
      <c r="F224" s="18" t="n">
        <f aca="false">INDEX(JE_Lines!$C$5:$C$1733,MATCH(A224,JE_Lines!$B$5:$B$1733,0))</f>
        <v>45754</v>
      </c>
      <c r="G224" s="18" t="n">
        <f aca="false">INDEX(JE_Lines!$D$5:$D$1733,MATCH(A224,JE_Lines!$B$5:$B$1733,0))</f>
        <v>45754</v>
      </c>
      <c r="H224" s="0" t="str">
        <f aca="false">INDEX(JE_Lines!$I$5:$I$1733,MATCH(A224,JE_Lines!$B$5:$B$1733,0))</f>
        <v>SYS_AP</v>
      </c>
      <c r="I224" s="0" t="str">
        <f aca="false">INDEX(JE_Lines!$J$5:$J$1733,MATCH(A224,JE_Lines!$B$5:$B$1733,0))</f>
        <v>System</v>
      </c>
      <c r="J224" s="0" t="str">
        <f aca="false">IF(LEN(INDEX(JE_Lines!$K$5:$K$1733,MATCH(A224,JE_Lines!$B$5:$B$1733,0)))=0,"",INDEX(JE_Lines!$K$5:$K$1733,MATCH(A224,JE_Lines!$B$5:$B$1733,0)))</f>
        <v>Supplier invoices</v>
      </c>
      <c r="K224" s="9" t="n">
        <f aca="false">F224-G224</f>
        <v>0</v>
      </c>
      <c r="L224" s="9" t="n">
        <f aca="false">COUNTIFS(JE_Lines!$B$5:$B$1733,A224,JE_Lines!$F$5:$F$1733,"Revenue")</f>
        <v>0</v>
      </c>
      <c r="M224" s="9" t="n">
        <f aca="false">COUNTIFS(JE_Lines!$B$5:$B$1733,A224,JE_Lines!$F$5:$F$1733,"Suspense")</f>
        <v>0</v>
      </c>
      <c r="N224" s="9" t="n">
        <f aca="false">IF(ABS(E224)&gt;Parameters!$B$23,1,0)</f>
        <v>0</v>
      </c>
      <c r="O224" s="9" t="n">
        <f aca="false">IF(WEEKDAY(F224,2)&gt;5,1,0)</f>
        <v>0</v>
      </c>
      <c r="P224" s="9" t="n">
        <f aca="false">IF(K224&gt;Parameters!$B$17,1,0)</f>
        <v>0</v>
      </c>
      <c r="Q224" s="9" t="n">
        <f aca="false">IF(AND(F224&lt;=Parameters!$B$6,F224&gt;Parameters!$B$6-Parameters!$B$18),1,0)</f>
        <v>0</v>
      </c>
      <c r="R224" s="9" t="n">
        <f aca="false">IF(COUNTIF(Parameters!$A$51:$A$58,H224)=0,1,0)</f>
        <v>0</v>
      </c>
      <c r="S224" s="9" t="n">
        <f aca="false">IF(AND(I224="Manual",L224&gt;0),1,0)</f>
        <v>0</v>
      </c>
      <c r="T224" s="9" t="n">
        <f aca="false">IF(AND(C224&gt;=Parameters!$B$22,ROUND(MOD(ROUND(C224,2),Parameters!$B$21),2)=0),1,0)</f>
        <v>0</v>
      </c>
      <c r="U224" s="9" t="n">
        <f aca="false">IF(LEN(TRIM(J224))=0,1,0)</f>
        <v>0</v>
      </c>
      <c r="V224" s="9" t="n">
        <f aca="false">IF(AND(I224="Manual",C224&lt;Parameters!$B$19,C224&gt;=Parameters!$B$19*(1-Parameters!$B$20)),1,0)</f>
        <v>0</v>
      </c>
      <c r="W224" s="9" t="n">
        <f aca="false">IF(AND(I224="Manual",M224&gt;0),1,0)</f>
        <v>0</v>
      </c>
      <c r="X224" s="9" t="n">
        <f aca="false">IF(A224-A223&gt;1,1,0)</f>
        <v>0</v>
      </c>
      <c r="Y224" s="9" t="n">
        <f aca="false">N224*Parameters!$B$38+O224*Parameters!$B$39+P224*Parameters!$B$40+Q224*Parameters!$B$41+R224*Parameters!$B$42+S224*Parameters!$B$43+T224*Parameters!$B$44+U224*Parameters!$B$45+V224*Parameters!$B$46+W224*Parameters!$B$47+X224*Parameters!$B$48</f>
        <v>0</v>
      </c>
      <c r="Z224" s="0" t="str">
        <f aca="false">IF(Y224&gt;=Parameters!$B$25,"High","")</f>
        <v/>
      </c>
    </row>
    <row r="225" customFormat="false" ht="15" hidden="false" customHeight="false" outlineLevel="0" collapsed="false">
      <c r="A225" s="16" t="n">
        <v>1225</v>
      </c>
      <c r="B225" s="9" t="n">
        <f aca="false">COUNTIF(JE_Lines!$B$5:$B$1733,A225)</f>
        <v>2</v>
      </c>
      <c r="C225" s="17" t="n">
        <f aca="false">SUMIFS(JE_Lines!$G$5:$G$1733,JE_Lines!$B$5:$B$1733,A225)</f>
        <v>2210.26</v>
      </c>
      <c r="D225" s="17" t="n">
        <f aca="false">SUMIFS(JE_Lines!$H$5:$H$1733,JE_Lines!$B$5:$B$1733,A225)</f>
        <v>2210.26</v>
      </c>
      <c r="E225" s="17" t="n">
        <f aca="false">C225-D225</f>
        <v>0</v>
      </c>
      <c r="F225" s="18" t="n">
        <f aca="false">INDEX(JE_Lines!$C$5:$C$1733,MATCH(A225,JE_Lines!$B$5:$B$1733,0))</f>
        <v>45755</v>
      </c>
      <c r="G225" s="18" t="n">
        <f aca="false">INDEX(JE_Lines!$D$5:$D$1733,MATCH(A225,JE_Lines!$B$5:$B$1733,0))</f>
        <v>45753</v>
      </c>
      <c r="H225" s="0" t="str">
        <f aca="false">INDEX(JE_Lines!$I$5:$I$1733,MATCH(A225,JE_Lines!$B$5:$B$1733,0))</f>
        <v>SYS_AP</v>
      </c>
      <c r="I225" s="0" t="str">
        <f aca="false">INDEX(JE_Lines!$J$5:$J$1733,MATCH(A225,JE_Lines!$B$5:$B$1733,0))</f>
        <v>System</v>
      </c>
      <c r="J225" s="0" t="str">
        <f aca="false">IF(LEN(INDEX(JE_Lines!$K$5:$K$1733,MATCH(A225,JE_Lines!$B$5:$B$1733,0)))=0,"",INDEX(JE_Lines!$K$5:$K$1733,MATCH(A225,JE_Lines!$B$5:$B$1733,0)))</f>
        <v>Supplier invoices</v>
      </c>
      <c r="K225" s="9" t="n">
        <f aca="false">F225-G225</f>
        <v>2</v>
      </c>
      <c r="L225" s="9" t="n">
        <f aca="false">COUNTIFS(JE_Lines!$B$5:$B$1733,A225,JE_Lines!$F$5:$F$1733,"Revenue")</f>
        <v>0</v>
      </c>
      <c r="M225" s="9" t="n">
        <f aca="false">COUNTIFS(JE_Lines!$B$5:$B$1733,A225,JE_Lines!$F$5:$F$1733,"Suspense")</f>
        <v>0</v>
      </c>
      <c r="N225" s="9" t="n">
        <f aca="false">IF(ABS(E225)&gt;Parameters!$B$23,1,0)</f>
        <v>0</v>
      </c>
      <c r="O225" s="9" t="n">
        <f aca="false">IF(WEEKDAY(F225,2)&gt;5,1,0)</f>
        <v>0</v>
      </c>
      <c r="P225" s="9" t="n">
        <f aca="false">IF(K225&gt;Parameters!$B$17,1,0)</f>
        <v>0</v>
      </c>
      <c r="Q225" s="9" t="n">
        <f aca="false">IF(AND(F225&lt;=Parameters!$B$6,F225&gt;Parameters!$B$6-Parameters!$B$18),1,0)</f>
        <v>0</v>
      </c>
      <c r="R225" s="9" t="n">
        <f aca="false">IF(COUNTIF(Parameters!$A$51:$A$58,H225)=0,1,0)</f>
        <v>0</v>
      </c>
      <c r="S225" s="9" t="n">
        <f aca="false">IF(AND(I225="Manual",L225&gt;0),1,0)</f>
        <v>0</v>
      </c>
      <c r="T225" s="9" t="n">
        <f aca="false">IF(AND(C225&gt;=Parameters!$B$22,ROUND(MOD(ROUND(C225,2),Parameters!$B$21),2)=0),1,0)</f>
        <v>0</v>
      </c>
      <c r="U225" s="9" t="n">
        <f aca="false">IF(LEN(TRIM(J225))=0,1,0)</f>
        <v>0</v>
      </c>
      <c r="V225" s="9" t="n">
        <f aca="false">IF(AND(I225="Manual",C225&lt;Parameters!$B$19,C225&gt;=Parameters!$B$19*(1-Parameters!$B$20)),1,0)</f>
        <v>0</v>
      </c>
      <c r="W225" s="9" t="n">
        <f aca="false">IF(AND(I225="Manual",M225&gt;0),1,0)</f>
        <v>0</v>
      </c>
      <c r="X225" s="9" t="n">
        <f aca="false">IF(A225-A224&gt;1,1,0)</f>
        <v>0</v>
      </c>
      <c r="Y225" s="9" t="n">
        <f aca="false">N225*Parameters!$B$38+O225*Parameters!$B$39+P225*Parameters!$B$40+Q225*Parameters!$B$41+R225*Parameters!$B$42+S225*Parameters!$B$43+T225*Parameters!$B$44+U225*Parameters!$B$45+V225*Parameters!$B$46+W225*Parameters!$B$47+X225*Parameters!$B$48</f>
        <v>0</v>
      </c>
      <c r="Z225" s="0" t="str">
        <f aca="false">IF(Y225&gt;=Parameters!$B$25,"High","")</f>
        <v/>
      </c>
    </row>
    <row r="226" customFormat="false" ht="15" hidden="false" customHeight="false" outlineLevel="0" collapsed="false">
      <c r="A226" s="16" t="n">
        <v>1226</v>
      </c>
      <c r="B226" s="9" t="n">
        <f aca="false">COUNTIF(JE_Lines!$B$5:$B$1733,A226)</f>
        <v>2</v>
      </c>
      <c r="C226" s="17" t="n">
        <f aca="false">SUMIFS(JE_Lines!$G$5:$G$1733,JE_Lines!$B$5:$B$1733,A226)</f>
        <v>6751.6</v>
      </c>
      <c r="D226" s="17" t="n">
        <f aca="false">SUMIFS(JE_Lines!$H$5:$H$1733,JE_Lines!$B$5:$B$1733,A226)</f>
        <v>6751.6</v>
      </c>
      <c r="E226" s="17" t="n">
        <f aca="false">C226-D226</f>
        <v>0</v>
      </c>
      <c r="F226" s="18" t="n">
        <f aca="false">INDEX(JE_Lines!$C$5:$C$1733,MATCH(A226,JE_Lines!$B$5:$B$1733,0))</f>
        <v>45755</v>
      </c>
      <c r="G226" s="18" t="n">
        <f aca="false">INDEX(JE_Lines!$D$5:$D$1733,MATCH(A226,JE_Lines!$B$5:$B$1733,0))</f>
        <v>45754</v>
      </c>
      <c r="H226" s="0" t="str">
        <f aca="false">INDEX(JE_Lines!$I$5:$I$1733,MATCH(A226,JE_Lines!$B$5:$B$1733,0))</f>
        <v>SYS_PAY</v>
      </c>
      <c r="I226" s="0" t="str">
        <f aca="false">INDEX(JE_Lines!$J$5:$J$1733,MATCH(A226,JE_Lines!$B$5:$B$1733,0))</f>
        <v>System</v>
      </c>
      <c r="J226" s="0" t="str">
        <f aca="false">IF(LEN(INDEX(JE_Lines!$K$5:$K$1733,MATCH(A226,JE_Lines!$B$5:$B$1733,0)))=0,"",INDEX(JE_Lines!$K$5:$K$1733,MATCH(A226,JE_Lines!$B$5:$B$1733,0)))</f>
        <v>Supplier payments</v>
      </c>
      <c r="K226" s="9" t="n">
        <f aca="false">F226-G226</f>
        <v>1</v>
      </c>
      <c r="L226" s="9" t="n">
        <f aca="false">COUNTIFS(JE_Lines!$B$5:$B$1733,A226,JE_Lines!$F$5:$F$1733,"Revenue")</f>
        <v>0</v>
      </c>
      <c r="M226" s="9" t="n">
        <f aca="false">COUNTIFS(JE_Lines!$B$5:$B$1733,A226,JE_Lines!$F$5:$F$1733,"Suspense")</f>
        <v>0</v>
      </c>
      <c r="N226" s="9" t="n">
        <f aca="false">IF(ABS(E226)&gt;Parameters!$B$23,1,0)</f>
        <v>0</v>
      </c>
      <c r="O226" s="9" t="n">
        <f aca="false">IF(WEEKDAY(F226,2)&gt;5,1,0)</f>
        <v>0</v>
      </c>
      <c r="P226" s="9" t="n">
        <f aca="false">IF(K226&gt;Parameters!$B$17,1,0)</f>
        <v>0</v>
      </c>
      <c r="Q226" s="9" t="n">
        <f aca="false">IF(AND(F226&lt;=Parameters!$B$6,F226&gt;Parameters!$B$6-Parameters!$B$18),1,0)</f>
        <v>0</v>
      </c>
      <c r="R226" s="9" t="n">
        <f aca="false">IF(COUNTIF(Parameters!$A$51:$A$58,H226)=0,1,0)</f>
        <v>0</v>
      </c>
      <c r="S226" s="9" t="n">
        <f aca="false">IF(AND(I226="Manual",L226&gt;0),1,0)</f>
        <v>0</v>
      </c>
      <c r="T226" s="9" t="n">
        <f aca="false">IF(AND(C226&gt;=Parameters!$B$22,ROUND(MOD(ROUND(C226,2),Parameters!$B$21),2)=0),1,0)</f>
        <v>0</v>
      </c>
      <c r="U226" s="9" t="n">
        <f aca="false">IF(LEN(TRIM(J226))=0,1,0)</f>
        <v>0</v>
      </c>
      <c r="V226" s="9" t="n">
        <f aca="false">IF(AND(I226="Manual",C226&lt;Parameters!$B$19,C226&gt;=Parameters!$B$19*(1-Parameters!$B$20)),1,0)</f>
        <v>0</v>
      </c>
      <c r="W226" s="9" t="n">
        <f aca="false">IF(AND(I226="Manual",M226&gt;0),1,0)</f>
        <v>0</v>
      </c>
      <c r="X226" s="9" t="n">
        <f aca="false">IF(A226-A225&gt;1,1,0)</f>
        <v>0</v>
      </c>
      <c r="Y226" s="9" t="n">
        <f aca="false">N226*Parameters!$B$38+O226*Parameters!$B$39+P226*Parameters!$B$40+Q226*Parameters!$B$41+R226*Parameters!$B$42+S226*Parameters!$B$43+T226*Parameters!$B$44+U226*Parameters!$B$45+V226*Parameters!$B$46+W226*Parameters!$B$47+X226*Parameters!$B$48</f>
        <v>0</v>
      </c>
      <c r="Z226" s="0" t="str">
        <f aca="false">IF(Y226&gt;=Parameters!$B$25,"High","")</f>
        <v/>
      </c>
    </row>
    <row r="227" customFormat="false" ht="15" hidden="false" customHeight="false" outlineLevel="0" collapsed="false">
      <c r="A227" s="16" t="n">
        <v>1227</v>
      </c>
      <c r="B227" s="9" t="n">
        <f aca="false">COUNTIF(JE_Lines!$B$5:$B$1733,A227)</f>
        <v>2</v>
      </c>
      <c r="C227" s="17" t="n">
        <f aca="false">SUMIFS(JE_Lines!$G$5:$G$1733,JE_Lines!$B$5:$B$1733,A227)</f>
        <v>11783.87</v>
      </c>
      <c r="D227" s="17" t="n">
        <f aca="false">SUMIFS(JE_Lines!$H$5:$H$1733,JE_Lines!$B$5:$B$1733,A227)</f>
        <v>11783.87</v>
      </c>
      <c r="E227" s="17" t="n">
        <f aca="false">C227-D227</f>
        <v>0</v>
      </c>
      <c r="F227" s="18" t="n">
        <f aca="false">INDEX(JE_Lines!$C$5:$C$1733,MATCH(A227,JE_Lines!$B$5:$B$1733,0))</f>
        <v>45755</v>
      </c>
      <c r="G227" s="18" t="n">
        <f aca="false">INDEX(JE_Lines!$D$5:$D$1733,MATCH(A227,JE_Lines!$B$5:$B$1733,0))</f>
        <v>45753</v>
      </c>
      <c r="H227" s="0" t="str">
        <f aca="false">INDEX(JE_Lines!$I$5:$I$1733,MATCH(A227,JE_Lines!$B$5:$B$1733,0))</f>
        <v>SYS_AR</v>
      </c>
      <c r="I227" s="0" t="str">
        <f aca="false">INDEX(JE_Lines!$J$5:$J$1733,MATCH(A227,JE_Lines!$B$5:$B$1733,0))</f>
        <v>System</v>
      </c>
      <c r="J227" s="0" t="str">
        <f aca="false">IF(LEN(INDEX(JE_Lines!$K$5:$K$1733,MATCH(A227,JE_Lines!$B$5:$B$1733,0)))=0,"",INDEX(JE_Lines!$K$5:$K$1733,MATCH(A227,JE_Lines!$B$5:$B$1733,0)))</f>
        <v>Customer receipts</v>
      </c>
      <c r="K227" s="9" t="n">
        <f aca="false">F227-G227</f>
        <v>2</v>
      </c>
      <c r="L227" s="9" t="n">
        <f aca="false">COUNTIFS(JE_Lines!$B$5:$B$1733,A227,JE_Lines!$F$5:$F$1733,"Revenue")</f>
        <v>0</v>
      </c>
      <c r="M227" s="9" t="n">
        <f aca="false">COUNTIFS(JE_Lines!$B$5:$B$1733,A227,JE_Lines!$F$5:$F$1733,"Suspense")</f>
        <v>0</v>
      </c>
      <c r="N227" s="9" t="n">
        <f aca="false">IF(ABS(E227)&gt;Parameters!$B$23,1,0)</f>
        <v>0</v>
      </c>
      <c r="O227" s="9" t="n">
        <f aca="false">IF(WEEKDAY(F227,2)&gt;5,1,0)</f>
        <v>0</v>
      </c>
      <c r="P227" s="9" t="n">
        <f aca="false">IF(K227&gt;Parameters!$B$17,1,0)</f>
        <v>0</v>
      </c>
      <c r="Q227" s="9" t="n">
        <f aca="false">IF(AND(F227&lt;=Parameters!$B$6,F227&gt;Parameters!$B$6-Parameters!$B$18),1,0)</f>
        <v>0</v>
      </c>
      <c r="R227" s="9" t="n">
        <f aca="false">IF(COUNTIF(Parameters!$A$51:$A$58,H227)=0,1,0)</f>
        <v>0</v>
      </c>
      <c r="S227" s="9" t="n">
        <f aca="false">IF(AND(I227="Manual",L227&gt;0),1,0)</f>
        <v>0</v>
      </c>
      <c r="T227" s="9" t="n">
        <f aca="false">IF(AND(C227&gt;=Parameters!$B$22,ROUND(MOD(ROUND(C227,2),Parameters!$B$21),2)=0),1,0)</f>
        <v>0</v>
      </c>
      <c r="U227" s="9" t="n">
        <f aca="false">IF(LEN(TRIM(J227))=0,1,0)</f>
        <v>0</v>
      </c>
      <c r="V227" s="9" t="n">
        <f aca="false">IF(AND(I227="Manual",C227&lt;Parameters!$B$19,C227&gt;=Parameters!$B$19*(1-Parameters!$B$20)),1,0)</f>
        <v>0</v>
      </c>
      <c r="W227" s="9" t="n">
        <f aca="false">IF(AND(I227="Manual",M227&gt;0),1,0)</f>
        <v>0</v>
      </c>
      <c r="X227" s="9" t="n">
        <f aca="false">IF(A227-A226&gt;1,1,0)</f>
        <v>0</v>
      </c>
      <c r="Y227" s="9" t="n">
        <f aca="false">N227*Parameters!$B$38+O227*Parameters!$B$39+P227*Parameters!$B$40+Q227*Parameters!$B$41+R227*Parameters!$B$42+S227*Parameters!$B$43+T227*Parameters!$B$44+U227*Parameters!$B$45+V227*Parameters!$B$46+W227*Parameters!$B$47+X227*Parameters!$B$48</f>
        <v>0</v>
      </c>
      <c r="Z227" s="0" t="str">
        <f aca="false">IF(Y227&gt;=Parameters!$B$25,"High","")</f>
        <v/>
      </c>
    </row>
    <row r="228" customFormat="false" ht="15" hidden="false" customHeight="false" outlineLevel="0" collapsed="false">
      <c r="A228" s="16" t="n">
        <v>1228</v>
      </c>
      <c r="B228" s="9" t="n">
        <f aca="false">COUNTIF(JE_Lines!$B$5:$B$1733,A228)</f>
        <v>3</v>
      </c>
      <c r="C228" s="17" t="n">
        <f aca="false">SUMIFS(JE_Lines!$G$5:$G$1733,JE_Lines!$B$5:$B$1733,A228)</f>
        <v>17988.37</v>
      </c>
      <c r="D228" s="17" t="n">
        <f aca="false">SUMIFS(JE_Lines!$H$5:$H$1733,JE_Lines!$B$5:$B$1733,A228)</f>
        <v>17988.37</v>
      </c>
      <c r="E228" s="17" t="n">
        <f aca="false">C228-D228</f>
        <v>0</v>
      </c>
      <c r="F228" s="18" t="n">
        <f aca="false">INDEX(JE_Lines!$C$5:$C$1733,MATCH(A228,JE_Lines!$B$5:$B$1733,0))</f>
        <v>45756</v>
      </c>
      <c r="G228" s="18" t="n">
        <f aca="false">INDEX(JE_Lines!$D$5:$D$1733,MATCH(A228,JE_Lines!$B$5:$B$1733,0))</f>
        <v>45752</v>
      </c>
      <c r="H228" s="0" t="str">
        <f aca="false">INDEX(JE_Lines!$I$5:$I$1733,MATCH(A228,JE_Lines!$B$5:$B$1733,0))</f>
        <v>SYS_AR</v>
      </c>
      <c r="I228" s="0" t="str">
        <f aca="false">INDEX(JE_Lines!$J$5:$J$1733,MATCH(A228,JE_Lines!$B$5:$B$1733,0))</f>
        <v>System</v>
      </c>
      <c r="J228" s="0" t="str">
        <f aca="false">IF(LEN(INDEX(JE_Lines!$K$5:$K$1733,MATCH(A228,JE_Lines!$B$5:$B$1733,0)))=0,"",INDEX(JE_Lines!$K$5:$K$1733,MATCH(A228,JE_Lines!$B$5:$B$1733,0)))</f>
        <v>Cost of sales posting</v>
      </c>
      <c r="K228" s="9" t="n">
        <f aca="false">F228-G228</f>
        <v>4</v>
      </c>
      <c r="L228" s="9" t="n">
        <f aca="false">COUNTIFS(JE_Lines!$B$5:$B$1733,A228,JE_Lines!$F$5:$F$1733,"Revenue")</f>
        <v>0</v>
      </c>
      <c r="M228" s="9" t="n">
        <f aca="false">COUNTIFS(JE_Lines!$B$5:$B$1733,A228,JE_Lines!$F$5:$F$1733,"Suspense")</f>
        <v>0</v>
      </c>
      <c r="N228" s="9" t="n">
        <f aca="false">IF(ABS(E228)&gt;Parameters!$B$23,1,0)</f>
        <v>0</v>
      </c>
      <c r="O228" s="9" t="n">
        <f aca="false">IF(WEEKDAY(F228,2)&gt;5,1,0)</f>
        <v>0</v>
      </c>
      <c r="P228" s="9" t="n">
        <f aca="false">IF(K228&gt;Parameters!$B$17,1,0)</f>
        <v>0</v>
      </c>
      <c r="Q228" s="9" t="n">
        <f aca="false">IF(AND(F228&lt;=Parameters!$B$6,F228&gt;Parameters!$B$6-Parameters!$B$18),1,0)</f>
        <v>0</v>
      </c>
      <c r="R228" s="9" t="n">
        <f aca="false">IF(COUNTIF(Parameters!$A$51:$A$58,H228)=0,1,0)</f>
        <v>0</v>
      </c>
      <c r="S228" s="9" t="n">
        <f aca="false">IF(AND(I228="Manual",L228&gt;0),1,0)</f>
        <v>0</v>
      </c>
      <c r="T228" s="9" t="n">
        <f aca="false">IF(AND(C228&gt;=Parameters!$B$22,ROUND(MOD(ROUND(C228,2),Parameters!$B$21),2)=0),1,0)</f>
        <v>0</v>
      </c>
      <c r="U228" s="9" t="n">
        <f aca="false">IF(LEN(TRIM(J228))=0,1,0)</f>
        <v>0</v>
      </c>
      <c r="V228" s="9" t="n">
        <f aca="false">IF(AND(I228="Manual",C228&lt;Parameters!$B$19,C228&gt;=Parameters!$B$19*(1-Parameters!$B$20)),1,0)</f>
        <v>0</v>
      </c>
      <c r="W228" s="9" t="n">
        <f aca="false">IF(AND(I228="Manual",M228&gt;0),1,0)</f>
        <v>0</v>
      </c>
      <c r="X228" s="9" t="n">
        <f aca="false">IF(A228-A227&gt;1,1,0)</f>
        <v>0</v>
      </c>
      <c r="Y228" s="9" t="n">
        <f aca="false">N228*Parameters!$B$38+O228*Parameters!$B$39+P228*Parameters!$B$40+Q228*Parameters!$B$41+R228*Parameters!$B$42+S228*Parameters!$B$43+T228*Parameters!$B$44+U228*Parameters!$B$45+V228*Parameters!$B$46+W228*Parameters!$B$47+X228*Parameters!$B$48</f>
        <v>0</v>
      </c>
      <c r="Z228" s="0" t="str">
        <f aca="false">IF(Y228&gt;=Parameters!$B$25,"High","")</f>
        <v/>
      </c>
    </row>
    <row r="229" customFormat="false" ht="15" hidden="false" customHeight="false" outlineLevel="0" collapsed="false">
      <c r="A229" s="16" t="n">
        <v>1229</v>
      </c>
      <c r="B229" s="9" t="n">
        <f aca="false">COUNTIF(JE_Lines!$B$5:$B$1733,A229)</f>
        <v>2</v>
      </c>
      <c r="C229" s="17" t="n">
        <f aca="false">SUMIFS(JE_Lines!$G$5:$G$1733,JE_Lines!$B$5:$B$1733,A229)</f>
        <v>571.65</v>
      </c>
      <c r="D229" s="17" t="n">
        <f aca="false">SUMIFS(JE_Lines!$H$5:$H$1733,JE_Lines!$B$5:$B$1733,A229)</f>
        <v>571.65</v>
      </c>
      <c r="E229" s="17" t="n">
        <f aca="false">C229-D229</f>
        <v>0</v>
      </c>
      <c r="F229" s="18" t="n">
        <f aca="false">INDEX(JE_Lines!$C$5:$C$1733,MATCH(A229,JE_Lines!$B$5:$B$1733,0))</f>
        <v>45756</v>
      </c>
      <c r="G229" s="18" t="n">
        <f aca="false">INDEX(JE_Lines!$D$5:$D$1733,MATCH(A229,JE_Lines!$B$5:$B$1733,0))</f>
        <v>45755</v>
      </c>
      <c r="H229" s="0" t="str">
        <f aca="false">INDEX(JE_Lines!$I$5:$I$1733,MATCH(A229,JE_Lines!$B$5:$B$1733,0))</f>
        <v>SYS_AR</v>
      </c>
      <c r="I229" s="0" t="str">
        <f aca="false">INDEX(JE_Lines!$J$5:$J$1733,MATCH(A229,JE_Lines!$B$5:$B$1733,0))</f>
        <v>System</v>
      </c>
      <c r="J229" s="0" t="str">
        <f aca="false">IF(LEN(INDEX(JE_Lines!$K$5:$K$1733,MATCH(A229,JE_Lines!$B$5:$B$1733,0)))=0,"",INDEX(JE_Lines!$K$5:$K$1733,MATCH(A229,JE_Lines!$B$5:$B$1733,0)))</f>
        <v>Cost of sales posting</v>
      </c>
      <c r="K229" s="9" t="n">
        <f aca="false">F229-G229</f>
        <v>1</v>
      </c>
      <c r="L229" s="9" t="n">
        <f aca="false">COUNTIFS(JE_Lines!$B$5:$B$1733,A229,JE_Lines!$F$5:$F$1733,"Revenue")</f>
        <v>0</v>
      </c>
      <c r="M229" s="9" t="n">
        <f aca="false">COUNTIFS(JE_Lines!$B$5:$B$1733,A229,JE_Lines!$F$5:$F$1733,"Suspense")</f>
        <v>0</v>
      </c>
      <c r="N229" s="9" t="n">
        <f aca="false">IF(ABS(E229)&gt;Parameters!$B$23,1,0)</f>
        <v>0</v>
      </c>
      <c r="O229" s="9" t="n">
        <f aca="false">IF(WEEKDAY(F229,2)&gt;5,1,0)</f>
        <v>0</v>
      </c>
      <c r="P229" s="9" t="n">
        <f aca="false">IF(K229&gt;Parameters!$B$17,1,0)</f>
        <v>0</v>
      </c>
      <c r="Q229" s="9" t="n">
        <f aca="false">IF(AND(F229&lt;=Parameters!$B$6,F229&gt;Parameters!$B$6-Parameters!$B$18),1,0)</f>
        <v>0</v>
      </c>
      <c r="R229" s="9" t="n">
        <f aca="false">IF(COUNTIF(Parameters!$A$51:$A$58,H229)=0,1,0)</f>
        <v>0</v>
      </c>
      <c r="S229" s="9" t="n">
        <f aca="false">IF(AND(I229="Manual",L229&gt;0),1,0)</f>
        <v>0</v>
      </c>
      <c r="T229" s="9" t="n">
        <f aca="false">IF(AND(C229&gt;=Parameters!$B$22,ROUND(MOD(ROUND(C229,2),Parameters!$B$21),2)=0),1,0)</f>
        <v>0</v>
      </c>
      <c r="U229" s="9" t="n">
        <f aca="false">IF(LEN(TRIM(J229))=0,1,0)</f>
        <v>0</v>
      </c>
      <c r="V229" s="9" t="n">
        <f aca="false">IF(AND(I229="Manual",C229&lt;Parameters!$B$19,C229&gt;=Parameters!$B$19*(1-Parameters!$B$20)),1,0)</f>
        <v>0</v>
      </c>
      <c r="W229" s="9" t="n">
        <f aca="false">IF(AND(I229="Manual",M229&gt;0),1,0)</f>
        <v>0</v>
      </c>
      <c r="X229" s="9" t="n">
        <f aca="false">IF(A229-A228&gt;1,1,0)</f>
        <v>0</v>
      </c>
      <c r="Y229" s="9" t="n">
        <f aca="false">N229*Parameters!$B$38+O229*Parameters!$B$39+P229*Parameters!$B$40+Q229*Parameters!$B$41+R229*Parameters!$B$42+S229*Parameters!$B$43+T229*Parameters!$B$44+U229*Parameters!$B$45+V229*Parameters!$B$46+W229*Parameters!$B$47+X229*Parameters!$B$48</f>
        <v>0</v>
      </c>
      <c r="Z229" s="0" t="str">
        <f aca="false">IF(Y229&gt;=Parameters!$B$25,"High","")</f>
        <v/>
      </c>
    </row>
    <row r="230" customFormat="false" ht="15" hidden="false" customHeight="false" outlineLevel="0" collapsed="false">
      <c r="A230" s="16" t="n">
        <v>1230</v>
      </c>
      <c r="B230" s="9" t="n">
        <f aca="false">COUNTIF(JE_Lines!$B$5:$B$1733,A230)</f>
        <v>2</v>
      </c>
      <c r="C230" s="17" t="n">
        <f aca="false">SUMIFS(JE_Lines!$G$5:$G$1733,JE_Lines!$B$5:$B$1733,A230)</f>
        <v>9951.49</v>
      </c>
      <c r="D230" s="17" t="n">
        <f aca="false">SUMIFS(JE_Lines!$H$5:$H$1733,JE_Lines!$B$5:$B$1733,A230)</f>
        <v>9951.49</v>
      </c>
      <c r="E230" s="17" t="n">
        <f aca="false">C230-D230</f>
        <v>0</v>
      </c>
      <c r="F230" s="18" t="n">
        <f aca="false">INDEX(JE_Lines!$C$5:$C$1733,MATCH(A230,JE_Lines!$B$5:$B$1733,0))</f>
        <v>45757</v>
      </c>
      <c r="G230" s="18" t="n">
        <f aca="false">INDEX(JE_Lines!$D$5:$D$1733,MATCH(A230,JE_Lines!$B$5:$B$1733,0))</f>
        <v>45754</v>
      </c>
      <c r="H230" s="0" t="str">
        <f aca="false">INDEX(JE_Lines!$I$5:$I$1733,MATCH(A230,JE_Lines!$B$5:$B$1733,0))</f>
        <v>FIN05</v>
      </c>
      <c r="I230" s="0" t="str">
        <f aca="false">INDEX(JE_Lines!$J$5:$J$1733,MATCH(A230,JE_Lines!$B$5:$B$1733,0))</f>
        <v>Manual</v>
      </c>
      <c r="J230" s="0" t="str">
        <f aca="false">IF(LEN(INDEX(JE_Lines!$K$5:$K$1733,MATCH(A230,JE_Lines!$B$5:$B$1733,0)))=0,"",INDEX(JE_Lines!$K$5:$K$1733,MATCH(A230,JE_Lines!$B$5:$B$1733,0)))</f>
        <v>Accrual reversal</v>
      </c>
      <c r="K230" s="9" t="n">
        <f aca="false">F230-G230</f>
        <v>3</v>
      </c>
      <c r="L230" s="9" t="n">
        <f aca="false">COUNTIFS(JE_Lines!$B$5:$B$1733,A230,JE_Lines!$F$5:$F$1733,"Revenue")</f>
        <v>0</v>
      </c>
      <c r="M230" s="9" t="n">
        <f aca="false">COUNTIFS(JE_Lines!$B$5:$B$1733,A230,JE_Lines!$F$5:$F$1733,"Suspense")</f>
        <v>0</v>
      </c>
      <c r="N230" s="9" t="n">
        <f aca="false">IF(ABS(E230)&gt;Parameters!$B$23,1,0)</f>
        <v>0</v>
      </c>
      <c r="O230" s="9" t="n">
        <f aca="false">IF(WEEKDAY(F230,2)&gt;5,1,0)</f>
        <v>0</v>
      </c>
      <c r="P230" s="9" t="n">
        <f aca="false">IF(K230&gt;Parameters!$B$17,1,0)</f>
        <v>0</v>
      </c>
      <c r="Q230" s="9" t="n">
        <f aca="false">IF(AND(F230&lt;=Parameters!$B$6,F230&gt;Parameters!$B$6-Parameters!$B$18),1,0)</f>
        <v>0</v>
      </c>
      <c r="R230" s="9" t="n">
        <f aca="false">IF(COUNTIF(Parameters!$A$51:$A$58,H230)=0,1,0)</f>
        <v>0</v>
      </c>
      <c r="S230" s="9" t="n">
        <f aca="false">IF(AND(I230="Manual",L230&gt;0),1,0)</f>
        <v>0</v>
      </c>
      <c r="T230" s="9" t="n">
        <f aca="false">IF(AND(C230&gt;=Parameters!$B$22,ROUND(MOD(ROUND(C230,2),Parameters!$B$21),2)=0),1,0)</f>
        <v>0</v>
      </c>
      <c r="U230" s="9" t="n">
        <f aca="false">IF(LEN(TRIM(J230))=0,1,0)</f>
        <v>0</v>
      </c>
      <c r="V230" s="9" t="n">
        <f aca="false">IF(AND(I230="Manual",C230&lt;Parameters!$B$19,C230&gt;=Parameters!$B$19*(1-Parameters!$B$20)),1,0)</f>
        <v>0</v>
      </c>
      <c r="W230" s="9" t="n">
        <f aca="false">IF(AND(I230="Manual",M230&gt;0),1,0)</f>
        <v>0</v>
      </c>
      <c r="X230" s="9" t="n">
        <f aca="false">IF(A230-A229&gt;1,1,0)</f>
        <v>0</v>
      </c>
      <c r="Y230" s="9" t="n">
        <f aca="false">N230*Parameters!$B$38+O230*Parameters!$B$39+P230*Parameters!$B$40+Q230*Parameters!$B$41+R230*Parameters!$B$42+S230*Parameters!$B$43+T230*Parameters!$B$44+U230*Parameters!$B$45+V230*Parameters!$B$46+W230*Parameters!$B$47+X230*Parameters!$B$48</f>
        <v>0</v>
      </c>
      <c r="Z230" s="0" t="str">
        <f aca="false">IF(Y230&gt;=Parameters!$B$25,"High","")</f>
        <v/>
      </c>
    </row>
    <row r="231" customFormat="false" ht="15" hidden="false" customHeight="false" outlineLevel="0" collapsed="false">
      <c r="A231" s="16" t="n">
        <v>1231</v>
      </c>
      <c r="B231" s="9" t="n">
        <f aca="false">COUNTIF(JE_Lines!$B$5:$B$1733,A231)</f>
        <v>3</v>
      </c>
      <c r="C231" s="17" t="n">
        <f aca="false">SUMIFS(JE_Lines!$G$5:$G$1733,JE_Lines!$B$5:$B$1733,A231)</f>
        <v>4243.64</v>
      </c>
      <c r="D231" s="17" t="n">
        <f aca="false">SUMIFS(JE_Lines!$H$5:$H$1733,JE_Lines!$B$5:$B$1733,A231)</f>
        <v>4243.64</v>
      </c>
      <c r="E231" s="17" t="n">
        <f aca="false">C231-D231</f>
        <v>0</v>
      </c>
      <c r="F231" s="18" t="n">
        <f aca="false">INDEX(JE_Lines!$C$5:$C$1733,MATCH(A231,JE_Lines!$B$5:$B$1733,0))</f>
        <v>45757</v>
      </c>
      <c r="G231" s="18" t="n">
        <f aca="false">INDEX(JE_Lines!$D$5:$D$1733,MATCH(A231,JE_Lines!$B$5:$B$1733,0))</f>
        <v>45753</v>
      </c>
      <c r="H231" s="0" t="str">
        <f aca="false">INDEX(JE_Lines!$I$5:$I$1733,MATCH(A231,JE_Lines!$B$5:$B$1733,0))</f>
        <v>SYS_AR</v>
      </c>
      <c r="I231" s="0" t="str">
        <f aca="false">INDEX(JE_Lines!$J$5:$J$1733,MATCH(A231,JE_Lines!$B$5:$B$1733,0))</f>
        <v>System</v>
      </c>
      <c r="J231" s="0" t="str">
        <f aca="false">IF(LEN(INDEX(JE_Lines!$K$5:$K$1733,MATCH(A231,JE_Lines!$B$5:$B$1733,0)))=0,"",INDEX(JE_Lines!$K$5:$K$1733,MATCH(A231,JE_Lines!$B$5:$B$1733,0)))</f>
        <v>Sales invoice batch</v>
      </c>
      <c r="K231" s="9" t="n">
        <f aca="false">F231-G231</f>
        <v>4</v>
      </c>
      <c r="L231" s="9" t="n">
        <f aca="false">COUNTIFS(JE_Lines!$B$5:$B$1733,A231,JE_Lines!$F$5:$F$1733,"Revenue")</f>
        <v>1</v>
      </c>
      <c r="M231" s="9" t="n">
        <f aca="false">COUNTIFS(JE_Lines!$B$5:$B$1733,A231,JE_Lines!$F$5:$F$1733,"Suspense")</f>
        <v>0</v>
      </c>
      <c r="N231" s="9" t="n">
        <f aca="false">IF(ABS(E231)&gt;Parameters!$B$23,1,0)</f>
        <v>0</v>
      </c>
      <c r="O231" s="9" t="n">
        <f aca="false">IF(WEEKDAY(F231,2)&gt;5,1,0)</f>
        <v>0</v>
      </c>
      <c r="P231" s="9" t="n">
        <f aca="false">IF(K231&gt;Parameters!$B$17,1,0)</f>
        <v>0</v>
      </c>
      <c r="Q231" s="9" t="n">
        <f aca="false">IF(AND(F231&lt;=Parameters!$B$6,F231&gt;Parameters!$B$6-Parameters!$B$18),1,0)</f>
        <v>0</v>
      </c>
      <c r="R231" s="9" t="n">
        <f aca="false">IF(COUNTIF(Parameters!$A$51:$A$58,H231)=0,1,0)</f>
        <v>0</v>
      </c>
      <c r="S231" s="9" t="n">
        <f aca="false">IF(AND(I231="Manual",L231&gt;0),1,0)</f>
        <v>0</v>
      </c>
      <c r="T231" s="9" t="n">
        <f aca="false">IF(AND(C231&gt;=Parameters!$B$22,ROUND(MOD(ROUND(C231,2),Parameters!$B$21),2)=0),1,0)</f>
        <v>0</v>
      </c>
      <c r="U231" s="9" t="n">
        <f aca="false">IF(LEN(TRIM(J231))=0,1,0)</f>
        <v>0</v>
      </c>
      <c r="V231" s="9" t="n">
        <f aca="false">IF(AND(I231="Manual",C231&lt;Parameters!$B$19,C231&gt;=Parameters!$B$19*(1-Parameters!$B$20)),1,0)</f>
        <v>0</v>
      </c>
      <c r="W231" s="9" t="n">
        <f aca="false">IF(AND(I231="Manual",M231&gt;0),1,0)</f>
        <v>0</v>
      </c>
      <c r="X231" s="9" t="n">
        <f aca="false">IF(A231-A230&gt;1,1,0)</f>
        <v>0</v>
      </c>
      <c r="Y231" s="9" t="n">
        <f aca="false">N231*Parameters!$B$38+O231*Parameters!$B$39+P231*Parameters!$B$40+Q231*Parameters!$B$41+R231*Parameters!$B$42+S231*Parameters!$B$43+T231*Parameters!$B$44+U231*Parameters!$B$45+V231*Parameters!$B$46+W231*Parameters!$B$47+X231*Parameters!$B$48</f>
        <v>0</v>
      </c>
      <c r="Z231" s="0" t="str">
        <f aca="false">IF(Y231&gt;=Parameters!$B$25,"High","")</f>
        <v/>
      </c>
    </row>
    <row r="232" customFormat="false" ht="15" hidden="false" customHeight="false" outlineLevel="0" collapsed="false">
      <c r="A232" s="16" t="n">
        <v>1232</v>
      </c>
      <c r="B232" s="9" t="n">
        <f aca="false">COUNTIF(JE_Lines!$B$5:$B$1733,A232)</f>
        <v>2</v>
      </c>
      <c r="C232" s="17" t="n">
        <f aca="false">SUMIFS(JE_Lines!$G$5:$G$1733,JE_Lines!$B$5:$B$1733,A232)</f>
        <v>12556.78</v>
      </c>
      <c r="D232" s="17" t="n">
        <f aca="false">SUMIFS(JE_Lines!$H$5:$H$1733,JE_Lines!$B$5:$B$1733,A232)</f>
        <v>12556.78</v>
      </c>
      <c r="E232" s="17" t="n">
        <f aca="false">C232-D232</f>
        <v>0</v>
      </c>
      <c r="F232" s="18" t="n">
        <f aca="false">INDEX(JE_Lines!$C$5:$C$1733,MATCH(A232,JE_Lines!$B$5:$B$1733,0))</f>
        <v>45761</v>
      </c>
      <c r="G232" s="18" t="n">
        <f aca="false">INDEX(JE_Lines!$D$5:$D$1733,MATCH(A232,JE_Lines!$B$5:$B$1733,0))</f>
        <v>45757</v>
      </c>
      <c r="H232" s="0" t="str">
        <f aca="false">INDEX(JE_Lines!$I$5:$I$1733,MATCH(A232,JE_Lines!$B$5:$B$1733,0))</f>
        <v>SYS_AR</v>
      </c>
      <c r="I232" s="0" t="str">
        <f aca="false">INDEX(JE_Lines!$J$5:$J$1733,MATCH(A232,JE_Lines!$B$5:$B$1733,0))</f>
        <v>System</v>
      </c>
      <c r="J232" s="0" t="str">
        <f aca="false">IF(LEN(INDEX(JE_Lines!$K$5:$K$1733,MATCH(A232,JE_Lines!$B$5:$B$1733,0)))=0,"",INDEX(JE_Lines!$K$5:$K$1733,MATCH(A232,JE_Lines!$B$5:$B$1733,0)))</f>
        <v>Customer receipts</v>
      </c>
      <c r="K232" s="9" t="n">
        <f aca="false">F232-G232</f>
        <v>4</v>
      </c>
      <c r="L232" s="9" t="n">
        <f aca="false">COUNTIFS(JE_Lines!$B$5:$B$1733,A232,JE_Lines!$F$5:$F$1733,"Revenue")</f>
        <v>0</v>
      </c>
      <c r="M232" s="9" t="n">
        <f aca="false">COUNTIFS(JE_Lines!$B$5:$B$1733,A232,JE_Lines!$F$5:$F$1733,"Suspense")</f>
        <v>0</v>
      </c>
      <c r="N232" s="9" t="n">
        <f aca="false">IF(ABS(E232)&gt;Parameters!$B$23,1,0)</f>
        <v>0</v>
      </c>
      <c r="O232" s="9" t="n">
        <f aca="false">IF(WEEKDAY(F232,2)&gt;5,1,0)</f>
        <v>0</v>
      </c>
      <c r="P232" s="9" t="n">
        <f aca="false">IF(K232&gt;Parameters!$B$17,1,0)</f>
        <v>0</v>
      </c>
      <c r="Q232" s="9" t="n">
        <f aca="false">IF(AND(F232&lt;=Parameters!$B$6,F232&gt;Parameters!$B$6-Parameters!$B$18),1,0)</f>
        <v>0</v>
      </c>
      <c r="R232" s="9" t="n">
        <f aca="false">IF(COUNTIF(Parameters!$A$51:$A$58,H232)=0,1,0)</f>
        <v>0</v>
      </c>
      <c r="S232" s="9" t="n">
        <f aca="false">IF(AND(I232="Manual",L232&gt;0),1,0)</f>
        <v>0</v>
      </c>
      <c r="T232" s="9" t="n">
        <f aca="false">IF(AND(C232&gt;=Parameters!$B$22,ROUND(MOD(ROUND(C232,2),Parameters!$B$21),2)=0),1,0)</f>
        <v>0</v>
      </c>
      <c r="U232" s="9" t="n">
        <f aca="false">IF(LEN(TRIM(J232))=0,1,0)</f>
        <v>0</v>
      </c>
      <c r="V232" s="9" t="n">
        <f aca="false">IF(AND(I232="Manual",C232&lt;Parameters!$B$19,C232&gt;=Parameters!$B$19*(1-Parameters!$B$20)),1,0)</f>
        <v>0</v>
      </c>
      <c r="W232" s="9" t="n">
        <f aca="false">IF(AND(I232="Manual",M232&gt;0),1,0)</f>
        <v>0</v>
      </c>
      <c r="X232" s="9" t="n">
        <f aca="false">IF(A232-A231&gt;1,1,0)</f>
        <v>0</v>
      </c>
      <c r="Y232" s="9" t="n">
        <f aca="false">N232*Parameters!$B$38+O232*Parameters!$B$39+P232*Parameters!$B$40+Q232*Parameters!$B$41+R232*Parameters!$B$42+S232*Parameters!$B$43+T232*Parameters!$B$44+U232*Parameters!$B$45+V232*Parameters!$B$46+W232*Parameters!$B$47+X232*Parameters!$B$48</f>
        <v>0</v>
      </c>
      <c r="Z232" s="0" t="str">
        <f aca="false">IF(Y232&gt;=Parameters!$B$25,"High","")</f>
        <v/>
      </c>
    </row>
    <row r="233" customFormat="false" ht="15" hidden="false" customHeight="false" outlineLevel="0" collapsed="false">
      <c r="A233" s="16" t="n">
        <v>1233</v>
      </c>
      <c r="B233" s="9" t="n">
        <f aca="false">COUNTIF(JE_Lines!$B$5:$B$1733,A233)</f>
        <v>2</v>
      </c>
      <c r="C233" s="17" t="n">
        <f aca="false">SUMIFS(JE_Lines!$G$5:$G$1733,JE_Lines!$B$5:$B$1733,A233)</f>
        <v>62440.84</v>
      </c>
      <c r="D233" s="17" t="n">
        <f aca="false">SUMIFS(JE_Lines!$H$5:$H$1733,JE_Lines!$B$5:$B$1733,A233)</f>
        <v>62440.84</v>
      </c>
      <c r="E233" s="17" t="n">
        <f aca="false">C233-D233</f>
        <v>0</v>
      </c>
      <c r="F233" s="18" t="n">
        <f aca="false">INDEX(JE_Lines!$C$5:$C$1733,MATCH(A233,JE_Lines!$B$5:$B$1733,0))</f>
        <v>45763</v>
      </c>
      <c r="G233" s="18" t="n">
        <f aca="false">INDEX(JE_Lines!$D$5:$D$1733,MATCH(A233,JE_Lines!$B$5:$B$1733,0))</f>
        <v>45760</v>
      </c>
      <c r="H233" s="0" t="str">
        <f aca="false">INDEX(JE_Lines!$I$5:$I$1733,MATCH(A233,JE_Lines!$B$5:$B$1733,0))</f>
        <v>SYS_AR</v>
      </c>
      <c r="I233" s="0" t="str">
        <f aca="false">INDEX(JE_Lines!$J$5:$J$1733,MATCH(A233,JE_Lines!$B$5:$B$1733,0))</f>
        <v>System</v>
      </c>
      <c r="J233" s="0" t="str">
        <f aca="false">IF(LEN(INDEX(JE_Lines!$K$5:$K$1733,MATCH(A233,JE_Lines!$B$5:$B$1733,0)))=0,"",INDEX(JE_Lines!$K$5:$K$1733,MATCH(A233,JE_Lines!$B$5:$B$1733,0)))</f>
        <v>Sales invoice batch</v>
      </c>
      <c r="K233" s="9" t="n">
        <f aca="false">F233-G233</f>
        <v>3</v>
      </c>
      <c r="L233" s="9" t="n">
        <f aca="false">COUNTIFS(JE_Lines!$B$5:$B$1733,A233,JE_Lines!$F$5:$F$1733,"Revenue")</f>
        <v>1</v>
      </c>
      <c r="M233" s="9" t="n">
        <f aca="false">COUNTIFS(JE_Lines!$B$5:$B$1733,A233,JE_Lines!$F$5:$F$1733,"Suspense")</f>
        <v>0</v>
      </c>
      <c r="N233" s="9" t="n">
        <f aca="false">IF(ABS(E233)&gt;Parameters!$B$23,1,0)</f>
        <v>0</v>
      </c>
      <c r="O233" s="9" t="n">
        <f aca="false">IF(WEEKDAY(F233,2)&gt;5,1,0)</f>
        <v>0</v>
      </c>
      <c r="P233" s="9" t="n">
        <f aca="false">IF(K233&gt;Parameters!$B$17,1,0)</f>
        <v>0</v>
      </c>
      <c r="Q233" s="9" t="n">
        <f aca="false">IF(AND(F233&lt;=Parameters!$B$6,F233&gt;Parameters!$B$6-Parameters!$B$18),1,0)</f>
        <v>0</v>
      </c>
      <c r="R233" s="9" t="n">
        <f aca="false">IF(COUNTIF(Parameters!$A$51:$A$58,H233)=0,1,0)</f>
        <v>0</v>
      </c>
      <c r="S233" s="9" t="n">
        <f aca="false">IF(AND(I233="Manual",L233&gt;0),1,0)</f>
        <v>0</v>
      </c>
      <c r="T233" s="9" t="n">
        <f aca="false">IF(AND(C233&gt;=Parameters!$B$22,ROUND(MOD(ROUND(C233,2),Parameters!$B$21),2)=0),1,0)</f>
        <v>0</v>
      </c>
      <c r="U233" s="9" t="n">
        <f aca="false">IF(LEN(TRIM(J233))=0,1,0)</f>
        <v>0</v>
      </c>
      <c r="V233" s="9" t="n">
        <f aca="false">IF(AND(I233="Manual",C233&lt;Parameters!$B$19,C233&gt;=Parameters!$B$19*(1-Parameters!$B$20)),1,0)</f>
        <v>0</v>
      </c>
      <c r="W233" s="9" t="n">
        <f aca="false">IF(AND(I233="Manual",M233&gt;0),1,0)</f>
        <v>0</v>
      </c>
      <c r="X233" s="9" t="n">
        <f aca="false">IF(A233-A232&gt;1,1,0)</f>
        <v>0</v>
      </c>
      <c r="Y233" s="9" t="n">
        <f aca="false">N233*Parameters!$B$38+O233*Parameters!$B$39+P233*Parameters!$B$40+Q233*Parameters!$B$41+R233*Parameters!$B$42+S233*Parameters!$B$43+T233*Parameters!$B$44+U233*Parameters!$B$45+V233*Parameters!$B$46+W233*Parameters!$B$47+X233*Parameters!$B$48</f>
        <v>0</v>
      </c>
      <c r="Z233" s="0" t="str">
        <f aca="false">IF(Y233&gt;=Parameters!$B$25,"High","")</f>
        <v/>
      </c>
    </row>
    <row r="234" customFormat="false" ht="15" hidden="false" customHeight="false" outlineLevel="0" collapsed="false">
      <c r="A234" s="16" t="n">
        <v>1234</v>
      </c>
      <c r="B234" s="9" t="n">
        <f aca="false">COUNTIF(JE_Lines!$B$5:$B$1733,A234)</f>
        <v>2</v>
      </c>
      <c r="C234" s="17" t="n">
        <f aca="false">SUMIFS(JE_Lines!$G$5:$G$1733,JE_Lines!$B$5:$B$1733,A234)</f>
        <v>1289.85</v>
      </c>
      <c r="D234" s="17" t="n">
        <f aca="false">SUMIFS(JE_Lines!$H$5:$H$1733,JE_Lines!$B$5:$B$1733,A234)</f>
        <v>1289.85</v>
      </c>
      <c r="E234" s="17" t="n">
        <f aca="false">C234-D234</f>
        <v>0</v>
      </c>
      <c r="F234" s="18" t="n">
        <f aca="false">INDEX(JE_Lines!$C$5:$C$1733,MATCH(A234,JE_Lines!$B$5:$B$1733,0))</f>
        <v>45763</v>
      </c>
      <c r="G234" s="18" t="n">
        <f aca="false">INDEX(JE_Lines!$D$5:$D$1733,MATCH(A234,JE_Lines!$B$5:$B$1733,0))</f>
        <v>45763</v>
      </c>
      <c r="H234" s="0" t="str">
        <f aca="false">INDEX(JE_Lines!$I$5:$I$1733,MATCH(A234,JE_Lines!$B$5:$B$1733,0))</f>
        <v>SYS_AR</v>
      </c>
      <c r="I234" s="0" t="str">
        <f aca="false">INDEX(JE_Lines!$J$5:$J$1733,MATCH(A234,JE_Lines!$B$5:$B$1733,0))</f>
        <v>System</v>
      </c>
      <c r="J234" s="0" t="str">
        <f aca="false">IF(LEN(INDEX(JE_Lines!$K$5:$K$1733,MATCH(A234,JE_Lines!$B$5:$B$1733,0)))=0,"",INDEX(JE_Lines!$K$5:$K$1733,MATCH(A234,JE_Lines!$B$5:$B$1733,0)))</f>
        <v>Cost of sales posting</v>
      </c>
      <c r="K234" s="9" t="n">
        <f aca="false">F234-G234</f>
        <v>0</v>
      </c>
      <c r="L234" s="9" t="n">
        <f aca="false">COUNTIFS(JE_Lines!$B$5:$B$1733,A234,JE_Lines!$F$5:$F$1733,"Revenue")</f>
        <v>0</v>
      </c>
      <c r="M234" s="9" t="n">
        <f aca="false">COUNTIFS(JE_Lines!$B$5:$B$1733,A234,JE_Lines!$F$5:$F$1733,"Suspense")</f>
        <v>0</v>
      </c>
      <c r="N234" s="9" t="n">
        <f aca="false">IF(ABS(E234)&gt;Parameters!$B$23,1,0)</f>
        <v>0</v>
      </c>
      <c r="O234" s="9" t="n">
        <f aca="false">IF(WEEKDAY(F234,2)&gt;5,1,0)</f>
        <v>0</v>
      </c>
      <c r="P234" s="9" t="n">
        <f aca="false">IF(K234&gt;Parameters!$B$17,1,0)</f>
        <v>0</v>
      </c>
      <c r="Q234" s="9" t="n">
        <f aca="false">IF(AND(F234&lt;=Parameters!$B$6,F234&gt;Parameters!$B$6-Parameters!$B$18),1,0)</f>
        <v>0</v>
      </c>
      <c r="R234" s="9" t="n">
        <f aca="false">IF(COUNTIF(Parameters!$A$51:$A$58,H234)=0,1,0)</f>
        <v>0</v>
      </c>
      <c r="S234" s="9" t="n">
        <f aca="false">IF(AND(I234="Manual",L234&gt;0),1,0)</f>
        <v>0</v>
      </c>
      <c r="T234" s="9" t="n">
        <f aca="false">IF(AND(C234&gt;=Parameters!$B$22,ROUND(MOD(ROUND(C234,2),Parameters!$B$21),2)=0),1,0)</f>
        <v>0</v>
      </c>
      <c r="U234" s="9" t="n">
        <f aca="false">IF(LEN(TRIM(J234))=0,1,0)</f>
        <v>0</v>
      </c>
      <c r="V234" s="9" t="n">
        <f aca="false">IF(AND(I234="Manual",C234&lt;Parameters!$B$19,C234&gt;=Parameters!$B$19*(1-Parameters!$B$20)),1,0)</f>
        <v>0</v>
      </c>
      <c r="W234" s="9" t="n">
        <f aca="false">IF(AND(I234="Manual",M234&gt;0),1,0)</f>
        <v>0</v>
      </c>
      <c r="X234" s="9" t="n">
        <f aca="false">IF(A234-A233&gt;1,1,0)</f>
        <v>0</v>
      </c>
      <c r="Y234" s="9" t="n">
        <f aca="false">N234*Parameters!$B$38+O234*Parameters!$B$39+P234*Parameters!$B$40+Q234*Parameters!$B$41+R234*Parameters!$B$42+S234*Parameters!$B$43+T234*Parameters!$B$44+U234*Parameters!$B$45+V234*Parameters!$B$46+W234*Parameters!$B$47+X234*Parameters!$B$48</f>
        <v>0</v>
      </c>
      <c r="Z234" s="0" t="str">
        <f aca="false">IF(Y234&gt;=Parameters!$B$25,"High","")</f>
        <v/>
      </c>
    </row>
    <row r="235" customFormat="false" ht="15" hidden="false" customHeight="false" outlineLevel="0" collapsed="false">
      <c r="A235" s="16" t="n">
        <v>1235</v>
      </c>
      <c r="B235" s="9" t="n">
        <f aca="false">COUNTIF(JE_Lines!$B$5:$B$1733,A235)</f>
        <v>2</v>
      </c>
      <c r="C235" s="17" t="n">
        <f aca="false">SUMIFS(JE_Lines!$G$5:$G$1733,JE_Lines!$B$5:$B$1733,A235)</f>
        <v>1370.35</v>
      </c>
      <c r="D235" s="17" t="n">
        <f aca="false">SUMIFS(JE_Lines!$H$5:$H$1733,JE_Lines!$B$5:$B$1733,A235)</f>
        <v>1370.35</v>
      </c>
      <c r="E235" s="17" t="n">
        <f aca="false">C235-D235</f>
        <v>0</v>
      </c>
      <c r="F235" s="18" t="n">
        <f aca="false">INDEX(JE_Lines!$C$5:$C$1733,MATCH(A235,JE_Lines!$B$5:$B$1733,0))</f>
        <v>45763</v>
      </c>
      <c r="G235" s="18" t="n">
        <f aca="false">INDEX(JE_Lines!$D$5:$D$1733,MATCH(A235,JE_Lines!$B$5:$B$1733,0))</f>
        <v>45761</v>
      </c>
      <c r="H235" s="0" t="str">
        <f aca="false">INDEX(JE_Lines!$I$5:$I$1733,MATCH(A235,JE_Lines!$B$5:$B$1733,0))</f>
        <v>SYS_AP</v>
      </c>
      <c r="I235" s="0" t="str">
        <f aca="false">INDEX(JE_Lines!$J$5:$J$1733,MATCH(A235,JE_Lines!$B$5:$B$1733,0))</f>
        <v>System</v>
      </c>
      <c r="J235" s="0" t="str">
        <f aca="false">IF(LEN(INDEX(JE_Lines!$K$5:$K$1733,MATCH(A235,JE_Lines!$B$5:$B$1733,0)))=0,"",INDEX(JE_Lines!$K$5:$K$1733,MATCH(A235,JE_Lines!$B$5:$B$1733,0)))</f>
        <v>Fixed asset additions</v>
      </c>
      <c r="K235" s="9" t="n">
        <f aca="false">F235-G235</f>
        <v>2</v>
      </c>
      <c r="L235" s="9" t="n">
        <f aca="false">COUNTIFS(JE_Lines!$B$5:$B$1733,A235,JE_Lines!$F$5:$F$1733,"Revenue")</f>
        <v>0</v>
      </c>
      <c r="M235" s="9" t="n">
        <f aca="false">COUNTIFS(JE_Lines!$B$5:$B$1733,A235,JE_Lines!$F$5:$F$1733,"Suspense")</f>
        <v>0</v>
      </c>
      <c r="N235" s="9" t="n">
        <f aca="false">IF(ABS(E235)&gt;Parameters!$B$23,1,0)</f>
        <v>0</v>
      </c>
      <c r="O235" s="9" t="n">
        <f aca="false">IF(WEEKDAY(F235,2)&gt;5,1,0)</f>
        <v>0</v>
      </c>
      <c r="P235" s="9" t="n">
        <f aca="false">IF(K235&gt;Parameters!$B$17,1,0)</f>
        <v>0</v>
      </c>
      <c r="Q235" s="9" t="n">
        <f aca="false">IF(AND(F235&lt;=Parameters!$B$6,F235&gt;Parameters!$B$6-Parameters!$B$18),1,0)</f>
        <v>0</v>
      </c>
      <c r="R235" s="9" t="n">
        <f aca="false">IF(COUNTIF(Parameters!$A$51:$A$58,H235)=0,1,0)</f>
        <v>0</v>
      </c>
      <c r="S235" s="9" t="n">
        <f aca="false">IF(AND(I235="Manual",L235&gt;0),1,0)</f>
        <v>0</v>
      </c>
      <c r="T235" s="9" t="n">
        <f aca="false">IF(AND(C235&gt;=Parameters!$B$22,ROUND(MOD(ROUND(C235,2),Parameters!$B$21),2)=0),1,0)</f>
        <v>0</v>
      </c>
      <c r="U235" s="9" t="n">
        <f aca="false">IF(LEN(TRIM(J235))=0,1,0)</f>
        <v>0</v>
      </c>
      <c r="V235" s="9" t="n">
        <f aca="false">IF(AND(I235="Manual",C235&lt;Parameters!$B$19,C235&gt;=Parameters!$B$19*(1-Parameters!$B$20)),1,0)</f>
        <v>0</v>
      </c>
      <c r="W235" s="9" t="n">
        <f aca="false">IF(AND(I235="Manual",M235&gt;0),1,0)</f>
        <v>0</v>
      </c>
      <c r="X235" s="9" t="n">
        <f aca="false">IF(A235-A234&gt;1,1,0)</f>
        <v>0</v>
      </c>
      <c r="Y235" s="9" t="n">
        <f aca="false">N235*Parameters!$B$38+O235*Parameters!$B$39+P235*Parameters!$B$40+Q235*Parameters!$B$41+R235*Parameters!$B$42+S235*Parameters!$B$43+T235*Parameters!$B$44+U235*Parameters!$B$45+V235*Parameters!$B$46+W235*Parameters!$B$47+X235*Parameters!$B$48</f>
        <v>0</v>
      </c>
      <c r="Z235" s="0" t="str">
        <f aca="false">IF(Y235&gt;=Parameters!$B$25,"High","")</f>
        <v/>
      </c>
    </row>
    <row r="236" customFormat="false" ht="15" hidden="false" customHeight="false" outlineLevel="0" collapsed="false">
      <c r="A236" s="16" t="n">
        <v>1236</v>
      </c>
      <c r="B236" s="9" t="n">
        <f aca="false">COUNTIF(JE_Lines!$B$5:$B$1733,A236)</f>
        <v>2</v>
      </c>
      <c r="C236" s="17" t="n">
        <f aca="false">SUMIFS(JE_Lines!$G$5:$G$1733,JE_Lines!$B$5:$B$1733,A236)</f>
        <v>18994.3</v>
      </c>
      <c r="D236" s="17" t="n">
        <f aca="false">SUMIFS(JE_Lines!$H$5:$H$1733,JE_Lines!$B$5:$B$1733,A236)</f>
        <v>18994.3</v>
      </c>
      <c r="E236" s="17" t="n">
        <f aca="false">C236-D236</f>
        <v>0</v>
      </c>
      <c r="F236" s="18" t="n">
        <f aca="false">INDEX(JE_Lines!$C$5:$C$1733,MATCH(A236,JE_Lines!$B$5:$B$1733,0))</f>
        <v>45763</v>
      </c>
      <c r="G236" s="18" t="n">
        <f aca="false">INDEX(JE_Lines!$D$5:$D$1733,MATCH(A236,JE_Lines!$B$5:$B$1733,0))</f>
        <v>45761</v>
      </c>
      <c r="H236" s="0" t="str">
        <f aca="false">INDEX(JE_Lines!$I$5:$I$1733,MATCH(A236,JE_Lines!$B$5:$B$1733,0))</f>
        <v>SYS_AR</v>
      </c>
      <c r="I236" s="0" t="str">
        <f aca="false">INDEX(JE_Lines!$J$5:$J$1733,MATCH(A236,JE_Lines!$B$5:$B$1733,0))</f>
        <v>System</v>
      </c>
      <c r="J236" s="0" t="str">
        <f aca="false">IF(LEN(INDEX(JE_Lines!$K$5:$K$1733,MATCH(A236,JE_Lines!$B$5:$B$1733,0)))=0,"",INDEX(JE_Lines!$K$5:$K$1733,MATCH(A236,JE_Lines!$B$5:$B$1733,0)))</f>
        <v>Cost of sales posting</v>
      </c>
      <c r="K236" s="9" t="n">
        <f aca="false">F236-G236</f>
        <v>2</v>
      </c>
      <c r="L236" s="9" t="n">
        <f aca="false">COUNTIFS(JE_Lines!$B$5:$B$1733,A236,JE_Lines!$F$5:$F$1733,"Revenue")</f>
        <v>0</v>
      </c>
      <c r="M236" s="9" t="n">
        <f aca="false">COUNTIFS(JE_Lines!$B$5:$B$1733,A236,JE_Lines!$F$5:$F$1733,"Suspense")</f>
        <v>0</v>
      </c>
      <c r="N236" s="9" t="n">
        <f aca="false">IF(ABS(E236)&gt;Parameters!$B$23,1,0)</f>
        <v>0</v>
      </c>
      <c r="O236" s="9" t="n">
        <f aca="false">IF(WEEKDAY(F236,2)&gt;5,1,0)</f>
        <v>0</v>
      </c>
      <c r="P236" s="9" t="n">
        <f aca="false">IF(K236&gt;Parameters!$B$17,1,0)</f>
        <v>0</v>
      </c>
      <c r="Q236" s="9" t="n">
        <f aca="false">IF(AND(F236&lt;=Parameters!$B$6,F236&gt;Parameters!$B$6-Parameters!$B$18),1,0)</f>
        <v>0</v>
      </c>
      <c r="R236" s="9" t="n">
        <f aca="false">IF(COUNTIF(Parameters!$A$51:$A$58,H236)=0,1,0)</f>
        <v>0</v>
      </c>
      <c r="S236" s="9" t="n">
        <f aca="false">IF(AND(I236="Manual",L236&gt;0),1,0)</f>
        <v>0</v>
      </c>
      <c r="T236" s="9" t="n">
        <f aca="false">IF(AND(C236&gt;=Parameters!$B$22,ROUND(MOD(ROUND(C236,2),Parameters!$B$21),2)=0),1,0)</f>
        <v>0</v>
      </c>
      <c r="U236" s="9" t="n">
        <f aca="false">IF(LEN(TRIM(J236))=0,1,0)</f>
        <v>0</v>
      </c>
      <c r="V236" s="9" t="n">
        <f aca="false">IF(AND(I236="Manual",C236&lt;Parameters!$B$19,C236&gt;=Parameters!$B$19*(1-Parameters!$B$20)),1,0)</f>
        <v>0</v>
      </c>
      <c r="W236" s="9" t="n">
        <f aca="false">IF(AND(I236="Manual",M236&gt;0),1,0)</f>
        <v>0</v>
      </c>
      <c r="X236" s="9" t="n">
        <f aca="false">IF(A236-A235&gt;1,1,0)</f>
        <v>0</v>
      </c>
      <c r="Y236" s="9" t="n">
        <f aca="false">N236*Parameters!$B$38+O236*Parameters!$B$39+P236*Parameters!$B$40+Q236*Parameters!$B$41+R236*Parameters!$B$42+S236*Parameters!$B$43+T236*Parameters!$B$44+U236*Parameters!$B$45+V236*Parameters!$B$46+W236*Parameters!$B$47+X236*Parameters!$B$48</f>
        <v>0</v>
      </c>
      <c r="Z236" s="0" t="str">
        <f aca="false">IF(Y236&gt;=Parameters!$B$25,"High","")</f>
        <v/>
      </c>
    </row>
    <row r="237" customFormat="false" ht="15" hidden="false" customHeight="false" outlineLevel="0" collapsed="false">
      <c r="A237" s="16" t="n">
        <v>1237</v>
      </c>
      <c r="B237" s="9" t="n">
        <f aca="false">COUNTIF(JE_Lines!$B$5:$B$1733,A237)</f>
        <v>2</v>
      </c>
      <c r="C237" s="17" t="n">
        <f aca="false">SUMIFS(JE_Lines!$G$5:$G$1733,JE_Lines!$B$5:$B$1733,A237)</f>
        <v>16391.23</v>
      </c>
      <c r="D237" s="17" t="n">
        <f aca="false">SUMIFS(JE_Lines!$H$5:$H$1733,JE_Lines!$B$5:$B$1733,A237)</f>
        <v>16391.23</v>
      </c>
      <c r="E237" s="17" t="n">
        <f aca="false">C237-D237</f>
        <v>0</v>
      </c>
      <c r="F237" s="18" t="n">
        <f aca="false">INDEX(JE_Lines!$C$5:$C$1733,MATCH(A237,JE_Lines!$B$5:$B$1733,0))</f>
        <v>45764</v>
      </c>
      <c r="G237" s="18" t="n">
        <f aca="false">INDEX(JE_Lines!$D$5:$D$1733,MATCH(A237,JE_Lines!$B$5:$B$1733,0))</f>
        <v>45763</v>
      </c>
      <c r="H237" s="0" t="str">
        <f aca="false">INDEX(JE_Lines!$I$5:$I$1733,MATCH(A237,JE_Lines!$B$5:$B$1733,0))</f>
        <v>SYS_PAY</v>
      </c>
      <c r="I237" s="0" t="str">
        <f aca="false">INDEX(JE_Lines!$J$5:$J$1733,MATCH(A237,JE_Lines!$B$5:$B$1733,0))</f>
        <v>System</v>
      </c>
      <c r="J237" s="0" t="str">
        <f aca="false">IF(LEN(INDEX(JE_Lines!$K$5:$K$1733,MATCH(A237,JE_Lines!$B$5:$B$1733,0)))=0,"",INDEX(JE_Lines!$K$5:$K$1733,MATCH(A237,JE_Lines!$B$5:$B$1733,0)))</f>
        <v>Supplier payments</v>
      </c>
      <c r="K237" s="9" t="n">
        <f aca="false">F237-G237</f>
        <v>1</v>
      </c>
      <c r="L237" s="9" t="n">
        <f aca="false">COUNTIFS(JE_Lines!$B$5:$B$1733,A237,JE_Lines!$F$5:$F$1733,"Revenue")</f>
        <v>0</v>
      </c>
      <c r="M237" s="9" t="n">
        <f aca="false">COUNTIFS(JE_Lines!$B$5:$B$1733,A237,JE_Lines!$F$5:$F$1733,"Suspense")</f>
        <v>0</v>
      </c>
      <c r="N237" s="9" t="n">
        <f aca="false">IF(ABS(E237)&gt;Parameters!$B$23,1,0)</f>
        <v>0</v>
      </c>
      <c r="O237" s="9" t="n">
        <f aca="false">IF(WEEKDAY(F237,2)&gt;5,1,0)</f>
        <v>0</v>
      </c>
      <c r="P237" s="9" t="n">
        <f aca="false">IF(K237&gt;Parameters!$B$17,1,0)</f>
        <v>0</v>
      </c>
      <c r="Q237" s="9" t="n">
        <f aca="false">IF(AND(F237&lt;=Parameters!$B$6,F237&gt;Parameters!$B$6-Parameters!$B$18),1,0)</f>
        <v>0</v>
      </c>
      <c r="R237" s="9" t="n">
        <f aca="false">IF(COUNTIF(Parameters!$A$51:$A$58,H237)=0,1,0)</f>
        <v>0</v>
      </c>
      <c r="S237" s="9" t="n">
        <f aca="false">IF(AND(I237="Manual",L237&gt;0),1,0)</f>
        <v>0</v>
      </c>
      <c r="T237" s="9" t="n">
        <f aca="false">IF(AND(C237&gt;=Parameters!$B$22,ROUND(MOD(ROUND(C237,2),Parameters!$B$21),2)=0),1,0)</f>
        <v>0</v>
      </c>
      <c r="U237" s="9" t="n">
        <f aca="false">IF(LEN(TRIM(J237))=0,1,0)</f>
        <v>0</v>
      </c>
      <c r="V237" s="9" t="n">
        <f aca="false">IF(AND(I237="Manual",C237&lt;Parameters!$B$19,C237&gt;=Parameters!$B$19*(1-Parameters!$B$20)),1,0)</f>
        <v>0</v>
      </c>
      <c r="W237" s="9" t="n">
        <f aca="false">IF(AND(I237="Manual",M237&gt;0),1,0)</f>
        <v>0</v>
      </c>
      <c r="X237" s="9" t="n">
        <f aca="false">IF(A237-A236&gt;1,1,0)</f>
        <v>0</v>
      </c>
      <c r="Y237" s="9" t="n">
        <f aca="false">N237*Parameters!$B$38+O237*Parameters!$B$39+P237*Parameters!$B$40+Q237*Parameters!$B$41+R237*Parameters!$B$42+S237*Parameters!$B$43+T237*Parameters!$B$44+U237*Parameters!$B$45+V237*Parameters!$B$46+W237*Parameters!$B$47+X237*Parameters!$B$48</f>
        <v>0</v>
      </c>
      <c r="Z237" s="0" t="str">
        <f aca="false">IF(Y237&gt;=Parameters!$B$25,"High","")</f>
        <v/>
      </c>
    </row>
    <row r="238" customFormat="false" ht="15" hidden="false" customHeight="false" outlineLevel="0" collapsed="false">
      <c r="A238" s="16" t="n">
        <v>1238</v>
      </c>
      <c r="B238" s="9" t="n">
        <f aca="false">COUNTIF(JE_Lines!$B$5:$B$1733,A238)</f>
        <v>2</v>
      </c>
      <c r="C238" s="17" t="n">
        <f aca="false">SUMIFS(JE_Lines!$G$5:$G$1733,JE_Lines!$B$5:$B$1733,A238)</f>
        <v>6974.11</v>
      </c>
      <c r="D238" s="17" t="n">
        <f aca="false">SUMIFS(JE_Lines!$H$5:$H$1733,JE_Lines!$B$5:$B$1733,A238)</f>
        <v>6974.11</v>
      </c>
      <c r="E238" s="17" t="n">
        <f aca="false">C238-D238</f>
        <v>0</v>
      </c>
      <c r="F238" s="18" t="n">
        <f aca="false">INDEX(JE_Lines!$C$5:$C$1733,MATCH(A238,JE_Lines!$B$5:$B$1733,0))</f>
        <v>45764</v>
      </c>
      <c r="G238" s="18" t="n">
        <f aca="false">INDEX(JE_Lines!$D$5:$D$1733,MATCH(A238,JE_Lines!$B$5:$B$1733,0))</f>
        <v>45762</v>
      </c>
      <c r="H238" s="0" t="str">
        <f aca="false">INDEX(JE_Lines!$I$5:$I$1733,MATCH(A238,JE_Lines!$B$5:$B$1733,0))</f>
        <v>SYS_AP</v>
      </c>
      <c r="I238" s="0" t="str">
        <f aca="false">INDEX(JE_Lines!$J$5:$J$1733,MATCH(A238,JE_Lines!$B$5:$B$1733,0))</f>
        <v>System</v>
      </c>
      <c r="J238" s="0" t="str">
        <f aca="false">IF(LEN(INDEX(JE_Lines!$K$5:$K$1733,MATCH(A238,JE_Lines!$B$5:$B$1733,0)))=0,"",INDEX(JE_Lines!$K$5:$K$1733,MATCH(A238,JE_Lines!$B$5:$B$1733,0)))</f>
        <v>Supplier invoices</v>
      </c>
      <c r="K238" s="9" t="n">
        <f aca="false">F238-G238</f>
        <v>2</v>
      </c>
      <c r="L238" s="9" t="n">
        <f aca="false">COUNTIFS(JE_Lines!$B$5:$B$1733,A238,JE_Lines!$F$5:$F$1733,"Revenue")</f>
        <v>0</v>
      </c>
      <c r="M238" s="9" t="n">
        <f aca="false">COUNTIFS(JE_Lines!$B$5:$B$1733,A238,JE_Lines!$F$5:$F$1733,"Suspense")</f>
        <v>0</v>
      </c>
      <c r="N238" s="9" t="n">
        <f aca="false">IF(ABS(E238)&gt;Parameters!$B$23,1,0)</f>
        <v>0</v>
      </c>
      <c r="O238" s="9" t="n">
        <f aca="false">IF(WEEKDAY(F238,2)&gt;5,1,0)</f>
        <v>0</v>
      </c>
      <c r="P238" s="9" t="n">
        <f aca="false">IF(K238&gt;Parameters!$B$17,1,0)</f>
        <v>0</v>
      </c>
      <c r="Q238" s="9" t="n">
        <f aca="false">IF(AND(F238&lt;=Parameters!$B$6,F238&gt;Parameters!$B$6-Parameters!$B$18),1,0)</f>
        <v>0</v>
      </c>
      <c r="R238" s="9" t="n">
        <f aca="false">IF(COUNTIF(Parameters!$A$51:$A$58,H238)=0,1,0)</f>
        <v>0</v>
      </c>
      <c r="S238" s="9" t="n">
        <f aca="false">IF(AND(I238="Manual",L238&gt;0),1,0)</f>
        <v>0</v>
      </c>
      <c r="T238" s="9" t="n">
        <f aca="false">IF(AND(C238&gt;=Parameters!$B$22,ROUND(MOD(ROUND(C238,2),Parameters!$B$21),2)=0),1,0)</f>
        <v>0</v>
      </c>
      <c r="U238" s="9" t="n">
        <f aca="false">IF(LEN(TRIM(J238))=0,1,0)</f>
        <v>0</v>
      </c>
      <c r="V238" s="9" t="n">
        <f aca="false">IF(AND(I238="Manual",C238&lt;Parameters!$B$19,C238&gt;=Parameters!$B$19*(1-Parameters!$B$20)),1,0)</f>
        <v>0</v>
      </c>
      <c r="W238" s="9" t="n">
        <f aca="false">IF(AND(I238="Manual",M238&gt;0),1,0)</f>
        <v>0</v>
      </c>
      <c r="X238" s="9" t="n">
        <f aca="false">IF(A238-A237&gt;1,1,0)</f>
        <v>0</v>
      </c>
      <c r="Y238" s="9" t="n">
        <f aca="false">N238*Parameters!$B$38+O238*Parameters!$B$39+P238*Parameters!$B$40+Q238*Parameters!$B$41+R238*Parameters!$B$42+S238*Parameters!$B$43+T238*Parameters!$B$44+U238*Parameters!$B$45+V238*Parameters!$B$46+W238*Parameters!$B$47+X238*Parameters!$B$48</f>
        <v>0</v>
      </c>
      <c r="Z238" s="0" t="str">
        <f aca="false">IF(Y238&gt;=Parameters!$B$25,"High","")</f>
        <v/>
      </c>
    </row>
    <row r="239" customFormat="false" ht="15" hidden="false" customHeight="false" outlineLevel="0" collapsed="false">
      <c r="A239" s="16" t="n">
        <v>1239</v>
      </c>
      <c r="B239" s="9" t="n">
        <f aca="false">COUNTIF(JE_Lines!$B$5:$B$1733,A239)</f>
        <v>3</v>
      </c>
      <c r="C239" s="17" t="n">
        <f aca="false">SUMIFS(JE_Lines!$G$5:$G$1733,JE_Lines!$B$5:$B$1733,A239)</f>
        <v>843.89</v>
      </c>
      <c r="D239" s="17" t="n">
        <f aca="false">SUMIFS(JE_Lines!$H$5:$H$1733,JE_Lines!$B$5:$B$1733,A239)</f>
        <v>843.89</v>
      </c>
      <c r="E239" s="17" t="n">
        <f aca="false">C239-D239</f>
        <v>0</v>
      </c>
      <c r="F239" s="18" t="n">
        <f aca="false">INDEX(JE_Lines!$C$5:$C$1733,MATCH(A239,JE_Lines!$B$5:$B$1733,0))</f>
        <v>45765</v>
      </c>
      <c r="G239" s="18" t="n">
        <f aca="false">INDEX(JE_Lines!$D$5:$D$1733,MATCH(A239,JE_Lines!$B$5:$B$1733,0))</f>
        <v>45764</v>
      </c>
      <c r="H239" s="0" t="str">
        <f aca="false">INDEX(JE_Lines!$I$5:$I$1733,MATCH(A239,JE_Lines!$B$5:$B$1733,0))</f>
        <v>SYS_AR</v>
      </c>
      <c r="I239" s="0" t="str">
        <f aca="false">INDEX(JE_Lines!$J$5:$J$1733,MATCH(A239,JE_Lines!$B$5:$B$1733,0))</f>
        <v>System</v>
      </c>
      <c r="J239" s="0" t="str">
        <f aca="false">IF(LEN(INDEX(JE_Lines!$K$5:$K$1733,MATCH(A239,JE_Lines!$B$5:$B$1733,0)))=0,"",INDEX(JE_Lines!$K$5:$K$1733,MATCH(A239,JE_Lines!$B$5:$B$1733,0)))</f>
        <v>Sales invoice batch</v>
      </c>
      <c r="K239" s="9" t="n">
        <f aca="false">F239-G239</f>
        <v>1</v>
      </c>
      <c r="L239" s="9" t="n">
        <f aca="false">COUNTIFS(JE_Lines!$B$5:$B$1733,A239,JE_Lines!$F$5:$F$1733,"Revenue")</f>
        <v>1</v>
      </c>
      <c r="M239" s="9" t="n">
        <f aca="false">COUNTIFS(JE_Lines!$B$5:$B$1733,A239,JE_Lines!$F$5:$F$1733,"Suspense")</f>
        <v>0</v>
      </c>
      <c r="N239" s="9" t="n">
        <f aca="false">IF(ABS(E239)&gt;Parameters!$B$23,1,0)</f>
        <v>0</v>
      </c>
      <c r="O239" s="9" t="n">
        <f aca="false">IF(WEEKDAY(F239,2)&gt;5,1,0)</f>
        <v>0</v>
      </c>
      <c r="P239" s="9" t="n">
        <f aca="false">IF(K239&gt;Parameters!$B$17,1,0)</f>
        <v>0</v>
      </c>
      <c r="Q239" s="9" t="n">
        <f aca="false">IF(AND(F239&lt;=Parameters!$B$6,F239&gt;Parameters!$B$6-Parameters!$B$18),1,0)</f>
        <v>0</v>
      </c>
      <c r="R239" s="9" t="n">
        <f aca="false">IF(COUNTIF(Parameters!$A$51:$A$58,H239)=0,1,0)</f>
        <v>0</v>
      </c>
      <c r="S239" s="9" t="n">
        <f aca="false">IF(AND(I239="Manual",L239&gt;0),1,0)</f>
        <v>0</v>
      </c>
      <c r="T239" s="9" t="n">
        <f aca="false">IF(AND(C239&gt;=Parameters!$B$22,ROUND(MOD(ROUND(C239,2),Parameters!$B$21),2)=0),1,0)</f>
        <v>0</v>
      </c>
      <c r="U239" s="9" t="n">
        <f aca="false">IF(LEN(TRIM(J239))=0,1,0)</f>
        <v>0</v>
      </c>
      <c r="V239" s="9" t="n">
        <f aca="false">IF(AND(I239="Manual",C239&lt;Parameters!$B$19,C239&gt;=Parameters!$B$19*(1-Parameters!$B$20)),1,0)</f>
        <v>0</v>
      </c>
      <c r="W239" s="9" t="n">
        <f aca="false">IF(AND(I239="Manual",M239&gt;0),1,0)</f>
        <v>0</v>
      </c>
      <c r="X239" s="9" t="n">
        <f aca="false">IF(A239-A238&gt;1,1,0)</f>
        <v>0</v>
      </c>
      <c r="Y239" s="9" t="n">
        <f aca="false">N239*Parameters!$B$38+O239*Parameters!$B$39+P239*Parameters!$B$40+Q239*Parameters!$B$41+R239*Parameters!$B$42+S239*Parameters!$B$43+T239*Parameters!$B$44+U239*Parameters!$B$45+V239*Parameters!$B$46+W239*Parameters!$B$47+X239*Parameters!$B$48</f>
        <v>0</v>
      </c>
      <c r="Z239" s="0" t="str">
        <f aca="false">IF(Y239&gt;=Parameters!$B$25,"High","")</f>
        <v/>
      </c>
    </row>
    <row r="240" customFormat="false" ht="15" hidden="false" customHeight="false" outlineLevel="0" collapsed="false">
      <c r="A240" s="16" t="n">
        <v>1240</v>
      </c>
      <c r="B240" s="9" t="n">
        <f aca="false">COUNTIF(JE_Lines!$B$5:$B$1733,A240)</f>
        <v>2</v>
      </c>
      <c r="C240" s="17" t="n">
        <f aca="false">SUMIFS(JE_Lines!$G$5:$G$1733,JE_Lines!$B$5:$B$1733,A240)</f>
        <v>1025.15</v>
      </c>
      <c r="D240" s="17" t="n">
        <f aca="false">SUMIFS(JE_Lines!$H$5:$H$1733,JE_Lines!$B$5:$B$1733,A240)</f>
        <v>1025.15</v>
      </c>
      <c r="E240" s="17" t="n">
        <f aca="false">C240-D240</f>
        <v>0</v>
      </c>
      <c r="F240" s="18" t="n">
        <f aca="false">INDEX(JE_Lines!$C$5:$C$1733,MATCH(A240,JE_Lines!$B$5:$B$1733,0))</f>
        <v>45766</v>
      </c>
      <c r="G240" s="18" t="n">
        <f aca="false">INDEX(JE_Lines!$D$5:$D$1733,MATCH(A240,JE_Lines!$B$5:$B$1733,0))</f>
        <v>45765</v>
      </c>
      <c r="H240" s="0" t="str">
        <f aca="false">INDEX(JE_Lines!$I$5:$I$1733,MATCH(A240,JE_Lines!$B$5:$B$1733,0))</f>
        <v>SYS_PAY</v>
      </c>
      <c r="I240" s="0" t="str">
        <f aca="false">INDEX(JE_Lines!$J$5:$J$1733,MATCH(A240,JE_Lines!$B$5:$B$1733,0))</f>
        <v>System</v>
      </c>
      <c r="J240" s="0" t="str">
        <f aca="false">IF(LEN(INDEX(JE_Lines!$K$5:$K$1733,MATCH(A240,JE_Lines!$B$5:$B$1733,0)))=0,"",INDEX(JE_Lines!$K$5:$K$1733,MATCH(A240,JE_Lines!$B$5:$B$1733,0)))</f>
        <v>Supplier payments</v>
      </c>
      <c r="K240" s="9" t="n">
        <f aca="false">F240-G240</f>
        <v>1</v>
      </c>
      <c r="L240" s="9" t="n">
        <f aca="false">COUNTIFS(JE_Lines!$B$5:$B$1733,A240,JE_Lines!$F$5:$F$1733,"Revenue")</f>
        <v>0</v>
      </c>
      <c r="M240" s="9" t="n">
        <f aca="false">COUNTIFS(JE_Lines!$B$5:$B$1733,A240,JE_Lines!$F$5:$F$1733,"Suspense")</f>
        <v>0</v>
      </c>
      <c r="N240" s="9" t="n">
        <f aca="false">IF(ABS(E240)&gt;Parameters!$B$23,1,0)</f>
        <v>0</v>
      </c>
      <c r="O240" s="9" t="n">
        <f aca="false">IF(WEEKDAY(F240,2)&gt;5,1,0)</f>
        <v>1</v>
      </c>
      <c r="P240" s="9" t="n">
        <f aca="false">IF(K240&gt;Parameters!$B$17,1,0)</f>
        <v>0</v>
      </c>
      <c r="Q240" s="9" t="n">
        <f aca="false">IF(AND(F240&lt;=Parameters!$B$6,F240&gt;Parameters!$B$6-Parameters!$B$18),1,0)</f>
        <v>0</v>
      </c>
      <c r="R240" s="9" t="n">
        <f aca="false">IF(COUNTIF(Parameters!$A$51:$A$58,H240)=0,1,0)</f>
        <v>0</v>
      </c>
      <c r="S240" s="9" t="n">
        <f aca="false">IF(AND(I240="Manual",L240&gt;0),1,0)</f>
        <v>0</v>
      </c>
      <c r="T240" s="9" t="n">
        <f aca="false">IF(AND(C240&gt;=Parameters!$B$22,ROUND(MOD(ROUND(C240,2),Parameters!$B$21),2)=0),1,0)</f>
        <v>0</v>
      </c>
      <c r="U240" s="9" t="n">
        <f aca="false">IF(LEN(TRIM(J240))=0,1,0)</f>
        <v>0</v>
      </c>
      <c r="V240" s="9" t="n">
        <f aca="false">IF(AND(I240="Manual",C240&lt;Parameters!$B$19,C240&gt;=Parameters!$B$19*(1-Parameters!$B$20)),1,0)</f>
        <v>0</v>
      </c>
      <c r="W240" s="9" t="n">
        <f aca="false">IF(AND(I240="Manual",M240&gt;0),1,0)</f>
        <v>0</v>
      </c>
      <c r="X240" s="9" t="n">
        <f aca="false">IF(A240-A239&gt;1,1,0)</f>
        <v>0</v>
      </c>
      <c r="Y240" s="9" t="n">
        <f aca="false">N240*Parameters!$B$38+O240*Parameters!$B$39+P240*Parameters!$B$40+Q240*Parameters!$B$41+R240*Parameters!$B$42+S240*Parameters!$B$43+T240*Parameters!$B$44+U240*Parameters!$B$45+V240*Parameters!$B$46+W240*Parameters!$B$47+X240*Parameters!$B$48</f>
        <v>2</v>
      </c>
      <c r="Z240" s="0" t="str">
        <f aca="false">IF(Y240&gt;=Parameters!$B$25,"High","")</f>
        <v/>
      </c>
    </row>
    <row r="241" customFormat="false" ht="15" hidden="false" customHeight="false" outlineLevel="0" collapsed="false">
      <c r="A241" s="16" t="n">
        <v>1241</v>
      </c>
      <c r="B241" s="9" t="n">
        <f aca="false">COUNTIF(JE_Lines!$B$5:$B$1733,A241)</f>
        <v>2</v>
      </c>
      <c r="C241" s="17" t="n">
        <f aca="false">SUMIFS(JE_Lines!$G$5:$G$1733,JE_Lines!$B$5:$B$1733,A241)</f>
        <v>11787.77</v>
      </c>
      <c r="D241" s="17" t="n">
        <f aca="false">SUMIFS(JE_Lines!$H$5:$H$1733,JE_Lines!$B$5:$B$1733,A241)</f>
        <v>11787.77</v>
      </c>
      <c r="E241" s="17" t="n">
        <f aca="false">C241-D241</f>
        <v>0</v>
      </c>
      <c r="F241" s="18" t="n">
        <f aca="false">INDEX(JE_Lines!$C$5:$C$1733,MATCH(A241,JE_Lines!$B$5:$B$1733,0))</f>
        <v>45768</v>
      </c>
      <c r="G241" s="18" t="n">
        <f aca="false">INDEX(JE_Lines!$D$5:$D$1733,MATCH(A241,JE_Lines!$B$5:$B$1733,0))</f>
        <v>45765</v>
      </c>
      <c r="H241" s="0" t="str">
        <f aca="false">INDEX(JE_Lines!$I$5:$I$1733,MATCH(A241,JE_Lines!$B$5:$B$1733,0))</f>
        <v>SYS_AP</v>
      </c>
      <c r="I241" s="0" t="str">
        <f aca="false">INDEX(JE_Lines!$J$5:$J$1733,MATCH(A241,JE_Lines!$B$5:$B$1733,0))</f>
        <v>System</v>
      </c>
      <c r="J241" s="0" t="str">
        <f aca="false">IF(LEN(INDEX(JE_Lines!$K$5:$K$1733,MATCH(A241,JE_Lines!$B$5:$B$1733,0)))=0,"",INDEX(JE_Lines!$K$5:$K$1733,MATCH(A241,JE_Lines!$B$5:$B$1733,0)))</f>
        <v>Supplier invoices</v>
      </c>
      <c r="K241" s="9" t="n">
        <f aca="false">F241-G241</f>
        <v>3</v>
      </c>
      <c r="L241" s="9" t="n">
        <f aca="false">COUNTIFS(JE_Lines!$B$5:$B$1733,A241,JE_Lines!$F$5:$F$1733,"Revenue")</f>
        <v>0</v>
      </c>
      <c r="M241" s="9" t="n">
        <f aca="false">COUNTIFS(JE_Lines!$B$5:$B$1733,A241,JE_Lines!$F$5:$F$1733,"Suspense")</f>
        <v>0</v>
      </c>
      <c r="N241" s="9" t="n">
        <f aca="false">IF(ABS(E241)&gt;Parameters!$B$23,1,0)</f>
        <v>0</v>
      </c>
      <c r="O241" s="9" t="n">
        <f aca="false">IF(WEEKDAY(F241,2)&gt;5,1,0)</f>
        <v>0</v>
      </c>
      <c r="P241" s="9" t="n">
        <f aca="false">IF(K241&gt;Parameters!$B$17,1,0)</f>
        <v>0</v>
      </c>
      <c r="Q241" s="9" t="n">
        <f aca="false">IF(AND(F241&lt;=Parameters!$B$6,F241&gt;Parameters!$B$6-Parameters!$B$18),1,0)</f>
        <v>0</v>
      </c>
      <c r="R241" s="9" t="n">
        <f aca="false">IF(COUNTIF(Parameters!$A$51:$A$58,H241)=0,1,0)</f>
        <v>0</v>
      </c>
      <c r="S241" s="9" t="n">
        <f aca="false">IF(AND(I241="Manual",L241&gt;0),1,0)</f>
        <v>0</v>
      </c>
      <c r="T241" s="9" t="n">
        <f aca="false">IF(AND(C241&gt;=Parameters!$B$22,ROUND(MOD(ROUND(C241,2),Parameters!$B$21),2)=0),1,0)</f>
        <v>0</v>
      </c>
      <c r="U241" s="9" t="n">
        <f aca="false">IF(LEN(TRIM(J241))=0,1,0)</f>
        <v>0</v>
      </c>
      <c r="V241" s="9" t="n">
        <f aca="false">IF(AND(I241="Manual",C241&lt;Parameters!$B$19,C241&gt;=Parameters!$B$19*(1-Parameters!$B$20)),1,0)</f>
        <v>0</v>
      </c>
      <c r="W241" s="9" t="n">
        <f aca="false">IF(AND(I241="Manual",M241&gt;0),1,0)</f>
        <v>0</v>
      </c>
      <c r="X241" s="9" t="n">
        <f aca="false">IF(A241-A240&gt;1,1,0)</f>
        <v>0</v>
      </c>
      <c r="Y241" s="9" t="n">
        <f aca="false">N241*Parameters!$B$38+O241*Parameters!$B$39+P241*Parameters!$B$40+Q241*Parameters!$B$41+R241*Parameters!$B$42+S241*Parameters!$B$43+T241*Parameters!$B$44+U241*Parameters!$B$45+V241*Parameters!$B$46+W241*Parameters!$B$47+X241*Parameters!$B$48</f>
        <v>0</v>
      </c>
      <c r="Z241" s="0" t="str">
        <f aca="false">IF(Y241&gt;=Parameters!$B$25,"High","")</f>
        <v/>
      </c>
    </row>
    <row r="242" customFormat="false" ht="15" hidden="false" customHeight="false" outlineLevel="0" collapsed="false">
      <c r="A242" s="16" t="n">
        <v>1242</v>
      </c>
      <c r="B242" s="9" t="n">
        <f aca="false">COUNTIF(JE_Lines!$B$5:$B$1733,A242)</f>
        <v>2</v>
      </c>
      <c r="C242" s="17" t="n">
        <f aca="false">SUMIFS(JE_Lines!$G$5:$G$1733,JE_Lines!$B$5:$B$1733,A242)</f>
        <v>32702.24</v>
      </c>
      <c r="D242" s="17" t="n">
        <f aca="false">SUMIFS(JE_Lines!$H$5:$H$1733,JE_Lines!$B$5:$B$1733,A242)</f>
        <v>32702.24</v>
      </c>
      <c r="E242" s="17" t="n">
        <f aca="false">C242-D242</f>
        <v>0</v>
      </c>
      <c r="F242" s="18" t="n">
        <f aca="false">INDEX(JE_Lines!$C$5:$C$1733,MATCH(A242,JE_Lines!$B$5:$B$1733,0))</f>
        <v>45768</v>
      </c>
      <c r="G242" s="18" t="n">
        <f aca="false">INDEX(JE_Lines!$D$5:$D$1733,MATCH(A242,JE_Lines!$B$5:$B$1733,0))</f>
        <v>45765</v>
      </c>
      <c r="H242" s="0" t="str">
        <f aca="false">INDEX(JE_Lines!$I$5:$I$1733,MATCH(A242,JE_Lines!$B$5:$B$1733,0))</f>
        <v>FIN04</v>
      </c>
      <c r="I242" s="0" t="str">
        <f aca="false">INDEX(JE_Lines!$J$5:$J$1733,MATCH(A242,JE_Lines!$B$5:$B$1733,0))</f>
        <v>Manual</v>
      </c>
      <c r="J242" s="0" t="str">
        <f aca="false">IF(LEN(INDEX(JE_Lines!$K$5:$K$1733,MATCH(A242,JE_Lines!$B$5:$B$1733,0)))=0,"",INDEX(JE_Lines!$K$5:$K$1733,MATCH(A242,JE_Lines!$B$5:$B$1733,0)))</f>
        <v>Accrual for sundry costs</v>
      </c>
      <c r="K242" s="9" t="n">
        <f aca="false">F242-G242</f>
        <v>3</v>
      </c>
      <c r="L242" s="9" t="n">
        <f aca="false">COUNTIFS(JE_Lines!$B$5:$B$1733,A242,JE_Lines!$F$5:$F$1733,"Revenue")</f>
        <v>0</v>
      </c>
      <c r="M242" s="9" t="n">
        <f aca="false">COUNTIFS(JE_Lines!$B$5:$B$1733,A242,JE_Lines!$F$5:$F$1733,"Suspense")</f>
        <v>0</v>
      </c>
      <c r="N242" s="9" t="n">
        <f aca="false">IF(ABS(E242)&gt;Parameters!$B$23,1,0)</f>
        <v>0</v>
      </c>
      <c r="O242" s="9" t="n">
        <f aca="false">IF(WEEKDAY(F242,2)&gt;5,1,0)</f>
        <v>0</v>
      </c>
      <c r="P242" s="9" t="n">
        <f aca="false">IF(K242&gt;Parameters!$B$17,1,0)</f>
        <v>0</v>
      </c>
      <c r="Q242" s="9" t="n">
        <f aca="false">IF(AND(F242&lt;=Parameters!$B$6,F242&gt;Parameters!$B$6-Parameters!$B$18),1,0)</f>
        <v>0</v>
      </c>
      <c r="R242" s="9" t="n">
        <f aca="false">IF(COUNTIF(Parameters!$A$51:$A$58,H242)=0,1,0)</f>
        <v>0</v>
      </c>
      <c r="S242" s="9" t="n">
        <f aca="false">IF(AND(I242="Manual",L242&gt;0),1,0)</f>
        <v>0</v>
      </c>
      <c r="T242" s="9" t="n">
        <f aca="false">IF(AND(C242&gt;=Parameters!$B$22,ROUND(MOD(ROUND(C242,2),Parameters!$B$21),2)=0),1,0)</f>
        <v>0</v>
      </c>
      <c r="U242" s="9" t="n">
        <f aca="false">IF(LEN(TRIM(J242))=0,1,0)</f>
        <v>0</v>
      </c>
      <c r="V242" s="9" t="n">
        <f aca="false">IF(AND(I242="Manual",C242&lt;Parameters!$B$19,C242&gt;=Parameters!$B$19*(1-Parameters!$B$20)),1,0)</f>
        <v>0</v>
      </c>
      <c r="W242" s="9" t="n">
        <f aca="false">IF(AND(I242="Manual",M242&gt;0),1,0)</f>
        <v>0</v>
      </c>
      <c r="X242" s="9" t="n">
        <f aca="false">IF(A242-A241&gt;1,1,0)</f>
        <v>0</v>
      </c>
      <c r="Y242" s="9" t="n">
        <f aca="false">N242*Parameters!$B$38+O242*Parameters!$B$39+P242*Parameters!$B$40+Q242*Parameters!$B$41+R242*Parameters!$B$42+S242*Parameters!$B$43+T242*Parameters!$B$44+U242*Parameters!$B$45+V242*Parameters!$B$46+W242*Parameters!$B$47+X242*Parameters!$B$48</f>
        <v>0</v>
      </c>
      <c r="Z242" s="0" t="str">
        <f aca="false">IF(Y242&gt;=Parameters!$B$25,"High","")</f>
        <v/>
      </c>
    </row>
    <row r="243" customFormat="false" ht="15" hidden="false" customHeight="false" outlineLevel="0" collapsed="false">
      <c r="A243" s="16" t="n">
        <v>1243</v>
      </c>
      <c r="B243" s="9" t="n">
        <f aca="false">COUNTIF(JE_Lines!$B$5:$B$1733,A243)</f>
        <v>2</v>
      </c>
      <c r="C243" s="17" t="n">
        <f aca="false">SUMIFS(JE_Lines!$G$5:$G$1733,JE_Lines!$B$5:$B$1733,A243)</f>
        <v>653.92</v>
      </c>
      <c r="D243" s="17" t="n">
        <f aca="false">SUMIFS(JE_Lines!$H$5:$H$1733,JE_Lines!$B$5:$B$1733,A243)</f>
        <v>653.92</v>
      </c>
      <c r="E243" s="17" t="n">
        <f aca="false">C243-D243</f>
        <v>0</v>
      </c>
      <c r="F243" s="18" t="n">
        <f aca="false">INDEX(JE_Lines!$C$5:$C$1733,MATCH(A243,JE_Lines!$B$5:$B$1733,0))</f>
        <v>45768</v>
      </c>
      <c r="G243" s="18" t="n">
        <f aca="false">INDEX(JE_Lines!$D$5:$D$1733,MATCH(A243,JE_Lines!$B$5:$B$1733,0))</f>
        <v>45767</v>
      </c>
      <c r="H243" s="0" t="str">
        <f aca="false">INDEX(JE_Lines!$I$5:$I$1733,MATCH(A243,JE_Lines!$B$5:$B$1733,0))</f>
        <v>SYS_AR</v>
      </c>
      <c r="I243" s="0" t="str">
        <f aca="false">INDEX(JE_Lines!$J$5:$J$1733,MATCH(A243,JE_Lines!$B$5:$B$1733,0))</f>
        <v>System</v>
      </c>
      <c r="J243" s="0" t="str">
        <f aca="false">IF(LEN(INDEX(JE_Lines!$K$5:$K$1733,MATCH(A243,JE_Lines!$B$5:$B$1733,0)))=0,"",INDEX(JE_Lines!$K$5:$K$1733,MATCH(A243,JE_Lines!$B$5:$B$1733,0)))</f>
        <v>Customer receipts</v>
      </c>
      <c r="K243" s="9" t="n">
        <f aca="false">F243-G243</f>
        <v>1</v>
      </c>
      <c r="L243" s="9" t="n">
        <f aca="false">COUNTIFS(JE_Lines!$B$5:$B$1733,A243,JE_Lines!$F$5:$F$1733,"Revenue")</f>
        <v>0</v>
      </c>
      <c r="M243" s="9" t="n">
        <f aca="false">COUNTIFS(JE_Lines!$B$5:$B$1733,A243,JE_Lines!$F$5:$F$1733,"Suspense")</f>
        <v>0</v>
      </c>
      <c r="N243" s="9" t="n">
        <f aca="false">IF(ABS(E243)&gt;Parameters!$B$23,1,0)</f>
        <v>0</v>
      </c>
      <c r="O243" s="9" t="n">
        <f aca="false">IF(WEEKDAY(F243,2)&gt;5,1,0)</f>
        <v>0</v>
      </c>
      <c r="P243" s="9" t="n">
        <f aca="false">IF(K243&gt;Parameters!$B$17,1,0)</f>
        <v>0</v>
      </c>
      <c r="Q243" s="9" t="n">
        <f aca="false">IF(AND(F243&lt;=Parameters!$B$6,F243&gt;Parameters!$B$6-Parameters!$B$18),1,0)</f>
        <v>0</v>
      </c>
      <c r="R243" s="9" t="n">
        <f aca="false">IF(COUNTIF(Parameters!$A$51:$A$58,H243)=0,1,0)</f>
        <v>0</v>
      </c>
      <c r="S243" s="9" t="n">
        <f aca="false">IF(AND(I243="Manual",L243&gt;0),1,0)</f>
        <v>0</v>
      </c>
      <c r="T243" s="9" t="n">
        <f aca="false">IF(AND(C243&gt;=Parameters!$B$22,ROUND(MOD(ROUND(C243,2),Parameters!$B$21),2)=0),1,0)</f>
        <v>0</v>
      </c>
      <c r="U243" s="9" t="n">
        <f aca="false">IF(LEN(TRIM(J243))=0,1,0)</f>
        <v>0</v>
      </c>
      <c r="V243" s="9" t="n">
        <f aca="false">IF(AND(I243="Manual",C243&lt;Parameters!$B$19,C243&gt;=Parameters!$B$19*(1-Parameters!$B$20)),1,0)</f>
        <v>0</v>
      </c>
      <c r="W243" s="9" t="n">
        <f aca="false">IF(AND(I243="Manual",M243&gt;0),1,0)</f>
        <v>0</v>
      </c>
      <c r="X243" s="9" t="n">
        <f aca="false">IF(A243-A242&gt;1,1,0)</f>
        <v>0</v>
      </c>
      <c r="Y243" s="9" t="n">
        <f aca="false">N243*Parameters!$B$38+O243*Parameters!$B$39+P243*Parameters!$B$40+Q243*Parameters!$B$41+R243*Parameters!$B$42+S243*Parameters!$B$43+T243*Parameters!$B$44+U243*Parameters!$B$45+V243*Parameters!$B$46+W243*Parameters!$B$47+X243*Parameters!$B$48</f>
        <v>0</v>
      </c>
      <c r="Z243" s="0" t="str">
        <f aca="false">IF(Y243&gt;=Parameters!$B$25,"High","")</f>
        <v/>
      </c>
    </row>
    <row r="244" customFormat="false" ht="15" hidden="false" customHeight="false" outlineLevel="0" collapsed="false">
      <c r="A244" s="16" t="n">
        <v>1244</v>
      </c>
      <c r="B244" s="9" t="n">
        <f aca="false">COUNTIF(JE_Lines!$B$5:$B$1733,A244)</f>
        <v>2</v>
      </c>
      <c r="C244" s="17" t="n">
        <f aca="false">SUMIFS(JE_Lines!$G$5:$G$1733,JE_Lines!$B$5:$B$1733,A244)</f>
        <v>7638.96</v>
      </c>
      <c r="D244" s="17" t="n">
        <f aca="false">SUMIFS(JE_Lines!$H$5:$H$1733,JE_Lines!$B$5:$B$1733,A244)</f>
        <v>7638.96</v>
      </c>
      <c r="E244" s="17" t="n">
        <f aca="false">C244-D244</f>
        <v>0</v>
      </c>
      <c r="F244" s="18" t="n">
        <f aca="false">INDEX(JE_Lines!$C$5:$C$1733,MATCH(A244,JE_Lines!$B$5:$B$1733,0))</f>
        <v>45768</v>
      </c>
      <c r="G244" s="18" t="n">
        <f aca="false">INDEX(JE_Lines!$D$5:$D$1733,MATCH(A244,JE_Lines!$B$5:$B$1733,0))</f>
        <v>45766</v>
      </c>
      <c r="H244" s="0" t="str">
        <f aca="false">INDEX(JE_Lines!$I$5:$I$1733,MATCH(A244,JE_Lines!$B$5:$B$1733,0))</f>
        <v>SYS_AP</v>
      </c>
      <c r="I244" s="0" t="str">
        <f aca="false">INDEX(JE_Lines!$J$5:$J$1733,MATCH(A244,JE_Lines!$B$5:$B$1733,0))</f>
        <v>System</v>
      </c>
      <c r="J244" s="0" t="str">
        <f aca="false">IF(LEN(INDEX(JE_Lines!$K$5:$K$1733,MATCH(A244,JE_Lines!$B$5:$B$1733,0)))=0,"",INDEX(JE_Lines!$K$5:$K$1733,MATCH(A244,JE_Lines!$B$5:$B$1733,0)))</f>
        <v>Supplier invoices</v>
      </c>
      <c r="K244" s="9" t="n">
        <f aca="false">F244-G244</f>
        <v>2</v>
      </c>
      <c r="L244" s="9" t="n">
        <f aca="false">COUNTIFS(JE_Lines!$B$5:$B$1733,A244,JE_Lines!$F$5:$F$1733,"Revenue")</f>
        <v>0</v>
      </c>
      <c r="M244" s="9" t="n">
        <f aca="false">COUNTIFS(JE_Lines!$B$5:$B$1733,A244,JE_Lines!$F$5:$F$1733,"Suspense")</f>
        <v>0</v>
      </c>
      <c r="N244" s="9" t="n">
        <f aca="false">IF(ABS(E244)&gt;Parameters!$B$23,1,0)</f>
        <v>0</v>
      </c>
      <c r="O244" s="9" t="n">
        <f aca="false">IF(WEEKDAY(F244,2)&gt;5,1,0)</f>
        <v>0</v>
      </c>
      <c r="P244" s="9" t="n">
        <f aca="false">IF(K244&gt;Parameters!$B$17,1,0)</f>
        <v>0</v>
      </c>
      <c r="Q244" s="9" t="n">
        <f aca="false">IF(AND(F244&lt;=Parameters!$B$6,F244&gt;Parameters!$B$6-Parameters!$B$18),1,0)</f>
        <v>0</v>
      </c>
      <c r="R244" s="9" t="n">
        <f aca="false">IF(COUNTIF(Parameters!$A$51:$A$58,H244)=0,1,0)</f>
        <v>0</v>
      </c>
      <c r="S244" s="9" t="n">
        <f aca="false">IF(AND(I244="Manual",L244&gt;0),1,0)</f>
        <v>0</v>
      </c>
      <c r="T244" s="9" t="n">
        <f aca="false">IF(AND(C244&gt;=Parameters!$B$22,ROUND(MOD(ROUND(C244,2),Parameters!$B$21),2)=0),1,0)</f>
        <v>0</v>
      </c>
      <c r="U244" s="9" t="n">
        <f aca="false">IF(LEN(TRIM(J244))=0,1,0)</f>
        <v>0</v>
      </c>
      <c r="V244" s="9" t="n">
        <f aca="false">IF(AND(I244="Manual",C244&lt;Parameters!$B$19,C244&gt;=Parameters!$B$19*(1-Parameters!$B$20)),1,0)</f>
        <v>0</v>
      </c>
      <c r="W244" s="9" t="n">
        <f aca="false">IF(AND(I244="Manual",M244&gt;0),1,0)</f>
        <v>0</v>
      </c>
      <c r="X244" s="9" t="n">
        <f aca="false">IF(A244-A243&gt;1,1,0)</f>
        <v>0</v>
      </c>
      <c r="Y244" s="9" t="n">
        <f aca="false">N244*Parameters!$B$38+O244*Parameters!$B$39+P244*Parameters!$B$40+Q244*Parameters!$B$41+R244*Parameters!$B$42+S244*Parameters!$B$43+T244*Parameters!$B$44+U244*Parameters!$B$45+V244*Parameters!$B$46+W244*Parameters!$B$47+X244*Parameters!$B$48</f>
        <v>0</v>
      </c>
      <c r="Z244" s="0" t="str">
        <f aca="false">IF(Y244&gt;=Parameters!$B$25,"High","")</f>
        <v/>
      </c>
    </row>
    <row r="245" customFormat="false" ht="15" hidden="false" customHeight="false" outlineLevel="0" collapsed="false">
      <c r="A245" s="16" t="n">
        <v>1245</v>
      </c>
      <c r="B245" s="9" t="n">
        <f aca="false">COUNTIF(JE_Lines!$B$5:$B$1733,A245)</f>
        <v>2</v>
      </c>
      <c r="C245" s="17" t="n">
        <f aca="false">SUMIFS(JE_Lines!$G$5:$G$1733,JE_Lines!$B$5:$B$1733,A245)</f>
        <v>981.03</v>
      </c>
      <c r="D245" s="17" t="n">
        <f aca="false">SUMIFS(JE_Lines!$H$5:$H$1733,JE_Lines!$B$5:$B$1733,A245)</f>
        <v>981.03</v>
      </c>
      <c r="E245" s="17" t="n">
        <f aca="false">C245-D245</f>
        <v>0</v>
      </c>
      <c r="F245" s="18" t="n">
        <f aca="false">INDEX(JE_Lines!$C$5:$C$1733,MATCH(A245,JE_Lines!$B$5:$B$1733,0))</f>
        <v>45769</v>
      </c>
      <c r="G245" s="18" t="n">
        <f aca="false">INDEX(JE_Lines!$D$5:$D$1733,MATCH(A245,JE_Lines!$B$5:$B$1733,0))</f>
        <v>45766</v>
      </c>
      <c r="H245" s="0" t="str">
        <f aca="false">INDEX(JE_Lines!$I$5:$I$1733,MATCH(A245,JE_Lines!$B$5:$B$1733,0))</f>
        <v>SYS_PAY</v>
      </c>
      <c r="I245" s="0" t="str">
        <f aca="false">INDEX(JE_Lines!$J$5:$J$1733,MATCH(A245,JE_Lines!$B$5:$B$1733,0))</f>
        <v>System</v>
      </c>
      <c r="J245" s="0" t="str">
        <f aca="false">IF(LEN(INDEX(JE_Lines!$K$5:$K$1733,MATCH(A245,JE_Lines!$B$5:$B$1733,0)))=0,"",INDEX(JE_Lines!$K$5:$K$1733,MATCH(A245,JE_Lines!$B$5:$B$1733,0)))</f>
        <v>Supplier payments</v>
      </c>
      <c r="K245" s="9" t="n">
        <f aca="false">F245-G245</f>
        <v>3</v>
      </c>
      <c r="L245" s="9" t="n">
        <f aca="false">COUNTIFS(JE_Lines!$B$5:$B$1733,A245,JE_Lines!$F$5:$F$1733,"Revenue")</f>
        <v>0</v>
      </c>
      <c r="M245" s="9" t="n">
        <f aca="false">COUNTIFS(JE_Lines!$B$5:$B$1733,A245,JE_Lines!$F$5:$F$1733,"Suspense")</f>
        <v>0</v>
      </c>
      <c r="N245" s="9" t="n">
        <f aca="false">IF(ABS(E245)&gt;Parameters!$B$23,1,0)</f>
        <v>0</v>
      </c>
      <c r="O245" s="9" t="n">
        <f aca="false">IF(WEEKDAY(F245,2)&gt;5,1,0)</f>
        <v>0</v>
      </c>
      <c r="P245" s="9" t="n">
        <f aca="false">IF(K245&gt;Parameters!$B$17,1,0)</f>
        <v>0</v>
      </c>
      <c r="Q245" s="9" t="n">
        <f aca="false">IF(AND(F245&lt;=Parameters!$B$6,F245&gt;Parameters!$B$6-Parameters!$B$18),1,0)</f>
        <v>0</v>
      </c>
      <c r="R245" s="9" t="n">
        <f aca="false">IF(COUNTIF(Parameters!$A$51:$A$58,H245)=0,1,0)</f>
        <v>0</v>
      </c>
      <c r="S245" s="9" t="n">
        <f aca="false">IF(AND(I245="Manual",L245&gt;0),1,0)</f>
        <v>0</v>
      </c>
      <c r="T245" s="9" t="n">
        <f aca="false">IF(AND(C245&gt;=Parameters!$B$22,ROUND(MOD(ROUND(C245,2),Parameters!$B$21),2)=0),1,0)</f>
        <v>0</v>
      </c>
      <c r="U245" s="9" t="n">
        <f aca="false">IF(LEN(TRIM(J245))=0,1,0)</f>
        <v>0</v>
      </c>
      <c r="V245" s="9" t="n">
        <f aca="false">IF(AND(I245="Manual",C245&lt;Parameters!$B$19,C245&gt;=Parameters!$B$19*(1-Parameters!$B$20)),1,0)</f>
        <v>0</v>
      </c>
      <c r="W245" s="9" t="n">
        <f aca="false">IF(AND(I245="Manual",M245&gt;0),1,0)</f>
        <v>0</v>
      </c>
      <c r="X245" s="9" t="n">
        <f aca="false">IF(A245-A244&gt;1,1,0)</f>
        <v>0</v>
      </c>
      <c r="Y245" s="9" t="n">
        <f aca="false">N245*Parameters!$B$38+O245*Parameters!$B$39+P245*Parameters!$B$40+Q245*Parameters!$B$41+R245*Parameters!$B$42+S245*Parameters!$B$43+T245*Parameters!$B$44+U245*Parameters!$B$45+V245*Parameters!$B$46+W245*Parameters!$B$47+X245*Parameters!$B$48</f>
        <v>0</v>
      </c>
      <c r="Z245" s="0" t="str">
        <f aca="false">IF(Y245&gt;=Parameters!$B$25,"High","")</f>
        <v/>
      </c>
    </row>
    <row r="246" customFormat="false" ht="15" hidden="false" customHeight="false" outlineLevel="0" collapsed="false">
      <c r="A246" s="16" t="n">
        <v>1246</v>
      </c>
      <c r="B246" s="9" t="n">
        <f aca="false">COUNTIF(JE_Lines!$B$5:$B$1733,A246)</f>
        <v>2</v>
      </c>
      <c r="C246" s="17" t="n">
        <f aca="false">SUMIFS(JE_Lines!$G$5:$G$1733,JE_Lines!$B$5:$B$1733,A246)</f>
        <v>25622.9</v>
      </c>
      <c r="D246" s="17" t="n">
        <f aca="false">SUMIFS(JE_Lines!$H$5:$H$1733,JE_Lines!$B$5:$B$1733,A246)</f>
        <v>25622.9</v>
      </c>
      <c r="E246" s="17" t="n">
        <f aca="false">C246-D246</f>
        <v>0</v>
      </c>
      <c r="F246" s="18" t="n">
        <f aca="false">INDEX(JE_Lines!$C$5:$C$1733,MATCH(A246,JE_Lines!$B$5:$B$1733,0))</f>
        <v>45770</v>
      </c>
      <c r="G246" s="18" t="n">
        <f aca="false">INDEX(JE_Lines!$D$5:$D$1733,MATCH(A246,JE_Lines!$B$5:$B$1733,0))</f>
        <v>45768</v>
      </c>
      <c r="H246" s="0" t="str">
        <f aca="false">INDEX(JE_Lines!$I$5:$I$1733,MATCH(A246,JE_Lines!$B$5:$B$1733,0))</f>
        <v>SYS_AP</v>
      </c>
      <c r="I246" s="0" t="str">
        <f aca="false">INDEX(JE_Lines!$J$5:$J$1733,MATCH(A246,JE_Lines!$B$5:$B$1733,0))</f>
        <v>System</v>
      </c>
      <c r="J246" s="0" t="str">
        <f aca="false">IF(LEN(INDEX(JE_Lines!$K$5:$K$1733,MATCH(A246,JE_Lines!$B$5:$B$1733,0)))=0,"",INDEX(JE_Lines!$K$5:$K$1733,MATCH(A246,JE_Lines!$B$5:$B$1733,0)))</f>
        <v>Utilities invoices</v>
      </c>
      <c r="K246" s="9" t="n">
        <f aca="false">F246-G246</f>
        <v>2</v>
      </c>
      <c r="L246" s="9" t="n">
        <f aca="false">COUNTIFS(JE_Lines!$B$5:$B$1733,A246,JE_Lines!$F$5:$F$1733,"Revenue")</f>
        <v>0</v>
      </c>
      <c r="M246" s="9" t="n">
        <f aca="false">COUNTIFS(JE_Lines!$B$5:$B$1733,A246,JE_Lines!$F$5:$F$1733,"Suspense")</f>
        <v>0</v>
      </c>
      <c r="N246" s="9" t="n">
        <f aca="false">IF(ABS(E246)&gt;Parameters!$B$23,1,0)</f>
        <v>0</v>
      </c>
      <c r="O246" s="9" t="n">
        <f aca="false">IF(WEEKDAY(F246,2)&gt;5,1,0)</f>
        <v>0</v>
      </c>
      <c r="P246" s="9" t="n">
        <f aca="false">IF(K246&gt;Parameters!$B$17,1,0)</f>
        <v>0</v>
      </c>
      <c r="Q246" s="9" t="n">
        <f aca="false">IF(AND(F246&lt;=Parameters!$B$6,F246&gt;Parameters!$B$6-Parameters!$B$18),1,0)</f>
        <v>0</v>
      </c>
      <c r="R246" s="9" t="n">
        <f aca="false">IF(COUNTIF(Parameters!$A$51:$A$58,H246)=0,1,0)</f>
        <v>0</v>
      </c>
      <c r="S246" s="9" t="n">
        <f aca="false">IF(AND(I246="Manual",L246&gt;0),1,0)</f>
        <v>0</v>
      </c>
      <c r="T246" s="9" t="n">
        <f aca="false">IF(AND(C246&gt;=Parameters!$B$22,ROUND(MOD(ROUND(C246,2),Parameters!$B$21),2)=0),1,0)</f>
        <v>0</v>
      </c>
      <c r="U246" s="9" t="n">
        <f aca="false">IF(LEN(TRIM(J246))=0,1,0)</f>
        <v>0</v>
      </c>
      <c r="V246" s="9" t="n">
        <f aca="false">IF(AND(I246="Manual",C246&lt;Parameters!$B$19,C246&gt;=Parameters!$B$19*(1-Parameters!$B$20)),1,0)</f>
        <v>0</v>
      </c>
      <c r="W246" s="9" t="n">
        <f aca="false">IF(AND(I246="Manual",M246&gt;0),1,0)</f>
        <v>0</v>
      </c>
      <c r="X246" s="9" t="n">
        <f aca="false">IF(A246-A245&gt;1,1,0)</f>
        <v>0</v>
      </c>
      <c r="Y246" s="9" t="n">
        <f aca="false">N246*Parameters!$B$38+O246*Parameters!$B$39+P246*Parameters!$B$40+Q246*Parameters!$B$41+R246*Parameters!$B$42+S246*Parameters!$B$43+T246*Parameters!$B$44+U246*Parameters!$B$45+V246*Parameters!$B$46+W246*Parameters!$B$47+X246*Parameters!$B$48</f>
        <v>0</v>
      </c>
      <c r="Z246" s="0" t="str">
        <f aca="false">IF(Y246&gt;=Parameters!$B$25,"High","")</f>
        <v/>
      </c>
    </row>
    <row r="247" customFormat="false" ht="15" hidden="false" customHeight="false" outlineLevel="0" collapsed="false">
      <c r="A247" s="16" t="n">
        <v>1247</v>
      </c>
      <c r="B247" s="9" t="n">
        <f aca="false">COUNTIF(JE_Lines!$B$5:$B$1733,A247)</f>
        <v>2</v>
      </c>
      <c r="C247" s="17" t="n">
        <f aca="false">SUMIFS(JE_Lines!$G$5:$G$1733,JE_Lines!$B$5:$B$1733,A247)</f>
        <v>2894.57</v>
      </c>
      <c r="D247" s="17" t="n">
        <f aca="false">SUMIFS(JE_Lines!$H$5:$H$1733,JE_Lines!$B$5:$B$1733,A247)</f>
        <v>2894.57</v>
      </c>
      <c r="E247" s="17" t="n">
        <f aca="false">C247-D247</f>
        <v>0</v>
      </c>
      <c r="F247" s="18" t="n">
        <f aca="false">INDEX(JE_Lines!$C$5:$C$1733,MATCH(A247,JE_Lines!$B$5:$B$1733,0))</f>
        <v>45770</v>
      </c>
      <c r="G247" s="18" t="n">
        <f aca="false">INDEX(JE_Lines!$D$5:$D$1733,MATCH(A247,JE_Lines!$B$5:$B$1733,0))</f>
        <v>45769</v>
      </c>
      <c r="H247" s="0" t="str">
        <f aca="false">INDEX(JE_Lines!$I$5:$I$1733,MATCH(A247,JE_Lines!$B$5:$B$1733,0))</f>
        <v>SYS_PAY</v>
      </c>
      <c r="I247" s="0" t="str">
        <f aca="false">INDEX(JE_Lines!$J$5:$J$1733,MATCH(A247,JE_Lines!$B$5:$B$1733,0))</f>
        <v>System</v>
      </c>
      <c r="J247" s="0" t="str">
        <f aca="false">IF(LEN(INDEX(JE_Lines!$K$5:$K$1733,MATCH(A247,JE_Lines!$B$5:$B$1733,0)))=0,"",INDEX(JE_Lines!$K$5:$K$1733,MATCH(A247,JE_Lines!$B$5:$B$1733,0)))</f>
        <v>Supplier payments</v>
      </c>
      <c r="K247" s="9" t="n">
        <f aca="false">F247-G247</f>
        <v>1</v>
      </c>
      <c r="L247" s="9" t="n">
        <f aca="false">COUNTIFS(JE_Lines!$B$5:$B$1733,A247,JE_Lines!$F$5:$F$1733,"Revenue")</f>
        <v>0</v>
      </c>
      <c r="M247" s="9" t="n">
        <f aca="false">COUNTIFS(JE_Lines!$B$5:$B$1733,A247,JE_Lines!$F$5:$F$1733,"Suspense")</f>
        <v>0</v>
      </c>
      <c r="N247" s="9" t="n">
        <f aca="false">IF(ABS(E247)&gt;Parameters!$B$23,1,0)</f>
        <v>0</v>
      </c>
      <c r="O247" s="9" t="n">
        <f aca="false">IF(WEEKDAY(F247,2)&gt;5,1,0)</f>
        <v>0</v>
      </c>
      <c r="P247" s="9" t="n">
        <f aca="false">IF(K247&gt;Parameters!$B$17,1,0)</f>
        <v>0</v>
      </c>
      <c r="Q247" s="9" t="n">
        <f aca="false">IF(AND(F247&lt;=Parameters!$B$6,F247&gt;Parameters!$B$6-Parameters!$B$18),1,0)</f>
        <v>0</v>
      </c>
      <c r="R247" s="9" t="n">
        <f aca="false">IF(COUNTIF(Parameters!$A$51:$A$58,H247)=0,1,0)</f>
        <v>0</v>
      </c>
      <c r="S247" s="9" t="n">
        <f aca="false">IF(AND(I247="Manual",L247&gt;0),1,0)</f>
        <v>0</v>
      </c>
      <c r="T247" s="9" t="n">
        <f aca="false">IF(AND(C247&gt;=Parameters!$B$22,ROUND(MOD(ROUND(C247,2),Parameters!$B$21),2)=0),1,0)</f>
        <v>0</v>
      </c>
      <c r="U247" s="9" t="n">
        <f aca="false">IF(LEN(TRIM(J247))=0,1,0)</f>
        <v>0</v>
      </c>
      <c r="V247" s="9" t="n">
        <f aca="false">IF(AND(I247="Manual",C247&lt;Parameters!$B$19,C247&gt;=Parameters!$B$19*(1-Parameters!$B$20)),1,0)</f>
        <v>0</v>
      </c>
      <c r="W247" s="9" t="n">
        <f aca="false">IF(AND(I247="Manual",M247&gt;0),1,0)</f>
        <v>0</v>
      </c>
      <c r="X247" s="9" t="n">
        <f aca="false">IF(A247-A246&gt;1,1,0)</f>
        <v>0</v>
      </c>
      <c r="Y247" s="9" t="n">
        <f aca="false">N247*Parameters!$B$38+O247*Parameters!$B$39+P247*Parameters!$B$40+Q247*Parameters!$B$41+R247*Parameters!$B$42+S247*Parameters!$B$43+T247*Parameters!$B$44+U247*Parameters!$B$45+V247*Parameters!$B$46+W247*Parameters!$B$47+X247*Parameters!$B$48</f>
        <v>0</v>
      </c>
      <c r="Z247" s="0" t="str">
        <f aca="false">IF(Y247&gt;=Parameters!$B$25,"High","")</f>
        <v/>
      </c>
    </row>
    <row r="248" customFormat="false" ht="15" hidden="false" customHeight="false" outlineLevel="0" collapsed="false">
      <c r="A248" s="16" t="n">
        <v>1248</v>
      </c>
      <c r="B248" s="9" t="n">
        <f aca="false">COUNTIF(JE_Lines!$B$5:$B$1733,A248)</f>
        <v>2</v>
      </c>
      <c r="C248" s="17" t="n">
        <f aca="false">SUMIFS(JE_Lines!$G$5:$G$1733,JE_Lines!$B$5:$B$1733,A248)</f>
        <v>6580.2</v>
      </c>
      <c r="D248" s="17" t="n">
        <f aca="false">SUMIFS(JE_Lines!$H$5:$H$1733,JE_Lines!$B$5:$B$1733,A248)</f>
        <v>6580.2</v>
      </c>
      <c r="E248" s="17" t="n">
        <f aca="false">C248-D248</f>
        <v>0</v>
      </c>
      <c r="F248" s="18" t="n">
        <f aca="false">INDEX(JE_Lines!$C$5:$C$1733,MATCH(A248,JE_Lines!$B$5:$B$1733,0))</f>
        <v>45771</v>
      </c>
      <c r="G248" s="18" t="n">
        <f aca="false">INDEX(JE_Lines!$D$5:$D$1733,MATCH(A248,JE_Lines!$B$5:$B$1733,0))</f>
        <v>45767</v>
      </c>
      <c r="H248" s="0" t="str">
        <f aca="false">INDEX(JE_Lines!$I$5:$I$1733,MATCH(A248,JE_Lines!$B$5:$B$1733,0))</f>
        <v>SYS_PAY</v>
      </c>
      <c r="I248" s="0" t="str">
        <f aca="false">INDEX(JE_Lines!$J$5:$J$1733,MATCH(A248,JE_Lines!$B$5:$B$1733,0))</f>
        <v>System</v>
      </c>
      <c r="J248" s="0" t="str">
        <f aca="false">IF(LEN(INDEX(JE_Lines!$K$5:$K$1733,MATCH(A248,JE_Lines!$B$5:$B$1733,0)))=0,"",INDEX(JE_Lines!$K$5:$K$1733,MATCH(A248,JE_Lines!$B$5:$B$1733,0)))</f>
        <v>Supplier payments</v>
      </c>
      <c r="K248" s="9" t="n">
        <f aca="false">F248-G248</f>
        <v>4</v>
      </c>
      <c r="L248" s="9" t="n">
        <f aca="false">COUNTIFS(JE_Lines!$B$5:$B$1733,A248,JE_Lines!$F$5:$F$1733,"Revenue")</f>
        <v>0</v>
      </c>
      <c r="M248" s="9" t="n">
        <f aca="false">COUNTIFS(JE_Lines!$B$5:$B$1733,A248,JE_Lines!$F$5:$F$1733,"Suspense")</f>
        <v>0</v>
      </c>
      <c r="N248" s="9" t="n">
        <f aca="false">IF(ABS(E248)&gt;Parameters!$B$23,1,0)</f>
        <v>0</v>
      </c>
      <c r="O248" s="9" t="n">
        <f aca="false">IF(WEEKDAY(F248,2)&gt;5,1,0)</f>
        <v>0</v>
      </c>
      <c r="P248" s="9" t="n">
        <f aca="false">IF(K248&gt;Parameters!$B$17,1,0)</f>
        <v>0</v>
      </c>
      <c r="Q248" s="9" t="n">
        <f aca="false">IF(AND(F248&lt;=Parameters!$B$6,F248&gt;Parameters!$B$6-Parameters!$B$18),1,0)</f>
        <v>0</v>
      </c>
      <c r="R248" s="9" t="n">
        <f aca="false">IF(COUNTIF(Parameters!$A$51:$A$58,H248)=0,1,0)</f>
        <v>0</v>
      </c>
      <c r="S248" s="9" t="n">
        <f aca="false">IF(AND(I248="Manual",L248&gt;0),1,0)</f>
        <v>0</v>
      </c>
      <c r="T248" s="9" t="n">
        <f aca="false">IF(AND(C248&gt;=Parameters!$B$22,ROUND(MOD(ROUND(C248,2),Parameters!$B$21),2)=0),1,0)</f>
        <v>0</v>
      </c>
      <c r="U248" s="9" t="n">
        <f aca="false">IF(LEN(TRIM(J248))=0,1,0)</f>
        <v>0</v>
      </c>
      <c r="V248" s="9" t="n">
        <f aca="false">IF(AND(I248="Manual",C248&lt;Parameters!$B$19,C248&gt;=Parameters!$B$19*(1-Parameters!$B$20)),1,0)</f>
        <v>0</v>
      </c>
      <c r="W248" s="9" t="n">
        <f aca="false">IF(AND(I248="Manual",M248&gt;0),1,0)</f>
        <v>0</v>
      </c>
      <c r="X248" s="9" t="n">
        <f aca="false">IF(A248-A247&gt;1,1,0)</f>
        <v>0</v>
      </c>
      <c r="Y248" s="9" t="n">
        <f aca="false">N248*Parameters!$B$38+O248*Parameters!$B$39+P248*Parameters!$B$40+Q248*Parameters!$B$41+R248*Parameters!$B$42+S248*Parameters!$B$43+T248*Parameters!$B$44+U248*Parameters!$B$45+V248*Parameters!$B$46+W248*Parameters!$B$47+X248*Parameters!$B$48</f>
        <v>0</v>
      </c>
      <c r="Z248" s="0" t="str">
        <f aca="false">IF(Y248&gt;=Parameters!$B$25,"High","")</f>
        <v/>
      </c>
    </row>
    <row r="249" customFormat="false" ht="15" hidden="false" customHeight="false" outlineLevel="0" collapsed="false">
      <c r="A249" s="16" t="n">
        <v>1249</v>
      </c>
      <c r="B249" s="9" t="n">
        <f aca="false">COUNTIF(JE_Lines!$B$5:$B$1733,A249)</f>
        <v>2</v>
      </c>
      <c r="C249" s="17" t="n">
        <f aca="false">SUMIFS(JE_Lines!$G$5:$G$1733,JE_Lines!$B$5:$B$1733,A249)</f>
        <v>15205.81</v>
      </c>
      <c r="D249" s="17" t="n">
        <f aca="false">SUMIFS(JE_Lines!$H$5:$H$1733,JE_Lines!$B$5:$B$1733,A249)</f>
        <v>15205.81</v>
      </c>
      <c r="E249" s="17" t="n">
        <f aca="false">C249-D249</f>
        <v>0</v>
      </c>
      <c r="F249" s="18" t="n">
        <f aca="false">INDEX(JE_Lines!$C$5:$C$1733,MATCH(A249,JE_Lines!$B$5:$B$1733,0))</f>
        <v>45771</v>
      </c>
      <c r="G249" s="18" t="n">
        <f aca="false">INDEX(JE_Lines!$D$5:$D$1733,MATCH(A249,JE_Lines!$B$5:$B$1733,0))</f>
        <v>45769</v>
      </c>
      <c r="H249" s="0" t="str">
        <f aca="false">INDEX(JE_Lines!$I$5:$I$1733,MATCH(A249,JE_Lines!$B$5:$B$1733,0))</f>
        <v>SYS_PAY</v>
      </c>
      <c r="I249" s="0" t="str">
        <f aca="false">INDEX(JE_Lines!$J$5:$J$1733,MATCH(A249,JE_Lines!$B$5:$B$1733,0))</f>
        <v>System</v>
      </c>
      <c r="J249" s="0" t="str">
        <f aca="false">IF(LEN(INDEX(JE_Lines!$K$5:$K$1733,MATCH(A249,JE_Lines!$B$5:$B$1733,0)))=0,"",INDEX(JE_Lines!$K$5:$K$1733,MATCH(A249,JE_Lines!$B$5:$B$1733,0)))</f>
        <v>Supplier payments</v>
      </c>
      <c r="K249" s="9" t="n">
        <f aca="false">F249-G249</f>
        <v>2</v>
      </c>
      <c r="L249" s="9" t="n">
        <f aca="false">COUNTIFS(JE_Lines!$B$5:$B$1733,A249,JE_Lines!$F$5:$F$1733,"Revenue")</f>
        <v>0</v>
      </c>
      <c r="M249" s="9" t="n">
        <f aca="false">COUNTIFS(JE_Lines!$B$5:$B$1733,A249,JE_Lines!$F$5:$F$1733,"Suspense")</f>
        <v>0</v>
      </c>
      <c r="N249" s="9" t="n">
        <f aca="false">IF(ABS(E249)&gt;Parameters!$B$23,1,0)</f>
        <v>0</v>
      </c>
      <c r="O249" s="9" t="n">
        <f aca="false">IF(WEEKDAY(F249,2)&gt;5,1,0)</f>
        <v>0</v>
      </c>
      <c r="P249" s="9" t="n">
        <f aca="false">IF(K249&gt;Parameters!$B$17,1,0)</f>
        <v>0</v>
      </c>
      <c r="Q249" s="9" t="n">
        <f aca="false">IF(AND(F249&lt;=Parameters!$B$6,F249&gt;Parameters!$B$6-Parameters!$B$18),1,0)</f>
        <v>0</v>
      </c>
      <c r="R249" s="9" t="n">
        <f aca="false">IF(COUNTIF(Parameters!$A$51:$A$58,H249)=0,1,0)</f>
        <v>0</v>
      </c>
      <c r="S249" s="9" t="n">
        <f aca="false">IF(AND(I249="Manual",L249&gt;0),1,0)</f>
        <v>0</v>
      </c>
      <c r="T249" s="9" t="n">
        <f aca="false">IF(AND(C249&gt;=Parameters!$B$22,ROUND(MOD(ROUND(C249,2),Parameters!$B$21),2)=0),1,0)</f>
        <v>0</v>
      </c>
      <c r="U249" s="9" t="n">
        <f aca="false">IF(LEN(TRIM(J249))=0,1,0)</f>
        <v>0</v>
      </c>
      <c r="V249" s="9" t="n">
        <f aca="false">IF(AND(I249="Manual",C249&lt;Parameters!$B$19,C249&gt;=Parameters!$B$19*(1-Parameters!$B$20)),1,0)</f>
        <v>0</v>
      </c>
      <c r="W249" s="9" t="n">
        <f aca="false">IF(AND(I249="Manual",M249&gt;0),1,0)</f>
        <v>0</v>
      </c>
      <c r="X249" s="9" t="n">
        <f aca="false">IF(A249-A248&gt;1,1,0)</f>
        <v>0</v>
      </c>
      <c r="Y249" s="9" t="n">
        <f aca="false">N249*Parameters!$B$38+O249*Parameters!$B$39+P249*Parameters!$B$40+Q249*Parameters!$B$41+R249*Parameters!$B$42+S249*Parameters!$B$43+T249*Parameters!$B$44+U249*Parameters!$B$45+V249*Parameters!$B$46+W249*Parameters!$B$47+X249*Parameters!$B$48</f>
        <v>0</v>
      </c>
      <c r="Z249" s="0" t="str">
        <f aca="false">IF(Y249&gt;=Parameters!$B$25,"High","")</f>
        <v/>
      </c>
    </row>
    <row r="250" customFormat="false" ht="15" hidden="false" customHeight="false" outlineLevel="0" collapsed="false">
      <c r="A250" s="16" t="n">
        <v>1250</v>
      </c>
      <c r="B250" s="9" t="n">
        <f aca="false">COUNTIF(JE_Lines!$B$5:$B$1733,A250)</f>
        <v>2</v>
      </c>
      <c r="C250" s="17" t="n">
        <f aca="false">SUMIFS(JE_Lines!$G$5:$G$1733,JE_Lines!$B$5:$B$1733,A250)</f>
        <v>3695.87</v>
      </c>
      <c r="D250" s="17" t="n">
        <f aca="false">SUMIFS(JE_Lines!$H$5:$H$1733,JE_Lines!$B$5:$B$1733,A250)</f>
        <v>3695.87</v>
      </c>
      <c r="E250" s="17" t="n">
        <f aca="false">C250-D250</f>
        <v>0</v>
      </c>
      <c r="F250" s="18" t="n">
        <f aca="false">INDEX(JE_Lines!$C$5:$C$1733,MATCH(A250,JE_Lines!$B$5:$B$1733,0))</f>
        <v>45772</v>
      </c>
      <c r="G250" s="18" t="n">
        <f aca="false">INDEX(JE_Lines!$D$5:$D$1733,MATCH(A250,JE_Lines!$B$5:$B$1733,0))</f>
        <v>45772</v>
      </c>
      <c r="H250" s="0" t="str">
        <f aca="false">INDEX(JE_Lines!$I$5:$I$1733,MATCH(A250,JE_Lines!$B$5:$B$1733,0))</f>
        <v>FIN05</v>
      </c>
      <c r="I250" s="0" t="str">
        <f aca="false">INDEX(JE_Lines!$J$5:$J$1733,MATCH(A250,JE_Lines!$B$5:$B$1733,0))</f>
        <v>Manual</v>
      </c>
      <c r="J250" s="0" t="str">
        <f aca="false">IF(LEN(INDEX(JE_Lines!$K$5:$K$1733,MATCH(A250,JE_Lines!$B$5:$B$1733,0)))=0,"",INDEX(JE_Lines!$K$5:$K$1733,MATCH(A250,JE_Lines!$B$5:$B$1733,0)))</f>
        <v/>
      </c>
      <c r="K250" s="9" t="n">
        <f aca="false">F250-G250</f>
        <v>0</v>
      </c>
      <c r="L250" s="9" t="n">
        <f aca="false">COUNTIFS(JE_Lines!$B$5:$B$1733,A250,JE_Lines!$F$5:$F$1733,"Revenue")</f>
        <v>0</v>
      </c>
      <c r="M250" s="9" t="n">
        <f aca="false">COUNTIFS(JE_Lines!$B$5:$B$1733,A250,JE_Lines!$F$5:$F$1733,"Suspense")</f>
        <v>0</v>
      </c>
      <c r="N250" s="9" t="n">
        <f aca="false">IF(ABS(E250)&gt;Parameters!$B$23,1,0)</f>
        <v>0</v>
      </c>
      <c r="O250" s="9" t="n">
        <f aca="false">IF(WEEKDAY(F250,2)&gt;5,1,0)</f>
        <v>0</v>
      </c>
      <c r="P250" s="9" t="n">
        <f aca="false">IF(K250&gt;Parameters!$B$17,1,0)</f>
        <v>0</v>
      </c>
      <c r="Q250" s="9" t="n">
        <f aca="false">IF(AND(F250&lt;=Parameters!$B$6,F250&gt;Parameters!$B$6-Parameters!$B$18),1,0)</f>
        <v>0</v>
      </c>
      <c r="R250" s="9" t="n">
        <f aca="false">IF(COUNTIF(Parameters!$A$51:$A$58,H250)=0,1,0)</f>
        <v>0</v>
      </c>
      <c r="S250" s="9" t="n">
        <f aca="false">IF(AND(I250="Manual",L250&gt;0),1,0)</f>
        <v>0</v>
      </c>
      <c r="T250" s="9" t="n">
        <f aca="false">IF(AND(C250&gt;=Parameters!$B$22,ROUND(MOD(ROUND(C250,2),Parameters!$B$21),2)=0),1,0)</f>
        <v>0</v>
      </c>
      <c r="U250" s="9" t="n">
        <f aca="false">IF(LEN(TRIM(J250))=0,1,0)</f>
        <v>1</v>
      </c>
      <c r="V250" s="9" t="n">
        <f aca="false">IF(AND(I250="Manual",C250&lt;Parameters!$B$19,C250&gt;=Parameters!$B$19*(1-Parameters!$B$20)),1,0)</f>
        <v>0</v>
      </c>
      <c r="W250" s="9" t="n">
        <f aca="false">IF(AND(I250="Manual",M250&gt;0),1,0)</f>
        <v>0</v>
      </c>
      <c r="X250" s="9" t="n">
        <f aca="false">IF(A250-A249&gt;1,1,0)</f>
        <v>0</v>
      </c>
      <c r="Y250" s="9" t="n">
        <f aca="false">N250*Parameters!$B$38+O250*Parameters!$B$39+P250*Parameters!$B$40+Q250*Parameters!$B$41+R250*Parameters!$B$42+S250*Parameters!$B$43+T250*Parameters!$B$44+U250*Parameters!$B$45+V250*Parameters!$B$46+W250*Parameters!$B$47+X250*Parameters!$B$48</f>
        <v>2</v>
      </c>
      <c r="Z250" s="0" t="str">
        <f aca="false">IF(Y250&gt;=Parameters!$B$25,"High","")</f>
        <v/>
      </c>
    </row>
    <row r="251" customFormat="false" ht="15" hidden="false" customHeight="false" outlineLevel="0" collapsed="false">
      <c r="A251" s="16" t="n">
        <v>1251</v>
      </c>
      <c r="B251" s="9" t="n">
        <f aca="false">COUNTIF(JE_Lines!$B$5:$B$1733,A251)</f>
        <v>2</v>
      </c>
      <c r="C251" s="17" t="n">
        <f aca="false">SUMIFS(JE_Lines!$G$5:$G$1733,JE_Lines!$B$5:$B$1733,A251)</f>
        <v>586.14</v>
      </c>
      <c r="D251" s="17" t="n">
        <f aca="false">SUMIFS(JE_Lines!$H$5:$H$1733,JE_Lines!$B$5:$B$1733,A251)</f>
        <v>586.14</v>
      </c>
      <c r="E251" s="17" t="n">
        <f aca="false">C251-D251</f>
        <v>0</v>
      </c>
      <c r="F251" s="18" t="n">
        <f aca="false">INDEX(JE_Lines!$C$5:$C$1733,MATCH(A251,JE_Lines!$B$5:$B$1733,0))</f>
        <v>45772</v>
      </c>
      <c r="G251" s="18" t="n">
        <f aca="false">INDEX(JE_Lines!$D$5:$D$1733,MATCH(A251,JE_Lines!$B$5:$B$1733,0))</f>
        <v>45768</v>
      </c>
      <c r="H251" s="0" t="str">
        <f aca="false">INDEX(JE_Lines!$I$5:$I$1733,MATCH(A251,JE_Lines!$B$5:$B$1733,0))</f>
        <v>SYS_PAY</v>
      </c>
      <c r="I251" s="0" t="str">
        <f aca="false">INDEX(JE_Lines!$J$5:$J$1733,MATCH(A251,JE_Lines!$B$5:$B$1733,0))</f>
        <v>System</v>
      </c>
      <c r="J251" s="0" t="str">
        <f aca="false">IF(LEN(INDEX(JE_Lines!$K$5:$K$1733,MATCH(A251,JE_Lines!$B$5:$B$1733,0)))=0,"",INDEX(JE_Lines!$K$5:$K$1733,MATCH(A251,JE_Lines!$B$5:$B$1733,0)))</f>
        <v>Supplier payments</v>
      </c>
      <c r="K251" s="9" t="n">
        <f aca="false">F251-G251</f>
        <v>4</v>
      </c>
      <c r="L251" s="9" t="n">
        <f aca="false">COUNTIFS(JE_Lines!$B$5:$B$1733,A251,JE_Lines!$F$5:$F$1733,"Revenue")</f>
        <v>0</v>
      </c>
      <c r="M251" s="9" t="n">
        <f aca="false">COUNTIFS(JE_Lines!$B$5:$B$1733,A251,JE_Lines!$F$5:$F$1733,"Suspense")</f>
        <v>0</v>
      </c>
      <c r="N251" s="9" t="n">
        <f aca="false">IF(ABS(E251)&gt;Parameters!$B$23,1,0)</f>
        <v>0</v>
      </c>
      <c r="O251" s="9" t="n">
        <f aca="false">IF(WEEKDAY(F251,2)&gt;5,1,0)</f>
        <v>0</v>
      </c>
      <c r="P251" s="9" t="n">
        <f aca="false">IF(K251&gt;Parameters!$B$17,1,0)</f>
        <v>0</v>
      </c>
      <c r="Q251" s="9" t="n">
        <f aca="false">IF(AND(F251&lt;=Parameters!$B$6,F251&gt;Parameters!$B$6-Parameters!$B$18),1,0)</f>
        <v>0</v>
      </c>
      <c r="R251" s="9" t="n">
        <f aca="false">IF(COUNTIF(Parameters!$A$51:$A$58,H251)=0,1,0)</f>
        <v>0</v>
      </c>
      <c r="S251" s="9" t="n">
        <f aca="false">IF(AND(I251="Manual",L251&gt;0),1,0)</f>
        <v>0</v>
      </c>
      <c r="T251" s="9" t="n">
        <f aca="false">IF(AND(C251&gt;=Parameters!$B$22,ROUND(MOD(ROUND(C251,2),Parameters!$B$21),2)=0),1,0)</f>
        <v>0</v>
      </c>
      <c r="U251" s="9" t="n">
        <f aca="false">IF(LEN(TRIM(J251))=0,1,0)</f>
        <v>0</v>
      </c>
      <c r="V251" s="9" t="n">
        <f aca="false">IF(AND(I251="Manual",C251&lt;Parameters!$B$19,C251&gt;=Parameters!$B$19*(1-Parameters!$B$20)),1,0)</f>
        <v>0</v>
      </c>
      <c r="W251" s="9" t="n">
        <f aca="false">IF(AND(I251="Manual",M251&gt;0),1,0)</f>
        <v>0</v>
      </c>
      <c r="X251" s="9" t="n">
        <f aca="false">IF(A251-A250&gt;1,1,0)</f>
        <v>0</v>
      </c>
      <c r="Y251" s="9" t="n">
        <f aca="false">N251*Parameters!$B$38+O251*Parameters!$B$39+P251*Parameters!$B$40+Q251*Parameters!$B$41+R251*Parameters!$B$42+S251*Parameters!$B$43+T251*Parameters!$B$44+U251*Parameters!$B$45+V251*Parameters!$B$46+W251*Parameters!$B$47+X251*Parameters!$B$48</f>
        <v>0</v>
      </c>
      <c r="Z251" s="0" t="str">
        <f aca="false">IF(Y251&gt;=Parameters!$B$25,"High","")</f>
        <v/>
      </c>
    </row>
    <row r="252" customFormat="false" ht="15" hidden="false" customHeight="false" outlineLevel="0" collapsed="false">
      <c r="A252" s="16" t="n">
        <v>1252</v>
      </c>
      <c r="B252" s="9" t="n">
        <f aca="false">COUNTIF(JE_Lines!$B$5:$B$1733,A252)</f>
        <v>2</v>
      </c>
      <c r="C252" s="17" t="n">
        <f aca="false">SUMIFS(JE_Lines!$G$5:$G$1733,JE_Lines!$B$5:$B$1733,A252)</f>
        <v>76955.59</v>
      </c>
      <c r="D252" s="17" t="n">
        <f aca="false">SUMIFS(JE_Lines!$H$5:$H$1733,JE_Lines!$B$5:$B$1733,A252)</f>
        <v>76955.59</v>
      </c>
      <c r="E252" s="17" t="n">
        <f aca="false">C252-D252</f>
        <v>0</v>
      </c>
      <c r="F252" s="18" t="n">
        <f aca="false">INDEX(JE_Lines!$C$5:$C$1733,MATCH(A252,JE_Lines!$B$5:$B$1733,0))</f>
        <v>45772</v>
      </c>
      <c r="G252" s="18" t="n">
        <f aca="false">INDEX(JE_Lines!$D$5:$D$1733,MATCH(A252,JE_Lines!$B$5:$B$1733,0))</f>
        <v>45769</v>
      </c>
      <c r="H252" s="0" t="str">
        <f aca="false">INDEX(JE_Lines!$I$5:$I$1733,MATCH(A252,JE_Lines!$B$5:$B$1733,0))</f>
        <v>SYS_AR</v>
      </c>
      <c r="I252" s="0" t="str">
        <f aca="false">INDEX(JE_Lines!$J$5:$J$1733,MATCH(A252,JE_Lines!$B$5:$B$1733,0))</f>
        <v>System</v>
      </c>
      <c r="J252" s="0" t="str">
        <f aca="false">IF(LEN(INDEX(JE_Lines!$K$5:$K$1733,MATCH(A252,JE_Lines!$B$5:$B$1733,0)))=0,"",INDEX(JE_Lines!$K$5:$K$1733,MATCH(A252,JE_Lines!$B$5:$B$1733,0)))</f>
        <v>Customer receipts</v>
      </c>
      <c r="K252" s="9" t="n">
        <f aca="false">F252-G252</f>
        <v>3</v>
      </c>
      <c r="L252" s="9" t="n">
        <f aca="false">COUNTIFS(JE_Lines!$B$5:$B$1733,A252,JE_Lines!$F$5:$F$1733,"Revenue")</f>
        <v>0</v>
      </c>
      <c r="M252" s="9" t="n">
        <f aca="false">COUNTIFS(JE_Lines!$B$5:$B$1733,A252,JE_Lines!$F$5:$F$1733,"Suspense")</f>
        <v>0</v>
      </c>
      <c r="N252" s="9" t="n">
        <f aca="false">IF(ABS(E252)&gt;Parameters!$B$23,1,0)</f>
        <v>0</v>
      </c>
      <c r="O252" s="9" t="n">
        <f aca="false">IF(WEEKDAY(F252,2)&gt;5,1,0)</f>
        <v>0</v>
      </c>
      <c r="P252" s="9" t="n">
        <f aca="false">IF(K252&gt;Parameters!$B$17,1,0)</f>
        <v>0</v>
      </c>
      <c r="Q252" s="9" t="n">
        <f aca="false">IF(AND(F252&lt;=Parameters!$B$6,F252&gt;Parameters!$B$6-Parameters!$B$18),1,0)</f>
        <v>0</v>
      </c>
      <c r="R252" s="9" t="n">
        <f aca="false">IF(COUNTIF(Parameters!$A$51:$A$58,H252)=0,1,0)</f>
        <v>0</v>
      </c>
      <c r="S252" s="9" t="n">
        <f aca="false">IF(AND(I252="Manual",L252&gt;0),1,0)</f>
        <v>0</v>
      </c>
      <c r="T252" s="9" t="n">
        <f aca="false">IF(AND(C252&gt;=Parameters!$B$22,ROUND(MOD(ROUND(C252,2),Parameters!$B$21),2)=0),1,0)</f>
        <v>0</v>
      </c>
      <c r="U252" s="9" t="n">
        <f aca="false">IF(LEN(TRIM(J252))=0,1,0)</f>
        <v>0</v>
      </c>
      <c r="V252" s="9" t="n">
        <f aca="false">IF(AND(I252="Manual",C252&lt;Parameters!$B$19,C252&gt;=Parameters!$B$19*(1-Parameters!$B$20)),1,0)</f>
        <v>0</v>
      </c>
      <c r="W252" s="9" t="n">
        <f aca="false">IF(AND(I252="Manual",M252&gt;0),1,0)</f>
        <v>0</v>
      </c>
      <c r="X252" s="9" t="n">
        <f aca="false">IF(A252-A251&gt;1,1,0)</f>
        <v>0</v>
      </c>
      <c r="Y252" s="9" t="n">
        <f aca="false">N252*Parameters!$B$38+O252*Parameters!$B$39+P252*Parameters!$B$40+Q252*Parameters!$B$41+R252*Parameters!$B$42+S252*Parameters!$B$43+T252*Parameters!$B$44+U252*Parameters!$B$45+V252*Parameters!$B$46+W252*Parameters!$B$47+X252*Parameters!$B$48</f>
        <v>0</v>
      </c>
      <c r="Z252" s="0" t="str">
        <f aca="false">IF(Y252&gt;=Parameters!$B$25,"High","")</f>
        <v/>
      </c>
    </row>
    <row r="253" customFormat="false" ht="15" hidden="false" customHeight="false" outlineLevel="0" collapsed="false">
      <c r="A253" s="16" t="n">
        <v>1253</v>
      </c>
      <c r="B253" s="9" t="n">
        <f aca="false">COUNTIF(JE_Lines!$B$5:$B$1733,A253)</f>
        <v>2</v>
      </c>
      <c r="C253" s="17" t="n">
        <f aca="false">SUMIFS(JE_Lines!$G$5:$G$1733,JE_Lines!$B$5:$B$1733,A253)</f>
        <v>263000</v>
      </c>
      <c r="D253" s="17" t="n">
        <f aca="false">SUMIFS(JE_Lines!$H$5:$H$1733,JE_Lines!$B$5:$B$1733,A253)</f>
        <v>263000</v>
      </c>
      <c r="E253" s="17" t="n">
        <f aca="false">C253-D253</f>
        <v>0</v>
      </c>
      <c r="F253" s="18" t="n">
        <f aca="false">INDEX(JE_Lines!$C$5:$C$1733,MATCH(A253,JE_Lines!$B$5:$B$1733,0))</f>
        <v>45772</v>
      </c>
      <c r="G253" s="18" t="n">
        <f aca="false">INDEX(JE_Lines!$D$5:$D$1733,MATCH(A253,JE_Lines!$B$5:$B$1733,0))</f>
        <v>45772</v>
      </c>
      <c r="H253" s="0" t="str">
        <f aca="false">INDEX(JE_Lines!$I$5:$I$1733,MATCH(A253,JE_Lines!$B$5:$B$1733,0))</f>
        <v>SYS_PAY</v>
      </c>
      <c r="I253" s="0" t="str">
        <f aca="false">INDEX(JE_Lines!$J$5:$J$1733,MATCH(A253,JE_Lines!$B$5:$B$1733,0))</f>
        <v>System</v>
      </c>
      <c r="J253" s="0" t="str">
        <f aca="false">IF(LEN(INDEX(JE_Lines!$K$5:$K$1733,MATCH(A253,JE_Lines!$B$5:$B$1733,0)))=0,"",INDEX(JE_Lines!$K$5:$K$1733,MATCH(A253,JE_Lines!$B$5:$B$1733,0)))</f>
        <v>Monthly payroll</v>
      </c>
      <c r="K253" s="9" t="n">
        <f aca="false">F253-G253</f>
        <v>0</v>
      </c>
      <c r="L253" s="9" t="n">
        <f aca="false">COUNTIFS(JE_Lines!$B$5:$B$1733,A253,JE_Lines!$F$5:$F$1733,"Revenue")</f>
        <v>0</v>
      </c>
      <c r="M253" s="9" t="n">
        <f aca="false">COUNTIFS(JE_Lines!$B$5:$B$1733,A253,JE_Lines!$F$5:$F$1733,"Suspense")</f>
        <v>0</v>
      </c>
      <c r="N253" s="9" t="n">
        <f aca="false">IF(ABS(E253)&gt;Parameters!$B$23,1,0)</f>
        <v>0</v>
      </c>
      <c r="O253" s="9" t="n">
        <f aca="false">IF(WEEKDAY(F253,2)&gt;5,1,0)</f>
        <v>0</v>
      </c>
      <c r="P253" s="9" t="n">
        <f aca="false">IF(K253&gt;Parameters!$B$17,1,0)</f>
        <v>0</v>
      </c>
      <c r="Q253" s="9" t="n">
        <f aca="false">IF(AND(F253&lt;=Parameters!$B$6,F253&gt;Parameters!$B$6-Parameters!$B$18),1,0)</f>
        <v>0</v>
      </c>
      <c r="R253" s="9" t="n">
        <f aca="false">IF(COUNTIF(Parameters!$A$51:$A$58,H253)=0,1,0)</f>
        <v>0</v>
      </c>
      <c r="S253" s="9" t="n">
        <f aca="false">IF(AND(I253="Manual",L253&gt;0),1,0)</f>
        <v>0</v>
      </c>
      <c r="T253" s="9" t="n">
        <f aca="false">IF(AND(C253&gt;=Parameters!$B$22,ROUND(MOD(ROUND(C253,2),Parameters!$B$21),2)=0),1,0)</f>
        <v>1</v>
      </c>
      <c r="U253" s="9" t="n">
        <f aca="false">IF(LEN(TRIM(J253))=0,1,0)</f>
        <v>0</v>
      </c>
      <c r="V253" s="9" t="n">
        <f aca="false">IF(AND(I253="Manual",C253&lt;Parameters!$B$19,C253&gt;=Parameters!$B$19*(1-Parameters!$B$20)),1,0)</f>
        <v>0</v>
      </c>
      <c r="W253" s="9" t="n">
        <f aca="false">IF(AND(I253="Manual",M253&gt;0),1,0)</f>
        <v>0</v>
      </c>
      <c r="X253" s="9" t="n">
        <f aca="false">IF(A253-A252&gt;1,1,0)</f>
        <v>0</v>
      </c>
      <c r="Y253" s="9" t="n">
        <f aca="false">N253*Parameters!$B$38+O253*Parameters!$B$39+P253*Parameters!$B$40+Q253*Parameters!$B$41+R253*Parameters!$B$42+S253*Parameters!$B$43+T253*Parameters!$B$44+U253*Parameters!$B$45+V253*Parameters!$B$46+W253*Parameters!$B$47+X253*Parameters!$B$48</f>
        <v>2</v>
      </c>
      <c r="Z253" s="0" t="str">
        <f aca="false">IF(Y253&gt;=Parameters!$B$25,"High","")</f>
        <v/>
      </c>
    </row>
    <row r="254" customFormat="false" ht="15" hidden="false" customHeight="false" outlineLevel="0" collapsed="false">
      <c r="A254" s="16" t="n">
        <v>1254</v>
      </c>
      <c r="B254" s="9" t="n">
        <f aca="false">COUNTIF(JE_Lines!$B$5:$B$1733,A254)</f>
        <v>2</v>
      </c>
      <c r="C254" s="17" t="n">
        <f aca="false">SUMIFS(JE_Lines!$G$5:$G$1733,JE_Lines!$B$5:$B$1733,A254)</f>
        <v>111742.43</v>
      </c>
      <c r="D254" s="17" t="n">
        <f aca="false">SUMIFS(JE_Lines!$H$5:$H$1733,JE_Lines!$B$5:$B$1733,A254)</f>
        <v>111742.43</v>
      </c>
      <c r="E254" s="17" t="n">
        <f aca="false">C254-D254</f>
        <v>0</v>
      </c>
      <c r="F254" s="18" t="n">
        <f aca="false">INDEX(JE_Lines!$C$5:$C$1733,MATCH(A254,JE_Lines!$B$5:$B$1733,0))</f>
        <v>45775</v>
      </c>
      <c r="G254" s="18" t="n">
        <f aca="false">INDEX(JE_Lines!$D$5:$D$1733,MATCH(A254,JE_Lines!$B$5:$B$1733,0))</f>
        <v>45773</v>
      </c>
      <c r="H254" s="0" t="str">
        <f aca="false">INDEX(JE_Lines!$I$5:$I$1733,MATCH(A254,JE_Lines!$B$5:$B$1733,0))</f>
        <v>SYS_AR</v>
      </c>
      <c r="I254" s="0" t="str">
        <f aca="false">INDEX(JE_Lines!$J$5:$J$1733,MATCH(A254,JE_Lines!$B$5:$B$1733,0))</f>
        <v>System</v>
      </c>
      <c r="J254" s="0" t="str">
        <f aca="false">IF(LEN(INDEX(JE_Lines!$K$5:$K$1733,MATCH(A254,JE_Lines!$B$5:$B$1733,0)))=0,"",INDEX(JE_Lines!$K$5:$K$1733,MATCH(A254,JE_Lines!$B$5:$B$1733,0)))</f>
        <v>Customer receipts</v>
      </c>
      <c r="K254" s="9" t="n">
        <f aca="false">F254-G254</f>
        <v>2</v>
      </c>
      <c r="L254" s="9" t="n">
        <f aca="false">COUNTIFS(JE_Lines!$B$5:$B$1733,A254,JE_Lines!$F$5:$F$1733,"Revenue")</f>
        <v>0</v>
      </c>
      <c r="M254" s="9" t="n">
        <f aca="false">COUNTIFS(JE_Lines!$B$5:$B$1733,A254,JE_Lines!$F$5:$F$1733,"Suspense")</f>
        <v>0</v>
      </c>
      <c r="N254" s="9" t="n">
        <f aca="false">IF(ABS(E254)&gt;Parameters!$B$23,1,0)</f>
        <v>0</v>
      </c>
      <c r="O254" s="9" t="n">
        <f aca="false">IF(WEEKDAY(F254,2)&gt;5,1,0)</f>
        <v>0</v>
      </c>
      <c r="P254" s="9" t="n">
        <f aca="false">IF(K254&gt;Parameters!$B$17,1,0)</f>
        <v>0</v>
      </c>
      <c r="Q254" s="9" t="n">
        <f aca="false">IF(AND(F254&lt;=Parameters!$B$6,F254&gt;Parameters!$B$6-Parameters!$B$18),1,0)</f>
        <v>0</v>
      </c>
      <c r="R254" s="9" t="n">
        <f aca="false">IF(COUNTIF(Parameters!$A$51:$A$58,H254)=0,1,0)</f>
        <v>0</v>
      </c>
      <c r="S254" s="9" t="n">
        <f aca="false">IF(AND(I254="Manual",L254&gt;0),1,0)</f>
        <v>0</v>
      </c>
      <c r="T254" s="9" t="n">
        <f aca="false">IF(AND(C254&gt;=Parameters!$B$22,ROUND(MOD(ROUND(C254,2),Parameters!$B$21),2)=0),1,0)</f>
        <v>0</v>
      </c>
      <c r="U254" s="9" t="n">
        <f aca="false">IF(LEN(TRIM(J254))=0,1,0)</f>
        <v>0</v>
      </c>
      <c r="V254" s="9" t="n">
        <f aca="false">IF(AND(I254="Manual",C254&lt;Parameters!$B$19,C254&gt;=Parameters!$B$19*(1-Parameters!$B$20)),1,0)</f>
        <v>0</v>
      </c>
      <c r="W254" s="9" t="n">
        <f aca="false">IF(AND(I254="Manual",M254&gt;0),1,0)</f>
        <v>0</v>
      </c>
      <c r="X254" s="9" t="n">
        <f aca="false">IF(A254-A253&gt;1,1,0)</f>
        <v>0</v>
      </c>
      <c r="Y254" s="9" t="n">
        <f aca="false">N254*Parameters!$B$38+O254*Parameters!$B$39+P254*Parameters!$B$40+Q254*Parameters!$B$41+R254*Parameters!$B$42+S254*Parameters!$B$43+T254*Parameters!$B$44+U254*Parameters!$B$45+V254*Parameters!$B$46+W254*Parameters!$B$47+X254*Parameters!$B$48</f>
        <v>0</v>
      </c>
      <c r="Z254" s="0" t="str">
        <f aca="false">IF(Y254&gt;=Parameters!$B$25,"High","")</f>
        <v/>
      </c>
    </row>
    <row r="255" customFormat="false" ht="15" hidden="false" customHeight="false" outlineLevel="0" collapsed="false">
      <c r="A255" s="16" t="n">
        <v>1255</v>
      </c>
      <c r="B255" s="9" t="n">
        <f aca="false">COUNTIF(JE_Lines!$B$5:$B$1733,A255)</f>
        <v>2</v>
      </c>
      <c r="C255" s="17" t="n">
        <f aca="false">SUMIFS(JE_Lines!$G$5:$G$1733,JE_Lines!$B$5:$B$1733,A255)</f>
        <v>19151.71</v>
      </c>
      <c r="D255" s="17" t="n">
        <f aca="false">SUMIFS(JE_Lines!$H$5:$H$1733,JE_Lines!$B$5:$B$1733,A255)</f>
        <v>19151.71</v>
      </c>
      <c r="E255" s="17" t="n">
        <f aca="false">C255-D255</f>
        <v>0</v>
      </c>
      <c r="F255" s="18" t="n">
        <f aca="false">INDEX(JE_Lines!$C$5:$C$1733,MATCH(A255,JE_Lines!$B$5:$B$1733,0))</f>
        <v>45775</v>
      </c>
      <c r="G255" s="18" t="n">
        <f aca="false">INDEX(JE_Lines!$D$5:$D$1733,MATCH(A255,JE_Lines!$B$5:$B$1733,0))</f>
        <v>45775</v>
      </c>
      <c r="H255" s="0" t="str">
        <f aca="false">INDEX(JE_Lines!$I$5:$I$1733,MATCH(A255,JE_Lines!$B$5:$B$1733,0))</f>
        <v>SYS_AR</v>
      </c>
      <c r="I255" s="0" t="str">
        <f aca="false">INDEX(JE_Lines!$J$5:$J$1733,MATCH(A255,JE_Lines!$B$5:$B$1733,0))</f>
        <v>System</v>
      </c>
      <c r="J255" s="0" t="str">
        <f aca="false">IF(LEN(INDEX(JE_Lines!$K$5:$K$1733,MATCH(A255,JE_Lines!$B$5:$B$1733,0)))=0,"",INDEX(JE_Lines!$K$5:$K$1733,MATCH(A255,JE_Lines!$B$5:$B$1733,0)))</f>
        <v>Sales invoice batch</v>
      </c>
      <c r="K255" s="9" t="n">
        <f aca="false">F255-G255</f>
        <v>0</v>
      </c>
      <c r="L255" s="9" t="n">
        <f aca="false">COUNTIFS(JE_Lines!$B$5:$B$1733,A255,JE_Lines!$F$5:$F$1733,"Revenue")</f>
        <v>1</v>
      </c>
      <c r="M255" s="9" t="n">
        <f aca="false">COUNTIFS(JE_Lines!$B$5:$B$1733,A255,JE_Lines!$F$5:$F$1733,"Suspense")</f>
        <v>0</v>
      </c>
      <c r="N255" s="9" t="n">
        <f aca="false">IF(ABS(E255)&gt;Parameters!$B$23,1,0)</f>
        <v>0</v>
      </c>
      <c r="O255" s="9" t="n">
        <f aca="false">IF(WEEKDAY(F255,2)&gt;5,1,0)</f>
        <v>0</v>
      </c>
      <c r="P255" s="9" t="n">
        <f aca="false">IF(K255&gt;Parameters!$B$17,1,0)</f>
        <v>0</v>
      </c>
      <c r="Q255" s="9" t="n">
        <f aca="false">IF(AND(F255&lt;=Parameters!$B$6,F255&gt;Parameters!$B$6-Parameters!$B$18),1,0)</f>
        <v>0</v>
      </c>
      <c r="R255" s="9" t="n">
        <f aca="false">IF(COUNTIF(Parameters!$A$51:$A$58,H255)=0,1,0)</f>
        <v>0</v>
      </c>
      <c r="S255" s="9" t="n">
        <f aca="false">IF(AND(I255="Manual",L255&gt;0),1,0)</f>
        <v>0</v>
      </c>
      <c r="T255" s="9" t="n">
        <f aca="false">IF(AND(C255&gt;=Parameters!$B$22,ROUND(MOD(ROUND(C255,2),Parameters!$B$21),2)=0),1,0)</f>
        <v>0</v>
      </c>
      <c r="U255" s="9" t="n">
        <f aca="false">IF(LEN(TRIM(J255))=0,1,0)</f>
        <v>0</v>
      </c>
      <c r="V255" s="9" t="n">
        <f aca="false">IF(AND(I255="Manual",C255&lt;Parameters!$B$19,C255&gt;=Parameters!$B$19*(1-Parameters!$B$20)),1,0)</f>
        <v>0</v>
      </c>
      <c r="W255" s="9" t="n">
        <f aca="false">IF(AND(I255="Manual",M255&gt;0),1,0)</f>
        <v>0</v>
      </c>
      <c r="X255" s="9" t="n">
        <f aca="false">IF(A255-A254&gt;1,1,0)</f>
        <v>0</v>
      </c>
      <c r="Y255" s="9" t="n">
        <f aca="false">N255*Parameters!$B$38+O255*Parameters!$B$39+P255*Parameters!$B$40+Q255*Parameters!$B$41+R255*Parameters!$B$42+S255*Parameters!$B$43+T255*Parameters!$B$44+U255*Parameters!$B$45+V255*Parameters!$B$46+W255*Parameters!$B$47+X255*Parameters!$B$48</f>
        <v>0</v>
      </c>
      <c r="Z255" s="0" t="str">
        <f aca="false">IF(Y255&gt;=Parameters!$B$25,"High","")</f>
        <v/>
      </c>
    </row>
    <row r="256" customFormat="false" ht="15" hidden="false" customHeight="false" outlineLevel="0" collapsed="false">
      <c r="A256" s="16" t="n">
        <v>1256</v>
      </c>
      <c r="B256" s="9" t="n">
        <f aca="false">COUNTIF(JE_Lines!$B$5:$B$1733,A256)</f>
        <v>3</v>
      </c>
      <c r="C256" s="17" t="n">
        <f aca="false">SUMIFS(JE_Lines!$G$5:$G$1733,JE_Lines!$B$5:$B$1733,A256)</f>
        <v>5916.61</v>
      </c>
      <c r="D256" s="17" t="n">
        <f aca="false">SUMIFS(JE_Lines!$H$5:$H$1733,JE_Lines!$B$5:$B$1733,A256)</f>
        <v>5916.61</v>
      </c>
      <c r="E256" s="17" t="n">
        <f aca="false">C256-D256</f>
        <v>0</v>
      </c>
      <c r="F256" s="18" t="n">
        <f aca="false">INDEX(JE_Lines!$C$5:$C$1733,MATCH(A256,JE_Lines!$B$5:$B$1733,0))</f>
        <v>45775</v>
      </c>
      <c r="G256" s="18" t="n">
        <f aca="false">INDEX(JE_Lines!$D$5:$D$1733,MATCH(A256,JE_Lines!$B$5:$B$1733,0))</f>
        <v>45775</v>
      </c>
      <c r="H256" s="0" t="str">
        <f aca="false">INDEX(JE_Lines!$I$5:$I$1733,MATCH(A256,JE_Lines!$B$5:$B$1733,0))</f>
        <v>SYS_AP</v>
      </c>
      <c r="I256" s="0" t="str">
        <f aca="false">INDEX(JE_Lines!$J$5:$J$1733,MATCH(A256,JE_Lines!$B$5:$B$1733,0))</f>
        <v>System</v>
      </c>
      <c r="J256" s="0" t="str">
        <f aca="false">IF(LEN(INDEX(JE_Lines!$K$5:$K$1733,MATCH(A256,JE_Lines!$B$5:$B$1733,0)))=0,"",INDEX(JE_Lines!$K$5:$K$1733,MATCH(A256,JE_Lines!$B$5:$B$1733,0)))</f>
        <v>Supplier invoices</v>
      </c>
      <c r="K256" s="9" t="n">
        <f aca="false">F256-G256</f>
        <v>0</v>
      </c>
      <c r="L256" s="9" t="n">
        <f aca="false">COUNTIFS(JE_Lines!$B$5:$B$1733,A256,JE_Lines!$F$5:$F$1733,"Revenue")</f>
        <v>0</v>
      </c>
      <c r="M256" s="9" t="n">
        <f aca="false">COUNTIFS(JE_Lines!$B$5:$B$1733,A256,JE_Lines!$F$5:$F$1733,"Suspense")</f>
        <v>0</v>
      </c>
      <c r="N256" s="9" t="n">
        <f aca="false">IF(ABS(E256)&gt;Parameters!$B$23,1,0)</f>
        <v>0</v>
      </c>
      <c r="O256" s="9" t="n">
        <f aca="false">IF(WEEKDAY(F256,2)&gt;5,1,0)</f>
        <v>0</v>
      </c>
      <c r="P256" s="9" t="n">
        <f aca="false">IF(K256&gt;Parameters!$B$17,1,0)</f>
        <v>0</v>
      </c>
      <c r="Q256" s="9" t="n">
        <f aca="false">IF(AND(F256&lt;=Parameters!$B$6,F256&gt;Parameters!$B$6-Parameters!$B$18),1,0)</f>
        <v>0</v>
      </c>
      <c r="R256" s="9" t="n">
        <f aca="false">IF(COUNTIF(Parameters!$A$51:$A$58,H256)=0,1,0)</f>
        <v>0</v>
      </c>
      <c r="S256" s="9" t="n">
        <f aca="false">IF(AND(I256="Manual",L256&gt;0),1,0)</f>
        <v>0</v>
      </c>
      <c r="T256" s="9" t="n">
        <f aca="false">IF(AND(C256&gt;=Parameters!$B$22,ROUND(MOD(ROUND(C256,2),Parameters!$B$21),2)=0),1,0)</f>
        <v>0</v>
      </c>
      <c r="U256" s="9" t="n">
        <f aca="false">IF(LEN(TRIM(J256))=0,1,0)</f>
        <v>0</v>
      </c>
      <c r="V256" s="9" t="n">
        <f aca="false">IF(AND(I256="Manual",C256&lt;Parameters!$B$19,C256&gt;=Parameters!$B$19*(1-Parameters!$B$20)),1,0)</f>
        <v>0</v>
      </c>
      <c r="W256" s="9" t="n">
        <f aca="false">IF(AND(I256="Manual",M256&gt;0),1,0)</f>
        <v>0</v>
      </c>
      <c r="X256" s="9" t="n">
        <f aca="false">IF(A256-A255&gt;1,1,0)</f>
        <v>0</v>
      </c>
      <c r="Y256" s="9" t="n">
        <f aca="false">N256*Parameters!$B$38+O256*Parameters!$B$39+P256*Parameters!$B$40+Q256*Parameters!$B$41+R256*Parameters!$B$42+S256*Parameters!$B$43+T256*Parameters!$B$44+U256*Parameters!$B$45+V256*Parameters!$B$46+W256*Parameters!$B$47+X256*Parameters!$B$48</f>
        <v>0</v>
      </c>
      <c r="Z256" s="0" t="str">
        <f aca="false">IF(Y256&gt;=Parameters!$B$25,"High","")</f>
        <v/>
      </c>
    </row>
    <row r="257" customFormat="false" ht="15" hidden="false" customHeight="false" outlineLevel="0" collapsed="false">
      <c r="A257" s="16" t="n">
        <v>1257</v>
      </c>
      <c r="B257" s="9" t="n">
        <f aca="false">COUNTIF(JE_Lines!$B$5:$B$1733,A257)</f>
        <v>3</v>
      </c>
      <c r="C257" s="17" t="n">
        <f aca="false">SUMIFS(JE_Lines!$G$5:$G$1733,JE_Lines!$B$5:$B$1733,A257)</f>
        <v>12778.8</v>
      </c>
      <c r="D257" s="17" t="n">
        <f aca="false">SUMIFS(JE_Lines!$H$5:$H$1733,JE_Lines!$B$5:$B$1733,A257)</f>
        <v>12778.8</v>
      </c>
      <c r="E257" s="17" t="n">
        <f aca="false">C257-D257</f>
        <v>0</v>
      </c>
      <c r="F257" s="18" t="n">
        <f aca="false">INDEX(JE_Lines!$C$5:$C$1733,MATCH(A257,JE_Lines!$B$5:$B$1733,0))</f>
        <v>45775</v>
      </c>
      <c r="G257" s="18" t="n">
        <f aca="false">INDEX(JE_Lines!$D$5:$D$1733,MATCH(A257,JE_Lines!$B$5:$B$1733,0))</f>
        <v>45773</v>
      </c>
      <c r="H257" s="0" t="str">
        <f aca="false">INDEX(JE_Lines!$I$5:$I$1733,MATCH(A257,JE_Lines!$B$5:$B$1733,0))</f>
        <v>SYS_AP</v>
      </c>
      <c r="I257" s="0" t="str">
        <f aca="false">INDEX(JE_Lines!$J$5:$J$1733,MATCH(A257,JE_Lines!$B$5:$B$1733,0))</f>
        <v>System</v>
      </c>
      <c r="J257" s="0" t="str">
        <f aca="false">IF(LEN(INDEX(JE_Lines!$K$5:$K$1733,MATCH(A257,JE_Lines!$B$5:$B$1733,0)))=0,"",INDEX(JE_Lines!$K$5:$K$1733,MATCH(A257,JE_Lines!$B$5:$B$1733,0)))</f>
        <v>Supplier invoices</v>
      </c>
      <c r="K257" s="9" t="n">
        <f aca="false">F257-G257</f>
        <v>2</v>
      </c>
      <c r="L257" s="9" t="n">
        <f aca="false">COUNTIFS(JE_Lines!$B$5:$B$1733,A257,JE_Lines!$F$5:$F$1733,"Revenue")</f>
        <v>0</v>
      </c>
      <c r="M257" s="9" t="n">
        <f aca="false">COUNTIFS(JE_Lines!$B$5:$B$1733,A257,JE_Lines!$F$5:$F$1733,"Suspense")</f>
        <v>0</v>
      </c>
      <c r="N257" s="9" t="n">
        <f aca="false">IF(ABS(E257)&gt;Parameters!$B$23,1,0)</f>
        <v>0</v>
      </c>
      <c r="O257" s="9" t="n">
        <f aca="false">IF(WEEKDAY(F257,2)&gt;5,1,0)</f>
        <v>0</v>
      </c>
      <c r="P257" s="9" t="n">
        <f aca="false">IF(K257&gt;Parameters!$B$17,1,0)</f>
        <v>0</v>
      </c>
      <c r="Q257" s="9" t="n">
        <f aca="false">IF(AND(F257&lt;=Parameters!$B$6,F257&gt;Parameters!$B$6-Parameters!$B$18),1,0)</f>
        <v>0</v>
      </c>
      <c r="R257" s="9" t="n">
        <f aca="false">IF(COUNTIF(Parameters!$A$51:$A$58,H257)=0,1,0)</f>
        <v>0</v>
      </c>
      <c r="S257" s="9" t="n">
        <f aca="false">IF(AND(I257="Manual",L257&gt;0),1,0)</f>
        <v>0</v>
      </c>
      <c r="T257" s="9" t="n">
        <f aca="false">IF(AND(C257&gt;=Parameters!$B$22,ROUND(MOD(ROUND(C257,2),Parameters!$B$21),2)=0),1,0)</f>
        <v>0</v>
      </c>
      <c r="U257" s="9" t="n">
        <f aca="false">IF(LEN(TRIM(J257))=0,1,0)</f>
        <v>0</v>
      </c>
      <c r="V257" s="9" t="n">
        <f aca="false">IF(AND(I257="Manual",C257&lt;Parameters!$B$19,C257&gt;=Parameters!$B$19*(1-Parameters!$B$20)),1,0)</f>
        <v>0</v>
      </c>
      <c r="W257" s="9" t="n">
        <f aca="false">IF(AND(I257="Manual",M257&gt;0),1,0)</f>
        <v>0</v>
      </c>
      <c r="X257" s="9" t="n">
        <f aca="false">IF(A257-A256&gt;1,1,0)</f>
        <v>0</v>
      </c>
      <c r="Y257" s="9" t="n">
        <f aca="false">N257*Parameters!$B$38+O257*Parameters!$B$39+P257*Parameters!$B$40+Q257*Parameters!$B$41+R257*Parameters!$B$42+S257*Parameters!$B$43+T257*Parameters!$B$44+U257*Parameters!$B$45+V257*Parameters!$B$46+W257*Parameters!$B$47+X257*Parameters!$B$48</f>
        <v>0</v>
      </c>
      <c r="Z257" s="0" t="str">
        <f aca="false">IF(Y257&gt;=Parameters!$B$25,"High","")</f>
        <v/>
      </c>
    </row>
    <row r="258" customFormat="false" ht="15" hidden="false" customHeight="false" outlineLevel="0" collapsed="false">
      <c r="A258" s="16" t="n">
        <v>1258</v>
      </c>
      <c r="B258" s="9" t="n">
        <f aca="false">COUNTIF(JE_Lines!$B$5:$B$1733,A258)</f>
        <v>2</v>
      </c>
      <c r="C258" s="17" t="n">
        <f aca="false">SUMIFS(JE_Lines!$G$5:$G$1733,JE_Lines!$B$5:$B$1733,A258)</f>
        <v>31386.54</v>
      </c>
      <c r="D258" s="17" t="n">
        <f aca="false">SUMIFS(JE_Lines!$H$5:$H$1733,JE_Lines!$B$5:$B$1733,A258)</f>
        <v>31386.54</v>
      </c>
      <c r="E258" s="17" t="n">
        <f aca="false">C258-D258</f>
        <v>0</v>
      </c>
      <c r="F258" s="18" t="n">
        <f aca="false">INDEX(JE_Lines!$C$5:$C$1733,MATCH(A258,JE_Lines!$B$5:$B$1733,0))</f>
        <v>45775</v>
      </c>
      <c r="G258" s="18" t="n">
        <f aca="false">INDEX(JE_Lines!$D$5:$D$1733,MATCH(A258,JE_Lines!$B$5:$B$1733,0))</f>
        <v>45772</v>
      </c>
      <c r="H258" s="0" t="str">
        <f aca="false">INDEX(JE_Lines!$I$5:$I$1733,MATCH(A258,JE_Lines!$B$5:$B$1733,0))</f>
        <v>SYS_AR</v>
      </c>
      <c r="I258" s="0" t="str">
        <f aca="false">INDEX(JE_Lines!$J$5:$J$1733,MATCH(A258,JE_Lines!$B$5:$B$1733,0))</f>
        <v>System</v>
      </c>
      <c r="J258" s="0" t="str">
        <f aca="false">IF(LEN(INDEX(JE_Lines!$K$5:$K$1733,MATCH(A258,JE_Lines!$B$5:$B$1733,0)))=0,"",INDEX(JE_Lines!$K$5:$K$1733,MATCH(A258,JE_Lines!$B$5:$B$1733,0)))</f>
        <v>Cost of sales posting</v>
      </c>
      <c r="K258" s="9" t="n">
        <f aca="false">F258-G258</f>
        <v>3</v>
      </c>
      <c r="L258" s="9" t="n">
        <f aca="false">COUNTIFS(JE_Lines!$B$5:$B$1733,A258,JE_Lines!$F$5:$F$1733,"Revenue")</f>
        <v>0</v>
      </c>
      <c r="M258" s="9" t="n">
        <f aca="false">COUNTIFS(JE_Lines!$B$5:$B$1733,A258,JE_Lines!$F$5:$F$1733,"Suspense")</f>
        <v>0</v>
      </c>
      <c r="N258" s="9" t="n">
        <f aca="false">IF(ABS(E258)&gt;Parameters!$B$23,1,0)</f>
        <v>0</v>
      </c>
      <c r="O258" s="9" t="n">
        <f aca="false">IF(WEEKDAY(F258,2)&gt;5,1,0)</f>
        <v>0</v>
      </c>
      <c r="P258" s="9" t="n">
        <f aca="false">IF(K258&gt;Parameters!$B$17,1,0)</f>
        <v>0</v>
      </c>
      <c r="Q258" s="9" t="n">
        <f aca="false">IF(AND(F258&lt;=Parameters!$B$6,F258&gt;Parameters!$B$6-Parameters!$B$18),1,0)</f>
        <v>0</v>
      </c>
      <c r="R258" s="9" t="n">
        <f aca="false">IF(COUNTIF(Parameters!$A$51:$A$58,H258)=0,1,0)</f>
        <v>0</v>
      </c>
      <c r="S258" s="9" t="n">
        <f aca="false">IF(AND(I258="Manual",L258&gt;0),1,0)</f>
        <v>0</v>
      </c>
      <c r="T258" s="9" t="n">
        <f aca="false">IF(AND(C258&gt;=Parameters!$B$22,ROUND(MOD(ROUND(C258,2),Parameters!$B$21),2)=0),1,0)</f>
        <v>0</v>
      </c>
      <c r="U258" s="9" t="n">
        <f aca="false">IF(LEN(TRIM(J258))=0,1,0)</f>
        <v>0</v>
      </c>
      <c r="V258" s="9" t="n">
        <f aca="false">IF(AND(I258="Manual",C258&lt;Parameters!$B$19,C258&gt;=Parameters!$B$19*(1-Parameters!$B$20)),1,0)</f>
        <v>0</v>
      </c>
      <c r="W258" s="9" t="n">
        <f aca="false">IF(AND(I258="Manual",M258&gt;0),1,0)</f>
        <v>0</v>
      </c>
      <c r="X258" s="9" t="n">
        <f aca="false">IF(A258-A257&gt;1,1,0)</f>
        <v>0</v>
      </c>
      <c r="Y258" s="9" t="n">
        <f aca="false">N258*Parameters!$B$38+O258*Parameters!$B$39+P258*Parameters!$B$40+Q258*Parameters!$B$41+R258*Parameters!$B$42+S258*Parameters!$B$43+T258*Parameters!$B$44+U258*Parameters!$B$45+V258*Parameters!$B$46+W258*Parameters!$B$47+X258*Parameters!$B$48</f>
        <v>0</v>
      </c>
      <c r="Z258" s="0" t="str">
        <f aca="false">IF(Y258&gt;=Parameters!$B$25,"High","")</f>
        <v/>
      </c>
    </row>
    <row r="259" customFormat="false" ht="15" hidden="false" customHeight="false" outlineLevel="0" collapsed="false">
      <c r="A259" s="16" t="n">
        <v>1259</v>
      </c>
      <c r="B259" s="9" t="n">
        <f aca="false">COUNTIF(JE_Lines!$B$5:$B$1733,A259)</f>
        <v>2</v>
      </c>
      <c r="C259" s="17" t="n">
        <f aca="false">SUMIFS(JE_Lines!$G$5:$G$1733,JE_Lines!$B$5:$B$1733,A259)</f>
        <v>743.43</v>
      </c>
      <c r="D259" s="17" t="n">
        <f aca="false">SUMIFS(JE_Lines!$H$5:$H$1733,JE_Lines!$B$5:$B$1733,A259)</f>
        <v>743.43</v>
      </c>
      <c r="E259" s="17" t="n">
        <f aca="false">C259-D259</f>
        <v>0</v>
      </c>
      <c r="F259" s="18" t="n">
        <f aca="false">INDEX(JE_Lines!$C$5:$C$1733,MATCH(A259,JE_Lines!$B$5:$B$1733,0))</f>
        <v>45775</v>
      </c>
      <c r="G259" s="18" t="n">
        <f aca="false">INDEX(JE_Lines!$D$5:$D$1733,MATCH(A259,JE_Lines!$B$5:$B$1733,0))</f>
        <v>45771</v>
      </c>
      <c r="H259" s="0" t="str">
        <f aca="false">INDEX(JE_Lines!$I$5:$I$1733,MATCH(A259,JE_Lines!$B$5:$B$1733,0))</f>
        <v>SYS_AP</v>
      </c>
      <c r="I259" s="0" t="str">
        <f aca="false">INDEX(JE_Lines!$J$5:$J$1733,MATCH(A259,JE_Lines!$B$5:$B$1733,0))</f>
        <v>System</v>
      </c>
      <c r="J259" s="0" t="str">
        <f aca="false">IF(LEN(INDEX(JE_Lines!$K$5:$K$1733,MATCH(A259,JE_Lines!$B$5:$B$1733,0)))=0,"",INDEX(JE_Lines!$K$5:$K$1733,MATCH(A259,JE_Lines!$B$5:$B$1733,0)))</f>
        <v>Utilities invoices</v>
      </c>
      <c r="K259" s="9" t="n">
        <f aca="false">F259-G259</f>
        <v>4</v>
      </c>
      <c r="L259" s="9" t="n">
        <f aca="false">COUNTIFS(JE_Lines!$B$5:$B$1733,A259,JE_Lines!$F$5:$F$1733,"Revenue")</f>
        <v>0</v>
      </c>
      <c r="M259" s="9" t="n">
        <f aca="false">COUNTIFS(JE_Lines!$B$5:$B$1733,A259,JE_Lines!$F$5:$F$1733,"Suspense")</f>
        <v>0</v>
      </c>
      <c r="N259" s="9" t="n">
        <f aca="false">IF(ABS(E259)&gt;Parameters!$B$23,1,0)</f>
        <v>0</v>
      </c>
      <c r="O259" s="9" t="n">
        <f aca="false">IF(WEEKDAY(F259,2)&gt;5,1,0)</f>
        <v>0</v>
      </c>
      <c r="P259" s="9" t="n">
        <f aca="false">IF(K259&gt;Parameters!$B$17,1,0)</f>
        <v>0</v>
      </c>
      <c r="Q259" s="9" t="n">
        <f aca="false">IF(AND(F259&lt;=Parameters!$B$6,F259&gt;Parameters!$B$6-Parameters!$B$18),1,0)</f>
        <v>0</v>
      </c>
      <c r="R259" s="9" t="n">
        <f aca="false">IF(COUNTIF(Parameters!$A$51:$A$58,H259)=0,1,0)</f>
        <v>0</v>
      </c>
      <c r="S259" s="9" t="n">
        <f aca="false">IF(AND(I259="Manual",L259&gt;0),1,0)</f>
        <v>0</v>
      </c>
      <c r="T259" s="9" t="n">
        <f aca="false">IF(AND(C259&gt;=Parameters!$B$22,ROUND(MOD(ROUND(C259,2),Parameters!$B$21),2)=0),1,0)</f>
        <v>0</v>
      </c>
      <c r="U259" s="9" t="n">
        <f aca="false">IF(LEN(TRIM(J259))=0,1,0)</f>
        <v>0</v>
      </c>
      <c r="V259" s="9" t="n">
        <f aca="false">IF(AND(I259="Manual",C259&lt;Parameters!$B$19,C259&gt;=Parameters!$B$19*(1-Parameters!$B$20)),1,0)</f>
        <v>0</v>
      </c>
      <c r="W259" s="9" t="n">
        <f aca="false">IF(AND(I259="Manual",M259&gt;0),1,0)</f>
        <v>0</v>
      </c>
      <c r="X259" s="9" t="n">
        <f aca="false">IF(A259-A258&gt;1,1,0)</f>
        <v>0</v>
      </c>
      <c r="Y259" s="9" t="n">
        <f aca="false">N259*Parameters!$B$38+O259*Parameters!$B$39+P259*Parameters!$B$40+Q259*Parameters!$B$41+R259*Parameters!$B$42+S259*Parameters!$B$43+T259*Parameters!$B$44+U259*Parameters!$B$45+V259*Parameters!$B$46+W259*Parameters!$B$47+X259*Parameters!$B$48</f>
        <v>0</v>
      </c>
      <c r="Z259" s="0" t="str">
        <f aca="false">IF(Y259&gt;=Parameters!$B$25,"High","")</f>
        <v/>
      </c>
    </row>
    <row r="260" customFormat="false" ht="15" hidden="false" customHeight="false" outlineLevel="0" collapsed="false">
      <c r="A260" s="16" t="n">
        <v>1260</v>
      </c>
      <c r="B260" s="9" t="n">
        <f aca="false">COUNTIF(JE_Lines!$B$5:$B$1733,A260)</f>
        <v>3</v>
      </c>
      <c r="C260" s="17" t="n">
        <f aca="false">SUMIFS(JE_Lines!$G$5:$G$1733,JE_Lines!$B$5:$B$1733,A260)</f>
        <v>5155.52</v>
      </c>
      <c r="D260" s="17" t="n">
        <f aca="false">SUMIFS(JE_Lines!$H$5:$H$1733,JE_Lines!$B$5:$B$1733,A260)</f>
        <v>5155.52</v>
      </c>
      <c r="E260" s="17" t="n">
        <f aca="false">C260-D260</f>
        <v>0</v>
      </c>
      <c r="F260" s="18" t="n">
        <f aca="false">INDEX(JE_Lines!$C$5:$C$1733,MATCH(A260,JE_Lines!$B$5:$B$1733,0))</f>
        <v>45776</v>
      </c>
      <c r="G260" s="18" t="n">
        <f aca="false">INDEX(JE_Lines!$D$5:$D$1733,MATCH(A260,JE_Lines!$B$5:$B$1733,0))</f>
        <v>45776</v>
      </c>
      <c r="H260" s="0" t="str">
        <f aca="false">INDEX(JE_Lines!$I$5:$I$1733,MATCH(A260,JE_Lines!$B$5:$B$1733,0))</f>
        <v>SYS_AP</v>
      </c>
      <c r="I260" s="0" t="str">
        <f aca="false">INDEX(JE_Lines!$J$5:$J$1733,MATCH(A260,JE_Lines!$B$5:$B$1733,0))</f>
        <v>System</v>
      </c>
      <c r="J260" s="0" t="str">
        <f aca="false">IF(LEN(INDEX(JE_Lines!$K$5:$K$1733,MATCH(A260,JE_Lines!$B$5:$B$1733,0)))=0,"",INDEX(JE_Lines!$K$5:$K$1733,MATCH(A260,JE_Lines!$B$5:$B$1733,0)))</f>
        <v>Utilities invoices</v>
      </c>
      <c r="K260" s="9" t="n">
        <f aca="false">F260-G260</f>
        <v>0</v>
      </c>
      <c r="L260" s="9" t="n">
        <f aca="false">COUNTIFS(JE_Lines!$B$5:$B$1733,A260,JE_Lines!$F$5:$F$1733,"Revenue")</f>
        <v>0</v>
      </c>
      <c r="M260" s="9" t="n">
        <f aca="false">COUNTIFS(JE_Lines!$B$5:$B$1733,A260,JE_Lines!$F$5:$F$1733,"Suspense")</f>
        <v>0</v>
      </c>
      <c r="N260" s="9" t="n">
        <f aca="false">IF(ABS(E260)&gt;Parameters!$B$23,1,0)</f>
        <v>0</v>
      </c>
      <c r="O260" s="9" t="n">
        <f aca="false">IF(WEEKDAY(F260,2)&gt;5,1,0)</f>
        <v>0</v>
      </c>
      <c r="P260" s="9" t="n">
        <f aca="false">IF(K260&gt;Parameters!$B$17,1,0)</f>
        <v>0</v>
      </c>
      <c r="Q260" s="9" t="n">
        <f aca="false">IF(AND(F260&lt;=Parameters!$B$6,F260&gt;Parameters!$B$6-Parameters!$B$18),1,0)</f>
        <v>0</v>
      </c>
      <c r="R260" s="9" t="n">
        <f aca="false">IF(COUNTIF(Parameters!$A$51:$A$58,H260)=0,1,0)</f>
        <v>0</v>
      </c>
      <c r="S260" s="9" t="n">
        <f aca="false">IF(AND(I260="Manual",L260&gt;0),1,0)</f>
        <v>0</v>
      </c>
      <c r="T260" s="9" t="n">
        <f aca="false">IF(AND(C260&gt;=Parameters!$B$22,ROUND(MOD(ROUND(C260,2),Parameters!$B$21),2)=0),1,0)</f>
        <v>0</v>
      </c>
      <c r="U260" s="9" t="n">
        <f aca="false">IF(LEN(TRIM(J260))=0,1,0)</f>
        <v>0</v>
      </c>
      <c r="V260" s="9" t="n">
        <f aca="false">IF(AND(I260="Manual",C260&lt;Parameters!$B$19,C260&gt;=Parameters!$B$19*(1-Parameters!$B$20)),1,0)</f>
        <v>0</v>
      </c>
      <c r="W260" s="9" t="n">
        <f aca="false">IF(AND(I260="Manual",M260&gt;0),1,0)</f>
        <v>0</v>
      </c>
      <c r="X260" s="9" t="n">
        <f aca="false">IF(A260-A259&gt;1,1,0)</f>
        <v>0</v>
      </c>
      <c r="Y260" s="9" t="n">
        <f aca="false">N260*Parameters!$B$38+O260*Parameters!$B$39+P260*Parameters!$B$40+Q260*Parameters!$B$41+R260*Parameters!$B$42+S260*Parameters!$B$43+T260*Parameters!$B$44+U260*Parameters!$B$45+V260*Parameters!$B$46+W260*Parameters!$B$47+X260*Parameters!$B$48</f>
        <v>0</v>
      </c>
      <c r="Z260" s="0" t="str">
        <f aca="false">IF(Y260&gt;=Parameters!$B$25,"High","")</f>
        <v/>
      </c>
    </row>
    <row r="261" customFormat="false" ht="15" hidden="false" customHeight="false" outlineLevel="0" collapsed="false">
      <c r="A261" s="16" t="n">
        <v>1261</v>
      </c>
      <c r="B261" s="9" t="n">
        <f aca="false">COUNTIF(JE_Lines!$B$5:$B$1733,A261)</f>
        <v>2</v>
      </c>
      <c r="C261" s="17" t="n">
        <f aca="false">SUMIFS(JE_Lines!$G$5:$G$1733,JE_Lines!$B$5:$B$1733,A261)</f>
        <v>80614.74</v>
      </c>
      <c r="D261" s="17" t="n">
        <f aca="false">SUMIFS(JE_Lines!$H$5:$H$1733,JE_Lines!$B$5:$B$1733,A261)</f>
        <v>80614.74</v>
      </c>
      <c r="E261" s="17" t="n">
        <f aca="false">C261-D261</f>
        <v>0</v>
      </c>
      <c r="F261" s="18" t="n">
        <f aca="false">INDEX(JE_Lines!$C$5:$C$1733,MATCH(A261,JE_Lines!$B$5:$B$1733,0))</f>
        <v>45776</v>
      </c>
      <c r="G261" s="18" t="n">
        <f aca="false">INDEX(JE_Lines!$D$5:$D$1733,MATCH(A261,JE_Lines!$B$5:$B$1733,0))</f>
        <v>45776</v>
      </c>
      <c r="H261" s="0" t="str">
        <f aca="false">INDEX(JE_Lines!$I$5:$I$1733,MATCH(A261,JE_Lines!$B$5:$B$1733,0))</f>
        <v>SYS_AR</v>
      </c>
      <c r="I261" s="0" t="str">
        <f aca="false">INDEX(JE_Lines!$J$5:$J$1733,MATCH(A261,JE_Lines!$B$5:$B$1733,0))</f>
        <v>System</v>
      </c>
      <c r="J261" s="0" t="str">
        <f aca="false">IF(LEN(INDEX(JE_Lines!$K$5:$K$1733,MATCH(A261,JE_Lines!$B$5:$B$1733,0)))=0,"",INDEX(JE_Lines!$K$5:$K$1733,MATCH(A261,JE_Lines!$B$5:$B$1733,0)))</f>
        <v>Sales invoice batch</v>
      </c>
      <c r="K261" s="9" t="n">
        <f aca="false">F261-G261</f>
        <v>0</v>
      </c>
      <c r="L261" s="9" t="n">
        <f aca="false">COUNTIFS(JE_Lines!$B$5:$B$1733,A261,JE_Lines!$F$5:$F$1733,"Revenue")</f>
        <v>1</v>
      </c>
      <c r="M261" s="9" t="n">
        <f aca="false">COUNTIFS(JE_Lines!$B$5:$B$1733,A261,JE_Lines!$F$5:$F$1733,"Suspense")</f>
        <v>0</v>
      </c>
      <c r="N261" s="9" t="n">
        <f aca="false">IF(ABS(E261)&gt;Parameters!$B$23,1,0)</f>
        <v>0</v>
      </c>
      <c r="O261" s="9" t="n">
        <f aca="false">IF(WEEKDAY(F261,2)&gt;5,1,0)</f>
        <v>0</v>
      </c>
      <c r="P261" s="9" t="n">
        <f aca="false">IF(K261&gt;Parameters!$B$17,1,0)</f>
        <v>0</v>
      </c>
      <c r="Q261" s="9" t="n">
        <f aca="false">IF(AND(F261&lt;=Parameters!$B$6,F261&gt;Parameters!$B$6-Parameters!$B$18),1,0)</f>
        <v>0</v>
      </c>
      <c r="R261" s="9" t="n">
        <f aca="false">IF(COUNTIF(Parameters!$A$51:$A$58,H261)=0,1,0)</f>
        <v>0</v>
      </c>
      <c r="S261" s="9" t="n">
        <f aca="false">IF(AND(I261="Manual",L261&gt;0),1,0)</f>
        <v>0</v>
      </c>
      <c r="T261" s="9" t="n">
        <f aca="false">IF(AND(C261&gt;=Parameters!$B$22,ROUND(MOD(ROUND(C261,2),Parameters!$B$21),2)=0),1,0)</f>
        <v>0</v>
      </c>
      <c r="U261" s="9" t="n">
        <f aca="false">IF(LEN(TRIM(J261))=0,1,0)</f>
        <v>0</v>
      </c>
      <c r="V261" s="9" t="n">
        <f aca="false">IF(AND(I261="Manual",C261&lt;Parameters!$B$19,C261&gt;=Parameters!$B$19*(1-Parameters!$B$20)),1,0)</f>
        <v>0</v>
      </c>
      <c r="W261" s="9" t="n">
        <f aca="false">IF(AND(I261="Manual",M261&gt;0),1,0)</f>
        <v>0</v>
      </c>
      <c r="X261" s="9" t="n">
        <f aca="false">IF(A261-A260&gt;1,1,0)</f>
        <v>0</v>
      </c>
      <c r="Y261" s="9" t="n">
        <f aca="false">N261*Parameters!$B$38+O261*Parameters!$B$39+P261*Parameters!$B$40+Q261*Parameters!$B$41+R261*Parameters!$B$42+S261*Parameters!$B$43+T261*Parameters!$B$44+U261*Parameters!$B$45+V261*Parameters!$B$46+W261*Parameters!$B$47+X261*Parameters!$B$48</f>
        <v>0</v>
      </c>
      <c r="Z261" s="0" t="str">
        <f aca="false">IF(Y261&gt;=Parameters!$B$25,"High","")</f>
        <v/>
      </c>
    </row>
    <row r="262" customFormat="false" ht="15" hidden="false" customHeight="false" outlineLevel="0" collapsed="false">
      <c r="A262" s="16" t="n">
        <v>1262</v>
      </c>
      <c r="B262" s="9" t="n">
        <f aca="false">COUNTIF(JE_Lines!$B$5:$B$1733,A262)</f>
        <v>2</v>
      </c>
      <c r="C262" s="17" t="n">
        <f aca="false">SUMIFS(JE_Lines!$G$5:$G$1733,JE_Lines!$B$5:$B$1733,A262)</f>
        <v>1673.17</v>
      </c>
      <c r="D262" s="17" t="n">
        <f aca="false">SUMIFS(JE_Lines!$H$5:$H$1733,JE_Lines!$B$5:$B$1733,A262)</f>
        <v>1673.17</v>
      </c>
      <c r="E262" s="17" t="n">
        <f aca="false">C262-D262</f>
        <v>0</v>
      </c>
      <c r="F262" s="18" t="n">
        <f aca="false">INDEX(JE_Lines!$C$5:$C$1733,MATCH(A262,JE_Lines!$B$5:$B$1733,0))</f>
        <v>45776</v>
      </c>
      <c r="G262" s="18" t="n">
        <f aca="false">INDEX(JE_Lines!$D$5:$D$1733,MATCH(A262,JE_Lines!$B$5:$B$1733,0))</f>
        <v>45772</v>
      </c>
      <c r="H262" s="0" t="str">
        <f aca="false">INDEX(JE_Lines!$I$5:$I$1733,MATCH(A262,JE_Lines!$B$5:$B$1733,0))</f>
        <v>SYS_AR</v>
      </c>
      <c r="I262" s="0" t="str">
        <f aca="false">INDEX(JE_Lines!$J$5:$J$1733,MATCH(A262,JE_Lines!$B$5:$B$1733,0))</f>
        <v>System</v>
      </c>
      <c r="J262" s="0" t="str">
        <f aca="false">IF(LEN(INDEX(JE_Lines!$K$5:$K$1733,MATCH(A262,JE_Lines!$B$5:$B$1733,0)))=0,"",INDEX(JE_Lines!$K$5:$K$1733,MATCH(A262,JE_Lines!$B$5:$B$1733,0)))</f>
        <v>Cost of sales posting</v>
      </c>
      <c r="K262" s="9" t="n">
        <f aca="false">F262-G262</f>
        <v>4</v>
      </c>
      <c r="L262" s="9" t="n">
        <f aca="false">COUNTIFS(JE_Lines!$B$5:$B$1733,A262,JE_Lines!$F$5:$F$1733,"Revenue")</f>
        <v>0</v>
      </c>
      <c r="M262" s="9" t="n">
        <f aca="false">COUNTIFS(JE_Lines!$B$5:$B$1733,A262,JE_Lines!$F$5:$F$1733,"Suspense")</f>
        <v>0</v>
      </c>
      <c r="N262" s="9" t="n">
        <f aca="false">IF(ABS(E262)&gt;Parameters!$B$23,1,0)</f>
        <v>0</v>
      </c>
      <c r="O262" s="9" t="n">
        <f aca="false">IF(WEEKDAY(F262,2)&gt;5,1,0)</f>
        <v>0</v>
      </c>
      <c r="P262" s="9" t="n">
        <f aca="false">IF(K262&gt;Parameters!$B$17,1,0)</f>
        <v>0</v>
      </c>
      <c r="Q262" s="9" t="n">
        <f aca="false">IF(AND(F262&lt;=Parameters!$B$6,F262&gt;Parameters!$B$6-Parameters!$B$18),1,0)</f>
        <v>0</v>
      </c>
      <c r="R262" s="9" t="n">
        <f aca="false">IF(COUNTIF(Parameters!$A$51:$A$58,H262)=0,1,0)</f>
        <v>0</v>
      </c>
      <c r="S262" s="9" t="n">
        <f aca="false">IF(AND(I262="Manual",L262&gt;0),1,0)</f>
        <v>0</v>
      </c>
      <c r="T262" s="9" t="n">
        <f aca="false">IF(AND(C262&gt;=Parameters!$B$22,ROUND(MOD(ROUND(C262,2),Parameters!$B$21),2)=0),1,0)</f>
        <v>0</v>
      </c>
      <c r="U262" s="9" t="n">
        <f aca="false">IF(LEN(TRIM(J262))=0,1,0)</f>
        <v>0</v>
      </c>
      <c r="V262" s="9" t="n">
        <f aca="false">IF(AND(I262="Manual",C262&lt;Parameters!$B$19,C262&gt;=Parameters!$B$19*(1-Parameters!$B$20)),1,0)</f>
        <v>0</v>
      </c>
      <c r="W262" s="9" t="n">
        <f aca="false">IF(AND(I262="Manual",M262&gt;0),1,0)</f>
        <v>0</v>
      </c>
      <c r="X262" s="9" t="n">
        <f aca="false">IF(A262-A261&gt;1,1,0)</f>
        <v>0</v>
      </c>
      <c r="Y262" s="9" t="n">
        <f aca="false">N262*Parameters!$B$38+O262*Parameters!$B$39+P262*Parameters!$B$40+Q262*Parameters!$B$41+R262*Parameters!$B$42+S262*Parameters!$B$43+T262*Parameters!$B$44+U262*Parameters!$B$45+V262*Parameters!$B$46+W262*Parameters!$B$47+X262*Parameters!$B$48</f>
        <v>0</v>
      </c>
      <c r="Z262" s="0" t="str">
        <f aca="false">IF(Y262&gt;=Parameters!$B$25,"High","")</f>
        <v/>
      </c>
    </row>
    <row r="263" customFormat="false" ht="15" hidden="false" customHeight="false" outlineLevel="0" collapsed="false">
      <c r="A263" s="16" t="n">
        <v>1263</v>
      </c>
      <c r="B263" s="9" t="n">
        <f aca="false">COUNTIF(JE_Lines!$B$5:$B$1733,A263)</f>
        <v>3</v>
      </c>
      <c r="C263" s="17" t="n">
        <f aca="false">SUMIFS(JE_Lines!$G$5:$G$1733,JE_Lines!$B$5:$B$1733,A263)</f>
        <v>7895.92</v>
      </c>
      <c r="D263" s="17" t="n">
        <f aca="false">SUMIFS(JE_Lines!$H$5:$H$1733,JE_Lines!$B$5:$B$1733,A263)</f>
        <v>7895.92</v>
      </c>
      <c r="E263" s="17" t="n">
        <f aca="false">C263-D263</f>
        <v>0</v>
      </c>
      <c r="F263" s="18" t="n">
        <f aca="false">INDEX(JE_Lines!$C$5:$C$1733,MATCH(A263,JE_Lines!$B$5:$B$1733,0))</f>
        <v>45776</v>
      </c>
      <c r="G263" s="18" t="n">
        <f aca="false">INDEX(JE_Lines!$D$5:$D$1733,MATCH(A263,JE_Lines!$B$5:$B$1733,0))</f>
        <v>45775</v>
      </c>
      <c r="H263" s="0" t="str">
        <f aca="false">INDEX(JE_Lines!$I$5:$I$1733,MATCH(A263,JE_Lines!$B$5:$B$1733,0))</f>
        <v>SYS_AP</v>
      </c>
      <c r="I263" s="0" t="str">
        <f aca="false">INDEX(JE_Lines!$J$5:$J$1733,MATCH(A263,JE_Lines!$B$5:$B$1733,0))</f>
        <v>System</v>
      </c>
      <c r="J263" s="0" t="str">
        <f aca="false">IF(LEN(INDEX(JE_Lines!$K$5:$K$1733,MATCH(A263,JE_Lines!$B$5:$B$1733,0)))=0,"",INDEX(JE_Lines!$K$5:$K$1733,MATCH(A263,JE_Lines!$B$5:$B$1733,0)))</f>
        <v>Supplier invoices</v>
      </c>
      <c r="K263" s="9" t="n">
        <f aca="false">F263-G263</f>
        <v>1</v>
      </c>
      <c r="L263" s="9" t="n">
        <f aca="false">COUNTIFS(JE_Lines!$B$5:$B$1733,A263,JE_Lines!$F$5:$F$1733,"Revenue")</f>
        <v>0</v>
      </c>
      <c r="M263" s="9" t="n">
        <f aca="false">COUNTIFS(JE_Lines!$B$5:$B$1733,A263,JE_Lines!$F$5:$F$1733,"Suspense")</f>
        <v>0</v>
      </c>
      <c r="N263" s="9" t="n">
        <f aca="false">IF(ABS(E263)&gt;Parameters!$B$23,1,0)</f>
        <v>0</v>
      </c>
      <c r="O263" s="9" t="n">
        <f aca="false">IF(WEEKDAY(F263,2)&gt;5,1,0)</f>
        <v>0</v>
      </c>
      <c r="P263" s="9" t="n">
        <f aca="false">IF(K263&gt;Parameters!$B$17,1,0)</f>
        <v>0</v>
      </c>
      <c r="Q263" s="9" t="n">
        <f aca="false">IF(AND(F263&lt;=Parameters!$B$6,F263&gt;Parameters!$B$6-Parameters!$B$18),1,0)</f>
        <v>0</v>
      </c>
      <c r="R263" s="9" t="n">
        <f aca="false">IF(COUNTIF(Parameters!$A$51:$A$58,H263)=0,1,0)</f>
        <v>0</v>
      </c>
      <c r="S263" s="9" t="n">
        <f aca="false">IF(AND(I263="Manual",L263&gt;0),1,0)</f>
        <v>0</v>
      </c>
      <c r="T263" s="9" t="n">
        <f aca="false">IF(AND(C263&gt;=Parameters!$B$22,ROUND(MOD(ROUND(C263,2),Parameters!$B$21),2)=0),1,0)</f>
        <v>0</v>
      </c>
      <c r="U263" s="9" t="n">
        <f aca="false">IF(LEN(TRIM(J263))=0,1,0)</f>
        <v>0</v>
      </c>
      <c r="V263" s="9" t="n">
        <f aca="false">IF(AND(I263="Manual",C263&lt;Parameters!$B$19,C263&gt;=Parameters!$B$19*(1-Parameters!$B$20)),1,0)</f>
        <v>0</v>
      </c>
      <c r="W263" s="9" t="n">
        <f aca="false">IF(AND(I263="Manual",M263&gt;0),1,0)</f>
        <v>0</v>
      </c>
      <c r="X263" s="9" t="n">
        <f aca="false">IF(A263-A262&gt;1,1,0)</f>
        <v>0</v>
      </c>
      <c r="Y263" s="9" t="n">
        <f aca="false">N263*Parameters!$B$38+O263*Parameters!$B$39+P263*Parameters!$B$40+Q263*Parameters!$B$41+R263*Parameters!$B$42+S263*Parameters!$B$43+T263*Parameters!$B$44+U263*Parameters!$B$45+V263*Parameters!$B$46+W263*Parameters!$B$47+X263*Parameters!$B$48</f>
        <v>0</v>
      </c>
      <c r="Z263" s="0" t="str">
        <f aca="false">IF(Y263&gt;=Parameters!$B$25,"High","")</f>
        <v/>
      </c>
    </row>
    <row r="264" customFormat="false" ht="15" hidden="false" customHeight="false" outlineLevel="0" collapsed="false">
      <c r="A264" s="16" t="n">
        <v>1264</v>
      </c>
      <c r="B264" s="9" t="n">
        <f aca="false">COUNTIF(JE_Lines!$B$5:$B$1733,A264)</f>
        <v>2</v>
      </c>
      <c r="C264" s="17" t="n">
        <f aca="false">SUMIFS(JE_Lines!$G$5:$G$1733,JE_Lines!$B$5:$B$1733,A264)</f>
        <v>324.69</v>
      </c>
      <c r="D264" s="17" t="n">
        <f aca="false">SUMIFS(JE_Lines!$H$5:$H$1733,JE_Lines!$B$5:$B$1733,A264)</f>
        <v>324.69</v>
      </c>
      <c r="E264" s="17" t="n">
        <f aca="false">C264-D264</f>
        <v>0</v>
      </c>
      <c r="F264" s="18" t="n">
        <f aca="false">INDEX(JE_Lines!$C$5:$C$1733,MATCH(A264,JE_Lines!$B$5:$B$1733,0))</f>
        <v>45776</v>
      </c>
      <c r="G264" s="18" t="n">
        <f aca="false">INDEX(JE_Lines!$D$5:$D$1733,MATCH(A264,JE_Lines!$B$5:$B$1733,0))</f>
        <v>45776</v>
      </c>
      <c r="H264" s="0" t="str">
        <f aca="false">INDEX(JE_Lines!$I$5:$I$1733,MATCH(A264,JE_Lines!$B$5:$B$1733,0))</f>
        <v>SYS_PAY</v>
      </c>
      <c r="I264" s="0" t="str">
        <f aca="false">INDEX(JE_Lines!$J$5:$J$1733,MATCH(A264,JE_Lines!$B$5:$B$1733,0))</f>
        <v>System</v>
      </c>
      <c r="J264" s="0" t="str">
        <f aca="false">IF(LEN(INDEX(JE_Lines!$K$5:$K$1733,MATCH(A264,JE_Lines!$B$5:$B$1733,0)))=0,"",INDEX(JE_Lines!$K$5:$K$1733,MATCH(A264,JE_Lines!$B$5:$B$1733,0)))</f>
        <v>Supplier payments</v>
      </c>
      <c r="K264" s="9" t="n">
        <f aca="false">F264-G264</f>
        <v>0</v>
      </c>
      <c r="L264" s="9" t="n">
        <f aca="false">COUNTIFS(JE_Lines!$B$5:$B$1733,A264,JE_Lines!$F$5:$F$1733,"Revenue")</f>
        <v>0</v>
      </c>
      <c r="M264" s="9" t="n">
        <f aca="false">COUNTIFS(JE_Lines!$B$5:$B$1733,A264,JE_Lines!$F$5:$F$1733,"Suspense")</f>
        <v>0</v>
      </c>
      <c r="N264" s="9" t="n">
        <f aca="false">IF(ABS(E264)&gt;Parameters!$B$23,1,0)</f>
        <v>0</v>
      </c>
      <c r="O264" s="9" t="n">
        <f aca="false">IF(WEEKDAY(F264,2)&gt;5,1,0)</f>
        <v>0</v>
      </c>
      <c r="P264" s="9" t="n">
        <f aca="false">IF(K264&gt;Parameters!$B$17,1,0)</f>
        <v>0</v>
      </c>
      <c r="Q264" s="9" t="n">
        <f aca="false">IF(AND(F264&lt;=Parameters!$B$6,F264&gt;Parameters!$B$6-Parameters!$B$18),1,0)</f>
        <v>0</v>
      </c>
      <c r="R264" s="9" t="n">
        <f aca="false">IF(COUNTIF(Parameters!$A$51:$A$58,H264)=0,1,0)</f>
        <v>0</v>
      </c>
      <c r="S264" s="9" t="n">
        <f aca="false">IF(AND(I264="Manual",L264&gt;0),1,0)</f>
        <v>0</v>
      </c>
      <c r="T264" s="9" t="n">
        <f aca="false">IF(AND(C264&gt;=Parameters!$B$22,ROUND(MOD(ROUND(C264,2),Parameters!$B$21),2)=0),1,0)</f>
        <v>0</v>
      </c>
      <c r="U264" s="9" t="n">
        <f aca="false">IF(LEN(TRIM(J264))=0,1,0)</f>
        <v>0</v>
      </c>
      <c r="V264" s="9" t="n">
        <f aca="false">IF(AND(I264="Manual",C264&lt;Parameters!$B$19,C264&gt;=Parameters!$B$19*(1-Parameters!$B$20)),1,0)</f>
        <v>0</v>
      </c>
      <c r="W264" s="9" t="n">
        <f aca="false">IF(AND(I264="Manual",M264&gt;0),1,0)</f>
        <v>0</v>
      </c>
      <c r="X264" s="9" t="n">
        <f aca="false">IF(A264-A263&gt;1,1,0)</f>
        <v>0</v>
      </c>
      <c r="Y264" s="9" t="n">
        <f aca="false">N264*Parameters!$B$38+O264*Parameters!$B$39+P264*Parameters!$B$40+Q264*Parameters!$B$41+R264*Parameters!$B$42+S264*Parameters!$B$43+T264*Parameters!$B$44+U264*Parameters!$B$45+V264*Parameters!$B$46+W264*Parameters!$B$47+X264*Parameters!$B$48</f>
        <v>0</v>
      </c>
      <c r="Z264" s="0" t="str">
        <f aca="false">IF(Y264&gt;=Parameters!$B$25,"High","")</f>
        <v/>
      </c>
    </row>
    <row r="265" customFormat="false" ht="15" hidden="false" customHeight="false" outlineLevel="0" collapsed="false">
      <c r="A265" s="16" t="n">
        <v>1265</v>
      </c>
      <c r="B265" s="9" t="n">
        <f aca="false">COUNTIF(JE_Lines!$B$5:$B$1733,A265)</f>
        <v>3</v>
      </c>
      <c r="C265" s="17" t="n">
        <f aca="false">SUMIFS(JE_Lines!$G$5:$G$1733,JE_Lines!$B$5:$B$1733,A265)</f>
        <v>2180.82</v>
      </c>
      <c r="D265" s="17" t="n">
        <f aca="false">SUMIFS(JE_Lines!$H$5:$H$1733,JE_Lines!$B$5:$B$1733,A265)</f>
        <v>2180.82</v>
      </c>
      <c r="E265" s="17" t="n">
        <f aca="false">C265-D265</f>
        <v>0</v>
      </c>
      <c r="F265" s="18" t="n">
        <f aca="false">INDEX(JE_Lines!$C$5:$C$1733,MATCH(A265,JE_Lines!$B$5:$B$1733,0))</f>
        <v>45778</v>
      </c>
      <c r="G265" s="18" t="n">
        <f aca="false">INDEX(JE_Lines!$D$5:$D$1733,MATCH(A265,JE_Lines!$B$5:$B$1733,0))</f>
        <v>45774</v>
      </c>
      <c r="H265" s="0" t="str">
        <f aca="false">INDEX(JE_Lines!$I$5:$I$1733,MATCH(A265,JE_Lines!$B$5:$B$1733,0))</f>
        <v>SYS_PAY</v>
      </c>
      <c r="I265" s="0" t="str">
        <f aca="false">INDEX(JE_Lines!$J$5:$J$1733,MATCH(A265,JE_Lines!$B$5:$B$1733,0))</f>
        <v>System</v>
      </c>
      <c r="J265" s="0" t="str">
        <f aca="false">IF(LEN(INDEX(JE_Lines!$K$5:$K$1733,MATCH(A265,JE_Lines!$B$5:$B$1733,0)))=0,"",INDEX(JE_Lines!$K$5:$K$1733,MATCH(A265,JE_Lines!$B$5:$B$1733,0)))</f>
        <v>Supplier payments</v>
      </c>
      <c r="K265" s="9" t="n">
        <f aca="false">F265-G265</f>
        <v>4</v>
      </c>
      <c r="L265" s="9" t="n">
        <f aca="false">COUNTIFS(JE_Lines!$B$5:$B$1733,A265,JE_Lines!$F$5:$F$1733,"Revenue")</f>
        <v>0</v>
      </c>
      <c r="M265" s="9" t="n">
        <f aca="false">COUNTIFS(JE_Lines!$B$5:$B$1733,A265,JE_Lines!$F$5:$F$1733,"Suspense")</f>
        <v>0</v>
      </c>
      <c r="N265" s="9" t="n">
        <f aca="false">IF(ABS(E265)&gt;Parameters!$B$23,1,0)</f>
        <v>0</v>
      </c>
      <c r="O265" s="9" t="n">
        <f aca="false">IF(WEEKDAY(F265,2)&gt;5,1,0)</f>
        <v>0</v>
      </c>
      <c r="P265" s="9" t="n">
        <f aca="false">IF(K265&gt;Parameters!$B$17,1,0)</f>
        <v>0</v>
      </c>
      <c r="Q265" s="9" t="n">
        <f aca="false">IF(AND(F265&lt;=Parameters!$B$6,F265&gt;Parameters!$B$6-Parameters!$B$18),1,0)</f>
        <v>0</v>
      </c>
      <c r="R265" s="9" t="n">
        <f aca="false">IF(COUNTIF(Parameters!$A$51:$A$58,H265)=0,1,0)</f>
        <v>0</v>
      </c>
      <c r="S265" s="9" t="n">
        <f aca="false">IF(AND(I265="Manual",L265&gt;0),1,0)</f>
        <v>0</v>
      </c>
      <c r="T265" s="9" t="n">
        <f aca="false">IF(AND(C265&gt;=Parameters!$B$22,ROUND(MOD(ROUND(C265,2),Parameters!$B$21),2)=0),1,0)</f>
        <v>0</v>
      </c>
      <c r="U265" s="9" t="n">
        <f aca="false">IF(LEN(TRIM(J265))=0,1,0)</f>
        <v>0</v>
      </c>
      <c r="V265" s="9" t="n">
        <f aca="false">IF(AND(I265="Manual",C265&lt;Parameters!$B$19,C265&gt;=Parameters!$B$19*(1-Parameters!$B$20)),1,0)</f>
        <v>0</v>
      </c>
      <c r="W265" s="9" t="n">
        <f aca="false">IF(AND(I265="Manual",M265&gt;0),1,0)</f>
        <v>0</v>
      </c>
      <c r="X265" s="9" t="n">
        <f aca="false">IF(A265-A264&gt;1,1,0)</f>
        <v>0</v>
      </c>
      <c r="Y265" s="9" t="n">
        <f aca="false">N265*Parameters!$B$38+O265*Parameters!$B$39+P265*Parameters!$B$40+Q265*Parameters!$B$41+R265*Parameters!$B$42+S265*Parameters!$B$43+T265*Parameters!$B$44+U265*Parameters!$B$45+V265*Parameters!$B$46+W265*Parameters!$B$47+X265*Parameters!$B$48</f>
        <v>0</v>
      </c>
      <c r="Z265" s="0" t="str">
        <f aca="false">IF(Y265&gt;=Parameters!$B$25,"High","")</f>
        <v/>
      </c>
    </row>
    <row r="266" customFormat="false" ht="15" hidden="false" customHeight="false" outlineLevel="0" collapsed="false">
      <c r="A266" s="16" t="n">
        <v>1266</v>
      </c>
      <c r="B266" s="9" t="n">
        <f aca="false">COUNTIF(JE_Lines!$B$5:$B$1733,A266)</f>
        <v>2</v>
      </c>
      <c r="C266" s="17" t="n">
        <f aca="false">SUMIFS(JE_Lines!$G$5:$G$1733,JE_Lines!$B$5:$B$1733,A266)</f>
        <v>1939.43</v>
      </c>
      <c r="D266" s="17" t="n">
        <f aca="false">SUMIFS(JE_Lines!$H$5:$H$1733,JE_Lines!$B$5:$B$1733,A266)</f>
        <v>1939.43</v>
      </c>
      <c r="E266" s="17" t="n">
        <f aca="false">C266-D266</f>
        <v>0</v>
      </c>
      <c r="F266" s="18" t="n">
        <f aca="false">INDEX(JE_Lines!$C$5:$C$1733,MATCH(A266,JE_Lines!$B$5:$B$1733,0))</f>
        <v>45779</v>
      </c>
      <c r="G266" s="18" t="n">
        <f aca="false">INDEX(JE_Lines!$D$5:$D$1733,MATCH(A266,JE_Lines!$B$5:$B$1733,0))</f>
        <v>45778</v>
      </c>
      <c r="H266" s="0" t="str">
        <f aca="false">INDEX(JE_Lines!$I$5:$I$1733,MATCH(A266,JE_Lines!$B$5:$B$1733,0))</f>
        <v>SYS_AR</v>
      </c>
      <c r="I266" s="0" t="str">
        <f aca="false">INDEX(JE_Lines!$J$5:$J$1733,MATCH(A266,JE_Lines!$B$5:$B$1733,0))</f>
        <v>System</v>
      </c>
      <c r="J266" s="0" t="str">
        <f aca="false">IF(LEN(INDEX(JE_Lines!$K$5:$K$1733,MATCH(A266,JE_Lines!$B$5:$B$1733,0)))=0,"",INDEX(JE_Lines!$K$5:$K$1733,MATCH(A266,JE_Lines!$B$5:$B$1733,0)))</f>
        <v>Sales invoice batch</v>
      </c>
      <c r="K266" s="9" t="n">
        <f aca="false">F266-G266</f>
        <v>1</v>
      </c>
      <c r="L266" s="9" t="n">
        <f aca="false">COUNTIFS(JE_Lines!$B$5:$B$1733,A266,JE_Lines!$F$5:$F$1733,"Revenue")</f>
        <v>1</v>
      </c>
      <c r="M266" s="9" t="n">
        <f aca="false">COUNTIFS(JE_Lines!$B$5:$B$1733,A266,JE_Lines!$F$5:$F$1733,"Suspense")</f>
        <v>0</v>
      </c>
      <c r="N266" s="9" t="n">
        <f aca="false">IF(ABS(E266)&gt;Parameters!$B$23,1,0)</f>
        <v>0</v>
      </c>
      <c r="O266" s="9" t="n">
        <f aca="false">IF(WEEKDAY(F266,2)&gt;5,1,0)</f>
        <v>0</v>
      </c>
      <c r="P266" s="9" t="n">
        <f aca="false">IF(K266&gt;Parameters!$B$17,1,0)</f>
        <v>0</v>
      </c>
      <c r="Q266" s="9" t="n">
        <f aca="false">IF(AND(F266&lt;=Parameters!$B$6,F266&gt;Parameters!$B$6-Parameters!$B$18),1,0)</f>
        <v>0</v>
      </c>
      <c r="R266" s="9" t="n">
        <f aca="false">IF(COUNTIF(Parameters!$A$51:$A$58,H266)=0,1,0)</f>
        <v>0</v>
      </c>
      <c r="S266" s="9" t="n">
        <f aca="false">IF(AND(I266="Manual",L266&gt;0),1,0)</f>
        <v>0</v>
      </c>
      <c r="T266" s="9" t="n">
        <f aca="false">IF(AND(C266&gt;=Parameters!$B$22,ROUND(MOD(ROUND(C266,2),Parameters!$B$21),2)=0),1,0)</f>
        <v>0</v>
      </c>
      <c r="U266" s="9" t="n">
        <f aca="false">IF(LEN(TRIM(J266))=0,1,0)</f>
        <v>0</v>
      </c>
      <c r="V266" s="9" t="n">
        <f aca="false">IF(AND(I266="Manual",C266&lt;Parameters!$B$19,C266&gt;=Parameters!$B$19*(1-Parameters!$B$20)),1,0)</f>
        <v>0</v>
      </c>
      <c r="W266" s="9" t="n">
        <f aca="false">IF(AND(I266="Manual",M266&gt;0),1,0)</f>
        <v>0</v>
      </c>
      <c r="X266" s="9" t="n">
        <f aca="false">IF(A266-A265&gt;1,1,0)</f>
        <v>0</v>
      </c>
      <c r="Y266" s="9" t="n">
        <f aca="false">N266*Parameters!$B$38+O266*Parameters!$B$39+P266*Parameters!$B$40+Q266*Parameters!$B$41+R266*Parameters!$B$42+S266*Parameters!$B$43+T266*Parameters!$B$44+U266*Parameters!$B$45+V266*Parameters!$B$46+W266*Parameters!$B$47+X266*Parameters!$B$48</f>
        <v>0</v>
      </c>
      <c r="Z266" s="0" t="str">
        <f aca="false">IF(Y266&gt;=Parameters!$B$25,"High","")</f>
        <v/>
      </c>
    </row>
    <row r="267" customFormat="false" ht="15" hidden="false" customHeight="false" outlineLevel="0" collapsed="false">
      <c r="A267" s="16" t="n">
        <v>1267</v>
      </c>
      <c r="B267" s="9" t="n">
        <f aca="false">COUNTIF(JE_Lines!$B$5:$B$1733,A267)</f>
        <v>3</v>
      </c>
      <c r="C267" s="17" t="n">
        <f aca="false">SUMIFS(JE_Lines!$G$5:$G$1733,JE_Lines!$B$5:$B$1733,A267)</f>
        <v>38052.45</v>
      </c>
      <c r="D267" s="17" t="n">
        <f aca="false">SUMIFS(JE_Lines!$H$5:$H$1733,JE_Lines!$B$5:$B$1733,A267)</f>
        <v>38052.45</v>
      </c>
      <c r="E267" s="17" t="n">
        <f aca="false">C267-D267</f>
        <v>0</v>
      </c>
      <c r="F267" s="18" t="n">
        <f aca="false">INDEX(JE_Lines!$C$5:$C$1733,MATCH(A267,JE_Lines!$B$5:$B$1733,0))</f>
        <v>45779</v>
      </c>
      <c r="G267" s="18" t="n">
        <f aca="false">INDEX(JE_Lines!$D$5:$D$1733,MATCH(A267,JE_Lines!$B$5:$B$1733,0))</f>
        <v>45775</v>
      </c>
      <c r="H267" s="0" t="str">
        <f aca="false">INDEX(JE_Lines!$I$5:$I$1733,MATCH(A267,JE_Lines!$B$5:$B$1733,0))</f>
        <v>SYS_PAY</v>
      </c>
      <c r="I267" s="0" t="str">
        <f aca="false">INDEX(JE_Lines!$J$5:$J$1733,MATCH(A267,JE_Lines!$B$5:$B$1733,0))</f>
        <v>System</v>
      </c>
      <c r="J267" s="0" t="str">
        <f aca="false">IF(LEN(INDEX(JE_Lines!$K$5:$K$1733,MATCH(A267,JE_Lines!$B$5:$B$1733,0)))=0,"",INDEX(JE_Lines!$K$5:$K$1733,MATCH(A267,JE_Lines!$B$5:$B$1733,0)))</f>
        <v>Supplier payments</v>
      </c>
      <c r="K267" s="9" t="n">
        <f aca="false">F267-G267</f>
        <v>4</v>
      </c>
      <c r="L267" s="9" t="n">
        <f aca="false">COUNTIFS(JE_Lines!$B$5:$B$1733,A267,JE_Lines!$F$5:$F$1733,"Revenue")</f>
        <v>0</v>
      </c>
      <c r="M267" s="9" t="n">
        <f aca="false">COUNTIFS(JE_Lines!$B$5:$B$1733,A267,JE_Lines!$F$5:$F$1733,"Suspense")</f>
        <v>0</v>
      </c>
      <c r="N267" s="9" t="n">
        <f aca="false">IF(ABS(E267)&gt;Parameters!$B$23,1,0)</f>
        <v>0</v>
      </c>
      <c r="O267" s="9" t="n">
        <f aca="false">IF(WEEKDAY(F267,2)&gt;5,1,0)</f>
        <v>0</v>
      </c>
      <c r="P267" s="9" t="n">
        <f aca="false">IF(K267&gt;Parameters!$B$17,1,0)</f>
        <v>0</v>
      </c>
      <c r="Q267" s="9" t="n">
        <f aca="false">IF(AND(F267&lt;=Parameters!$B$6,F267&gt;Parameters!$B$6-Parameters!$B$18),1,0)</f>
        <v>0</v>
      </c>
      <c r="R267" s="9" t="n">
        <f aca="false">IF(COUNTIF(Parameters!$A$51:$A$58,H267)=0,1,0)</f>
        <v>0</v>
      </c>
      <c r="S267" s="9" t="n">
        <f aca="false">IF(AND(I267="Manual",L267&gt;0),1,0)</f>
        <v>0</v>
      </c>
      <c r="T267" s="9" t="n">
        <f aca="false">IF(AND(C267&gt;=Parameters!$B$22,ROUND(MOD(ROUND(C267,2),Parameters!$B$21),2)=0),1,0)</f>
        <v>0</v>
      </c>
      <c r="U267" s="9" t="n">
        <f aca="false">IF(LEN(TRIM(J267))=0,1,0)</f>
        <v>0</v>
      </c>
      <c r="V267" s="9" t="n">
        <f aca="false">IF(AND(I267="Manual",C267&lt;Parameters!$B$19,C267&gt;=Parameters!$B$19*(1-Parameters!$B$20)),1,0)</f>
        <v>0</v>
      </c>
      <c r="W267" s="9" t="n">
        <f aca="false">IF(AND(I267="Manual",M267&gt;0),1,0)</f>
        <v>0</v>
      </c>
      <c r="X267" s="9" t="n">
        <f aca="false">IF(A267-A266&gt;1,1,0)</f>
        <v>0</v>
      </c>
      <c r="Y267" s="9" t="n">
        <f aca="false">N267*Parameters!$B$38+O267*Parameters!$B$39+P267*Parameters!$B$40+Q267*Parameters!$B$41+R267*Parameters!$B$42+S267*Parameters!$B$43+T267*Parameters!$B$44+U267*Parameters!$B$45+V267*Parameters!$B$46+W267*Parameters!$B$47+X267*Parameters!$B$48</f>
        <v>0</v>
      </c>
      <c r="Z267" s="0" t="str">
        <f aca="false">IF(Y267&gt;=Parameters!$B$25,"High","")</f>
        <v/>
      </c>
    </row>
    <row r="268" customFormat="false" ht="15" hidden="false" customHeight="false" outlineLevel="0" collapsed="false">
      <c r="A268" s="16" t="n">
        <v>1268</v>
      </c>
      <c r="B268" s="9" t="n">
        <f aca="false">COUNTIF(JE_Lines!$B$5:$B$1733,A268)</f>
        <v>2</v>
      </c>
      <c r="C268" s="17" t="n">
        <f aca="false">SUMIFS(JE_Lines!$G$5:$G$1733,JE_Lines!$B$5:$B$1733,A268)</f>
        <v>2935.19</v>
      </c>
      <c r="D268" s="17" t="n">
        <f aca="false">SUMIFS(JE_Lines!$H$5:$H$1733,JE_Lines!$B$5:$B$1733,A268)</f>
        <v>2935.19</v>
      </c>
      <c r="E268" s="17" t="n">
        <f aca="false">C268-D268</f>
        <v>0</v>
      </c>
      <c r="F268" s="18" t="n">
        <f aca="false">INDEX(JE_Lines!$C$5:$C$1733,MATCH(A268,JE_Lines!$B$5:$B$1733,0))</f>
        <v>45779</v>
      </c>
      <c r="G268" s="18" t="n">
        <f aca="false">INDEX(JE_Lines!$D$5:$D$1733,MATCH(A268,JE_Lines!$B$5:$B$1733,0))</f>
        <v>45779</v>
      </c>
      <c r="H268" s="0" t="str">
        <f aca="false">INDEX(JE_Lines!$I$5:$I$1733,MATCH(A268,JE_Lines!$B$5:$B$1733,0))</f>
        <v>SYS_AR</v>
      </c>
      <c r="I268" s="0" t="str">
        <f aca="false">INDEX(JE_Lines!$J$5:$J$1733,MATCH(A268,JE_Lines!$B$5:$B$1733,0))</f>
        <v>System</v>
      </c>
      <c r="J268" s="0" t="str">
        <f aca="false">IF(LEN(INDEX(JE_Lines!$K$5:$K$1733,MATCH(A268,JE_Lines!$B$5:$B$1733,0)))=0,"",INDEX(JE_Lines!$K$5:$K$1733,MATCH(A268,JE_Lines!$B$5:$B$1733,0)))</f>
        <v>Sales invoice batch</v>
      </c>
      <c r="K268" s="9" t="n">
        <f aca="false">F268-G268</f>
        <v>0</v>
      </c>
      <c r="L268" s="9" t="n">
        <f aca="false">COUNTIFS(JE_Lines!$B$5:$B$1733,A268,JE_Lines!$F$5:$F$1733,"Revenue")</f>
        <v>1</v>
      </c>
      <c r="M268" s="9" t="n">
        <f aca="false">COUNTIFS(JE_Lines!$B$5:$B$1733,A268,JE_Lines!$F$5:$F$1733,"Suspense")</f>
        <v>0</v>
      </c>
      <c r="N268" s="9" t="n">
        <f aca="false">IF(ABS(E268)&gt;Parameters!$B$23,1,0)</f>
        <v>0</v>
      </c>
      <c r="O268" s="9" t="n">
        <f aca="false">IF(WEEKDAY(F268,2)&gt;5,1,0)</f>
        <v>0</v>
      </c>
      <c r="P268" s="9" t="n">
        <f aca="false">IF(K268&gt;Parameters!$B$17,1,0)</f>
        <v>0</v>
      </c>
      <c r="Q268" s="9" t="n">
        <f aca="false">IF(AND(F268&lt;=Parameters!$B$6,F268&gt;Parameters!$B$6-Parameters!$B$18),1,0)</f>
        <v>0</v>
      </c>
      <c r="R268" s="9" t="n">
        <f aca="false">IF(COUNTIF(Parameters!$A$51:$A$58,H268)=0,1,0)</f>
        <v>0</v>
      </c>
      <c r="S268" s="9" t="n">
        <f aca="false">IF(AND(I268="Manual",L268&gt;0),1,0)</f>
        <v>0</v>
      </c>
      <c r="T268" s="9" t="n">
        <f aca="false">IF(AND(C268&gt;=Parameters!$B$22,ROUND(MOD(ROUND(C268,2),Parameters!$B$21),2)=0),1,0)</f>
        <v>0</v>
      </c>
      <c r="U268" s="9" t="n">
        <f aca="false">IF(LEN(TRIM(J268))=0,1,0)</f>
        <v>0</v>
      </c>
      <c r="V268" s="9" t="n">
        <f aca="false">IF(AND(I268="Manual",C268&lt;Parameters!$B$19,C268&gt;=Parameters!$B$19*(1-Parameters!$B$20)),1,0)</f>
        <v>0</v>
      </c>
      <c r="W268" s="9" t="n">
        <f aca="false">IF(AND(I268="Manual",M268&gt;0),1,0)</f>
        <v>0</v>
      </c>
      <c r="X268" s="9" t="n">
        <f aca="false">IF(A268-A267&gt;1,1,0)</f>
        <v>0</v>
      </c>
      <c r="Y268" s="9" t="n">
        <f aca="false">N268*Parameters!$B$38+O268*Parameters!$B$39+P268*Parameters!$B$40+Q268*Parameters!$B$41+R268*Parameters!$B$42+S268*Parameters!$B$43+T268*Parameters!$B$44+U268*Parameters!$B$45+V268*Parameters!$B$46+W268*Parameters!$B$47+X268*Parameters!$B$48</f>
        <v>0</v>
      </c>
      <c r="Z268" s="0" t="str">
        <f aca="false">IF(Y268&gt;=Parameters!$B$25,"High","")</f>
        <v/>
      </c>
    </row>
    <row r="269" customFormat="false" ht="15" hidden="false" customHeight="false" outlineLevel="0" collapsed="false">
      <c r="A269" s="16" t="n">
        <v>1269</v>
      </c>
      <c r="B269" s="9" t="n">
        <f aca="false">COUNTIF(JE_Lines!$B$5:$B$1733,A269)</f>
        <v>2</v>
      </c>
      <c r="C269" s="17" t="n">
        <f aca="false">SUMIFS(JE_Lines!$G$5:$G$1733,JE_Lines!$B$5:$B$1733,A269)</f>
        <v>1040.47</v>
      </c>
      <c r="D269" s="17" t="n">
        <f aca="false">SUMIFS(JE_Lines!$H$5:$H$1733,JE_Lines!$B$5:$B$1733,A269)</f>
        <v>1040.47</v>
      </c>
      <c r="E269" s="17" t="n">
        <f aca="false">C269-D269</f>
        <v>0</v>
      </c>
      <c r="F269" s="18" t="n">
        <f aca="false">INDEX(JE_Lines!$C$5:$C$1733,MATCH(A269,JE_Lines!$B$5:$B$1733,0))</f>
        <v>45779</v>
      </c>
      <c r="G269" s="18" t="n">
        <f aca="false">INDEX(JE_Lines!$D$5:$D$1733,MATCH(A269,JE_Lines!$B$5:$B$1733,0))</f>
        <v>45778</v>
      </c>
      <c r="H269" s="0" t="str">
        <f aca="false">INDEX(JE_Lines!$I$5:$I$1733,MATCH(A269,JE_Lines!$B$5:$B$1733,0))</f>
        <v>SYS_AR</v>
      </c>
      <c r="I269" s="0" t="str">
        <f aca="false">INDEX(JE_Lines!$J$5:$J$1733,MATCH(A269,JE_Lines!$B$5:$B$1733,0))</f>
        <v>System</v>
      </c>
      <c r="J269" s="0" t="str">
        <f aca="false">IF(LEN(INDEX(JE_Lines!$K$5:$K$1733,MATCH(A269,JE_Lines!$B$5:$B$1733,0)))=0,"",INDEX(JE_Lines!$K$5:$K$1733,MATCH(A269,JE_Lines!$B$5:$B$1733,0)))</f>
        <v>Sales invoice batch</v>
      </c>
      <c r="K269" s="9" t="n">
        <f aca="false">F269-G269</f>
        <v>1</v>
      </c>
      <c r="L269" s="9" t="n">
        <f aca="false">COUNTIFS(JE_Lines!$B$5:$B$1733,A269,JE_Lines!$F$5:$F$1733,"Revenue")</f>
        <v>1</v>
      </c>
      <c r="M269" s="9" t="n">
        <f aca="false">COUNTIFS(JE_Lines!$B$5:$B$1733,A269,JE_Lines!$F$5:$F$1733,"Suspense")</f>
        <v>0</v>
      </c>
      <c r="N269" s="9" t="n">
        <f aca="false">IF(ABS(E269)&gt;Parameters!$B$23,1,0)</f>
        <v>0</v>
      </c>
      <c r="O269" s="9" t="n">
        <f aca="false">IF(WEEKDAY(F269,2)&gt;5,1,0)</f>
        <v>0</v>
      </c>
      <c r="P269" s="9" t="n">
        <f aca="false">IF(K269&gt;Parameters!$B$17,1,0)</f>
        <v>0</v>
      </c>
      <c r="Q269" s="9" t="n">
        <f aca="false">IF(AND(F269&lt;=Parameters!$B$6,F269&gt;Parameters!$B$6-Parameters!$B$18),1,0)</f>
        <v>0</v>
      </c>
      <c r="R269" s="9" t="n">
        <f aca="false">IF(COUNTIF(Parameters!$A$51:$A$58,H269)=0,1,0)</f>
        <v>0</v>
      </c>
      <c r="S269" s="9" t="n">
        <f aca="false">IF(AND(I269="Manual",L269&gt;0),1,0)</f>
        <v>0</v>
      </c>
      <c r="T269" s="9" t="n">
        <f aca="false">IF(AND(C269&gt;=Parameters!$B$22,ROUND(MOD(ROUND(C269,2),Parameters!$B$21),2)=0),1,0)</f>
        <v>0</v>
      </c>
      <c r="U269" s="9" t="n">
        <f aca="false">IF(LEN(TRIM(J269))=0,1,0)</f>
        <v>0</v>
      </c>
      <c r="V269" s="9" t="n">
        <f aca="false">IF(AND(I269="Manual",C269&lt;Parameters!$B$19,C269&gt;=Parameters!$B$19*(1-Parameters!$B$20)),1,0)</f>
        <v>0</v>
      </c>
      <c r="W269" s="9" t="n">
        <f aca="false">IF(AND(I269="Manual",M269&gt;0),1,0)</f>
        <v>0</v>
      </c>
      <c r="X269" s="9" t="n">
        <f aca="false">IF(A269-A268&gt;1,1,0)</f>
        <v>0</v>
      </c>
      <c r="Y269" s="9" t="n">
        <f aca="false">N269*Parameters!$B$38+O269*Parameters!$B$39+P269*Parameters!$B$40+Q269*Parameters!$B$41+R269*Parameters!$B$42+S269*Parameters!$B$43+T269*Parameters!$B$44+U269*Parameters!$B$45+V269*Parameters!$B$46+W269*Parameters!$B$47+X269*Parameters!$B$48</f>
        <v>0</v>
      </c>
      <c r="Z269" s="0" t="str">
        <f aca="false">IF(Y269&gt;=Parameters!$B$25,"High","")</f>
        <v/>
      </c>
    </row>
    <row r="270" customFormat="false" ht="15" hidden="false" customHeight="false" outlineLevel="0" collapsed="false">
      <c r="A270" s="16" t="n">
        <v>1270</v>
      </c>
      <c r="B270" s="9" t="n">
        <f aca="false">COUNTIF(JE_Lines!$B$5:$B$1733,A270)</f>
        <v>2</v>
      </c>
      <c r="C270" s="17" t="n">
        <f aca="false">SUMIFS(JE_Lines!$G$5:$G$1733,JE_Lines!$B$5:$B$1733,A270)</f>
        <v>388.36</v>
      </c>
      <c r="D270" s="17" t="n">
        <f aca="false">SUMIFS(JE_Lines!$H$5:$H$1733,JE_Lines!$B$5:$B$1733,A270)</f>
        <v>388.36</v>
      </c>
      <c r="E270" s="17" t="n">
        <f aca="false">C270-D270</f>
        <v>0</v>
      </c>
      <c r="F270" s="18" t="n">
        <f aca="false">INDEX(JE_Lines!$C$5:$C$1733,MATCH(A270,JE_Lines!$B$5:$B$1733,0))</f>
        <v>45779</v>
      </c>
      <c r="G270" s="18" t="n">
        <f aca="false">INDEX(JE_Lines!$D$5:$D$1733,MATCH(A270,JE_Lines!$B$5:$B$1733,0))</f>
        <v>45779</v>
      </c>
      <c r="H270" s="0" t="str">
        <f aca="false">INDEX(JE_Lines!$I$5:$I$1733,MATCH(A270,JE_Lines!$B$5:$B$1733,0))</f>
        <v>SYS_PAY</v>
      </c>
      <c r="I270" s="0" t="str">
        <f aca="false">INDEX(JE_Lines!$J$5:$J$1733,MATCH(A270,JE_Lines!$B$5:$B$1733,0))</f>
        <v>System</v>
      </c>
      <c r="J270" s="0" t="str">
        <f aca="false">IF(LEN(INDEX(JE_Lines!$K$5:$K$1733,MATCH(A270,JE_Lines!$B$5:$B$1733,0)))=0,"",INDEX(JE_Lines!$K$5:$K$1733,MATCH(A270,JE_Lines!$B$5:$B$1733,0)))</f>
        <v>Supplier payments</v>
      </c>
      <c r="K270" s="9" t="n">
        <f aca="false">F270-G270</f>
        <v>0</v>
      </c>
      <c r="L270" s="9" t="n">
        <f aca="false">COUNTIFS(JE_Lines!$B$5:$B$1733,A270,JE_Lines!$F$5:$F$1733,"Revenue")</f>
        <v>0</v>
      </c>
      <c r="M270" s="9" t="n">
        <f aca="false">COUNTIFS(JE_Lines!$B$5:$B$1733,A270,JE_Lines!$F$5:$F$1733,"Suspense")</f>
        <v>0</v>
      </c>
      <c r="N270" s="9" t="n">
        <f aca="false">IF(ABS(E270)&gt;Parameters!$B$23,1,0)</f>
        <v>0</v>
      </c>
      <c r="O270" s="9" t="n">
        <f aca="false">IF(WEEKDAY(F270,2)&gt;5,1,0)</f>
        <v>0</v>
      </c>
      <c r="P270" s="9" t="n">
        <f aca="false">IF(K270&gt;Parameters!$B$17,1,0)</f>
        <v>0</v>
      </c>
      <c r="Q270" s="9" t="n">
        <f aca="false">IF(AND(F270&lt;=Parameters!$B$6,F270&gt;Parameters!$B$6-Parameters!$B$18),1,0)</f>
        <v>0</v>
      </c>
      <c r="R270" s="9" t="n">
        <f aca="false">IF(COUNTIF(Parameters!$A$51:$A$58,H270)=0,1,0)</f>
        <v>0</v>
      </c>
      <c r="S270" s="9" t="n">
        <f aca="false">IF(AND(I270="Manual",L270&gt;0),1,0)</f>
        <v>0</v>
      </c>
      <c r="T270" s="9" t="n">
        <f aca="false">IF(AND(C270&gt;=Parameters!$B$22,ROUND(MOD(ROUND(C270,2),Parameters!$B$21),2)=0),1,0)</f>
        <v>0</v>
      </c>
      <c r="U270" s="9" t="n">
        <f aca="false">IF(LEN(TRIM(J270))=0,1,0)</f>
        <v>0</v>
      </c>
      <c r="V270" s="9" t="n">
        <f aca="false">IF(AND(I270="Manual",C270&lt;Parameters!$B$19,C270&gt;=Parameters!$B$19*(1-Parameters!$B$20)),1,0)</f>
        <v>0</v>
      </c>
      <c r="W270" s="9" t="n">
        <f aca="false">IF(AND(I270="Manual",M270&gt;0),1,0)</f>
        <v>0</v>
      </c>
      <c r="X270" s="9" t="n">
        <f aca="false">IF(A270-A269&gt;1,1,0)</f>
        <v>0</v>
      </c>
      <c r="Y270" s="9" t="n">
        <f aca="false">N270*Parameters!$B$38+O270*Parameters!$B$39+P270*Parameters!$B$40+Q270*Parameters!$B$41+R270*Parameters!$B$42+S270*Parameters!$B$43+T270*Parameters!$B$44+U270*Parameters!$B$45+V270*Parameters!$B$46+W270*Parameters!$B$47+X270*Parameters!$B$48</f>
        <v>0</v>
      </c>
      <c r="Z270" s="0" t="str">
        <f aca="false">IF(Y270&gt;=Parameters!$B$25,"High","")</f>
        <v/>
      </c>
    </row>
    <row r="271" customFormat="false" ht="15" hidden="false" customHeight="false" outlineLevel="0" collapsed="false">
      <c r="A271" s="16" t="n">
        <v>1273</v>
      </c>
      <c r="B271" s="9" t="n">
        <f aca="false">COUNTIF(JE_Lines!$B$5:$B$1733,A271)</f>
        <v>2</v>
      </c>
      <c r="C271" s="17" t="n">
        <f aca="false">SUMIFS(JE_Lines!$G$5:$G$1733,JE_Lines!$B$5:$B$1733,A271)</f>
        <v>18022.62</v>
      </c>
      <c r="D271" s="17" t="n">
        <f aca="false">SUMIFS(JE_Lines!$H$5:$H$1733,JE_Lines!$B$5:$B$1733,A271)</f>
        <v>18022.62</v>
      </c>
      <c r="E271" s="17" t="n">
        <f aca="false">C271-D271</f>
        <v>0</v>
      </c>
      <c r="F271" s="18" t="n">
        <f aca="false">INDEX(JE_Lines!$C$5:$C$1733,MATCH(A271,JE_Lines!$B$5:$B$1733,0))</f>
        <v>45780</v>
      </c>
      <c r="G271" s="18" t="n">
        <f aca="false">INDEX(JE_Lines!$D$5:$D$1733,MATCH(A271,JE_Lines!$B$5:$B$1733,0))</f>
        <v>45779</v>
      </c>
      <c r="H271" s="0" t="str">
        <f aca="false">INDEX(JE_Lines!$I$5:$I$1733,MATCH(A271,JE_Lines!$B$5:$B$1733,0))</f>
        <v>SYS_AR</v>
      </c>
      <c r="I271" s="0" t="str">
        <f aca="false">INDEX(JE_Lines!$J$5:$J$1733,MATCH(A271,JE_Lines!$B$5:$B$1733,0))</f>
        <v>System</v>
      </c>
      <c r="J271" s="0" t="str">
        <f aca="false">IF(LEN(INDEX(JE_Lines!$K$5:$K$1733,MATCH(A271,JE_Lines!$B$5:$B$1733,0)))=0,"",INDEX(JE_Lines!$K$5:$K$1733,MATCH(A271,JE_Lines!$B$5:$B$1733,0)))</f>
        <v>Sales invoice batch</v>
      </c>
      <c r="K271" s="9" t="n">
        <f aca="false">F271-G271</f>
        <v>1</v>
      </c>
      <c r="L271" s="9" t="n">
        <f aca="false">COUNTIFS(JE_Lines!$B$5:$B$1733,A271,JE_Lines!$F$5:$F$1733,"Revenue")</f>
        <v>1</v>
      </c>
      <c r="M271" s="9" t="n">
        <f aca="false">COUNTIFS(JE_Lines!$B$5:$B$1733,A271,JE_Lines!$F$5:$F$1733,"Suspense")</f>
        <v>0</v>
      </c>
      <c r="N271" s="9" t="n">
        <f aca="false">IF(ABS(E271)&gt;Parameters!$B$23,1,0)</f>
        <v>0</v>
      </c>
      <c r="O271" s="9" t="n">
        <f aca="false">IF(WEEKDAY(F271,2)&gt;5,1,0)</f>
        <v>1</v>
      </c>
      <c r="P271" s="9" t="n">
        <f aca="false">IF(K271&gt;Parameters!$B$17,1,0)</f>
        <v>0</v>
      </c>
      <c r="Q271" s="9" t="n">
        <f aca="false">IF(AND(F271&lt;=Parameters!$B$6,F271&gt;Parameters!$B$6-Parameters!$B$18),1,0)</f>
        <v>0</v>
      </c>
      <c r="R271" s="9" t="n">
        <f aca="false">IF(COUNTIF(Parameters!$A$51:$A$58,H271)=0,1,0)</f>
        <v>0</v>
      </c>
      <c r="S271" s="9" t="n">
        <f aca="false">IF(AND(I271="Manual",L271&gt;0),1,0)</f>
        <v>0</v>
      </c>
      <c r="T271" s="9" t="n">
        <f aca="false">IF(AND(C271&gt;=Parameters!$B$22,ROUND(MOD(ROUND(C271,2),Parameters!$B$21),2)=0),1,0)</f>
        <v>0</v>
      </c>
      <c r="U271" s="9" t="n">
        <f aca="false">IF(LEN(TRIM(J271))=0,1,0)</f>
        <v>0</v>
      </c>
      <c r="V271" s="9" t="n">
        <f aca="false">IF(AND(I271="Manual",C271&lt;Parameters!$B$19,C271&gt;=Parameters!$B$19*(1-Parameters!$B$20)),1,0)</f>
        <v>0</v>
      </c>
      <c r="W271" s="9" t="n">
        <f aca="false">IF(AND(I271="Manual",M271&gt;0),1,0)</f>
        <v>0</v>
      </c>
      <c r="X271" s="9" t="n">
        <f aca="false">IF(A271-A270&gt;1,1,0)</f>
        <v>1</v>
      </c>
      <c r="Y271" s="9" t="n">
        <f aca="false">N271*Parameters!$B$38+O271*Parameters!$B$39+P271*Parameters!$B$40+Q271*Parameters!$B$41+R271*Parameters!$B$42+S271*Parameters!$B$43+T271*Parameters!$B$44+U271*Parameters!$B$45+V271*Parameters!$B$46+W271*Parameters!$B$47+X271*Parameters!$B$48</f>
        <v>3</v>
      </c>
      <c r="Z271" s="0" t="str">
        <f aca="false">IF(Y271&gt;=Parameters!$B$25,"High","")</f>
        <v/>
      </c>
    </row>
    <row r="272" customFormat="false" ht="15" hidden="false" customHeight="false" outlineLevel="0" collapsed="false">
      <c r="A272" s="16" t="n">
        <v>1274</v>
      </c>
      <c r="B272" s="9" t="n">
        <f aca="false">COUNTIF(JE_Lines!$B$5:$B$1733,A272)</f>
        <v>2</v>
      </c>
      <c r="C272" s="17" t="n">
        <f aca="false">SUMIFS(JE_Lines!$G$5:$G$1733,JE_Lines!$B$5:$B$1733,A272)</f>
        <v>16180.25</v>
      </c>
      <c r="D272" s="17" t="n">
        <f aca="false">SUMIFS(JE_Lines!$H$5:$H$1733,JE_Lines!$B$5:$B$1733,A272)</f>
        <v>16180.25</v>
      </c>
      <c r="E272" s="17" t="n">
        <f aca="false">C272-D272</f>
        <v>0</v>
      </c>
      <c r="F272" s="18" t="n">
        <f aca="false">INDEX(JE_Lines!$C$5:$C$1733,MATCH(A272,JE_Lines!$B$5:$B$1733,0))</f>
        <v>45781</v>
      </c>
      <c r="G272" s="18" t="n">
        <f aca="false">INDEX(JE_Lines!$D$5:$D$1733,MATCH(A272,JE_Lines!$B$5:$B$1733,0))</f>
        <v>45781</v>
      </c>
      <c r="H272" s="0" t="str">
        <f aca="false">INDEX(JE_Lines!$I$5:$I$1733,MATCH(A272,JE_Lines!$B$5:$B$1733,0))</f>
        <v>FIN04</v>
      </c>
      <c r="I272" s="0" t="str">
        <f aca="false">INDEX(JE_Lines!$J$5:$J$1733,MATCH(A272,JE_Lines!$B$5:$B$1733,0))</f>
        <v>Manual</v>
      </c>
      <c r="J272" s="0" t="str">
        <f aca="false">IF(LEN(INDEX(JE_Lines!$K$5:$K$1733,MATCH(A272,JE_Lines!$B$5:$B$1733,0)))=0,"",INDEX(JE_Lines!$K$5:$K$1733,MATCH(A272,JE_Lines!$B$5:$B$1733,0)))</f>
        <v>Weekend adjustment 7</v>
      </c>
      <c r="K272" s="9" t="n">
        <f aca="false">F272-G272</f>
        <v>0</v>
      </c>
      <c r="L272" s="9" t="n">
        <f aca="false">COUNTIFS(JE_Lines!$B$5:$B$1733,A272,JE_Lines!$F$5:$F$1733,"Revenue")</f>
        <v>0</v>
      </c>
      <c r="M272" s="9" t="n">
        <f aca="false">COUNTIFS(JE_Lines!$B$5:$B$1733,A272,JE_Lines!$F$5:$F$1733,"Suspense")</f>
        <v>0</v>
      </c>
      <c r="N272" s="9" t="n">
        <f aca="false">IF(ABS(E272)&gt;Parameters!$B$23,1,0)</f>
        <v>0</v>
      </c>
      <c r="O272" s="9" t="n">
        <f aca="false">IF(WEEKDAY(F272,2)&gt;5,1,0)</f>
        <v>1</v>
      </c>
      <c r="P272" s="9" t="n">
        <f aca="false">IF(K272&gt;Parameters!$B$17,1,0)</f>
        <v>0</v>
      </c>
      <c r="Q272" s="9" t="n">
        <f aca="false">IF(AND(F272&lt;=Parameters!$B$6,F272&gt;Parameters!$B$6-Parameters!$B$18),1,0)</f>
        <v>0</v>
      </c>
      <c r="R272" s="9" t="n">
        <f aca="false">IF(COUNTIF(Parameters!$A$51:$A$58,H272)=0,1,0)</f>
        <v>0</v>
      </c>
      <c r="S272" s="9" t="n">
        <f aca="false">IF(AND(I272="Manual",L272&gt;0),1,0)</f>
        <v>0</v>
      </c>
      <c r="T272" s="9" t="n">
        <f aca="false">IF(AND(C272&gt;=Parameters!$B$22,ROUND(MOD(ROUND(C272,2),Parameters!$B$21),2)=0),1,0)</f>
        <v>0</v>
      </c>
      <c r="U272" s="9" t="n">
        <f aca="false">IF(LEN(TRIM(J272))=0,1,0)</f>
        <v>0</v>
      </c>
      <c r="V272" s="9" t="n">
        <f aca="false">IF(AND(I272="Manual",C272&lt;Parameters!$B$19,C272&gt;=Parameters!$B$19*(1-Parameters!$B$20)),1,0)</f>
        <v>0</v>
      </c>
      <c r="W272" s="9" t="n">
        <f aca="false">IF(AND(I272="Manual",M272&gt;0),1,0)</f>
        <v>0</v>
      </c>
      <c r="X272" s="9" t="n">
        <f aca="false">IF(A272-A271&gt;1,1,0)</f>
        <v>0</v>
      </c>
      <c r="Y272" s="9" t="n">
        <f aca="false">N272*Parameters!$B$38+O272*Parameters!$B$39+P272*Parameters!$B$40+Q272*Parameters!$B$41+R272*Parameters!$B$42+S272*Parameters!$B$43+T272*Parameters!$B$44+U272*Parameters!$B$45+V272*Parameters!$B$46+W272*Parameters!$B$47+X272*Parameters!$B$48</f>
        <v>2</v>
      </c>
      <c r="Z272" s="0" t="str">
        <f aca="false">IF(Y272&gt;=Parameters!$B$25,"High","")</f>
        <v/>
      </c>
    </row>
    <row r="273" customFormat="false" ht="15" hidden="false" customHeight="false" outlineLevel="0" collapsed="false">
      <c r="A273" s="16" t="n">
        <v>1275</v>
      </c>
      <c r="B273" s="9" t="n">
        <f aca="false">COUNTIF(JE_Lines!$B$5:$B$1733,A273)</f>
        <v>3</v>
      </c>
      <c r="C273" s="17" t="n">
        <f aca="false">SUMIFS(JE_Lines!$G$5:$G$1733,JE_Lines!$B$5:$B$1733,A273)</f>
        <v>1455.8</v>
      </c>
      <c r="D273" s="17" t="n">
        <f aca="false">SUMIFS(JE_Lines!$H$5:$H$1733,JE_Lines!$B$5:$B$1733,A273)</f>
        <v>1455.8</v>
      </c>
      <c r="E273" s="17" t="n">
        <f aca="false">C273-D273</f>
        <v>0</v>
      </c>
      <c r="F273" s="18" t="n">
        <f aca="false">INDEX(JE_Lines!$C$5:$C$1733,MATCH(A273,JE_Lines!$B$5:$B$1733,0))</f>
        <v>45782</v>
      </c>
      <c r="G273" s="18" t="n">
        <f aca="false">INDEX(JE_Lines!$D$5:$D$1733,MATCH(A273,JE_Lines!$B$5:$B$1733,0))</f>
        <v>45782</v>
      </c>
      <c r="H273" s="0" t="str">
        <f aca="false">INDEX(JE_Lines!$I$5:$I$1733,MATCH(A273,JE_Lines!$B$5:$B$1733,0))</f>
        <v>SYS_AR</v>
      </c>
      <c r="I273" s="0" t="str">
        <f aca="false">INDEX(JE_Lines!$J$5:$J$1733,MATCH(A273,JE_Lines!$B$5:$B$1733,0))</f>
        <v>System</v>
      </c>
      <c r="J273" s="0" t="str">
        <f aca="false">IF(LEN(INDEX(JE_Lines!$K$5:$K$1733,MATCH(A273,JE_Lines!$B$5:$B$1733,0)))=0,"",INDEX(JE_Lines!$K$5:$K$1733,MATCH(A273,JE_Lines!$B$5:$B$1733,0)))</f>
        <v>Cost of sales posting</v>
      </c>
      <c r="K273" s="9" t="n">
        <f aca="false">F273-G273</f>
        <v>0</v>
      </c>
      <c r="L273" s="9" t="n">
        <f aca="false">COUNTIFS(JE_Lines!$B$5:$B$1733,A273,JE_Lines!$F$5:$F$1733,"Revenue")</f>
        <v>0</v>
      </c>
      <c r="M273" s="9" t="n">
        <f aca="false">COUNTIFS(JE_Lines!$B$5:$B$1733,A273,JE_Lines!$F$5:$F$1733,"Suspense")</f>
        <v>0</v>
      </c>
      <c r="N273" s="9" t="n">
        <f aca="false">IF(ABS(E273)&gt;Parameters!$B$23,1,0)</f>
        <v>0</v>
      </c>
      <c r="O273" s="9" t="n">
        <f aca="false">IF(WEEKDAY(F273,2)&gt;5,1,0)</f>
        <v>0</v>
      </c>
      <c r="P273" s="9" t="n">
        <f aca="false">IF(K273&gt;Parameters!$B$17,1,0)</f>
        <v>0</v>
      </c>
      <c r="Q273" s="9" t="n">
        <f aca="false">IF(AND(F273&lt;=Parameters!$B$6,F273&gt;Parameters!$B$6-Parameters!$B$18),1,0)</f>
        <v>0</v>
      </c>
      <c r="R273" s="9" t="n">
        <f aca="false">IF(COUNTIF(Parameters!$A$51:$A$58,H273)=0,1,0)</f>
        <v>0</v>
      </c>
      <c r="S273" s="9" t="n">
        <f aca="false">IF(AND(I273="Manual",L273&gt;0),1,0)</f>
        <v>0</v>
      </c>
      <c r="T273" s="9" t="n">
        <f aca="false">IF(AND(C273&gt;=Parameters!$B$22,ROUND(MOD(ROUND(C273,2),Parameters!$B$21),2)=0),1,0)</f>
        <v>0</v>
      </c>
      <c r="U273" s="9" t="n">
        <f aca="false">IF(LEN(TRIM(J273))=0,1,0)</f>
        <v>0</v>
      </c>
      <c r="V273" s="9" t="n">
        <f aca="false">IF(AND(I273="Manual",C273&lt;Parameters!$B$19,C273&gt;=Parameters!$B$19*(1-Parameters!$B$20)),1,0)</f>
        <v>0</v>
      </c>
      <c r="W273" s="9" t="n">
        <f aca="false">IF(AND(I273="Manual",M273&gt;0),1,0)</f>
        <v>0</v>
      </c>
      <c r="X273" s="9" t="n">
        <f aca="false">IF(A273-A272&gt;1,1,0)</f>
        <v>0</v>
      </c>
      <c r="Y273" s="9" t="n">
        <f aca="false">N273*Parameters!$B$38+O273*Parameters!$B$39+P273*Parameters!$B$40+Q273*Parameters!$B$41+R273*Parameters!$B$42+S273*Parameters!$B$43+T273*Parameters!$B$44+U273*Parameters!$B$45+V273*Parameters!$B$46+W273*Parameters!$B$47+X273*Parameters!$B$48</f>
        <v>0</v>
      </c>
      <c r="Z273" s="0" t="str">
        <f aca="false">IF(Y273&gt;=Parameters!$B$25,"High","")</f>
        <v/>
      </c>
    </row>
    <row r="274" customFormat="false" ht="15" hidden="false" customHeight="false" outlineLevel="0" collapsed="false">
      <c r="A274" s="16" t="n">
        <v>1276</v>
      </c>
      <c r="B274" s="9" t="n">
        <f aca="false">COUNTIF(JE_Lines!$B$5:$B$1733,A274)</f>
        <v>2</v>
      </c>
      <c r="C274" s="17" t="n">
        <f aca="false">SUMIFS(JE_Lines!$G$5:$G$1733,JE_Lines!$B$5:$B$1733,A274)</f>
        <v>12507.9</v>
      </c>
      <c r="D274" s="17" t="n">
        <f aca="false">SUMIFS(JE_Lines!$H$5:$H$1733,JE_Lines!$B$5:$B$1733,A274)</f>
        <v>12507.9</v>
      </c>
      <c r="E274" s="17" t="n">
        <f aca="false">C274-D274</f>
        <v>0</v>
      </c>
      <c r="F274" s="18" t="n">
        <f aca="false">INDEX(JE_Lines!$C$5:$C$1733,MATCH(A274,JE_Lines!$B$5:$B$1733,0))</f>
        <v>45782</v>
      </c>
      <c r="G274" s="18" t="n">
        <f aca="false">INDEX(JE_Lines!$D$5:$D$1733,MATCH(A274,JE_Lines!$B$5:$B$1733,0))</f>
        <v>45781</v>
      </c>
      <c r="H274" s="0" t="str">
        <f aca="false">INDEX(JE_Lines!$I$5:$I$1733,MATCH(A274,JE_Lines!$B$5:$B$1733,0))</f>
        <v>SYS_PAY</v>
      </c>
      <c r="I274" s="0" t="str">
        <f aca="false">INDEX(JE_Lines!$J$5:$J$1733,MATCH(A274,JE_Lines!$B$5:$B$1733,0))</f>
        <v>System</v>
      </c>
      <c r="J274" s="0" t="str">
        <f aca="false">IF(LEN(INDEX(JE_Lines!$K$5:$K$1733,MATCH(A274,JE_Lines!$B$5:$B$1733,0)))=0,"",INDEX(JE_Lines!$K$5:$K$1733,MATCH(A274,JE_Lines!$B$5:$B$1733,0)))</f>
        <v>Supplier payments</v>
      </c>
      <c r="K274" s="9" t="n">
        <f aca="false">F274-G274</f>
        <v>1</v>
      </c>
      <c r="L274" s="9" t="n">
        <f aca="false">COUNTIFS(JE_Lines!$B$5:$B$1733,A274,JE_Lines!$F$5:$F$1733,"Revenue")</f>
        <v>0</v>
      </c>
      <c r="M274" s="9" t="n">
        <f aca="false">COUNTIFS(JE_Lines!$B$5:$B$1733,A274,JE_Lines!$F$5:$F$1733,"Suspense")</f>
        <v>0</v>
      </c>
      <c r="N274" s="9" t="n">
        <f aca="false">IF(ABS(E274)&gt;Parameters!$B$23,1,0)</f>
        <v>0</v>
      </c>
      <c r="O274" s="9" t="n">
        <f aca="false">IF(WEEKDAY(F274,2)&gt;5,1,0)</f>
        <v>0</v>
      </c>
      <c r="P274" s="9" t="n">
        <f aca="false">IF(K274&gt;Parameters!$B$17,1,0)</f>
        <v>0</v>
      </c>
      <c r="Q274" s="9" t="n">
        <f aca="false">IF(AND(F274&lt;=Parameters!$B$6,F274&gt;Parameters!$B$6-Parameters!$B$18),1,0)</f>
        <v>0</v>
      </c>
      <c r="R274" s="9" t="n">
        <f aca="false">IF(COUNTIF(Parameters!$A$51:$A$58,H274)=0,1,0)</f>
        <v>0</v>
      </c>
      <c r="S274" s="9" t="n">
        <f aca="false">IF(AND(I274="Manual",L274&gt;0),1,0)</f>
        <v>0</v>
      </c>
      <c r="T274" s="9" t="n">
        <f aca="false">IF(AND(C274&gt;=Parameters!$B$22,ROUND(MOD(ROUND(C274,2),Parameters!$B$21),2)=0),1,0)</f>
        <v>0</v>
      </c>
      <c r="U274" s="9" t="n">
        <f aca="false">IF(LEN(TRIM(J274))=0,1,0)</f>
        <v>0</v>
      </c>
      <c r="V274" s="9" t="n">
        <f aca="false">IF(AND(I274="Manual",C274&lt;Parameters!$B$19,C274&gt;=Parameters!$B$19*(1-Parameters!$B$20)),1,0)</f>
        <v>0</v>
      </c>
      <c r="W274" s="9" t="n">
        <f aca="false">IF(AND(I274="Manual",M274&gt;0),1,0)</f>
        <v>0</v>
      </c>
      <c r="X274" s="9" t="n">
        <f aca="false">IF(A274-A273&gt;1,1,0)</f>
        <v>0</v>
      </c>
      <c r="Y274" s="9" t="n">
        <f aca="false">N274*Parameters!$B$38+O274*Parameters!$B$39+P274*Parameters!$B$40+Q274*Parameters!$B$41+R274*Parameters!$B$42+S274*Parameters!$B$43+T274*Parameters!$B$44+U274*Parameters!$B$45+V274*Parameters!$B$46+W274*Parameters!$B$47+X274*Parameters!$B$48</f>
        <v>0</v>
      </c>
      <c r="Z274" s="0" t="str">
        <f aca="false">IF(Y274&gt;=Parameters!$B$25,"High","")</f>
        <v/>
      </c>
    </row>
    <row r="275" customFormat="false" ht="15" hidden="false" customHeight="false" outlineLevel="0" collapsed="false">
      <c r="A275" s="16" t="n">
        <v>1277</v>
      </c>
      <c r="B275" s="9" t="n">
        <f aca="false">COUNTIF(JE_Lines!$B$5:$B$1733,A275)</f>
        <v>2</v>
      </c>
      <c r="C275" s="17" t="n">
        <f aca="false">SUMIFS(JE_Lines!$G$5:$G$1733,JE_Lines!$B$5:$B$1733,A275)</f>
        <v>5047.14</v>
      </c>
      <c r="D275" s="17" t="n">
        <f aca="false">SUMIFS(JE_Lines!$H$5:$H$1733,JE_Lines!$B$5:$B$1733,A275)</f>
        <v>5047.14</v>
      </c>
      <c r="E275" s="17" t="n">
        <f aca="false">C275-D275</f>
        <v>0</v>
      </c>
      <c r="F275" s="18" t="n">
        <f aca="false">INDEX(JE_Lines!$C$5:$C$1733,MATCH(A275,JE_Lines!$B$5:$B$1733,0))</f>
        <v>45782</v>
      </c>
      <c r="G275" s="18" t="n">
        <f aca="false">INDEX(JE_Lines!$D$5:$D$1733,MATCH(A275,JE_Lines!$B$5:$B$1733,0))</f>
        <v>45778</v>
      </c>
      <c r="H275" s="0" t="str">
        <f aca="false">INDEX(JE_Lines!$I$5:$I$1733,MATCH(A275,JE_Lines!$B$5:$B$1733,0))</f>
        <v>SYS_AP</v>
      </c>
      <c r="I275" s="0" t="str">
        <f aca="false">INDEX(JE_Lines!$J$5:$J$1733,MATCH(A275,JE_Lines!$B$5:$B$1733,0))</f>
        <v>System</v>
      </c>
      <c r="J275" s="0" t="str">
        <f aca="false">IF(LEN(INDEX(JE_Lines!$K$5:$K$1733,MATCH(A275,JE_Lines!$B$5:$B$1733,0)))=0,"",INDEX(JE_Lines!$K$5:$K$1733,MATCH(A275,JE_Lines!$B$5:$B$1733,0)))</f>
        <v>Supplier invoices</v>
      </c>
      <c r="K275" s="9" t="n">
        <f aca="false">F275-G275</f>
        <v>4</v>
      </c>
      <c r="L275" s="9" t="n">
        <f aca="false">COUNTIFS(JE_Lines!$B$5:$B$1733,A275,JE_Lines!$F$5:$F$1733,"Revenue")</f>
        <v>0</v>
      </c>
      <c r="M275" s="9" t="n">
        <f aca="false">COUNTIFS(JE_Lines!$B$5:$B$1733,A275,JE_Lines!$F$5:$F$1733,"Suspense")</f>
        <v>0</v>
      </c>
      <c r="N275" s="9" t="n">
        <f aca="false">IF(ABS(E275)&gt;Parameters!$B$23,1,0)</f>
        <v>0</v>
      </c>
      <c r="O275" s="9" t="n">
        <f aca="false">IF(WEEKDAY(F275,2)&gt;5,1,0)</f>
        <v>0</v>
      </c>
      <c r="P275" s="9" t="n">
        <f aca="false">IF(K275&gt;Parameters!$B$17,1,0)</f>
        <v>0</v>
      </c>
      <c r="Q275" s="9" t="n">
        <f aca="false">IF(AND(F275&lt;=Parameters!$B$6,F275&gt;Parameters!$B$6-Parameters!$B$18),1,0)</f>
        <v>0</v>
      </c>
      <c r="R275" s="9" t="n">
        <f aca="false">IF(COUNTIF(Parameters!$A$51:$A$58,H275)=0,1,0)</f>
        <v>0</v>
      </c>
      <c r="S275" s="9" t="n">
        <f aca="false">IF(AND(I275="Manual",L275&gt;0),1,0)</f>
        <v>0</v>
      </c>
      <c r="T275" s="9" t="n">
        <f aca="false">IF(AND(C275&gt;=Parameters!$B$22,ROUND(MOD(ROUND(C275,2),Parameters!$B$21),2)=0),1,0)</f>
        <v>0</v>
      </c>
      <c r="U275" s="9" t="n">
        <f aca="false">IF(LEN(TRIM(J275))=0,1,0)</f>
        <v>0</v>
      </c>
      <c r="V275" s="9" t="n">
        <f aca="false">IF(AND(I275="Manual",C275&lt;Parameters!$B$19,C275&gt;=Parameters!$B$19*(1-Parameters!$B$20)),1,0)</f>
        <v>0</v>
      </c>
      <c r="W275" s="9" t="n">
        <f aca="false">IF(AND(I275="Manual",M275&gt;0),1,0)</f>
        <v>0</v>
      </c>
      <c r="X275" s="9" t="n">
        <f aca="false">IF(A275-A274&gt;1,1,0)</f>
        <v>0</v>
      </c>
      <c r="Y275" s="9" t="n">
        <f aca="false">N275*Parameters!$B$38+O275*Parameters!$B$39+P275*Parameters!$B$40+Q275*Parameters!$B$41+R275*Parameters!$B$42+S275*Parameters!$B$43+T275*Parameters!$B$44+U275*Parameters!$B$45+V275*Parameters!$B$46+W275*Parameters!$B$47+X275*Parameters!$B$48</f>
        <v>0</v>
      </c>
      <c r="Z275" s="0" t="str">
        <f aca="false">IF(Y275&gt;=Parameters!$B$25,"High","")</f>
        <v/>
      </c>
    </row>
    <row r="276" customFormat="false" ht="15" hidden="false" customHeight="false" outlineLevel="0" collapsed="false">
      <c r="A276" s="16" t="n">
        <v>1278</v>
      </c>
      <c r="B276" s="9" t="n">
        <f aca="false">COUNTIF(JE_Lines!$B$5:$B$1733,A276)</f>
        <v>2</v>
      </c>
      <c r="C276" s="17" t="n">
        <f aca="false">SUMIFS(JE_Lines!$G$5:$G$1733,JE_Lines!$B$5:$B$1733,A276)</f>
        <v>6776.64</v>
      </c>
      <c r="D276" s="17" t="n">
        <f aca="false">SUMIFS(JE_Lines!$H$5:$H$1733,JE_Lines!$B$5:$B$1733,A276)</f>
        <v>6776.64</v>
      </c>
      <c r="E276" s="17" t="n">
        <f aca="false">C276-D276</f>
        <v>0</v>
      </c>
      <c r="F276" s="18" t="n">
        <f aca="false">INDEX(JE_Lines!$C$5:$C$1733,MATCH(A276,JE_Lines!$B$5:$B$1733,0))</f>
        <v>45782</v>
      </c>
      <c r="G276" s="18" t="n">
        <f aca="false">INDEX(JE_Lines!$D$5:$D$1733,MATCH(A276,JE_Lines!$B$5:$B$1733,0))</f>
        <v>45781</v>
      </c>
      <c r="H276" s="0" t="str">
        <f aca="false">INDEX(JE_Lines!$I$5:$I$1733,MATCH(A276,JE_Lines!$B$5:$B$1733,0))</f>
        <v>SYS_AP</v>
      </c>
      <c r="I276" s="0" t="str">
        <f aca="false">INDEX(JE_Lines!$J$5:$J$1733,MATCH(A276,JE_Lines!$B$5:$B$1733,0))</f>
        <v>System</v>
      </c>
      <c r="J276" s="0" t="str">
        <f aca="false">IF(LEN(INDEX(JE_Lines!$K$5:$K$1733,MATCH(A276,JE_Lines!$B$5:$B$1733,0)))=0,"",INDEX(JE_Lines!$K$5:$K$1733,MATCH(A276,JE_Lines!$B$5:$B$1733,0)))</f>
        <v>Utilities invoices</v>
      </c>
      <c r="K276" s="9" t="n">
        <f aca="false">F276-G276</f>
        <v>1</v>
      </c>
      <c r="L276" s="9" t="n">
        <f aca="false">COUNTIFS(JE_Lines!$B$5:$B$1733,A276,JE_Lines!$F$5:$F$1733,"Revenue")</f>
        <v>0</v>
      </c>
      <c r="M276" s="9" t="n">
        <f aca="false">COUNTIFS(JE_Lines!$B$5:$B$1733,A276,JE_Lines!$F$5:$F$1733,"Suspense")</f>
        <v>0</v>
      </c>
      <c r="N276" s="9" t="n">
        <f aca="false">IF(ABS(E276)&gt;Parameters!$B$23,1,0)</f>
        <v>0</v>
      </c>
      <c r="O276" s="9" t="n">
        <f aca="false">IF(WEEKDAY(F276,2)&gt;5,1,0)</f>
        <v>0</v>
      </c>
      <c r="P276" s="9" t="n">
        <f aca="false">IF(K276&gt;Parameters!$B$17,1,0)</f>
        <v>0</v>
      </c>
      <c r="Q276" s="9" t="n">
        <f aca="false">IF(AND(F276&lt;=Parameters!$B$6,F276&gt;Parameters!$B$6-Parameters!$B$18),1,0)</f>
        <v>0</v>
      </c>
      <c r="R276" s="9" t="n">
        <f aca="false">IF(COUNTIF(Parameters!$A$51:$A$58,H276)=0,1,0)</f>
        <v>0</v>
      </c>
      <c r="S276" s="9" t="n">
        <f aca="false">IF(AND(I276="Manual",L276&gt;0),1,0)</f>
        <v>0</v>
      </c>
      <c r="T276" s="9" t="n">
        <f aca="false">IF(AND(C276&gt;=Parameters!$B$22,ROUND(MOD(ROUND(C276,2),Parameters!$B$21),2)=0),1,0)</f>
        <v>0</v>
      </c>
      <c r="U276" s="9" t="n">
        <f aca="false">IF(LEN(TRIM(J276))=0,1,0)</f>
        <v>0</v>
      </c>
      <c r="V276" s="9" t="n">
        <f aca="false">IF(AND(I276="Manual",C276&lt;Parameters!$B$19,C276&gt;=Parameters!$B$19*(1-Parameters!$B$20)),1,0)</f>
        <v>0</v>
      </c>
      <c r="W276" s="9" t="n">
        <f aca="false">IF(AND(I276="Manual",M276&gt;0),1,0)</f>
        <v>0</v>
      </c>
      <c r="X276" s="9" t="n">
        <f aca="false">IF(A276-A275&gt;1,1,0)</f>
        <v>0</v>
      </c>
      <c r="Y276" s="9" t="n">
        <f aca="false">N276*Parameters!$B$38+O276*Parameters!$B$39+P276*Parameters!$B$40+Q276*Parameters!$B$41+R276*Parameters!$B$42+S276*Parameters!$B$43+T276*Parameters!$B$44+U276*Parameters!$B$45+V276*Parameters!$B$46+W276*Parameters!$B$47+X276*Parameters!$B$48</f>
        <v>0</v>
      </c>
      <c r="Z276" s="0" t="str">
        <f aca="false">IF(Y276&gt;=Parameters!$B$25,"High","")</f>
        <v/>
      </c>
    </row>
    <row r="277" customFormat="false" ht="15" hidden="false" customHeight="false" outlineLevel="0" collapsed="false">
      <c r="A277" s="16" t="n">
        <v>1279</v>
      </c>
      <c r="B277" s="9" t="n">
        <f aca="false">COUNTIF(JE_Lines!$B$5:$B$1733,A277)</f>
        <v>2</v>
      </c>
      <c r="C277" s="17" t="n">
        <f aca="false">SUMIFS(JE_Lines!$G$5:$G$1733,JE_Lines!$B$5:$B$1733,A277)</f>
        <v>705.67</v>
      </c>
      <c r="D277" s="17" t="n">
        <f aca="false">SUMIFS(JE_Lines!$H$5:$H$1733,JE_Lines!$B$5:$B$1733,A277)</f>
        <v>705.67</v>
      </c>
      <c r="E277" s="17" t="n">
        <f aca="false">C277-D277</f>
        <v>0</v>
      </c>
      <c r="F277" s="18" t="n">
        <f aca="false">INDEX(JE_Lines!$C$5:$C$1733,MATCH(A277,JE_Lines!$B$5:$B$1733,0))</f>
        <v>45783</v>
      </c>
      <c r="G277" s="18" t="n">
        <f aca="false">INDEX(JE_Lines!$D$5:$D$1733,MATCH(A277,JE_Lines!$B$5:$B$1733,0))</f>
        <v>45781</v>
      </c>
      <c r="H277" s="0" t="str">
        <f aca="false">INDEX(JE_Lines!$I$5:$I$1733,MATCH(A277,JE_Lines!$B$5:$B$1733,0))</f>
        <v>SYS_AR</v>
      </c>
      <c r="I277" s="0" t="str">
        <f aca="false">INDEX(JE_Lines!$J$5:$J$1733,MATCH(A277,JE_Lines!$B$5:$B$1733,0))</f>
        <v>System</v>
      </c>
      <c r="J277" s="0" t="str">
        <f aca="false">IF(LEN(INDEX(JE_Lines!$K$5:$K$1733,MATCH(A277,JE_Lines!$B$5:$B$1733,0)))=0,"",INDEX(JE_Lines!$K$5:$K$1733,MATCH(A277,JE_Lines!$B$5:$B$1733,0)))</f>
        <v>Cost of sales posting</v>
      </c>
      <c r="K277" s="9" t="n">
        <f aca="false">F277-G277</f>
        <v>2</v>
      </c>
      <c r="L277" s="9" t="n">
        <f aca="false">COUNTIFS(JE_Lines!$B$5:$B$1733,A277,JE_Lines!$F$5:$F$1733,"Revenue")</f>
        <v>0</v>
      </c>
      <c r="M277" s="9" t="n">
        <f aca="false">COUNTIFS(JE_Lines!$B$5:$B$1733,A277,JE_Lines!$F$5:$F$1733,"Suspense")</f>
        <v>0</v>
      </c>
      <c r="N277" s="9" t="n">
        <f aca="false">IF(ABS(E277)&gt;Parameters!$B$23,1,0)</f>
        <v>0</v>
      </c>
      <c r="O277" s="9" t="n">
        <f aca="false">IF(WEEKDAY(F277,2)&gt;5,1,0)</f>
        <v>0</v>
      </c>
      <c r="P277" s="9" t="n">
        <f aca="false">IF(K277&gt;Parameters!$B$17,1,0)</f>
        <v>0</v>
      </c>
      <c r="Q277" s="9" t="n">
        <f aca="false">IF(AND(F277&lt;=Parameters!$B$6,F277&gt;Parameters!$B$6-Parameters!$B$18),1,0)</f>
        <v>0</v>
      </c>
      <c r="R277" s="9" t="n">
        <f aca="false">IF(COUNTIF(Parameters!$A$51:$A$58,H277)=0,1,0)</f>
        <v>0</v>
      </c>
      <c r="S277" s="9" t="n">
        <f aca="false">IF(AND(I277="Manual",L277&gt;0),1,0)</f>
        <v>0</v>
      </c>
      <c r="T277" s="9" t="n">
        <f aca="false">IF(AND(C277&gt;=Parameters!$B$22,ROUND(MOD(ROUND(C277,2),Parameters!$B$21),2)=0),1,0)</f>
        <v>0</v>
      </c>
      <c r="U277" s="9" t="n">
        <f aca="false">IF(LEN(TRIM(J277))=0,1,0)</f>
        <v>0</v>
      </c>
      <c r="V277" s="9" t="n">
        <f aca="false">IF(AND(I277="Manual",C277&lt;Parameters!$B$19,C277&gt;=Parameters!$B$19*(1-Parameters!$B$20)),1,0)</f>
        <v>0</v>
      </c>
      <c r="W277" s="9" t="n">
        <f aca="false">IF(AND(I277="Manual",M277&gt;0),1,0)</f>
        <v>0</v>
      </c>
      <c r="X277" s="9" t="n">
        <f aca="false">IF(A277-A276&gt;1,1,0)</f>
        <v>0</v>
      </c>
      <c r="Y277" s="9" t="n">
        <f aca="false">N277*Parameters!$B$38+O277*Parameters!$B$39+P277*Parameters!$B$40+Q277*Parameters!$B$41+R277*Parameters!$B$42+S277*Parameters!$B$43+T277*Parameters!$B$44+U277*Parameters!$B$45+V277*Parameters!$B$46+W277*Parameters!$B$47+X277*Parameters!$B$48</f>
        <v>0</v>
      </c>
      <c r="Z277" s="0" t="str">
        <f aca="false">IF(Y277&gt;=Parameters!$B$25,"High","")</f>
        <v/>
      </c>
    </row>
    <row r="278" customFormat="false" ht="15" hidden="false" customHeight="false" outlineLevel="0" collapsed="false">
      <c r="A278" s="16" t="n">
        <v>1280</v>
      </c>
      <c r="B278" s="9" t="n">
        <f aca="false">COUNTIF(JE_Lines!$B$5:$B$1733,A278)</f>
        <v>2</v>
      </c>
      <c r="C278" s="17" t="n">
        <f aca="false">SUMIFS(JE_Lines!$G$5:$G$1733,JE_Lines!$B$5:$B$1733,A278)</f>
        <v>1111.24</v>
      </c>
      <c r="D278" s="17" t="n">
        <f aca="false">SUMIFS(JE_Lines!$H$5:$H$1733,JE_Lines!$B$5:$B$1733,A278)</f>
        <v>1111.24</v>
      </c>
      <c r="E278" s="17" t="n">
        <f aca="false">C278-D278</f>
        <v>0</v>
      </c>
      <c r="F278" s="18" t="n">
        <f aca="false">INDEX(JE_Lines!$C$5:$C$1733,MATCH(A278,JE_Lines!$B$5:$B$1733,0))</f>
        <v>45783</v>
      </c>
      <c r="G278" s="18" t="n">
        <f aca="false">INDEX(JE_Lines!$D$5:$D$1733,MATCH(A278,JE_Lines!$B$5:$B$1733,0))</f>
        <v>45780</v>
      </c>
      <c r="H278" s="0" t="str">
        <f aca="false">INDEX(JE_Lines!$I$5:$I$1733,MATCH(A278,JE_Lines!$B$5:$B$1733,0))</f>
        <v>SYS_AR</v>
      </c>
      <c r="I278" s="0" t="str">
        <f aca="false">INDEX(JE_Lines!$J$5:$J$1733,MATCH(A278,JE_Lines!$B$5:$B$1733,0))</f>
        <v>System</v>
      </c>
      <c r="J278" s="0" t="str">
        <f aca="false">IF(LEN(INDEX(JE_Lines!$K$5:$K$1733,MATCH(A278,JE_Lines!$B$5:$B$1733,0)))=0,"",INDEX(JE_Lines!$K$5:$K$1733,MATCH(A278,JE_Lines!$B$5:$B$1733,0)))</f>
        <v>Sales invoice batch</v>
      </c>
      <c r="K278" s="9" t="n">
        <f aca="false">F278-G278</f>
        <v>3</v>
      </c>
      <c r="L278" s="9" t="n">
        <f aca="false">COUNTIFS(JE_Lines!$B$5:$B$1733,A278,JE_Lines!$F$5:$F$1733,"Revenue")</f>
        <v>1</v>
      </c>
      <c r="M278" s="9" t="n">
        <f aca="false">COUNTIFS(JE_Lines!$B$5:$B$1733,A278,JE_Lines!$F$5:$F$1733,"Suspense")</f>
        <v>0</v>
      </c>
      <c r="N278" s="9" t="n">
        <f aca="false">IF(ABS(E278)&gt;Parameters!$B$23,1,0)</f>
        <v>0</v>
      </c>
      <c r="O278" s="9" t="n">
        <f aca="false">IF(WEEKDAY(F278,2)&gt;5,1,0)</f>
        <v>0</v>
      </c>
      <c r="P278" s="9" t="n">
        <f aca="false">IF(K278&gt;Parameters!$B$17,1,0)</f>
        <v>0</v>
      </c>
      <c r="Q278" s="9" t="n">
        <f aca="false">IF(AND(F278&lt;=Parameters!$B$6,F278&gt;Parameters!$B$6-Parameters!$B$18),1,0)</f>
        <v>0</v>
      </c>
      <c r="R278" s="9" t="n">
        <f aca="false">IF(COUNTIF(Parameters!$A$51:$A$58,H278)=0,1,0)</f>
        <v>0</v>
      </c>
      <c r="S278" s="9" t="n">
        <f aca="false">IF(AND(I278="Manual",L278&gt;0),1,0)</f>
        <v>0</v>
      </c>
      <c r="T278" s="9" t="n">
        <f aca="false">IF(AND(C278&gt;=Parameters!$B$22,ROUND(MOD(ROUND(C278,2),Parameters!$B$21),2)=0),1,0)</f>
        <v>0</v>
      </c>
      <c r="U278" s="9" t="n">
        <f aca="false">IF(LEN(TRIM(J278))=0,1,0)</f>
        <v>0</v>
      </c>
      <c r="V278" s="9" t="n">
        <f aca="false">IF(AND(I278="Manual",C278&lt;Parameters!$B$19,C278&gt;=Parameters!$B$19*(1-Parameters!$B$20)),1,0)</f>
        <v>0</v>
      </c>
      <c r="W278" s="9" t="n">
        <f aca="false">IF(AND(I278="Manual",M278&gt;0),1,0)</f>
        <v>0</v>
      </c>
      <c r="X278" s="9" t="n">
        <f aca="false">IF(A278-A277&gt;1,1,0)</f>
        <v>0</v>
      </c>
      <c r="Y278" s="9" t="n">
        <f aca="false">N278*Parameters!$B$38+O278*Parameters!$B$39+P278*Parameters!$B$40+Q278*Parameters!$B$41+R278*Parameters!$B$42+S278*Parameters!$B$43+T278*Parameters!$B$44+U278*Parameters!$B$45+V278*Parameters!$B$46+W278*Parameters!$B$47+X278*Parameters!$B$48</f>
        <v>0</v>
      </c>
      <c r="Z278" s="0" t="str">
        <f aca="false">IF(Y278&gt;=Parameters!$B$25,"High","")</f>
        <v/>
      </c>
    </row>
    <row r="279" customFormat="false" ht="15" hidden="false" customHeight="false" outlineLevel="0" collapsed="false">
      <c r="A279" s="16" t="n">
        <v>1281</v>
      </c>
      <c r="B279" s="9" t="n">
        <f aca="false">COUNTIF(JE_Lines!$B$5:$B$1733,A279)</f>
        <v>2</v>
      </c>
      <c r="C279" s="17" t="n">
        <f aca="false">SUMIFS(JE_Lines!$G$5:$G$1733,JE_Lines!$B$5:$B$1733,A279)</f>
        <v>525.8</v>
      </c>
      <c r="D279" s="17" t="n">
        <f aca="false">SUMIFS(JE_Lines!$H$5:$H$1733,JE_Lines!$B$5:$B$1733,A279)</f>
        <v>525.8</v>
      </c>
      <c r="E279" s="17" t="n">
        <f aca="false">C279-D279</f>
        <v>0</v>
      </c>
      <c r="F279" s="18" t="n">
        <f aca="false">INDEX(JE_Lines!$C$5:$C$1733,MATCH(A279,JE_Lines!$B$5:$B$1733,0))</f>
        <v>45783</v>
      </c>
      <c r="G279" s="18" t="n">
        <f aca="false">INDEX(JE_Lines!$D$5:$D$1733,MATCH(A279,JE_Lines!$B$5:$B$1733,0))</f>
        <v>45780</v>
      </c>
      <c r="H279" s="0" t="str">
        <f aca="false">INDEX(JE_Lines!$I$5:$I$1733,MATCH(A279,JE_Lines!$B$5:$B$1733,0))</f>
        <v>FIN03</v>
      </c>
      <c r="I279" s="0" t="str">
        <f aca="false">INDEX(JE_Lines!$J$5:$J$1733,MATCH(A279,JE_Lines!$B$5:$B$1733,0))</f>
        <v>Manual</v>
      </c>
      <c r="J279" s="0" t="str">
        <f aca="false">IF(LEN(INDEX(JE_Lines!$K$5:$K$1733,MATCH(A279,JE_Lines!$B$5:$B$1733,0)))=0,"",INDEX(JE_Lines!$K$5:$K$1733,MATCH(A279,JE_Lines!$B$5:$B$1733,0)))</f>
        <v>Accrual for sundry costs</v>
      </c>
      <c r="K279" s="9" t="n">
        <f aca="false">F279-G279</f>
        <v>3</v>
      </c>
      <c r="L279" s="9" t="n">
        <f aca="false">COUNTIFS(JE_Lines!$B$5:$B$1733,A279,JE_Lines!$F$5:$F$1733,"Revenue")</f>
        <v>0</v>
      </c>
      <c r="M279" s="9" t="n">
        <f aca="false">COUNTIFS(JE_Lines!$B$5:$B$1733,A279,JE_Lines!$F$5:$F$1733,"Suspense")</f>
        <v>0</v>
      </c>
      <c r="N279" s="9" t="n">
        <f aca="false">IF(ABS(E279)&gt;Parameters!$B$23,1,0)</f>
        <v>0</v>
      </c>
      <c r="O279" s="9" t="n">
        <f aca="false">IF(WEEKDAY(F279,2)&gt;5,1,0)</f>
        <v>0</v>
      </c>
      <c r="P279" s="9" t="n">
        <f aca="false">IF(K279&gt;Parameters!$B$17,1,0)</f>
        <v>0</v>
      </c>
      <c r="Q279" s="9" t="n">
        <f aca="false">IF(AND(F279&lt;=Parameters!$B$6,F279&gt;Parameters!$B$6-Parameters!$B$18),1,0)</f>
        <v>0</v>
      </c>
      <c r="R279" s="9" t="n">
        <f aca="false">IF(COUNTIF(Parameters!$A$51:$A$58,H279)=0,1,0)</f>
        <v>0</v>
      </c>
      <c r="S279" s="9" t="n">
        <f aca="false">IF(AND(I279="Manual",L279&gt;0),1,0)</f>
        <v>0</v>
      </c>
      <c r="T279" s="9" t="n">
        <f aca="false">IF(AND(C279&gt;=Parameters!$B$22,ROUND(MOD(ROUND(C279,2),Parameters!$B$21),2)=0),1,0)</f>
        <v>0</v>
      </c>
      <c r="U279" s="9" t="n">
        <f aca="false">IF(LEN(TRIM(J279))=0,1,0)</f>
        <v>0</v>
      </c>
      <c r="V279" s="9" t="n">
        <f aca="false">IF(AND(I279="Manual",C279&lt;Parameters!$B$19,C279&gt;=Parameters!$B$19*(1-Parameters!$B$20)),1,0)</f>
        <v>0</v>
      </c>
      <c r="W279" s="9" t="n">
        <f aca="false">IF(AND(I279="Manual",M279&gt;0),1,0)</f>
        <v>0</v>
      </c>
      <c r="X279" s="9" t="n">
        <f aca="false">IF(A279-A278&gt;1,1,0)</f>
        <v>0</v>
      </c>
      <c r="Y279" s="9" t="n">
        <f aca="false">N279*Parameters!$B$38+O279*Parameters!$B$39+P279*Parameters!$B$40+Q279*Parameters!$B$41+R279*Parameters!$B$42+S279*Parameters!$B$43+T279*Parameters!$B$44+U279*Parameters!$B$45+V279*Parameters!$B$46+W279*Parameters!$B$47+X279*Parameters!$B$48</f>
        <v>0</v>
      </c>
      <c r="Z279" s="0" t="str">
        <f aca="false">IF(Y279&gt;=Parameters!$B$25,"High","")</f>
        <v/>
      </c>
    </row>
    <row r="280" customFormat="false" ht="15" hidden="false" customHeight="false" outlineLevel="0" collapsed="false">
      <c r="A280" s="16" t="n">
        <v>1282</v>
      </c>
      <c r="B280" s="9" t="n">
        <f aca="false">COUNTIF(JE_Lines!$B$5:$B$1733,A280)</f>
        <v>2</v>
      </c>
      <c r="C280" s="17" t="n">
        <f aca="false">SUMIFS(JE_Lines!$G$5:$G$1733,JE_Lines!$B$5:$B$1733,A280)</f>
        <v>1100.7</v>
      </c>
      <c r="D280" s="17" t="n">
        <f aca="false">SUMIFS(JE_Lines!$H$5:$H$1733,JE_Lines!$B$5:$B$1733,A280)</f>
        <v>1100.7</v>
      </c>
      <c r="E280" s="17" t="n">
        <f aca="false">C280-D280</f>
        <v>0</v>
      </c>
      <c r="F280" s="18" t="n">
        <f aca="false">INDEX(JE_Lines!$C$5:$C$1733,MATCH(A280,JE_Lines!$B$5:$B$1733,0))</f>
        <v>45783</v>
      </c>
      <c r="G280" s="18" t="n">
        <f aca="false">INDEX(JE_Lines!$D$5:$D$1733,MATCH(A280,JE_Lines!$B$5:$B$1733,0))</f>
        <v>45779</v>
      </c>
      <c r="H280" s="0" t="str">
        <f aca="false">INDEX(JE_Lines!$I$5:$I$1733,MATCH(A280,JE_Lines!$B$5:$B$1733,0))</f>
        <v>SYS_AR</v>
      </c>
      <c r="I280" s="0" t="str">
        <f aca="false">INDEX(JE_Lines!$J$5:$J$1733,MATCH(A280,JE_Lines!$B$5:$B$1733,0))</f>
        <v>System</v>
      </c>
      <c r="J280" s="0" t="str">
        <f aca="false">IF(LEN(INDEX(JE_Lines!$K$5:$K$1733,MATCH(A280,JE_Lines!$B$5:$B$1733,0)))=0,"",INDEX(JE_Lines!$K$5:$K$1733,MATCH(A280,JE_Lines!$B$5:$B$1733,0)))</f>
        <v>Sales invoice batch</v>
      </c>
      <c r="K280" s="9" t="n">
        <f aca="false">F280-G280</f>
        <v>4</v>
      </c>
      <c r="L280" s="9" t="n">
        <f aca="false">COUNTIFS(JE_Lines!$B$5:$B$1733,A280,JE_Lines!$F$5:$F$1733,"Revenue")</f>
        <v>1</v>
      </c>
      <c r="M280" s="9" t="n">
        <f aca="false">COUNTIFS(JE_Lines!$B$5:$B$1733,A280,JE_Lines!$F$5:$F$1733,"Suspense")</f>
        <v>0</v>
      </c>
      <c r="N280" s="9" t="n">
        <f aca="false">IF(ABS(E280)&gt;Parameters!$B$23,1,0)</f>
        <v>0</v>
      </c>
      <c r="O280" s="9" t="n">
        <f aca="false">IF(WEEKDAY(F280,2)&gt;5,1,0)</f>
        <v>0</v>
      </c>
      <c r="P280" s="9" t="n">
        <f aca="false">IF(K280&gt;Parameters!$B$17,1,0)</f>
        <v>0</v>
      </c>
      <c r="Q280" s="9" t="n">
        <f aca="false">IF(AND(F280&lt;=Parameters!$B$6,F280&gt;Parameters!$B$6-Parameters!$B$18),1,0)</f>
        <v>0</v>
      </c>
      <c r="R280" s="9" t="n">
        <f aca="false">IF(COUNTIF(Parameters!$A$51:$A$58,H280)=0,1,0)</f>
        <v>0</v>
      </c>
      <c r="S280" s="9" t="n">
        <f aca="false">IF(AND(I280="Manual",L280&gt;0),1,0)</f>
        <v>0</v>
      </c>
      <c r="T280" s="9" t="n">
        <f aca="false">IF(AND(C280&gt;=Parameters!$B$22,ROUND(MOD(ROUND(C280,2),Parameters!$B$21),2)=0),1,0)</f>
        <v>0</v>
      </c>
      <c r="U280" s="9" t="n">
        <f aca="false">IF(LEN(TRIM(J280))=0,1,0)</f>
        <v>0</v>
      </c>
      <c r="V280" s="9" t="n">
        <f aca="false">IF(AND(I280="Manual",C280&lt;Parameters!$B$19,C280&gt;=Parameters!$B$19*(1-Parameters!$B$20)),1,0)</f>
        <v>0</v>
      </c>
      <c r="W280" s="9" t="n">
        <f aca="false">IF(AND(I280="Manual",M280&gt;0),1,0)</f>
        <v>0</v>
      </c>
      <c r="X280" s="9" t="n">
        <f aca="false">IF(A280-A279&gt;1,1,0)</f>
        <v>0</v>
      </c>
      <c r="Y280" s="9" t="n">
        <f aca="false">N280*Parameters!$B$38+O280*Parameters!$B$39+P280*Parameters!$B$40+Q280*Parameters!$B$41+R280*Parameters!$B$42+S280*Parameters!$B$43+T280*Parameters!$B$44+U280*Parameters!$B$45+V280*Parameters!$B$46+W280*Parameters!$B$47+X280*Parameters!$B$48</f>
        <v>0</v>
      </c>
      <c r="Z280" s="0" t="str">
        <f aca="false">IF(Y280&gt;=Parameters!$B$25,"High","")</f>
        <v/>
      </c>
    </row>
    <row r="281" customFormat="false" ht="15" hidden="false" customHeight="false" outlineLevel="0" collapsed="false">
      <c r="A281" s="16" t="n">
        <v>1283</v>
      </c>
      <c r="B281" s="9" t="n">
        <f aca="false">COUNTIF(JE_Lines!$B$5:$B$1733,A281)</f>
        <v>2</v>
      </c>
      <c r="C281" s="17" t="n">
        <f aca="false">SUMIFS(JE_Lines!$G$5:$G$1733,JE_Lines!$B$5:$B$1733,A281)</f>
        <v>70213.02</v>
      </c>
      <c r="D281" s="17" t="n">
        <f aca="false">SUMIFS(JE_Lines!$H$5:$H$1733,JE_Lines!$B$5:$B$1733,A281)</f>
        <v>70213.02</v>
      </c>
      <c r="E281" s="17" t="n">
        <f aca="false">C281-D281</f>
        <v>0</v>
      </c>
      <c r="F281" s="18" t="n">
        <f aca="false">INDEX(JE_Lines!$C$5:$C$1733,MATCH(A281,JE_Lines!$B$5:$B$1733,0))</f>
        <v>45784</v>
      </c>
      <c r="G281" s="18" t="n">
        <f aca="false">INDEX(JE_Lines!$D$5:$D$1733,MATCH(A281,JE_Lines!$B$5:$B$1733,0))</f>
        <v>45784</v>
      </c>
      <c r="H281" s="0" t="str">
        <f aca="false">INDEX(JE_Lines!$I$5:$I$1733,MATCH(A281,JE_Lines!$B$5:$B$1733,0))</f>
        <v>FIN02</v>
      </c>
      <c r="I281" s="0" t="str">
        <f aca="false">INDEX(JE_Lines!$J$5:$J$1733,MATCH(A281,JE_Lines!$B$5:$B$1733,0))</f>
        <v>Manual</v>
      </c>
      <c r="J281" s="0" t="str">
        <f aca="false">IF(LEN(INDEX(JE_Lines!$K$5:$K$1733,MATCH(A281,JE_Lines!$B$5:$B$1733,0)))=0,"",INDEX(JE_Lines!$K$5:$K$1733,MATCH(A281,JE_Lines!$B$5:$B$1733,0)))</f>
        <v/>
      </c>
      <c r="K281" s="9" t="n">
        <f aca="false">F281-G281</f>
        <v>0</v>
      </c>
      <c r="L281" s="9" t="n">
        <f aca="false">COUNTIFS(JE_Lines!$B$5:$B$1733,A281,JE_Lines!$F$5:$F$1733,"Revenue")</f>
        <v>0</v>
      </c>
      <c r="M281" s="9" t="n">
        <f aca="false">COUNTIFS(JE_Lines!$B$5:$B$1733,A281,JE_Lines!$F$5:$F$1733,"Suspense")</f>
        <v>0</v>
      </c>
      <c r="N281" s="9" t="n">
        <f aca="false">IF(ABS(E281)&gt;Parameters!$B$23,1,0)</f>
        <v>0</v>
      </c>
      <c r="O281" s="9" t="n">
        <f aca="false">IF(WEEKDAY(F281,2)&gt;5,1,0)</f>
        <v>0</v>
      </c>
      <c r="P281" s="9" t="n">
        <f aca="false">IF(K281&gt;Parameters!$B$17,1,0)</f>
        <v>0</v>
      </c>
      <c r="Q281" s="9" t="n">
        <f aca="false">IF(AND(F281&lt;=Parameters!$B$6,F281&gt;Parameters!$B$6-Parameters!$B$18),1,0)</f>
        <v>0</v>
      </c>
      <c r="R281" s="9" t="n">
        <f aca="false">IF(COUNTIF(Parameters!$A$51:$A$58,H281)=0,1,0)</f>
        <v>0</v>
      </c>
      <c r="S281" s="9" t="n">
        <f aca="false">IF(AND(I281="Manual",L281&gt;0),1,0)</f>
        <v>0</v>
      </c>
      <c r="T281" s="9" t="n">
        <f aca="false">IF(AND(C281&gt;=Parameters!$B$22,ROUND(MOD(ROUND(C281,2),Parameters!$B$21),2)=0),1,0)</f>
        <v>0</v>
      </c>
      <c r="U281" s="9" t="n">
        <f aca="false">IF(LEN(TRIM(J281))=0,1,0)</f>
        <v>1</v>
      </c>
      <c r="V281" s="9" t="n">
        <f aca="false">IF(AND(I281="Manual",C281&lt;Parameters!$B$19,C281&gt;=Parameters!$B$19*(1-Parameters!$B$20)),1,0)</f>
        <v>0</v>
      </c>
      <c r="W281" s="9" t="n">
        <f aca="false">IF(AND(I281="Manual",M281&gt;0),1,0)</f>
        <v>0</v>
      </c>
      <c r="X281" s="9" t="n">
        <f aca="false">IF(A281-A280&gt;1,1,0)</f>
        <v>0</v>
      </c>
      <c r="Y281" s="9" t="n">
        <f aca="false">N281*Parameters!$B$38+O281*Parameters!$B$39+P281*Parameters!$B$40+Q281*Parameters!$B$41+R281*Parameters!$B$42+S281*Parameters!$B$43+T281*Parameters!$B$44+U281*Parameters!$B$45+V281*Parameters!$B$46+W281*Parameters!$B$47+X281*Parameters!$B$48</f>
        <v>2</v>
      </c>
      <c r="Z281" s="0" t="str">
        <f aca="false">IF(Y281&gt;=Parameters!$B$25,"High","")</f>
        <v/>
      </c>
    </row>
    <row r="282" customFormat="false" ht="15" hidden="false" customHeight="false" outlineLevel="0" collapsed="false">
      <c r="A282" s="16" t="n">
        <v>1284</v>
      </c>
      <c r="B282" s="9" t="n">
        <f aca="false">COUNTIF(JE_Lines!$B$5:$B$1733,A282)</f>
        <v>2</v>
      </c>
      <c r="C282" s="17" t="n">
        <f aca="false">SUMIFS(JE_Lines!$G$5:$G$1733,JE_Lines!$B$5:$B$1733,A282)</f>
        <v>1731.23</v>
      </c>
      <c r="D282" s="17" t="n">
        <f aca="false">SUMIFS(JE_Lines!$H$5:$H$1733,JE_Lines!$B$5:$B$1733,A282)</f>
        <v>1731.23</v>
      </c>
      <c r="E282" s="17" t="n">
        <f aca="false">C282-D282</f>
        <v>0</v>
      </c>
      <c r="F282" s="18" t="n">
        <f aca="false">INDEX(JE_Lines!$C$5:$C$1733,MATCH(A282,JE_Lines!$B$5:$B$1733,0))</f>
        <v>45784</v>
      </c>
      <c r="G282" s="18" t="n">
        <f aca="false">INDEX(JE_Lines!$D$5:$D$1733,MATCH(A282,JE_Lines!$B$5:$B$1733,0))</f>
        <v>45782</v>
      </c>
      <c r="H282" s="0" t="str">
        <f aca="false">INDEX(JE_Lines!$I$5:$I$1733,MATCH(A282,JE_Lines!$B$5:$B$1733,0))</f>
        <v>FIN03</v>
      </c>
      <c r="I282" s="0" t="str">
        <f aca="false">INDEX(JE_Lines!$J$5:$J$1733,MATCH(A282,JE_Lines!$B$5:$B$1733,0))</f>
        <v>Manual</v>
      </c>
      <c r="J282" s="0" t="str">
        <f aca="false">IF(LEN(INDEX(JE_Lines!$K$5:$K$1733,MATCH(A282,JE_Lines!$B$5:$B$1733,0)))=0,"",INDEX(JE_Lines!$K$5:$K$1733,MATCH(A282,JE_Lines!$B$5:$B$1733,0)))</f>
        <v>Accrual for sundry costs</v>
      </c>
      <c r="K282" s="9" t="n">
        <f aca="false">F282-G282</f>
        <v>2</v>
      </c>
      <c r="L282" s="9" t="n">
        <f aca="false">COUNTIFS(JE_Lines!$B$5:$B$1733,A282,JE_Lines!$F$5:$F$1733,"Revenue")</f>
        <v>0</v>
      </c>
      <c r="M282" s="9" t="n">
        <f aca="false">COUNTIFS(JE_Lines!$B$5:$B$1733,A282,JE_Lines!$F$5:$F$1733,"Suspense")</f>
        <v>0</v>
      </c>
      <c r="N282" s="9" t="n">
        <f aca="false">IF(ABS(E282)&gt;Parameters!$B$23,1,0)</f>
        <v>0</v>
      </c>
      <c r="O282" s="9" t="n">
        <f aca="false">IF(WEEKDAY(F282,2)&gt;5,1,0)</f>
        <v>0</v>
      </c>
      <c r="P282" s="9" t="n">
        <f aca="false">IF(K282&gt;Parameters!$B$17,1,0)</f>
        <v>0</v>
      </c>
      <c r="Q282" s="9" t="n">
        <f aca="false">IF(AND(F282&lt;=Parameters!$B$6,F282&gt;Parameters!$B$6-Parameters!$B$18),1,0)</f>
        <v>0</v>
      </c>
      <c r="R282" s="9" t="n">
        <f aca="false">IF(COUNTIF(Parameters!$A$51:$A$58,H282)=0,1,0)</f>
        <v>0</v>
      </c>
      <c r="S282" s="9" t="n">
        <f aca="false">IF(AND(I282="Manual",L282&gt;0),1,0)</f>
        <v>0</v>
      </c>
      <c r="T282" s="9" t="n">
        <f aca="false">IF(AND(C282&gt;=Parameters!$B$22,ROUND(MOD(ROUND(C282,2),Parameters!$B$21),2)=0),1,0)</f>
        <v>0</v>
      </c>
      <c r="U282" s="9" t="n">
        <f aca="false">IF(LEN(TRIM(J282))=0,1,0)</f>
        <v>0</v>
      </c>
      <c r="V282" s="9" t="n">
        <f aca="false">IF(AND(I282="Manual",C282&lt;Parameters!$B$19,C282&gt;=Parameters!$B$19*(1-Parameters!$B$20)),1,0)</f>
        <v>0</v>
      </c>
      <c r="W282" s="9" t="n">
        <f aca="false">IF(AND(I282="Manual",M282&gt;0),1,0)</f>
        <v>0</v>
      </c>
      <c r="X282" s="9" t="n">
        <f aca="false">IF(A282-A281&gt;1,1,0)</f>
        <v>0</v>
      </c>
      <c r="Y282" s="9" t="n">
        <f aca="false">N282*Parameters!$B$38+O282*Parameters!$B$39+P282*Parameters!$B$40+Q282*Parameters!$B$41+R282*Parameters!$B$42+S282*Parameters!$B$43+T282*Parameters!$B$44+U282*Parameters!$B$45+V282*Parameters!$B$46+W282*Parameters!$B$47+X282*Parameters!$B$48</f>
        <v>0</v>
      </c>
      <c r="Z282" s="0" t="str">
        <f aca="false">IF(Y282&gt;=Parameters!$B$25,"High","")</f>
        <v/>
      </c>
    </row>
    <row r="283" customFormat="false" ht="15" hidden="false" customHeight="false" outlineLevel="0" collapsed="false">
      <c r="A283" s="16" t="n">
        <v>1285</v>
      </c>
      <c r="B283" s="9" t="n">
        <f aca="false">COUNTIF(JE_Lines!$B$5:$B$1733,A283)</f>
        <v>2</v>
      </c>
      <c r="C283" s="17" t="n">
        <f aca="false">SUMIFS(JE_Lines!$G$5:$G$1733,JE_Lines!$B$5:$B$1733,A283)</f>
        <v>1486.35</v>
      </c>
      <c r="D283" s="17" t="n">
        <f aca="false">SUMIFS(JE_Lines!$H$5:$H$1733,JE_Lines!$B$5:$B$1733,A283)</f>
        <v>1486.35</v>
      </c>
      <c r="E283" s="17" t="n">
        <f aca="false">C283-D283</f>
        <v>0</v>
      </c>
      <c r="F283" s="18" t="n">
        <f aca="false">INDEX(JE_Lines!$C$5:$C$1733,MATCH(A283,JE_Lines!$B$5:$B$1733,0))</f>
        <v>45784</v>
      </c>
      <c r="G283" s="18" t="n">
        <f aca="false">INDEX(JE_Lines!$D$5:$D$1733,MATCH(A283,JE_Lines!$B$5:$B$1733,0))</f>
        <v>45781</v>
      </c>
      <c r="H283" s="0" t="str">
        <f aca="false">INDEX(JE_Lines!$I$5:$I$1733,MATCH(A283,JE_Lines!$B$5:$B$1733,0))</f>
        <v>SYS_AR</v>
      </c>
      <c r="I283" s="0" t="str">
        <f aca="false">INDEX(JE_Lines!$J$5:$J$1733,MATCH(A283,JE_Lines!$B$5:$B$1733,0))</f>
        <v>System</v>
      </c>
      <c r="J283" s="0" t="str">
        <f aca="false">IF(LEN(INDEX(JE_Lines!$K$5:$K$1733,MATCH(A283,JE_Lines!$B$5:$B$1733,0)))=0,"",INDEX(JE_Lines!$K$5:$K$1733,MATCH(A283,JE_Lines!$B$5:$B$1733,0)))</f>
        <v>Cost of sales posting</v>
      </c>
      <c r="K283" s="9" t="n">
        <f aca="false">F283-G283</f>
        <v>3</v>
      </c>
      <c r="L283" s="9" t="n">
        <f aca="false">COUNTIFS(JE_Lines!$B$5:$B$1733,A283,JE_Lines!$F$5:$F$1733,"Revenue")</f>
        <v>0</v>
      </c>
      <c r="M283" s="9" t="n">
        <f aca="false">COUNTIFS(JE_Lines!$B$5:$B$1733,A283,JE_Lines!$F$5:$F$1733,"Suspense")</f>
        <v>0</v>
      </c>
      <c r="N283" s="9" t="n">
        <f aca="false">IF(ABS(E283)&gt;Parameters!$B$23,1,0)</f>
        <v>0</v>
      </c>
      <c r="O283" s="9" t="n">
        <f aca="false">IF(WEEKDAY(F283,2)&gt;5,1,0)</f>
        <v>0</v>
      </c>
      <c r="P283" s="9" t="n">
        <f aca="false">IF(K283&gt;Parameters!$B$17,1,0)</f>
        <v>0</v>
      </c>
      <c r="Q283" s="9" t="n">
        <f aca="false">IF(AND(F283&lt;=Parameters!$B$6,F283&gt;Parameters!$B$6-Parameters!$B$18),1,0)</f>
        <v>0</v>
      </c>
      <c r="R283" s="9" t="n">
        <f aca="false">IF(COUNTIF(Parameters!$A$51:$A$58,H283)=0,1,0)</f>
        <v>0</v>
      </c>
      <c r="S283" s="9" t="n">
        <f aca="false">IF(AND(I283="Manual",L283&gt;0),1,0)</f>
        <v>0</v>
      </c>
      <c r="T283" s="9" t="n">
        <f aca="false">IF(AND(C283&gt;=Parameters!$B$22,ROUND(MOD(ROUND(C283,2),Parameters!$B$21),2)=0),1,0)</f>
        <v>0</v>
      </c>
      <c r="U283" s="9" t="n">
        <f aca="false">IF(LEN(TRIM(J283))=0,1,0)</f>
        <v>0</v>
      </c>
      <c r="V283" s="9" t="n">
        <f aca="false">IF(AND(I283="Manual",C283&lt;Parameters!$B$19,C283&gt;=Parameters!$B$19*(1-Parameters!$B$20)),1,0)</f>
        <v>0</v>
      </c>
      <c r="W283" s="9" t="n">
        <f aca="false">IF(AND(I283="Manual",M283&gt;0),1,0)</f>
        <v>0</v>
      </c>
      <c r="X283" s="9" t="n">
        <f aca="false">IF(A283-A282&gt;1,1,0)</f>
        <v>0</v>
      </c>
      <c r="Y283" s="9" t="n">
        <f aca="false">N283*Parameters!$B$38+O283*Parameters!$B$39+P283*Parameters!$B$40+Q283*Parameters!$B$41+R283*Parameters!$B$42+S283*Parameters!$B$43+T283*Parameters!$B$44+U283*Parameters!$B$45+V283*Parameters!$B$46+W283*Parameters!$B$47+X283*Parameters!$B$48</f>
        <v>0</v>
      </c>
      <c r="Z283" s="0" t="str">
        <f aca="false">IF(Y283&gt;=Parameters!$B$25,"High","")</f>
        <v/>
      </c>
    </row>
    <row r="284" customFormat="false" ht="15" hidden="false" customHeight="false" outlineLevel="0" collapsed="false">
      <c r="A284" s="16" t="n">
        <v>1286</v>
      </c>
      <c r="B284" s="9" t="n">
        <f aca="false">COUNTIF(JE_Lines!$B$5:$B$1733,A284)</f>
        <v>2</v>
      </c>
      <c r="C284" s="17" t="n">
        <f aca="false">SUMIFS(JE_Lines!$G$5:$G$1733,JE_Lines!$B$5:$B$1733,A284)</f>
        <v>20751.23</v>
      </c>
      <c r="D284" s="17" t="n">
        <f aca="false">SUMIFS(JE_Lines!$H$5:$H$1733,JE_Lines!$B$5:$B$1733,A284)</f>
        <v>20751.23</v>
      </c>
      <c r="E284" s="17" t="n">
        <f aca="false">C284-D284</f>
        <v>0</v>
      </c>
      <c r="F284" s="18" t="n">
        <f aca="false">INDEX(JE_Lines!$C$5:$C$1733,MATCH(A284,JE_Lines!$B$5:$B$1733,0))</f>
        <v>45784</v>
      </c>
      <c r="G284" s="18" t="n">
        <f aca="false">INDEX(JE_Lines!$D$5:$D$1733,MATCH(A284,JE_Lines!$B$5:$B$1733,0))</f>
        <v>45781</v>
      </c>
      <c r="H284" s="0" t="str">
        <f aca="false">INDEX(JE_Lines!$I$5:$I$1733,MATCH(A284,JE_Lines!$B$5:$B$1733,0))</f>
        <v>SYS_AR</v>
      </c>
      <c r="I284" s="0" t="str">
        <f aca="false">INDEX(JE_Lines!$J$5:$J$1733,MATCH(A284,JE_Lines!$B$5:$B$1733,0))</f>
        <v>System</v>
      </c>
      <c r="J284" s="0" t="str">
        <f aca="false">IF(LEN(INDEX(JE_Lines!$K$5:$K$1733,MATCH(A284,JE_Lines!$B$5:$B$1733,0)))=0,"",INDEX(JE_Lines!$K$5:$K$1733,MATCH(A284,JE_Lines!$B$5:$B$1733,0)))</f>
        <v>Sales invoice batch</v>
      </c>
      <c r="K284" s="9" t="n">
        <f aca="false">F284-G284</f>
        <v>3</v>
      </c>
      <c r="L284" s="9" t="n">
        <f aca="false">COUNTIFS(JE_Lines!$B$5:$B$1733,A284,JE_Lines!$F$5:$F$1733,"Revenue")</f>
        <v>1</v>
      </c>
      <c r="M284" s="9" t="n">
        <f aca="false">COUNTIFS(JE_Lines!$B$5:$B$1733,A284,JE_Lines!$F$5:$F$1733,"Suspense")</f>
        <v>0</v>
      </c>
      <c r="N284" s="9" t="n">
        <f aca="false">IF(ABS(E284)&gt;Parameters!$B$23,1,0)</f>
        <v>0</v>
      </c>
      <c r="O284" s="9" t="n">
        <f aca="false">IF(WEEKDAY(F284,2)&gt;5,1,0)</f>
        <v>0</v>
      </c>
      <c r="P284" s="9" t="n">
        <f aca="false">IF(K284&gt;Parameters!$B$17,1,0)</f>
        <v>0</v>
      </c>
      <c r="Q284" s="9" t="n">
        <f aca="false">IF(AND(F284&lt;=Parameters!$B$6,F284&gt;Parameters!$B$6-Parameters!$B$18),1,0)</f>
        <v>0</v>
      </c>
      <c r="R284" s="9" t="n">
        <f aca="false">IF(COUNTIF(Parameters!$A$51:$A$58,H284)=0,1,0)</f>
        <v>0</v>
      </c>
      <c r="S284" s="9" t="n">
        <f aca="false">IF(AND(I284="Manual",L284&gt;0),1,0)</f>
        <v>0</v>
      </c>
      <c r="T284" s="9" t="n">
        <f aca="false">IF(AND(C284&gt;=Parameters!$B$22,ROUND(MOD(ROUND(C284,2),Parameters!$B$21),2)=0),1,0)</f>
        <v>0</v>
      </c>
      <c r="U284" s="9" t="n">
        <f aca="false">IF(LEN(TRIM(J284))=0,1,0)</f>
        <v>0</v>
      </c>
      <c r="V284" s="9" t="n">
        <f aca="false">IF(AND(I284="Manual",C284&lt;Parameters!$B$19,C284&gt;=Parameters!$B$19*(1-Parameters!$B$20)),1,0)</f>
        <v>0</v>
      </c>
      <c r="W284" s="9" t="n">
        <f aca="false">IF(AND(I284="Manual",M284&gt;0),1,0)</f>
        <v>0</v>
      </c>
      <c r="X284" s="9" t="n">
        <f aca="false">IF(A284-A283&gt;1,1,0)</f>
        <v>0</v>
      </c>
      <c r="Y284" s="9" t="n">
        <f aca="false">N284*Parameters!$B$38+O284*Parameters!$B$39+P284*Parameters!$B$40+Q284*Parameters!$B$41+R284*Parameters!$B$42+S284*Parameters!$B$43+T284*Parameters!$B$44+U284*Parameters!$B$45+V284*Parameters!$B$46+W284*Parameters!$B$47+X284*Parameters!$B$48</f>
        <v>0</v>
      </c>
      <c r="Z284" s="0" t="str">
        <f aca="false">IF(Y284&gt;=Parameters!$B$25,"High","")</f>
        <v/>
      </c>
    </row>
    <row r="285" customFormat="false" ht="15" hidden="false" customHeight="false" outlineLevel="0" collapsed="false">
      <c r="A285" s="16" t="n">
        <v>1287</v>
      </c>
      <c r="B285" s="9" t="n">
        <f aca="false">COUNTIF(JE_Lines!$B$5:$B$1733,A285)</f>
        <v>2</v>
      </c>
      <c r="C285" s="17" t="n">
        <f aca="false">SUMIFS(JE_Lines!$G$5:$G$1733,JE_Lines!$B$5:$B$1733,A285)</f>
        <v>11573.8</v>
      </c>
      <c r="D285" s="17" t="n">
        <f aca="false">SUMIFS(JE_Lines!$H$5:$H$1733,JE_Lines!$B$5:$B$1733,A285)</f>
        <v>11573.8</v>
      </c>
      <c r="E285" s="17" t="n">
        <f aca="false">C285-D285</f>
        <v>0</v>
      </c>
      <c r="F285" s="18" t="n">
        <f aca="false">INDEX(JE_Lines!$C$5:$C$1733,MATCH(A285,JE_Lines!$B$5:$B$1733,0))</f>
        <v>45787</v>
      </c>
      <c r="G285" s="18" t="n">
        <f aca="false">INDEX(JE_Lines!$D$5:$D$1733,MATCH(A285,JE_Lines!$B$5:$B$1733,0))</f>
        <v>45787</v>
      </c>
      <c r="H285" s="0" t="str">
        <f aca="false">INDEX(JE_Lines!$I$5:$I$1733,MATCH(A285,JE_Lines!$B$5:$B$1733,0))</f>
        <v>SYS_AR</v>
      </c>
      <c r="I285" s="0" t="str">
        <f aca="false">INDEX(JE_Lines!$J$5:$J$1733,MATCH(A285,JE_Lines!$B$5:$B$1733,0))</f>
        <v>System</v>
      </c>
      <c r="J285" s="0" t="str">
        <f aca="false">IF(LEN(INDEX(JE_Lines!$K$5:$K$1733,MATCH(A285,JE_Lines!$B$5:$B$1733,0)))=0,"",INDEX(JE_Lines!$K$5:$K$1733,MATCH(A285,JE_Lines!$B$5:$B$1733,0)))</f>
        <v>Customer receipts</v>
      </c>
      <c r="K285" s="9" t="n">
        <f aca="false">F285-G285</f>
        <v>0</v>
      </c>
      <c r="L285" s="9" t="n">
        <f aca="false">COUNTIFS(JE_Lines!$B$5:$B$1733,A285,JE_Lines!$F$5:$F$1733,"Revenue")</f>
        <v>0</v>
      </c>
      <c r="M285" s="9" t="n">
        <f aca="false">COUNTIFS(JE_Lines!$B$5:$B$1733,A285,JE_Lines!$F$5:$F$1733,"Suspense")</f>
        <v>0</v>
      </c>
      <c r="N285" s="9" t="n">
        <f aca="false">IF(ABS(E285)&gt;Parameters!$B$23,1,0)</f>
        <v>0</v>
      </c>
      <c r="O285" s="9" t="n">
        <f aca="false">IF(WEEKDAY(F285,2)&gt;5,1,0)</f>
        <v>1</v>
      </c>
      <c r="P285" s="9" t="n">
        <f aca="false">IF(K285&gt;Parameters!$B$17,1,0)</f>
        <v>0</v>
      </c>
      <c r="Q285" s="9" t="n">
        <f aca="false">IF(AND(F285&lt;=Parameters!$B$6,F285&gt;Parameters!$B$6-Parameters!$B$18),1,0)</f>
        <v>0</v>
      </c>
      <c r="R285" s="9" t="n">
        <f aca="false">IF(COUNTIF(Parameters!$A$51:$A$58,H285)=0,1,0)</f>
        <v>0</v>
      </c>
      <c r="S285" s="9" t="n">
        <f aca="false">IF(AND(I285="Manual",L285&gt;0),1,0)</f>
        <v>0</v>
      </c>
      <c r="T285" s="9" t="n">
        <f aca="false">IF(AND(C285&gt;=Parameters!$B$22,ROUND(MOD(ROUND(C285,2),Parameters!$B$21),2)=0),1,0)</f>
        <v>0</v>
      </c>
      <c r="U285" s="9" t="n">
        <f aca="false">IF(LEN(TRIM(J285))=0,1,0)</f>
        <v>0</v>
      </c>
      <c r="V285" s="9" t="n">
        <f aca="false">IF(AND(I285="Manual",C285&lt;Parameters!$B$19,C285&gt;=Parameters!$B$19*(1-Parameters!$B$20)),1,0)</f>
        <v>0</v>
      </c>
      <c r="W285" s="9" t="n">
        <f aca="false">IF(AND(I285="Manual",M285&gt;0),1,0)</f>
        <v>0</v>
      </c>
      <c r="X285" s="9" t="n">
        <f aca="false">IF(A285-A284&gt;1,1,0)</f>
        <v>0</v>
      </c>
      <c r="Y285" s="9" t="n">
        <f aca="false">N285*Parameters!$B$38+O285*Parameters!$B$39+P285*Parameters!$B$40+Q285*Parameters!$B$41+R285*Parameters!$B$42+S285*Parameters!$B$43+T285*Parameters!$B$44+U285*Parameters!$B$45+V285*Parameters!$B$46+W285*Parameters!$B$47+X285*Parameters!$B$48</f>
        <v>2</v>
      </c>
      <c r="Z285" s="0" t="str">
        <f aca="false">IF(Y285&gt;=Parameters!$B$25,"High","")</f>
        <v/>
      </c>
    </row>
    <row r="286" customFormat="false" ht="15" hidden="false" customHeight="false" outlineLevel="0" collapsed="false">
      <c r="A286" s="16" t="n">
        <v>1288</v>
      </c>
      <c r="B286" s="9" t="n">
        <f aca="false">COUNTIF(JE_Lines!$B$5:$B$1733,A286)</f>
        <v>2</v>
      </c>
      <c r="C286" s="17" t="n">
        <f aca="false">SUMIFS(JE_Lines!$G$5:$G$1733,JE_Lines!$B$5:$B$1733,A286)</f>
        <v>961.7</v>
      </c>
      <c r="D286" s="17" t="n">
        <f aca="false">SUMIFS(JE_Lines!$H$5:$H$1733,JE_Lines!$B$5:$B$1733,A286)</f>
        <v>961.7</v>
      </c>
      <c r="E286" s="17" t="n">
        <f aca="false">C286-D286</f>
        <v>0</v>
      </c>
      <c r="F286" s="18" t="n">
        <f aca="false">INDEX(JE_Lines!$C$5:$C$1733,MATCH(A286,JE_Lines!$B$5:$B$1733,0))</f>
        <v>45788</v>
      </c>
      <c r="G286" s="18" t="n">
        <f aca="false">INDEX(JE_Lines!$D$5:$D$1733,MATCH(A286,JE_Lines!$B$5:$B$1733,0))</f>
        <v>45788</v>
      </c>
      <c r="H286" s="0" t="str">
        <f aca="false">INDEX(JE_Lines!$I$5:$I$1733,MATCH(A286,JE_Lines!$B$5:$B$1733,0))</f>
        <v>FIN05</v>
      </c>
      <c r="I286" s="0" t="str">
        <f aca="false">INDEX(JE_Lines!$J$5:$J$1733,MATCH(A286,JE_Lines!$B$5:$B$1733,0))</f>
        <v>Manual</v>
      </c>
      <c r="J286" s="0" t="str">
        <f aca="false">IF(LEN(INDEX(JE_Lines!$K$5:$K$1733,MATCH(A286,JE_Lines!$B$5:$B$1733,0)))=0,"",INDEX(JE_Lines!$K$5:$K$1733,MATCH(A286,JE_Lines!$B$5:$B$1733,0)))</f>
        <v>Weekend adjustment 5</v>
      </c>
      <c r="K286" s="9" t="n">
        <f aca="false">F286-G286</f>
        <v>0</v>
      </c>
      <c r="L286" s="9" t="n">
        <f aca="false">COUNTIFS(JE_Lines!$B$5:$B$1733,A286,JE_Lines!$F$5:$F$1733,"Revenue")</f>
        <v>0</v>
      </c>
      <c r="M286" s="9" t="n">
        <f aca="false">COUNTIFS(JE_Lines!$B$5:$B$1733,A286,JE_Lines!$F$5:$F$1733,"Suspense")</f>
        <v>0</v>
      </c>
      <c r="N286" s="9" t="n">
        <f aca="false">IF(ABS(E286)&gt;Parameters!$B$23,1,0)</f>
        <v>0</v>
      </c>
      <c r="O286" s="9" t="n">
        <f aca="false">IF(WEEKDAY(F286,2)&gt;5,1,0)</f>
        <v>1</v>
      </c>
      <c r="P286" s="9" t="n">
        <f aca="false">IF(K286&gt;Parameters!$B$17,1,0)</f>
        <v>0</v>
      </c>
      <c r="Q286" s="9" t="n">
        <f aca="false">IF(AND(F286&lt;=Parameters!$B$6,F286&gt;Parameters!$B$6-Parameters!$B$18),1,0)</f>
        <v>0</v>
      </c>
      <c r="R286" s="9" t="n">
        <f aca="false">IF(COUNTIF(Parameters!$A$51:$A$58,H286)=0,1,0)</f>
        <v>0</v>
      </c>
      <c r="S286" s="9" t="n">
        <f aca="false">IF(AND(I286="Manual",L286&gt;0),1,0)</f>
        <v>0</v>
      </c>
      <c r="T286" s="9" t="n">
        <f aca="false">IF(AND(C286&gt;=Parameters!$B$22,ROUND(MOD(ROUND(C286,2),Parameters!$B$21),2)=0),1,0)</f>
        <v>0</v>
      </c>
      <c r="U286" s="9" t="n">
        <f aca="false">IF(LEN(TRIM(J286))=0,1,0)</f>
        <v>0</v>
      </c>
      <c r="V286" s="9" t="n">
        <f aca="false">IF(AND(I286="Manual",C286&lt;Parameters!$B$19,C286&gt;=Parameters!$B$19*(1-Parameters!$B$20)),1,0)</f>
        <v>0</v>
      </c>
      <c r="W286" s="9" t="n">
        <f aca="false">IF(AND(I286="Manual",M286&gt;0),1,0)</f>
        <v>0</v>
      </c>
      <c r="X286" s="9" t="n">
        <f aca="false">IF(A286-A285&gt;1,1,0)</f>
        <v>0</v>
      </c>
      <c r="Y286" s="9" t="n">
        <f aca="false">N286*Parameters!$B$38+O286*Parameters!$B$39+P286*Parameters!$B$40+Q286*Parameters!$B$41+R286*Parameters!$B$42+S286*Parameters!$B$43+T286*Parameters!$B$44+U286*Parameters!$B$45+V286*Parameters!$B$46+W286*Parameters!$B$47+X286*Parameters!$B$48</f>
        <v>2</v>
      </c>
      <c r="Z286" s="0" t="str">
        <f aca="false">IF(Y286&gt;=Parameters!$B$25,"High","")</f>
        <v/>
      </c>
    </row>
    <row r="287" customFormat="false" ht="15" hidden="false" customHeight="false" outlineLevel="0" collapsed="false">
      <c r="A287" s="16" t="n">
        <v>1289</v>
      </c>
      <c r="B287" s="9" t="n">
        <f aca="false">COUNTIF(JE_Lines!$B$5:$B$1733,A287)</f>
        <v>2</v>
      </c>
      <c r="C287" s="17" t="n">
        <f aca="false">SUMIFS(JE_Lines!$G$5:$G$1733,JE_Lines!$B$5:$B$1733,A287)</f>
        <v>2503.86</v>
      </c>
      <c r="D287" s="17" t="n">
        <f aca="false">SUMIFS(JE_Lines!$H$5:$H$1733,JE_Lines!$B$5:$B$1733,A287)</f>
        <v>2503.86</v>
      </c>
      <c r="E287" s="17" t="n">
        <f aca="false">C287-D287</f>
        <v>0</v>
      </c>
      <c r="F287" s="18" t="n">
        <f aca="false">INDEX(JE_Lines!$C$5:$C$1733,MATCH(A287,JE_Lines!$B$5:$B$1733,0))</f>
        <v>45790</v>
      </c>
      <c r="G287" s="18" t="n">
        <f aca="false">INDEX(JE_Lines!$D$5:$D$1733,MATCH(A287,JE_Lines!$B$5:$B$1733,0))</f>
        <v>45786</v>
      </c>
      <c r="H287" s="0" t="str">
        <f aca="false">INDEX(JE_Lines!$I$5:$I$1733,MATCH(A287,JE_Lines!$B$5:$B$1733,0))</f>
        <v>SYS_AR</v>
      </c>
      <c r="I287" s="0" t="str">
        <f aca="false">INDEX(JE_Lines!$J$5:$J$1733,MATCH(A287,JE_Lines!$B$5:$B$1733,0))</f>
        <v>System</v>
      </c>
      <c r="J287" s="0" t="str">
        <f aca="false">IF(LEN(INDEX(JE_Lines!$K$5:$K$1733,MATCH(A287,JE_Lines!$B$5:$B$1733,0)))=0,"",INDEX(JE_Lines!$K$5:$K$1733,MATCH(A287,JE_Lines!$B$5:$B$1733,0)))</f>
        <v>Customer receipts</v>
      </c>
      <c r="K287" s="9" t="n">
        <f aca="false">F287-G287</f>
        <v>4</v>
      </c>
      <c r="L287" s="9" t="n">
        <f aca="false">COUNTIFS(JE_Lines!$B$5:$B$1733,A287,JE_Lines!$F$5:$F$1733,"Revenue")</f>
        <v>0</v>
      </c>
      <c r="M287" s="9" t="n">
        <f aca="false">COUNTIFS(JE_Lines!$B$5:$B$1733,A287,JE_Lines!$F$5:$F$1733,"Suspense")</f>
        <v>0</v>
      </c>
      <c r="N287" s="9" t="n">
        <f aca="false">IF(ABS(E287)&gt;Parameters!$B$23,1,0)</f>
        <v>0</v>
      </c>
      <c r="O287" s="9" t="n">
        <f aca="false">IF(WEEKDAY(F287,2)&gt;5,1,0)</f>
        <v>0</v>
      </c>
      <c r="P287" s="9" t="n">
        <f aca="false">IF(K287&gt;Parameters!$B$17,1,0)</f>
        <v>0</v>
      </c>
      <c r="Q287" s="9" t="n">
        <f aca="false">IF(AND(F287&lt;=Parameters!$B$6,F287&gt;Parameters!$B$6-Parameters!$B$18),1,0)</f>
        <v>0</v>
      </c>
      <c r="R287" s="9" t="n">
        <f aca="false">IF(COUNTIF(Parameters!$A$51:$A$58,H287)=0,1,0)</f>
        <v>0</v>
      </c>
      <c r="S287" s="9" t="n">
        <f aca="false">IF(AND(I287="Manual",L287&gt;0),1,0)</f>
        <v>0</v>
      </c>
      <c r="T287" s="9" t="n">
        <f aca="false">IF(AND(C287&gt;=Parameters!$B$22,ROUND(MOD(ROUND(C287,2),Parameters!$B$21),2)=0),1,0)</f>
        <v>0</v>
      </c>
      <c r="U287" s="9" t="n">
        <f aca="false">IF(LEN(TRIM(J287))=0,1,0)</f>
        <v>0</v>
      </c>
      <c r="V287" s="9" t="n">
        <f aca="false">IF(AND(I287="Manual",C287&lt;Parameters!$B$19,C287&gt;=Parameters!$B$19*(1-Parameters!$B$20)),1,0)</f>
        <v>0</v>
      </c>
      <c r="W287" s="9" t="n">
        <f aca="false">IF(AND(I287="Manual",M287&gt;0),1,0)</f>
        <v>0</v>
      </c>
      <c r="X287" s="9" t="n">
        <f aca="false">IF(A287-A286&gt;1,1,0)</f>
        <v>0</v>
      </c>
      <c r="Y287" s="9" t="n">
        <f aca="false">N287*Parameters!$B$38+O287*Parameters!$B$39+P287*Parameters!$B$40+Q287*Parameters!$B$41+R287*Parameters!$B$42+S287*Parameters!$B$43+T287*Parameters!$B$44+U287*Parameters!$B$45+V287*Parameters!$B$46+W287*Parameters!$B$47+X287*Parameters!$B$48</f>
        <v>0</v>
      </c>
      <c r="Z287" s="0" t="str">
        <f aca="false">IF(Y287&gt;=Parameters!$B$25,"High","")</f>
        <v/>
      </c>
    </row>
    <row r="288" customFormat="false" ht="15" hidden="false" customHeight="false" outlineLevel="0" collapsed="false">
      <c r="A288" s="16" t="n">
        <v>1290</v>
      </c>
      <c r="B288" s="9" t="n">
        <f aca="false">COUNTIF(JE_Lines!$B$5:$B$1733,A288)</f>
        <v>2</v>
      </c>
      <c r="C288" s="17" t="n">
        <f aca="false">SUMIFS(JE_Lines!$G$5:$G$1733,JE_Lines!$B$5:$B$1733,A288)</f>
        <v>3619.76</v>
      </c>
      <c r="D288" s="17" t="n">
        <f aca="false">SUMIFS(JE_Lines!$H$5:$H$1733,JE_Lines!$B$5:$B$1733,A288)</f>
        <v>3619.76</v>
      </c>
      <c r="E288" s="17" t="n">
        <f aca="false">C288-D288</f>
        <v>0</v>
      </c>
      <c r="F288" s="18" t="n">
        <f aca="false">INDEX(JE_Lines!$C$5:$C$1733,MATCH(A288,JE_Lines!$B$5:$B$1733,0))</f>
        <v>45790</v>
      </c>
      <c r="G288" s="18" t="n">
        <f aca="false">INDEX(JE_Lines!$D$5:$D$1733,MATCH(A288,JE_Lines!$B$5:$B$1733,0))</f>
        <v>45786</v>
      </c>
      <c r="H288" s="0" t="str">
        <f aca="false">INDEX(JE_Lines!$I$5:$I$1733,MATCH(A288,JE_Lines!$B$5:$B$1733,0))</f>
        <v>SYS_AP</v>
      </c>
      <c r="I288" s="0" t="str">
        <f aca="false">INDEX(JE_Lines!$J$5:$J$1733,MATCH(A288,JE_Lines!$B$5:$B$1733,0))</f>
        <v>System</v>
      </c>
      <c r="J288" s="0" t="str">
        <f aca="false">IF(LEN(INDEX(JE_Lines!$K$5:$K$1733,MATCH(A288,JE_Lines!$B$5:$B$1733,0)))=0,"",INDEX(JE_Lines!$K$5:$K$1733,MATCH(A288,JE_Lines!$B$5:$B$1733,0)))</f>
        <v>Supplier invoices</v>
      </c>
      <c r="K288" s="9" t="n">
        <f aca="false">F288-G288</f>
        <v>4</v>
      </c>
      <c r="L288" s="9" t="n">
        <f aca="false">COUNTIFS(JE_Lines!$B$5:$B$1733,A288,JE_Lines!$F$5:$F$1733,"Revenue")</f>
        <v>0</v>
      </c>
      <c r="M288" s="9" t="n">
        <f aca="false">COUNTIFS(JE_Lines!$B$5:$B$1733,A288,JE_Lines!$F$5:$F$1733,"Suspense")</f>
        <v>0</v>
      </c>
      <c r="N288" s="9" t="n">
        <f aca="false">IF(ABS(E288)&gt;Parameters!$B$23,1,0)</f>
        <v>0</v>
      </c>
      <c r="O288" s="9" t="n">
        <f aca="false">IF(WEEKDAY(F288,2)&gt;5,1,0)</f>
        <v>0</v>
      </c>
      <c r="P288" s="9" t="n">
        <f aca="false">IF(K288&gt;Parameters!$B$17,1,0)</f>
        <v>0</v>
      </c>
      <c r="Q288" s="9" t="n">
        <f aca="false">IF(AND(F288&lt;=Parameters!$B$6,F288&gt;Parameters!$B$6-Parameters!$B$18),1,0)</f>
        <v>0</v>
      </c>
      <c r="R288" s="9" t="n">
        <f aca="false">IF(COUNTIF(Parameters!$A$51:$A$58,H288)=0,1,0)</f>
        <v>0</v>
      </c>
      <c r="S288" s="9" t="n">
        <f aca="false">IF(AND(I288="Manual",L288&gt;0),1,0)</f>
        <v>0</v>
      </c>
      <c r="T288" s="9" t="n">
        <f aca="false">IF(AND(C288&gt;=Parameters!$B$22,ROUND(MOD(ROUND(C288,2),Parameters!$B$21),2)=0),1,0)</f>
        <v>0</v>
      </c>
      <c r="U288" s="9" t="n">
        <f aca="false">IF(LEN(TRIM(J288))=0,1,0)</f>
        <v>0</v>
      </c>
      <c r="V288" s="9" t="n">
        <f aca="false">IF(AND(I288="Manual",C288&lt;Parameters!$B$19,C288&gt;=Parameters!$B$19*(1-Parameters!$B$20)),1,0)</f>
        <v>0</v>
      </c>
      <c r="W288" s="9" t="n">
        <f aca="false">IF(AND(I288="Manual",M288&gt;0),1,0)</f>
        <v>0</v>
      </c>
      <c r="X288" s="9" t="n">
        <f aca="false">IF(A288-A287&gt;1,1,0)</f>
        <v>0</v>
      </c>
      <c r="Y288" s="9" t="n">
        <f aca="false">N288*Parameters!$B$38+O288*Parameters!$B$39+P288*Parameters!$B$40+Q288*Parameters!$B$41+R288*Parameters!$B$42+S288*Parameters!$B$43+T288*Parameters!$B$44+U288*Parameters!$B$45+V288*Parameters!$B$46+W288*Parameters!$B$47+X288*Parameters!$B$48</f>
        <v>0</v>
      </c>
      <c r="Z288" s="0" t="str">
        <f aca="false">IF(Y288&gt;=Parameters!$B$25,"High","")</f>
        <v/>
      </c>
    </row>
    <row r="289" customFormat="false" ht="15" hidden="false" customHeight="false" outlineLevel="0" collapsed="false">
      <c r="A289" s="16" t="n">
        <v>1291</v>
      </c>
      <c r="B289" s="9" t="n">
        <f aca="false">COUNTIF(JE_Lines!$B$5:$B$1733,A289)</f>
        <v>2</v>
      </c>
      <c r="C289" s="17" t="n">
        <f aca="false">SUMIFS(JE_Lines!$G$5:$G$1733,JE_Lines!$B$5:$B$1733,A289)</f>
        <v>473.86</v>
      </c>
      <c r="D289" s="17" t="n">
        <f aca="false">SUMIFS(JE_Lines!$H$5:$H$1733,JE_Lines!$B$5:$B$1733,A289)</f>
        <v>473.86</v>
      </c>
      <c r="E289" s="17" t="n">
        <f aca="false">C289-D289</f>
        <v>0</v>
      </c>
      <c r="F289" s="18" t="n">
        <f aca="false">INDEX(JE_Lines!$C$5:$C$1733,MATCH(A289,JE_Lines!$B$5:$B$1733,0))</f>
        <v>45790</v>
      </c>
      <c r="G289" s="18" t="n">
        <f aca="false">INDEX(JE_Lines!$D$5:$D$1733,MATCH(A289,JE_Lines!$B$5:$B$1733,0))</f>
        <v>45787</v>
      </c>
      <c r="H289" s="0" t="str">
        <f aca="false">INDEX(JE_Lines!$I$5:$I$1733,MATCH(A289,JE_Lines!$B$5:$B$1733,0))</f>
        <v>SYS_AR</v>
      </c>
      <c r="I289" s="0" t="str">
        <f aca="false">INDEX(JE_Lines!$J$5:$J$1733,MATCH(A289,JE_Lines!$B$5:$B$1733,0))</f>
        <v>System</v>
      </c>
      <c r="J289" s="0" t="str">
        <f aca="false">IF(LEN(INDEX(JE_Lines!$K$5:$K$1733,MATCH(A289,JE_Lines!$B$5:$B$1733,0)))=0,"",INDEX(JE_Lines!$K$5:$K$1733,MATCH(A289,JE_Lines!$B$5:$B$1733,0)))</f>
        <v>Sales invoice batch</v>
      </c>
      <c r="K289" s="9" t="n">
        <f aca="false">F289-G289</f>
        <v>3</v>
      </c>
      <c r="L289" s="9" t="n">
        <f aca="false">COUNTIFS(JE_Lines!$B$5:$B$1733,A289,JE_Lines!$F$5:$F$1733,"Revenue")</f>
        <v>1</v>
      </c>
      <c r="M289" s="9" t="n">
        <f aca="false">COUNTIFS(JE_Lines!$B$5:$B$1733,A289,JE_Lines!$F$5:$F$1733,"Suspense")</f>
        <v>0</v>
      </c>
      <c r="N289" s="9" t="n">
        <f aca="false">IF(ABS(E289)&gt;Parameters!$B$23,1,0)</f>
        <v>0</v>
      </c>
      <c r="O289" s="9" t="n">
        <f aca="false">IF(WEEKDAY(F289,2)&gt;5,1,0)</f>
        <v>0</v>
      </c>
      <c r="P289" s="9" t="n">
        <f aca="false">IF(K289&gt;Parameters!$B$17,1,0)</f>
        <v>0</v>
      </c>
      <c r="Q289" s="9" t="n">
        <f aca="false">IF(AND(F289&lt;=Parameters!$B$6,F289&gt;Parameters!$B$6-Parameters!$B$18),1,0)</f>
        <v>0</v>
      </c>
      <c r="R289" s="9" t="n">
        <f aca="false">IF(COUNTIF(Parameters!$A$51:$A$58,H289)=0,1,0)</f>
        <v>0</v>
      </c>
      <c r="S289" s="9" t="n">
        <f aca="false">IF(AND(I289="Manual",L289&gt;0),1,0)</f>
        <v>0</v>
      </c>
      <c r="T289" s="9" t="n">
        <f aca="false">IF(AND(C289&gt;=Parameters!$B$22,ROUND(MOD(ROUND(C289,2),Parameters!$B$21),2)=0),1,0)</f>
        <v>0</v>
      </c>
      <c r="U289" s="9" t="n">
        <f aca="false">IF(LEN(TRIM(J289))=0,1,0)</f>
        <v>0</v>
      </c>
      <c r="V289" s="9" t="n">
        <f aca="false">IF(AND(I289="Manual",C289&lt;Parameters!$B$19,C289&gt;=Parameters!$B$19*(1-Parameters!$B$20)),1,0)</f>
        <v>0</v>
      </c>
      <c r="W289" s="9" t="n">
        <f aca="false">IF(AND(I289="Manual",M289&gt;0),1,0)</f>
        <v>0</v>
      </c>
      <c r="X289" s="9" t="n">
        <f aca="false">IF(A289-A288&gt;1,1,0)</f>
        <v>0</v>
      </c>
      <c r="Y289" s="9" t="n">
        <f aca="false">N289*Parameters!$B$38+O289*Parameters!$B$39+P289*Parameters!$B$40+Q289*Parameters!$B$41+R289*Parameters!$B$42+S289*Parameters!$B$43+T289*Parameters!$B$44+U289*Parameters!$B$45+V289*Parameters!$B$46+W289*Parameters!$B$47+X289*Parameters!$B$48</f>
        <v>0</v>
      </c>
      <c r="Z289" s="0" t="str">
        <f aca="false">IF(Y289&gt;=Parameters!$B$25,"High","")</f>
        <v/>
      </c>
    </row>
    <row r="290" customFormat="false" ht="15" hidden="false" customHeight="false" outlineLevel="0" collapsed="false">
      <c r="A290" s="16" t="n">
        <v>1292</v>
      </c>
      <c r="B290" s="9" t="n">
        <f aca="false">COUNTIF(JE_Lines!$B$5:$B$1733,A290)</f>
        <v>3</v>
      </c>
      <c r="C290" s="17" t="n">
        <f aca="false">SUMIFS(JE_Lines!$G$5:$G$1733,JE_Lines!$B$5:$B$1733,A290)</f>
        <v>65654.61</v>
      </c>
      <c r="D290" s="17" t="n">
        <f aca="false">SUMIFS(JE_Lines!$H$5:$H$1733,JE_Lines!$B$5:$B$1733,A290)</f>
        <v>65654.61</v>
      </c>
      <c r="E290" s="17" t="n">
        <f aca="false">C290-D290</f>
        <v>0</v>
      </c>
      <c r="F290" s="18" t="n">
        <f aca="false">INDEX(JE_Lines!$C$5:$C$1733,MATCH(A290,JE_Lines!$B$5:$B$1733,0))</f>
        <v>45791</v>
      </c>
      <c r="G290" s="18" t="n">
        <f aca="false">INDEX(JE_Lines!$D$5:$D$1733,MATCH(A290,JE_Lines!$B$5:$B$1733,0))</f>
        <v>45789</v>
      </c>
      <c r="H290" s="0" t="str">
        <f aca="false">INDEX(JE_Lines!$I$5:$I$1733,MATCH(A290,JE_Lines!$B$5:$B$1733,0))</f>
        <v>SYS_AR</v>
      </c>
      <c r="I290" s="0" t="str">
        <f aca="false">INDEX(JE_Lines!$J$5:$J$1733,MATCH(A290,JE_Lines!$B$5:$B$1733,0))</f>
        <v>System</v>
      </c>
      <c r="J290" s="0" t="str">
        <f aca="false">IF(LEN(INDEX(JE_Lines!$K$5:$K$1733,MATCH(A290,JE_Lines!$B$5:$B$1733,0)))=0,"",INDEX(JE_Lines!$K$5:$K$1733,MATCH(A290,JE_Lines!$B$5:$B$1733,0)))</f>
        <v>Sales invoice batch</v>
      </c>
      <c r="K290" s="9" t="n">
        <f aca="false">F290-G290</f>
        <v>2</v>
      </c>
      <c r="L290" s="9" t="n">
        <f aca="false">COUNTIFS(JE_Lines!$B$5:$B$1733,A290,JE_Lines!$F$5:$F$1733,"Revenue")</f>
        <v>1</v>
      </c>
      <c r="M290" s="9" t="n">
        <f aca="false">COUNTIFS(JE_Lines!$B$5:$B$1733,A290,JE_Lines!$F$5:$F$1733,"Suspense")</f>
        <v>0</v>
      </c>
      <c r="N290" s="9" t="n">
        <f aca="false">IF(ABS(E290)&gt;Parameters!$B$23,1,0)</f>
        <v>0</v>
      </c>
      <c r="O290" s="9" t="n">
        <f aca="false">IF(WEEKDAY(F290,2)&gt;5,1,0)</f>
        <v>0</v>
      </c>
      <c r="P290" s="9" t="n">
        <f aca="false">IF(K290&gt;Parameters!$B$17,1,0)</f>
        <v>0</v>
      </c>
      <c r="Q290" s="9" t="n">
        <f aca="false">IF(AND(F290&lt;=Parameters!$B$6,F290&gt;Parameters!$B$6-Parameters!$B$18),1,0)</f>
        <v>0</v>
      </c>
      <c r="R290" s="9" t="n">
        <f aca="false">IF(COUNTIF(Parameters!$A$51:$A$58,H290)=0,1,0)</f>
        <v>0</v>
      </c>
      <c r="S290" s="9" t="n">
        <f aca="false">IF(AND(I290="Manual",L290&gt;0),1,0)</f>
        <v>0</v>
      </c>
      <c r="T290" s="9" t="n">
        <f aca="false">IF(AND(C290&gt;=Parameters!$B$22,ROUND(MOD(ROUND(C290,2),Parameters!$B$21),2)=0),1,0)</f>
        <v>0</v>
      </c>
      <c r="U290" s="9" t="n">
        <f aca="false">IF(LEN(TRIM(J290))=0,1,0)</f>
        <v>0</v>
      </c>
      <c r="V290" s="9" t="n">
        <f aca="false">IF(AND(I290="Manual",C290&lt;Parameters!$B$19,C290&gt;=Parameters!$B$19*(1-Parameters!$B$20)),1,0)</f>
        <v>0</v>
      </c>
      <c r="W290" s="9" t="n">
        <f aca="false">IF(AND(I290="Manual",M290&gt;0),1,0)</f>
        <v>0</v>
      </c>
      <c r="X290" s="9" t="n">
        <f aca="false">IF(A290-A289&gt;1,1,0)</f>
        <v>0</v>
      </c>
      <c r="Y290" s="9" t="n">
        <f aca="false">N290*Parameters!$B$38+O290*Parameters!$B$39+P290*Parameters!$B$40+Q290*Parameters!$B$41+R290*Parameters!$B$42+S290*Parameters!$B$43+T290*Parameters!$B$44+U290*Parameters!$B$45+V290*Parameters!$B$46+W290*Parameters!$B$47+X290*Parameters!$B$48</f>
        <v>0</v>
      </c>
      <c r="Z290" s="0" t="str">
        <f aca="false">IF(Y290&gt;=Parameters!$B$25,"High","")</f>
        <v/>
      </c>
    </row>
    <row r="291" customFormat="false" ht="15" hidden="false" customHeight="false" outlineLevel="0" collapsed="false">
      <c r="A291" s="16" t="n">
        <v>1293</v>
      </c>
      <c r="B291" s="9" t="n">
        <f aca="false">COUNTIF(JE_Lines!$B$5:$B$1733,A291)</f>
        <v>2</v>
      </c>
      <c r="C291" s="17" t="n">
        <f aca="false">SUMIFS(JE_Lines!$G$5:$G$1733,JE_Lines!$B$5:$B$1733,A291)</f>
        <v>844.98</v>
      </c>
      <c r="D291" s="17" t="n">
        <f aca="false">SUMIFS(JE_Lines!$H$5:$H$1733,JE_Lines!$B$5:$B$1733,A291)</f>
        <v>844.98</v>
      </c>
      <c r="E291" s="17" t="n">
        <f aca="false">C291-D291</f>
        <v>0</v>
      </c>
      <c r="F291" s="18" t="n">
        <f aca="false">INDEX(JE_Lines!$C$5:$C$1733,MATCH(A291,JE_Lines!$B$5:$B$1733,0))</f>
        <v>45792</v>
      </c>
      <c r="G291" s="18" t="n">
        <f aca="false">INDEX(JE_Lines!$D$5:$D$1733,MATCH(A291,JE_Lines!$B$5:$B$1733,0))</f>
        <v>45789</v>
      </c>
      <c r="H291" s="0" t="str">
        <f aca="false">INDEX(JE_Lines!$I$5:$I$1733,MATCH(A291,JE_Lines!$B$5:$B$1733,0))</f>
        <v>SYS_AR</v>
      </c>
      <c r="I291" s="0" t="str">
        <f aca="false">INDEX(JE_Lines!$J$5:$J$1733,MATCH(A291,JE_Lines!$B$5:$B$1733,0))</f>
        <v>System</v>
      </c>
      <c r="J291" s="0" t="str">
        <f aca="false">IF(LEN(INDEX(JE_Lines!$K$5:$K$1733,MATCH(A291,JE_Lines!$B$5:$B$1733,0)))=0,"",INDEX(JE_Lines!$K$5:$K$1733,MATCH(A291,JE_Lines!$B$5:$B$1733,0)))</f>
        <v>Sales invoice batch</v>
      </c>
      <c r="K291" s="9" t="n">
        <f aca="false">F291-G291</f>
        <v>3</v>
      </c>
      <c r="L291" s="9" t="n">
        <f aca="false">COUNTIFS(JE_Lines!$B$5:$B$1733,A291,JE_Lines!$F$5:$F$1733,"Revenue")</f>
        <v>1</v>
      </c>
      <c r="M291" s="9" t="n">
        <f aca="false">COUNTIFS(JE_Lines!$B$5:$B$1733,A291,JE_Lines!$F$5:$F$1733,"Suspense")</f>
        <v>0</v>
      </c>
      <c r="N291" s="9" t="n">
        <f aca="false">IF(ABS(E291)&gt;Parameters!$B$23,1,0)</f>
        <v>0</v>
      </c>
      <c r="O291" s="9" t="n">
        <f aca="false">IF(WEEKDAY(F291,2)&gt;5,1,0)</f>
        <v>0</v>
      </c>
      <c r="P291" s="9" t="n">
        <f aca="false">IF(K291&gt;Parameters!$B$17,1,0)</f>
        <v>0</v>
      </c>
      <c r="Q291" s="9" t="n">
        <f aca="false">IF(AND(F291&lt;=Parameters!$B$6,F291&gt;Parameters!$B$6-Parameters!$B$18),1,0)</f>
        <v>0</v>
      </c>
      <c r="R291" s="9" t="n">
        <f aca="false">IF(COUNTIF(Parameters!$A$51:$A$58,H291)=0,1,0)</f>
        <v>0</v>
      </c>
      <c r="S291" s="9" t="n">
        <f aca="false">IF(AND(I291="Manual",L291&gt;0),1,0)</f>
        <v>0</v>
      </c>
      <c r="T291" s="9" t="n">
        <f aca="false">IF(AND(C291&gt;=Parameters!$B$22,ROUND(MOD(ROUND(C291,2),Parameters!$B$21),2)=0),1,0)</f>
        <v>0</v>
      </c>
      <c r="U291" s="9" t="n">
        <f aca="false">IF(LEN(TRIM(J291))=0,1,0)</f>
        <v>0</v>
      </c>
      <c r="V291" s="9" t="n">
        <f aca="false">IF(AND(I291="Manual",C291&lt;Parameters!$B$19,C291&gt;=Parameters!$B$19*(1-Parameters!$B$20)),1,0)</f>
        <v>0</v>
      </c>
      <c r="W291" s="9" t="n">
        <f aca="false">IF(AND(I291="Manual",M291&gt;0),1,0)</f>
        <v>0</v>
      </c>
      <c r="X291" s="9" t="n">
        <f aca="false">IF(A291-A290&gt;1,1,0)</f>
        <v>0</v>
      </c>
      <c r="Y291" s="9" t="n">
        <f aca="false">N291*Parameters!$B$38+O291*Parameters!$B$39+P291*Parameters!$B$40+Q291*Parameters!$B$41+R291*Parameters!$B$42+S291*Parameters!$B$43+T291*Parameters!$B$44+U291*Parameters!$B$45+V291*Parameters!$B$46+W291*Parameters!$B$47+X291*Parameters!$B$48</f>
        <v>0</v>
      </c>
      <c r="Z291" s="0" t="str">
        <f aca="false">IF(Y291&gt;=Parameters!$B$25,"High","")</f>
        <v/>
      </c>
    </row>
    <row r="292" customFormat="false" ht="15" hidden="false" customHeight="false" outlineLevel="0" collapsed="false">
      <c r="A292" s="16" t="n">
        <v>1294</v>
      </c>
      <c r="B292" s="9" t="n">
        <f aca="false">COUNTIF(JE_Lines!$B$5:$B$1733,A292)</f>
        <v>2</v>
      </c>
      <c r="C292" s="17" t="n">
        <f aca="false">SUMIFS(JE_Lines!$G$5:$G$1733,JE_Lines!$B$5:$B$1733,A292)</f>
        <v>782.22</v>
      </c>
      <c r="D292" s="17" t="n">
        <f aca="false">SUMIFS(JE_Lines!$H$5:$H$1733,JE_Lines!$B$5:$B$1733,A292)</f>
        <v>782.22</v>
      </c>
      <c r="E292" s="17" t="n">
        <f aca="false">C292-D292</f>
        <v>0</v>
      </c>
      <c r="F292" s="18" t="n">
        <f aca="false">INDEX(JE_Lines!$C$5:$C$1733,MATCH(A292,JE_Lines!$B$5:$B$1733,0))</f>
        <v>45792</v>
      </c>
      <c r="G292" s="18" t="n">
        <f aca="false">INDEX(JE_Lines!$D$5:$D$1733,MATCH(A292,JE_Lines!$B$5:$B$1733,0))</f>
        <v>45789</v>
      </c>
      <c r="H292" s="0" t="str">
        <f aca="false">INDEX(JE_Lines!$I$5:$I$1733,MATCH(A292,JE_Lines!$B$5:$B$1733,0))</f>
        <v>SYS_AR</v>
      </c>
      <c r="I292" s="0" t="str">
        <f aca="false">INDEX(JE_Lines!$J$5:$J$1733,MATCH(A292,JE_Lines!$B$5:$B$1733,0))</f>
        <v>System</v>
      </c>
      <c r="J292" s="0" t="str">
        <f aca="false">IF(LEN(INDEX(JE_Lines!$K$5:$K$1733,MATCH(A292,JE_Lines!$B$5:$B$1733,0)))=0,"",INDEX(JE_Lines!$K$5:$K$1733,MATCH(A292,JE_Lines!$B$5:$B$1733,0)))</f>
        <v>Customer receipts</v>
      </c>
      <c r="K292" s="9" t="n">
        <f aca="false">F292-G292</f>
        <v>3</v>
      </c>
      <c r="L292" s="9" t="n">
        <f aca="false">COUNTIFS(JE_Lines!$B$5:$B$1733,A292,JE_Lines!$F$5:$F$1733,"Revenue")</f>
        <v>0</v>
      </c>
      <c r="M292" s="9" t="n">
        <f aca="false">COUNTIFS(JE_Lines!$B$5:$B$1733,A292,JE_Lines!$F$5:$F$1733,"Suspense")</f>
        <v>0</v>
      </c>
      <c r="N292" s="9" t="n">
        <f aca="false">IF(ABS(E292)&gt;Parameters!$B$23,1,0)</f>
        <v>0</v>
      </c>
      <c r="O292" s="9" t="n">
        <f aca="false">IF(WEEKDAY(F292,2)&gt;5,1,0)</f>
        <v>0</v>
      </c>
      <c r="P292" s="9" t="n">
        <f aca="false">IF(K292&gt;Parameters!$B$17,1,0)</f>
        <v>0</v>
      </c>
      <c r="Q292" s="9" t="n">
        <f aca="false">IF(AND(F292&lt;=Parameters!$B$6,F292&gt;Parameters!$B$6-Parameters!$B$18),1,0)</f>
        <v>0</v>
      </c>
      <c r="R292" s="9" t="n">
        <f aca="false">IF(COUNTIF(Parameters!$A$51:$A$58,H292)=0,1,0)</f>
        <v>0</v>
      </c>
      <c r="S292" s="9" t="n">
        <f aca="false">IF(AND(I292="Manual",L292&gt;0),1,0)</f>
        <v>0</v>
      </c>
      <c r="T292" s="9" t="n">
        <f aca="false">IF(AND(C292&gt;=Parameters!$B$22,ROUND(MOD(ROUND(C292,2),Parameters!$B$21),2)=0),1,0)</f>
        <v>0</v>
      </c>
      <c r="U292" s="9" t="n">
        <f aca="false">IF(LEN(TRIM(J292))=0,1,0)</f>
        <v>0</v>
      </c>
      <c r="V292" s="9" t="n">
        <f aca="false">IF(AND(I292="Manual",C292&lt;Parameters!$B$19,C292&gt;=Parameters!$B$19*(1-Parameters!$B$20)),1,0)</f>
        <v>0</v>
      </c>
      <c r="W292" s="9" t="n">
        <f aca="false">IF(AND(I292="Manual",M292&gt;0),1,0)</f>
        <v>0</v>
      </c>
      <c r="X292" s="9" t="n">
        <f aca="false">IF(A292-A291&gt;1,1,0)</f>
        <v>0</v>
      </c>
      <c r="Y292" s="9" t="n">
        <f aca="false">N292*Parameters!$B$38+O292*Parameters!$B$39+P292*Parameters!$B$40+Q292*Parameters!$B$41+R292*Parameters!$B$42+S292*Parameters!$B$43+T292*Parameters!$B$44+U292*Parameters!$B$45+V292*Parameters!$B$46+W292*Parameters!$B$47+X292*Parameters!$B$48</f>
        <v>0</v>
      </c>
      <c r="Z292" s="0" t="str">
        <f aca="false">IF(Y292&gt;=Parameters!$B$25,"High","")</f>
        <v/>
      </c>
    </row>
    <row r="293" customFormat="false" ht="15" hidden="false" customHeight="false" outlineLevel="0" collapsed="false">
      <c r="A293" s="16" t="n">
        <v>1295</v>
      </c>
      <c r="B293" s="9" t="n">
        <f aca="false">COUNTIF(JE_Lines!$B$5:$B$1733,A293)</f>
        <v>2</v>
      </c>
      <c r="C293" s="17" t="n">
        <f aca="false">SUMIFS(JE_Lines!$G$5:$G$1733,JE_Lines!$B$5:$B$1733,A293)</f>
        <v>20164.3</v>
      </c>
      <c r="D293" s="17" t="n">
        <f aca="false">SUMIFS(JE_Lines!$H$5:$H$1733,JE_Lines!$B$5:$B$1733,A293)</f>
        <v>20164.3</v>
      </c>
      <c r="E293" s="17" t="n">
        <f aca="false">C293-D293</f>
        <v>0</v>
      </c>
      <c r="F293" s="18" t="n">
        <f aca="false">INDEX(JE_Lines!$C$5:$C$1733,MATCH(A293,JE_Lines!$B$5:$B$1733,0))</f>
        <v>45792</v>
      </c>
      <c r="G293" s="18" t="n">
        <f aca="false">INDEX(JE_Lines!$D$5:$D$1733,MATCH(A293,JE_Lines!$B$5:$B$1733,0))</f>
        <v>45790</v>
      </c>
      <c r="H293" s="0" t="str">
        <f aca="false">INDEX(JE_Lines!$I$5:$I$1733,MATCH(A293,JE_Lines!$B$5:$B$1733,0))</f>
        <v>SYS_AP</v>
      </c>
      <c r="I293" s="0" t="str">
        <f aca="false">INDEX(JE_Lines!$J$5:$J$1733,MATCH(A293,JE_Lines!$B$5:$B$1733,0))</f>
        <v>System</v>
      </c>
      <c r="J293" s="0" t="str">
        <f aca="false">IF(LEN(INDEX(JE_Lines!$K$5:$K$1733,MATCH(A293,JE_Lines!$B$5:$B$1733,0)))=0,"",INDEX(JE_Lines!$K$5:$K$1733,MATCH(A293,JE_Lines!$B$5:$B$1733,0)))</f>
        <v>Supplier invoices</v>
      </c>
      <c r="K293" s="9" t="n">
        <f aca="false">F293-G293</f>
        <v>2</v>
      </c>
      <c r="L293" s="9" t="n">
        <f aca="false">COUNTIFS(JE_Lines!$B$5:$B$1733,A293,JE_Lines!$F$5:$F$1733,"Revenue")</f>
        <v>0</v>
      </c>
      <c r="M293" s="9" t="n">
        <f aca="false">COUNTIFS(JE_Lines!$B$5:$B$1733,A293,JE_Lines!$F$5:$F$1733,"Suspense")</f>
        <v>0</v>
      </c>
      <c r="N293" s="9" t="n">
        <f aca="false">IF(ABS(E293)&gt;Parameters!$B$23,1,0)</f>
        <v>0</v>
      </c>
      <c r="O293" s="9" t="n">
        <f aca="false">IF(WEEKDAY(F293,2)&gt;5,1,0)</f>
        <v>0</v>
      </c>
      <c r="P293" s="9" t="n">
        <f aca="false">IF(K293&gt;Parameters!$B$17,1,0)</f>
        <v>0</v>
      </c>
      <c r="Q293" s="9" t="n">
        <f aca="false">IF(AND(F293&lt;=Parameters!$B$6,F293&gt;Parameters!$B$6-Parameters!$B$18),1,0)</f>
        <v>0</v>
      </c>
      <c r="R293" s="9" t="n">
        <f aca="false">IF(COUNTIF(Parameters!$A$51:$A$58,H293)=0,1,0)</f>
        <v>0</v>
      </c>
      <c r="S293" s="9" t="n">
        <f aca="false">IF(AND(I293="Manual",L293&gt;0),1,0)</f>
        <v>0</v>
      </c>
      <c r="T293" s="9" t="n">
        <f aca="false">IF(AND(C293&gt;=Parameters!$B$22,ROUND(MOD(ROUND(C293,2),Parameters!$B$21),2)=0),1,0)</f>
        <v>0</v>
      </c>
      <c r="U293" s="9" t="n">
        <f aca="false">IF(LEN(TRIM(J293))=0,1,0)</f>
        <v>0</v>
      </c>
      <c r="V293" s="9" t="n">
        <f aca="false">IF(AND(I293="Manual",C293&lt;Parameters!$B$19,C293&gt;=Parameters!$B$19*(1-Parameters!$B$20)),1,0)</f>
        <v>0</v>
      </c>
      <c r="W293" s="9" t="n">
        <f aca="false">IF(AND(I293="Manual",M293&gt;0),1,0)</f>
        <v>0</v>
      </c>
      <c r="X293" s="9" t="n">
        <f aca="false">IF(A293-A292&gt;1,1,0)</f>
        <v>0</v>
      </c>
      <c r="Y293" s="9" t="n">
        <f aca="false">N293*Parameters!$B$38+O293*Parameters!$B$39+P293*Parameters!$B$40+Q293*Parameters!$B$41+R293*Parameters!$B$42+S293*Parameters!$B$43+T293*Parameters!$B$44+U293*Parameters!$B$45+V293*Parameters!$B$46+W293*Parameters!$B$47+X293*Parameters!$B$48</f>
        <v>0</v>
      </c>
      <c r="Z293" s="0" t="str">
        <f aca="false">IF(Y293&gt;=Parameters!$B$25,"High","")</f>
        <v/>
      </c>
    </row>
    <row r="294" customFormat="false" ht="15" hidden="false" customHeight="false" outlineLevel="0" collapsed="false">
      <c r="A294" s="16" t="n">
        <v>1296</v>
      </c>
      <c r="B294" s="9" t="n">
        <f aca="false">COUNTIF(JE_Lines!$B$5:$B$1733,A294)</f>
        <v>2</v>
      </c>
      <c r="C294" s="17" t="n">
        <f aca="false">SUMIFS(JE_Lines!$G$5:$G$1733,JE_Lines!$B$5:$B$1733,A294)</f>
        <v>47932.22</v>
      </c>
      <c r="D294" s="17" t="n">
        <f aca="false">SUMIFS(JE_Lines!$H$5:$H$1733,JE_Lines!$B$5:$B$1733,A294)</f>
        <v>47932.22</v>
      </c>
      <c r="E294" s="17" t="n">
        <f aca="false">C294-D294</f>
        <v>0</v>
      </c>
      <c r="F294" s="18" t="n">
        <f aca="false">INDEX(JE_Lines!$C$5:$C$1733,MATCH(A294,JE_Lines!$B$5:$B$1733,0))</f>
        <v>45792</v>
      </c>
      <c r="G294" s="18" t="n">
        <f aca="false">INDEX(JE_Lines!$D$5:$D$1733,MATCH(A294,JE_Lines!$B$5:$B$1733,0))</f>
        <v>45788</v>
      </c>
      <c r="H294" s="0" t="str">
        <f aca="false">INDEX(JE_Lines!$I$5:$I$1733,MATCH(A294,JE_Lines!$B$5:$B$1733,0))</f>
        <v>SYS_AR</v>
      </c>
      <c r="I294" s="0" t="str">
        <f aca="false">INDEX(JE_Lines!$J$5:$J$1733,MATCH(A294,JE_Lines!$B$5:$B$1733,0))</f>
        <v>System</v>
      </c>
      <c r="J294" s="0" t="str">
        <f aca="false">IF(LEN(INDEX(JE_Lines!$K$5:$K$1733,MATCH(A294,JE_Lines!$B$5:$B$1733,0)))=0,"",INDEX(JE_Lines!$K$5:$K$1733,MATCH(A294,JE_Lines!$B$5:$B$1733,0)))</f>
        <v>Customer receipts</v>
      </c>
      <c r="K294" s="9" t="n">
        <f aca="false">F294-G294</f>
        <v>4</v>
      </c>
      <c r="L294" s="9" t="n">
        <f aca="false">COUNTIFS(JE_Lines!$B$5:$B$1733,A294,JE_Lines!$F$5:$F$1733,"Revenue")</f>
        <v>0</v>
      </c>
      <c r="M294" s="9" t="n">
        <f aca="false">COUNTIFS(JE_Lines!$B$5:$B$1733,A294,JE_Lines!$F$5:$F$1733,"Suspense")</f>
        <v>0</v>
      </c>
      <c r="N294" s="9" t="n">
        <f aca="false">IF(ABS(E294)&gt;Parameters!$B$23,1,0)</f>
        <v>0</v>
      </c>
      <c r="O294" s="9" t="n">
        <f aca="false">IF(WEEKDAY(F294,2)&gt;5,1,0)</f>
        <v>0</v>
      </c>
      <c r="P294" s="9" t="n">
        <f aca="false">IF(K294&gt;Parameters!$B$17,1,0)</f>
        <v>0</v>
      </c>
      <c r="Q294" s="9" t="n">
        <f aca="false">IF(AND(F294&lt;=Parameters!$B$6,F294&gt;Parameters!$B$6-Parameters!$B$18),1,0)</f>
        <v>0</v>
      </c>
      <c r="R294" s="9" t="n">
        <f aca="false">IF(COUNTIF(Parameters!$A$51:$A$58,H294)=0,1,0)</f>
        <v>0</v>
      </c>
      <c r="S294" s="9" t="n">
        <f aca="false">IF(AND(I294="Manual",L294&gt;0),1,0)</f>
        <v>0</v>
      </c>
      <c r="T294" s="9" t="n">
        <f aca="false">IF(AND(C294&gt;=Parameters!$B$22,ROUND(MOD(ROUND(C294,2),Parameters!$B$21),2)=0),1,0)</f>
        <v>0</v>
      </c>
      <c r="U294" s="9" t="n">
        <f aca="false">IF(LEN(TRIM(J294))=0,1,0)</f>
        <v>0</v>
      </c>
      <c r="V294" s="9" t="n">
        <f aca="false">IF(AND(I294="Manual",C294&lt;Parameters!$B$19,C294&gt;=Parameters!$B$19*(1-Parameters!$B$20)),1,0)</f>
        <v>0</v>
      </c>
      <c r="W294" s="9" t="n">
        <f aca="false">IF(AND(I294="Manual",M294&gt;0),1,0)</f>
        <v>0</v>
      </c>
      <c r="X294" s="9" t="n">
        <f aca="false">IF(A294-A293&gt;1,1,0)</f>
        <v>0</v>
      </c>
      <c r="Y294" s="9" t="n">
        <f aca="false">N294*Parameters!$B$38+O294*Parameters!$B$39+P294*Parameters!$B$40+Q294*Parameters!$B$41+R294*Parameters!$B$42+S294*Parameters!$B$43+T294*Parameters!$B$44+U294*Parameters!$B$45+V294*Parameters!$B$46+W294*Parameters!$B$47+X294*Parameters!$B$48</f>
        <v>0</v>
      </c>
      <c r="Z294" s="0" t="str">
        <f aca="false">IF(Y294&gt;=Parameters!$B$25,"High","")</f>
        <v/>
      </c>
    </row>
    <row r="295" customFormat="false" ht="15" hidden="false" customHeight="false" outlineLevel="0" collapsed="false">
      <c r="A295" s="16" t="n">
        <v>1297</v>
      </c>
      <c r="B295" s="9" t="n">
        <f aca="false">COUNTIF(JE_Lines!$B$5:$B$1733,A295)</f>
        <v>3</v>
      </c>
      <c r="C295" s="17" t="n">
        <f aca="false">SUMIFS(JE_Lines!$G$5:$G$1733,JE_Lines!$B$5:$B$1733,A295)</f>
        <v>14062.67</v>
      </c>
      <c r="D295" s="17" t="n">
        <f aca="false">SUMIFS(JE_Lines!$H$5:$H$1733,JE_Lines!$B$5:$B$1733,A295)</f>
        <v>14062.67</v>
      </c>
      <c r="E295" s="17" t="n">
        <f aca="false">C295-D295</f>
        <v>0</v>
      </c>
      <c r="F295" s="18" t="n">
        <f aca="false">INDEX(JE_Lines!$C$5:$C$1733,MATCH(A295,JE_Lines!$B$5:$B$1733,0))</f>
        <v>45792</v>
      </c>
      <c r="G295" s="18" t="n">
        <f aca="false">INDEX(JE_Lines!$D$5:$D$1733,MATCH(A295,JE_Lines!$B$5:$B$1733,0))</f>
        <v>45790</v>
      </c>
      <c r="H295" s="0" t="str">
        <f aca="false">INDEX(JE_Lines!$I$5:$I$1733,MATCH(A295,JE_Lines!$B$5:$B$1733,0))</f>
        <v>SYS_AR</v>
      </c>
      <c r="I295" s="0" t="str">
        <f aca="false">INDEX(JE_Lines!$J$5:$J$1733,MATCH(A295,JE_Lines!$B$5:$B$1733,0))</f>
        <v>System</v>
      </c>
      <c r="J295" s="0" t="str">
        <f aca="false">IF(LEN(INDEX(JE_Lines!$K$5:$K$1733,MATCH(A295,JE_Lines!$B$5:$B$1733,0)))=0,"",INDEX(JE_Lines!$K$5:$K$1733,MATCH(A295,JE_Lines!$B$5:$B$1733,0)))</f>
        <v>Cost of sales posting</v>
      </c>
      <c r="K295" s="9" t="n">
        <f aca="false">F295-G295</f>
        <v>2</v>
      </c>
      <c r="L295" s="9" t="n">
        <f aca="false">COUNTIFS(JE_Lines!$B$5:$B$1733,A295,JE_Lines!$F$5:$F$1733,"Revenue")</f>
        <v>0</v>
      </c>
      <c r="M295" s="9" t="n">
        <f aca="false">COUNTIFS(JE_Lines!$B$5:$B$1733,A295,JE_Lines!$F$5:$F$1733,"Suspense")</f>
        <v>0</v>
      </c>
      <c r="N295" s="9" t="n">
        <f aca="false">IF(ABS(E295)&gt;Parameters!$B$23,1,0)</f>
        <v>0</v>
      </c>
      <c r="O295" s="9" t="n">
        <f aca="false">IF(WEEKDAY(F295,2)&gt;5,1,0)</f>
        <v>0</v>
      </c>
      <c r="P295" s="9" t="n">
        <f aca="false">IF(K295&gt;Parameters!$B$17,1,0)</f>
        <v>0</v>
      </c>
      <c r="Q295" s="9" t="n">
        <f aca="false">IF(AND(F295&lt;=Parameters!$B$6,F295&gt;Parameters!$B$6-Parameters!$B$18),1,0)</f>
        <v>0</v>
      </c>
      <c r="R295" s="9" t="n">
        <f aca="false">IF(COUNTIF(Parameters!$A$51:$A$58,H295)=0,1,0)</f>
        <v>0</v>
      </c>
      <c r="S295" s="9" t="n">
        <f aca="false">IF(AND(I295="Manual",L295&gt;0),1,0)</f>
        <v>0</v>
      </c>
      <c r="T295" s="9" t="n">
        <f aca="false">IF(AND(C295&gt;=Parameters!$B$22,ROUND(MOD(ROUND(C295,2),Parameters!$B$21),2)=0),1,0)</f>
        <v>0</v>
      </c>
      <c r="U295" s="9" t="n">
        <f aca="false">IF(LEN(TRIM(J295))=0,1,0)</f>
        <v>0</v>
      </c>
      <c r="V295" s="9" t="n">
        <f aca="false">IF(AND(I295="Manual",C295&lt;Parameters!$B$19,C295&gt;=Parameters!$B$19*(1-Parameters!$B$20)),1,0)</f>
        <v>0</v>
      </c>
      <c r="W295" s="9" t="n">
        <f aca="false">IF(AND(I295="Manual",M295&gt;0),1,0)</f>
        <v>0</v>
      </c>
      <c r="X295" s="9" t="n">
        <f aca="false">IF(A295-A294&gt;1,1,0)</f>
        <v>0</v>
      </c>
      <c r="Y295" s="9" t="n">
        <f aca="false">N295*Parameters!$B$38+O295*Parameters!$B$39+P295*Parameters!$B$40+Q295*Parameters!$B$41+R295*Parameters!$B$42+S295*Parameters!$B$43+T295*Parameters!$B$44+U295*Parameters!$B$45+V295*Parameters!$B$46+W295*Parameters!$B$47+X295*Parameters!$B$48</f>
        <v>0</v>
      </c>
      <c r="Z295" s="0" t="str">
        <f aca="false">IF(Y295&gt;=Parameters!$B$25,"High","")</f>
        <v/>
      </c>
    </row>
    <row r="296" customFormat="false" ht="15" hidden="false" customHeight="false" outlineLevel="0" collapsed="false">
      <c r="A296" s="16" t="n">
        <v>1298</v>
      </c>
      <c r="B296" s="9" t="n">
        <f aca="false">COUNTIF(JE_Lines!$B$5:$B$1733,A296)</f>
        <v>2</v>
      </c>
      <c r="C296" s="17" t="n">
        <f aca="false">SUMIFS(JE_Lines!$G$5:$G$1733,JE_Lines!$B$5:$B$1733,A296)</f>
        <v>254.53</v>
      </c>
      <c r="D296" s="17" t="n">
        <f aca="false">SUMIFS(JE_Lines!$H$5:$H$1733,JE_Lines!$B$5:$B$1733,A296)</f>
        <v>254.53</v>
      </c>
      <c r="E296" s="17" t="n">
        <f aca="false">C296-D296</f>
        <v>0</v>
      </c>
      <c r="F296" s="18" t="n">
        <f aca="false">INDEX(JE_Lines!$C$5:$C$1733,MATCH(A296,JE_Lines!$B$5:$B$1733,0))</f>
        <v>45792</v>
      </c>
      <c r="G296" s="18" t="n">
        <f aca="false">INDEX(JE_Lines!$D$5:$D$1733,MATCH(A296,JE_Lines!$B$5:$B$1733,0))</f>
        <v>45790</v>
      </c>
      <c r="H296" s="0" t="str">
        <f aca="false">INDEX(JE_Lines!$I$5:$I$1733,MATCH(A296,JE_Lines!$B$5:$B$1733,0))</f>
        <v>SYS_AP</v>
      </c>
      <c r="I296" s="0" t="str">
        <f aca="false">INDEX(JE_Lines!$J$5:$J$1733,MATCH(A296,JE_Lines!$B$5:$B$1733,0))</f>
        <v>System</v>
      </c>
      <c r="J296" s="0" t="str">
        <f aca="false">IF(LEN(INDEX(JE_Lines!$K$5:$K$1733,MATCH(A296,JE_Lines!$B$5:$B$1733,0)))=0,"",INDEX(JE_Lines!$K$5:$K$1733,MATCH(A296,JE_Lines!$B$5:$B$1733,0)))</f>
        <v>Utilities invoices</v>
      </c>
      <c r="K296" s="9" t="n">
        <f aca="false">F296-G296</f>
        <v>2</v>
      </c>
      <c r="L296" s="9" t="n">
        <f aca="false">COUNTIFS(JE_Lines!$B$5:$B$1733,A296,JE_Lines!$F$5:$F$1733,"Revenue")</f>
        <v>0</v>
      </c>
      <c r="M296" s="9" t="n">
        <f aca="false">COUNTIFS(JE_Lines!$B$5:$B$1733,A296,JE_Lines!$F$5:$F$1733,"Suspense")</f>
        <v>0</v>
      </c>
      <c r="N296" s="9" t="n">
        <f aca="false">IF(ABS(E296)&gt;Parameters!$B$23,1,0)</f>
        <v>0</v>
      </c>
      <c r="O296" s="9" t="n">
        <f aca="false">IF(WEEKDAY(F296,2)&gt;5,1,0)</f>
        <v>0</v>
      </c>
      <c r="P296" s="9" t="n">
        <f aca="false">IF(K296&gt;Parameters!$B$17,1,0)</f>
        <v>0</v>
      </c>
      <c r="Q296" s="9" t="n">
        <f aca="false">IF(AND(F296&lt;=Parameters!$B$6,F296&gt;Parameters!$B$6-Parameters!$B$18),1,0)</f>
        <v>0</v>
      </c>
      <c r="R296" s="9" t="n">
        <f aca="false">IF(COUNTIF(Parameters!$A$51:$A$58,H296)=0,1,0)</f>
        <v>0</v>
      </c>
      <c r="S296" s="9" t="n">
        <f aca="false">IF(AND(I296="Manual",L296&gt;0),1,0)</f>
        <v>0</v>
      </c>
      <c r="T296" s="9" t="n">
        <f aca="false">IF(AND(C296&gt;=Parameters!$B$22,ROUND(MOD(ROUND(C296,2),Parameters!$B$21),2)=0),1,0)</f>
        <v>0</v>
      </c>
      <c r="U296" s="9" t="n">
        <f aca="false">IF(LEN(TRIM(J296))=0,1,0)</f>
        <v>0</v>
      </c>
      <c r="V296" s="9" t="n">
        <f aca="false">IF(AND(I296="Manual",C296&lt;Parameters!$B$19,C296&gt;=Parameters!$B$19*(1-Parameters!$B$20)),1,0)</f>
        <v>0</v>
      </c>
      <c r="W296" s="9" t="n">
        <f aca="false">IF(AND(I296="Manual",M296&gt;0),1,0)</f>
        <v>0</v>
      </c>
      <c r="X296" s="9" t="n">
        <f aca="false">IF(A296-A295&gt;1,1,0)</f>
        <v>0</v>
      </c>
      <c r="Y296" s="9" t="n">
        <f aca="false">N296*Parameters!$B$38+O296*Parameters!$B$39+P296*Parameters!$B$40+Q296*Parameters!$B$41+R296*Parameters!$B$42+S296*Parameters!$B$43+T296*Parameters!$B$44+U296*Parameters!$B$45+V296*Parameters!$B$46+W296*Parameters!$B$47+X296*Parameters!$B$48</f>
        <v>0</v>
      </c>
      <c r="Z296" s="0" t="str">
        <f aca="false">IF(Y296&gt;=Parameters!$B$25,"High","")</f>
        <v/>
      </c>
    </row>
    <row r="297" customFormat="false" ht="15" hidden="false" customHeight="false" outlineLevel="0" collapsed="false">
      <c r="A297" s="16" t="n">
        <v>1299</v>
      </c>
      <c r="B297" s="9" t="n">
        <f aca="false">COUNTIF(JE_Lines!$B$5:$B$1733,A297)</f>
        <v>3</v>
      </c>
      <c r="C297" s="17" t="n">
        <f aca="false">SUMIFS(JE_Lines!$G$5:$G$1733,JE_Lines!$B$5:$B$1733,A297)</f>
        <v>305.61</v>
      </c>
      <c r="D297" s="17" t="n">
        <f aca="false">SUMIFS(JE_Lines!$H$5:$H$1733,JE_Lines!$B$5:$B$1733,A297)</f>
        <v>305.61</v>
      </c>
      <c r="E297" s="17" t="n">
        <f aca="false">C297-D297</f>
        <v>0</v>
      </c>
      <c r="F297" s="18" t="n">
        <f aca="false">INDEX(JE_Lines!$C$5:$C$1733,MATCH(A297,JE_Lines!$B$5:$B$1733,0))</f>
        <v>45792</v>
      </c>
      <c r="G297" s="18" t="n">
        <f aca="false">INDEX(JE_Lines!$D$5:$D$1733,MATCH(A297,JE_Lines!$B$5:$B$1733,0))</f>
        <v>45791</v>
      </c>
      <c r="H297" s="0" t="str">
        <f aca="false">INDEX(JE_Lines!$I$5:$I$1733,MATCH(A297,JE_Lines!$B$5:$B$1733,0))</f>
        <v>SYS_AR</v>
      </c>
      <c r="I297" s="0" t="str">
        <f aca="false">INDEX(JE_Lines!$J$5:$J$1733,MATCH(A297,JE_Lines!$B$5:$B$1733,0))</f>
        <v>System</v>
      </c>
      <c r="J297" s="0" t="str">
        <f aca="false">IF(LEN(INDEX(JE_Lines!$K$5:$K$1733,MATCH(A297,JE_Lines!$B$5:$B$1733,0)))=0,"",INDEX(JE_Lines!$K$5:$K$1733,MATCH(A297,JE_Lines!$B$5:$B$1733,0)))</f>
        <v>Customer receipts</v>
      </c>
      <c r="K297" s="9" t="n">
        <f aca="false">F297-G297</f>
        <v>1</v>
      </c>
      <c r="L297" s="9" t="n">
        <f aca="false">COUNTIFS(JE_Lines!$B$5:$B$1733,A297,JE_Lines!$F$5:$F$1733,"Revenue")</f>
        <v>0</v>
      </c>
      <c r="M297" s="9" t="n">
        <f aca="false">COUNTIFS(JE_Lines!$B$5:$B$1733,A297,JE_Lines!$F$5:$F$1733,"Suspense")</f>
        <v>0</v>
      </c>
      <c r="N297" s="9" t="n">
        <f aca="false">IF(ABS(E297)&gt;Parameters!$B$23,1,0)</f>
        <v>0</v>
      </c>
      <c r="O297" s="9" t="n">
        <f aca="false">IF(WEEKDAY(F297,2)&gt;5,1,0)</f>
        <v>0</v>
      </c>
      <c r="P297" s="9" t="n">
        <f aca="false">IF(K297&gt;Parameters!$B$17,1,0)</f>
        <v>0</v>
      </c>
      <c r="Q297" s="9" t="n">
        <f aca="false">IF(AND(F297&lt;=Parameters!$B$6,F297&gt;Parameters!$B$6-Parameters!$B$18),1,0)</f>
        <v>0</v>
      </c>
      <c r="R297" s="9" t="n">
        <f aca="false">IF(COUNTIF(Parameters!$A$51:$A$58,H297)=0,1,0)</f>
        <v>0</v>
      </c>
      <c r="S297" s="9" t="n">
        <f aca="false">IF(AND(I297="Manual",L297&gt;0),1,0)</f>
        <v>0</v>
      </c>
      <c r="T297" s="9" t="n">
        <f aca="false">IF(AND(C297&gt;=Parameters!$B$22,ROUND(MOD(ROUND(C297,2),Parameters!$B$21),2)=0),1,0)</f>
        <v>0</v>
      </c>
      <c r="U297" s="9" t="n">
        <f aca="false">IF(LEN(TRIM(J297))=0,1,0)</f>
        <v>0</v>
      </c>
      <c r="V297" s="9" t="n">
        <f aca="false">IF(AND(I297="Manual",C297&lt;Parameters!$B$19,C297&gt;=Parameters!$B$19*(1-Parameters!$B$20)),1,0)</f>
        <v>0</v>
      </c>
      <c r="W297" s="9" t="n">
        <f aca="false">IF(AND(I297="Manual",M297&gt;0),1,0)</f>
        <v>0</v>
      </c>
      <c r="X297" s="9" t="n">
        <f aca="false">IF(A297-A296&gt;1,1,0)</f>
        <v>0</v>
      </c>
      <c r="Y297" s="9" t="n">
        <f aca="false">N297*Parameters!$B$38+O297*Parameters!$B$39+P297*Parameters!$B$40+Q297*Parameters!$B$41+R297*Parameters!$B$42+S297*Parameters!$B$43+T297*Parameters!$B$44+U297*Parameters!$B$45+V297*Parameters!$B$46+W297*Parameters!$B$47+X297*Parameters!$B$48</f>
        <v>0</v>
      </c>
      <c r="Z297" s="0" t="str">
        <f aca="false">IF(Y297&gt;=Parameters!$B$25,"High","")</f>
        <v/>
      </c>
    </row>
    <row r="298" customFormat="false" ht="15" hidden="false" customHeight="false" outlineLevel="0" collapsed="false">
      <c r="A298" s="16" t="n">
        <v>1300</v>
      </c>
      <c r="B298" s="9" t="n">
        <f aca="false">COUNTIF(JE_Lines!$B$5:$B$1733,A298)</f>
        <v>3</v>
      </c>
      <c r="C298" s="17" t="n">
        <f aca="false">SUMIFS(JE_Lines!$G$5:$G$1733,JE_Lines!$B$5:$B$1733,A298)</f>
        <v>14579.25</v>
      </c>
      <c r="D298" s="17" t="n">
        <f aca="false">SUMIFS(JE_Lines!$H$5:$H$1733,JE_Lines!$B$5:$B$1733,A298)</f>
        <v>14579.25</v>
      </c>
      <c r="E298" s="17" t="n">
        <f aca="false">C298-D298</f>
        <v>0</v>
      </c>
      <c r="F298" s="18" t="n">
        <f aca="false">INDEX(JE_Lines!$C$5:$C$1733,MATCH(A298,JE_Lines!$B$5:$B$1733,0))</f>
        <v>45792</v>
      </c>
      <c r="G298" s="18" t="n">
        <f aca="false">INDEX(JE_Lines!$D$5:$D$1733,MATCH(A298,JE_Lines!$B$5:$B$1733,0))</f>
        <v>45788</v>
      </c>
      <c r="H298" s="0" t="str">
        <f aca="false">INDEX(JE_Lines!$I$5:$I$1733,MATCH(A298,JE_Lines!$B$5:$B$1733,0))</f>
        <v>FIN04</v>
      </c>
      <c r="I298" s="0" t="str">
        <f aca="false">INDEX(JE_Lines!$J$5:$J$1733,MATCH(A298,JE_Lines!$B$5:$B$1733,0))</f>
        <v>Manual</v>
      </c>
      <c r="J298" s="0" t="str">
        <f aca="false">IF(LEN(INDEX(JE_Lines!$K$5:$K$1733,MATCH(A298,JE_Lines!$B$5:$B$1733,0)))=0,"",INDEX(JE_Lines!$K$5:$K$1733,MATCH(A298,JE_Lines!$B$5:$B$1733,0)))</f>
        <v>Accrual reversal</v>
      </c>
      <c r="K298" s="9" t="n">
        <f aca="false">F298-G298</f>
        <v>4</v>
      </c>
      <c r="L298" s="9" t="n">
        <f aca="false">COUNTIFS(JE_Lines!$B$5:$B$1733,A298,JE_Lines!$F$5:$F$1733,"Revenue")</f>
        <v>0</v>
      </c>
      <c r="M298" s="9" t="n">
        <f aca="false">COUNTIFS(JE_Lines!$B$5:$B$1733,A298,JE_Lines!$F$5:$F$1733,"Suspense")</f>
        <v>0</v>
      </c>
      <c r="N298" s="9" t="n">
        <f aca="false">IF(ABS(E298)&gt;Parameters!$B$23,1,0)</f>
        <v>0</v>
      </c>
      <c r="O298" s="9" t="n">
        <f aca="false">IF(WEEKDAY(F298,2)&gt;5,1,0)</f>
        <v>0</v>
      </c>
      <c r="P298" s="9" t="n">
        <f aca="false">IF(K298&gt;Parameters!$B$17,1,0)</f>
        <v>0</v>
      </c>
      <c r="Q298" s="9" t="n">
        <f aca="false">IF(AND(F298&lt;=Parameters!$B$6,F298&gt;Parameters!$B$6-Parameters!$B$18),1,0)</f>
        <v>0</v>
      </c>
      <c r="R298" s="9" t="n">
        <f aca="false">IF(COUNTIF(Parameters!$A$51:$A$58,H298)=0,1,0)</f>
        <v>0</v>
      </c>
      <c r="S298" s="9" t="n">
        <f aca="false">IF(AND(I298="Manual",L298&gt;0),1,0)</f>
        <v>0</v>
      </c>
      <c r="T298" s="9" t="n">
        <f aca="false">IF(AND(C298&gt;=Parameters!$B$22,ROUND(MOD(ROUND(C298,2),Parameters!$B$21),2)=0),1,0)</f>
        <v>0</v>
      </c>
      <c r="U298" s="9" t="n">
        <f aca="false">IF(LEN(TRIM(J298))=0,1,0)</f>
        <v>0</v>
      </c>
      <c r="V298" s="9" t="n">
        <f aca="false">IF(AND(I298="Manual",C298&lt;Parameters!$B$19,C298&gt;=Parameters!$B$19*(1-Parameters!$B$20)),1,0)</f>
        <v>0</v>
      </c>
      <c r="W298" s="9" t="n">
        <f aca="false">IF(AND(I298="Manual",M298&gt;0),1,0)</f>
        <v>0</v>
      </c>
      <c r="X298" s="9" t="n">
        <f aca="false">IF(A298-A297&gt;1,1,0)</f>
        <v>0</v>
      </c>
      <c r="Y298" s="9" t="n">
        <f aca="false">N298*Parameters!$B$38+O298*Parameters!$B$39+P298*Parameters!$B$40+Q298*Parameters!$B$41+R298*Parameters!$B$42+S298*Parameters!$B$43+T298*Parameters!$B$44+U298*Parameters!$B$45+V298*Parameters!$B$46+W298*Parameters!$B$47+X298*Parameters!$B$48</f>
        <v>0</v>
      </c>
      <c r="Z298" s="0" t="str">
        <f aca="false">IF(Y298&gt;=Parameters!$B$25,"High","")</f>
        <v/>
      </c>
    </row>
    <row r="299" customFormat="false" ht="15" hidden="false" customHeight="false" outlineLevel="0" collapsed="false">
      <c r="A299" s="16" t="n">
        <v>1301</v>
      </c>
      <c r="B299" s="9" t="n">
        <f aca="false">COUNTIF(JE_Lines!$B$5:$B$1733,A299)</f>
        <v>2</v>
      </c>
      <c r="C299" s="17" t="n">
        <f aca="false">SUMIFS(JE_Lines!$G$5:$G$1733,JE_Lines!$B$5:$B$1733,A299)</f>
        <v>215.87</v>
      </c>
      <c r="D299" s="17" t="n">
        <f aca="false">SUMIFS(JE_Lines!$H$5:$H$1733,JE_Lines!$B$5:$B$1733,A299)</f>
        <v>215.87</v>
      </c>
      <c r="E299" s="17" t="n">
        <f aca="false">C299-D299</f>
        <v>0</v>
      </c>
      <c r="F299" s="18" t="n">
        <f aca="false">INDEX(JE_Lines!$C$5:$C$1733,MATCH(A299,JE_Lines!$B$5:$B$1733,0))</f>
        <v>45792</v>
      </c>
      <c r="G299" s="18" t="n">
        <f aca="false">INDEX(JE_Lines!$D$5:$D$1733,MATCH(A299,JE_Lines!$B$5:$B$1733,0))</f>
        <v>45790</v>
      </c>
      <c r="H299" s="0" t="str">
        <f aca="false">INDEX(JE_Lines!$I$5:$I$1733,MATCH(A299,JE_Lines!$B$5:$B$1733,0))</f>
        <v>SYS_AR</v>
      </c>
      <c r="I299" s="0" t="str">
        <f aca="false">INDEX(JE_Lines!$J$5:$J$1733,MATCH(A299,JE_Lines!$B$5:$B$1733,0))</f>
        <v>System</v>
      </c>
      <c r="J299" s="0" t="str">
        <f aca="false">IF(LEN(INDEX(JE_Lines!$K$5:$K$1733,MATCH(A299,JE_Lines!$B$5:$B$1733,0)))=0,"",INDEX(JE_Lines!$K$5:$K$1733,MATCH(A299,JE_Lines!$B$5:$B$1733,0)))</f>
        <v>Sales invoice batch</v>
      </c>
      <c r="K299" s="9" t="n">
        <f aca="false">F299-G299</f>
        <v>2</v>
      </c>
      <c r="L299" s="9" t="n">
        <f aca="false">COUNTIFS(JE_Lines!$B$5:$B$1733,A299,JE_Lines!$F$5:$F$1733,"Revenue")</f>
        <v>1</v>
      </c>
      <c r="M299" s="9" t="n">
        <f aca="false">COUNTIFS(JE_Lines!$B$5:$B$1733,A299,JE_Lines!$F$5:$F$1733,"Suspense")</f>
        <v>0</v>
      </c>
      <c r="N299" s="9" t="n">
        <f aca="false">IF(ABS(E299)&gt;Parameters!$B$23,1,0)</f>
        <v>0</v>
      </c>
      <c r="O299" s="9" t="n">
        <f aca="false">IF(WEEKDAY(F299,2)&gt;5,1,0)</f>
        <v>0</v>
      </c>
      <c r="P299" s="9" t="n">
        <f aca="false">IF(K299&gt;Parameters!$B$17,1,0)</f>
        <v>0</v>
      </c>
      <c r="Q299" s="9" t="n">
        <f aca="false">IF(AND(F299&lt;=Parameters!$B$6,F299&gt;Parameters!$B$6-Parameters!$B$18),1,0)</f>
        <v>0</v>
      </c>
      <c r="R299" s="9" t="n">
        <f aca="false">IF(COUNTIF(Parameters!$A$51:$A$58,H299)=0,1,0)</f>
        <v>0</v>
      </c>
      <c r="S299" s="9" t="n">
        <f aca="false">IF(AND(I299="Manual",L299&gt;0),1,0)</f>
        <v>0</v>
      </c>
      <c r="T299" s="9" t="n">
        <f aca="false">IF(AND(C299&gt;=Parameters!$B$22,ROUND(MOD(ROUND(C299,2),Parameters!$B$21),2)=0),1,0)</f>
        <v>0</v>
      </c>
      <c r="U299" s="9" t="n">
        <f aca="false">IF(LEN(TRIM(J299))=0,1,0)</f>
        <v>0</v>
      </c>
      <c r="V299" s="9" t="n">
        <f aca="false">IF(AND(I299="Manual",C299&lt;Parameters!$B$19,C299&gt;=Parameters!$B$19*(1-Parameters!$B$20)),1,0)</f>
        <v>0</v>
      </c>
      <c r="W299" s="9" t="n">
        <f aca="false">IF(AND(I299="Manual",M299&gt;0),1,0)</f>
        <v>0</v>
      </c>
      <c r="X299" s="9" t="n">
        <f aca="false">IF(A299-A298&gt;1,1,0)</f>
        <v>0</v>
      </c>
      <c r="Y299" s="9" t="n">
        <f aca="false">N299*Parameters!$B$38+O299*Parameters!$B$39+P299*Parameters!$B$40+Q299*Parameters!$B$41+R299*Parameters!$B$42+S299*Parameters!$B$43+T299*Parameters!$B$44+U299*Parameters!$B$45+V299*Parameters!$B$46+W299*Parameters!$B$47+X299*Parameters!$B$48</f>
        <v>0</v>
      </c>
      <c r="Z299" s="0" t="str">
        <f aca="false">IF(Y299&gt;=Parameters!$B$25,"High","")</f>
        <v/>
      </c>
    </row>
    <row r="300" customFormat="false" ht="15" hidden="false" customHeight="false" outlineLevel="0" collapsed="false">
      <c r="A300" s="16" t="n">
        <v>1302</v>
      </c>
      <c r="B300" s="9" t="n">
        <f aca="false">COUNTIF(JE_Lines!$B$5:$B$1733,A300)</f>
        <v>2</v>
      </c>
      <c r="C300" s="17" t="n">
        <f aca="false">SUMIFS(JE_Lines!$G$5:$G$1733,JE_Lines!$B$5:$B$1733,A300)</f>
        <v>491.32</v>
      </c>
      <c r="D300" s="17" t="n">
        <f aca="false">SUMIFS(JE_Lines!$H$5:$H$1733,JE_Lines!$B$5:$B$1733,A300)</f>
        <v>491.32</v>
      </c>
      <c r="E300" s="17" t="n">
        <f aca="false">C300-D300</f>
        <v>0</v>
      </c>
      <c r="F300" s="18" t="n">
        <f aca="false">INDEX(JE_Lines!$C$5:$C$1733,MATCH(A300,JE_Lines!$B$5:$B$1733,0))</f>
        <v>45793</v>
      </c>
      <c r="G300" s="18" t="n">
        <f aca="false">INDEX(JE_Lines!$D$5:$D$1733,MATCH(A300,JE_Lines!$B$5:$B$1733,0))</f>
        <v>45790</v>
      </c>
      <c r="H300" s="0" t="str">
        <f aca="false">INDEX(JE_Lines!$I$5:$I$1733,MATCH(A300,JE_Lines!$B$5:$B$1733,0))</f>
        <v>SYS_AR</v>
      </c>
      <c r="I300" s="0" t="str">
        <f aca="false">INDEX(JE_Lines!$J$5:$J$1733,MATCH(A300,JE_Lines!$B$5:$B$1733,0))</f>
        <v>System</v>
      </c>
      <c r="J300" s="0" t="str">
        <f aca="false">IF(LEN(INDEX(JE_Lines!$K$5:$K$1733,MATCH(A300,JE_Lines!$B$5:$B$1733,0)))=0,"",INDEX(JE_Lines!$K$5:$K$1733,MATCH(A300,JE_Lines!$B$5:$B$1733,0)))</f>
        <v>Customer receipts</v>
      </c>
      <c r="K300" s="9" t="n">
        <f aca="false">F300-G300</f>
        <v>3</v>
      </c>
      <c r="L300" s="9" t="n">
        <f aca="false">COUNTIFS(JE_Lines!$B$5:$B$1733,A300,JE_Lines!$F$5:$F$1733,"Revenue")</f>
        <v>0</v>
      </c>
      <c r="M300" s="9" t="n">
        <f aca="false">COUNTIFS(JE_Lines!$B$5:$B$1733,A300,JE_Lines!$F$5:$F$1733,"Suspense")</f>
        <v>0</v>
      </c>
      <c r="N300" s="9" t="n">
        <f aca="false">IF(ABS(E300)&gt;Parameters!$B$23,1,0)</f>
        <v>0</v>
      </c>
      <c r="O300" s="9" t="n">
        <f aca="false">IF(WEEKDAY(F300,2)&gt;5,1,0)</f>
        <v>0</v>
      </c>
      <c r="P300" s="9" t="n">
        <f aca="false">IF(K300&gt;Parameters!$B$17,1,0)</f>
        <v>0</v>
      </c>
      <c r="Q300" s="9" t="n">
        <f aca="false">IF(AND(F300&lt;=Parameters!$B$6,F300&gt;Parameters!$B$6-Parameters!$B$18),1,0)</f>
        <v>0</v>
      </c>
      <c r="R300" s="9" t="n">
        <f aca="false">IF(COUNTIF(Parameters!$A$51:$A$58,H300)=0,1,0)</f>
        <v>0</v>
      </c>
      <c r="S300" s="9" t="n">
        <f aca="false">IF(AND(I300="Manual",L300&gt;0),1,0)</f>
        <v>0</v>
      </c>
      <c r="T300" s="9" t="n">
        <f aca="false">IF(AND(C300&gt;=Parameters!$B$22,ROUND(MOD(ROUND(C300,2),Parameters!$B$21),2)=0),1,0)</f>
        <v>0</v>
      </c>
      <c r="U300" s="9" t="n">
        <f aca="false">IF(LEN(TRIM(J300))=0,1,0)</f>
        <v>0</v>
      </c>
      <c r="V300" s="9" t="n">
        <f aca="false">IF(AND(I300="Manual",C300&lt;Parameters!$B$19,C300&gt;=Parameters!$B$19*(1-Parameters!$B$20)),1,0)</f>
        <v>0</v>
      </c>
      <c r="W300" s="9" t="n">
        <f aca="false">IF(AND(I300="Manual",M300&gt;0),1,0)</f>
        <v>0</v>
      </c>
      <c r="X300" s="9" t="n">
        <f aca="false">IF(A300-A299&gt;1,1,0)</f>
        <v>0</v>
      </c>
      <c r="Y300" s="9" t="n">
        <f aca="false">N300*Parameters!$B$38+O300*Parameters!$B$39+P300*Parameters!$B$40+Q300*Parameters!$B$41+R300*Parameters!$B$42+S300*Parameters!$B$43+T300*Parameters!$B$44+U300*Parameters!$B$45+V300*Parameters!$B$46+W300*Parameters!$B$47+X300*Parameters!$B$48</f>
        <v>0</v>
      </c>
      <c r="Z300" s="0" t="str">
        <f aca="false">IF(Y300&gt;=Parameters!$B$25,"High","")</f>
        <v/>
      </c>
    </row>
    <row r="301" customFormat="false" ht="15" hidden="false" customHeight="false" outlineLevel="0" collapsed="false">
      <c r="A301" s="16" t="n">
        <v>1303</v>
      </c>
      <c r="B301" s="9" t="n">
        <f aca="false">COUNTIF(JE_Lines!$B$5:$B$1733,A301)</f>
        <v>2</v>
      </c>
      <c r="C301" s="17" t="n">
        <f aca="false">SUMIFS(JE_Lines!$G$5:$G$1733,JE_Lines!$B$5:$B$1733,A301)</f>
        <v>16278.04</v>
      </c>
      <c r="D301" s="17" t="n">
        <f aca="false">SUMIFS(JE_Lines!$H$5:$H$1733,JE_Lines!$B$5:$B$1733,A301)</f>
        <v>16278.04</v>
      </c>
      <c r="E301" s="17" t="n">
        <f aca="false">C301-D301</f>
        <v>0</v>
      </c>
      <c r="F301" s="18" t="n">
        <f aca="false">INDEX(JE_Lines!$C$5:$C$1733,MATCH(A301,JE_Lines!$B$5:$B$1733,0))</f>
        <v>45793</v>
      </c>
      <c r="G301" s="18" t="n">
        <f aca="false">INDEX(JE_Lines!$D$5:$D$1733,MATCH(A301,JE_Lines!$B$5:$B$1733,0))</f>
        <v>45792</v>
      </c>
      <c r="H301" s="0" t="str">
        <f aca="false">INDEX(JE_Lines!$I$5:$I$1733,MATCH(A301,JE_Lines!$B$5:$B$1733,0))</f>
        <v>SYS_AR</v>
      </c>
      <c r="I301" s="0" t="str">
        <f aca="false">INDEX(JE_Lines!$J$5:$J$1733,MATCH(A301,JE_Lines!$B$5:$B$1733,0))</f>
        <v>System</v>
      </c>
      <c r="J301" s="0" t="str">
        <f aca="false">IF(LEN(INDEX(JE_Lines!$K$5:$K$1733,MATCH(A301,JE_Lines!$B$5:$B$1733,0)))=0,"",INDEX(JE_Lines!$K$5:$K$1733,MATCH(A301,JE_Lines!$B$5:$B$1733,0)))</f>
        <v>Cost of sales posting</v>
      </c>
      <c r="K301" s="9" t="n">
        <f aca="false">F301-G301</f>
        <v>1</v>
      </c>
      <c r="L301" s="9" t="n">
        <f aca="false">COUNTIFS(JE_Lines!$B$5:$B$1733,A301,JE_Lines!$F$5:$F$1733,"Revenue")</f>
        <v>0</v>
      </c>
      <c r="M301" s="9" t="n">
        <f aca="false">COUNTIFS(JE_Lines!$B$5:$B$1733,A301,JE_Lines!$F$5:$F$1733,"Suspense")</f>
        <v>0</v>
      </c>
      <c r="N301" s="9" t="n">
        <f aca="false">IF(ABS(E301)&gt;Parameters!$B$23,1,0)</f>
        <v>0</v>
      </c>
      <c r="O301" s="9" t="n">
        <f aca="false">IF(WEEKDAY(F301,2)&gt;5,1,0)</f>
        <v>0</v>
      </c>
      <c r="P301" s="9" t="n">
        <f aca="false">IF(K301&gt;Parameters!$B$17,1,0)</f>
        <v>0</v>
      </c>
      <c r="Q301" s="9" t="n">
        <f aca="false">IF(AND(F301&lt;=Parameters!$B$6,F301&gt;Parameters!$B$6-Parameters!$B$18),1,0)</f>
        <v>0</v>
      </c>
      <c r="R301" s="9" t="n">
        <f aca="false">IF(COUNTIF(Parameters!$A$51:$A$58,H301)=0,1,0)</f>
        <v>0</v>
      </c>
      <c r="S301" s="9" t="n">
        <f aca="false">IF(AND(I301="Manual",L301&gt;0),1,0)</f>
        <v>0</v>
      </c>
      <c r="T301" s="9" t="n">
        <f aca="false">IF(AND(C301&gt;=Parameters!$B$22,ROUND(MOD(ROUND(C301,2),Parameters!$B$21),2)=0),1,0)</f>
        <v>0</v>
      </c>
      <c r="U301" s="9" t="n">
        <f aca="false">IF(LEN(TRIM(J301))=0,1,0)</f>
        <v>0</v>
      </c>
      <c r="V301" s="9" t="n">
        <f aca="false">IF(AND(I301="Manual",C301&lt;Parameters!$B$19,C301&gt;=Parameters!$B$19*(1-Parameters!$B$20)),1,0)</f>
        <v>0</v>
      </c>
      <c r="W301" s="9" t="n">
        <f aca="false">IF(AND(I301="Manual",M301&gt;0),1,0)</f>
        <v>0</v>
      </c>
      <c r="X301" s="9" t="n">
        <f aca="false">IF(A301-A300&gt;1,1,0)</f>
        <v>0</v>
      </c>
      <c r="Y301" s="9" t="n">
        <f aca="false">N301*Parameters!$B$38+O301*Parameters!$B$39+P301*Parameters!$B$40+Q301*Parameters!$B$41+R301*Parameters!$B$42+S301*Parameters!$B$43+T301*Parameters!$B$44+U301*Parameters!$B$45+V301*Parameters!$B$46+W301*Parameters!$B$47+X301*Parameters!$B$48</f>
        <v>0</v>
      </c>
      <c r="Z301" s="0" t="str">
        <f aca="false">IF(Y301&gt;=Parameters!$B$25,"High","")</f>
        <v/>
      </c>
    </row>
    <row r="302" customFormat="false" ht="15" hidden="false" customHeight="false" outlineLevel="0" collapsed="false">
      <c r="A302" s="16" t="n">
        <v>1304</v>
      </c>
      <c r="B302" s="9" t="n">
        <f aca="false">COUNTIF(JE_Lines!$B$5:$B$1733,A302)</f>
        <v>2</v>
      </c>
      <c r="C302" s="17" t="n">
        <f aca="false">SUMIFS(JE_Lines!$G$5:$G$1733,JE_Lines!$B$5:$B$1733,A302)</f>
        <v>1873.04</v>
      </c>
      <c r="D302" s="17" t="n">
        <f aca="false">SUMIFS(JE_Lines!$H$5:$H$1733,JE_Lines!$B$5:$B$1733,A302)</f>
        <v>1873.04</v>
      </c>
      <c r="E302" s="17" t="n">
        <f aca="false">C302-D302</f>
        <v>0</v>
      </c>
      <c r="F302" s="18" t="n">
        <f aca="false">INDEX(JE_Lines!$C$5:$C$1733,MATCH(A302,JE_Lines!$B$5:$B$1733,0))</f>
        <v>45793</v>
      </c>
      <c r="G302" s="18" t="n">
        <f aca="false">INDEX(JE_Lines!$D$5:$D$1733,MATCH(A302,JE_Lines!$B$5:$B$1733,0))</f>
        <v>45790</v>
      </c>
      <c r="H302" s="0" t="str">
        <f aca="false">INDEX(JE_Lines!$I$5:$I$1733,MATCH(A302,JE_Lines!$B$5:$B$1733,0))</f>
        <v>SYS_AR</v>
      </c>
      <c r="I302" s="0" t="str">
        <f aca="false">INDEX(JE_Lines!$J$5:$J$1733,MATCH(A302,JE_Lines!$B$5:$B$1733,0))</f>
        <v>System</v>
      </c>
      <c r="J302" s="0" t="str">
        <f aca="false">IF(LEN(INDEX(JE_Lines!$K$5:$K$1733,MATCH(A302,JE_Lines!$B$5:$B$1733,0)))=0,"",INDEX(JE_Lines!$K$5:$K$1733,MATCH(A302,JE_Lines!$B$5:$B$1733,0)))</f>
        <v>Customer receipts</v>
      </c>
      <c r="K302" s="9" t="n">
        <f aca="false">F302-G302</f>
        <v>3</v>
      </c>
      <c r="L302" s="9" t="n">
        <f aca="false">COUNTIFS(JE_Lines!$B$5:$B$1733,A302,JE_Lines!$F$5:$F$1733,"Revenue")</f>
        <v>0</v>
      </c>
      <c r="M302" s="9" t="n">
        <f aca="false">COUNTIFS(JE_Lines!$B$5:$B$1733,A302,JE_Lines!$F$5:$F$1733,"Suspense")</f>
        <v>0</v>
      </c>
      <c r="N302" s="9" t="n">
        <f aca="false">IF(ABS(E302)&gt;Parameters!$B$23,1,0)</f>
        <v>0</v>
      </c>
      <c r="O302" s="9" t="n">
        <f aca="false">IF(WEEKDAY(F302,2)&gt;5,1,0)</f>
        <v>0</v>
      </c>
      <c r="P302" s="9" t="n">
        <f aca="false">IF(K302&gt;Parameters!$B$17,1,0)</f>
        <v>0</v>
      </c>
      <c r="Q302" s="9" t="n">
        <f aca="false">IF(AND(F302&lt;=Parameters!$B$6,F302&gt;Parameters!$B$6-Parameters!$B$18),1,0)</f>
        <v>0</v>
      </c>
      <c r="R302" s="9" t="n">
        <f aca="false">IF(COUNTIF(Parameters!$A$51:$A$58,H302)=0,1,0)</f>
        <v>0</v>
      </c>
      <c r="S302" s="9" t="n">
        <f aca="false">IF(AND(I302="Manual",L302&gt;0),1,0)</f>
        <v>0</v>
      </c>
      <c r="T302" s="9" t="n">
        <f aca="false">IF(AND(C302&gt;=Parameters!$B$22,ROUND(MOD(ROUND(C302,2),Parameters!$B$21),2)=0),1,0)</f>
        <v>0</v>
      </c>
      <c r="U302" s="9" t="n">
        <f aca="false">IF(LEN(TRIM(J302))=0,1,0)</f>
        <v>0</v>
      </c>
      <c r="V302" s="9" t="n">
        <f aca="false">IF(AND(I302="Manual",C302&lt;Parameters!$B$19,C302&gt;=Parameters!$B$19*(1-Parameters!$B$20)),1,0)</f>
        <v>0</v>
      </c>
      <c r="W302" s="9" t="n">
        <f aca="false">IF(AND(I302="Manual",M302&gt;0),1,0)</f>
        <v>0</v>
      </c>
      <c r="X302" s="9" t="n">
        <f aca="false">IF(A302-A301&gt;1,1,0)</f>
        <v>0</v>
      </c>
      <c r="Y302" s="9" t="n">
        <f aca="false">N302*Parameters!$B$38+O302*Parameters!$B$39+P302*Parameters!$B$40+Q302*Parameters!$B$41+R302*Parameters!$B$42+S302*Parameters!$B$43+T302*Parameters!$B$44+U302*Parameters!$B$45+V302*Parameters!$B$46+W302*Parameters!$B$47+X302*Parameters!$B$48</f>
        <v>0</v>
      </c>
      <c r="Z302" s="0" t="str">
        <f aca="false">IF(Y302&gt;=Parameters!$B$25,"High","")</f>
        <v/>
      </c>
    </row>
    <row r="303" customFormat="false" ht="15" hidden="false" customHeight="false" outlineLevel="0" collapsed="false">
      <c r="A303" s="16" t="n">
        <v>1305</v>
      </c>
      <c r="B303" s="9" t="n">
        <f aca="false">COUNTIF(JE_Lines!$B$5:$B$1733,A303)</f>
        <v>2</v>
      </c>
      <c r="C303" s="17" t="n">
        <f aca="false">SUMIFS(JE_Lines!$G$5:$G$1733,JE_Lines!$B$5:$B$1733,A303)</f>
        <v>4137.11</v>
      </c>
      <c r="D303" s="17" t="n">
        <f aca="false">SUMIFS(JE_Lines!$H$5:$H$1733,JE_Lines!$B$5:$B$1733,A303)</f>
        <v>4137.11</v>
      </c>
      <c r="E303" s="17" t="n">
        <f aca="false">C303-D303</f>
        <v>0</v>
      </c>
      <c r="F303" s="18" t="n">
        <f aca="false">INDEX(JE_Lines!$C$5:$C$1733,MATCH(A303,JE_Lines!$B$5:$B$1733,0))</f>
        <v>45793</v>
      </c>
      <c r="G303" s="18" t="n">
        <f aca="false">INDEX(JE_Lines!$D$5:$D$1733,MATCH(A303,JE_Lines!$B$5:$B$1733,0))</f>
        <v>45790</v>
      </c>
      <c r="H303" s="0" t="str">
        <f aca="false">INDEX(JE_Lines!$I$5:$I$1733,MATCH(A303,JE_Lines!$B$5:$B$1733,0))</f>
        <v>SYS_AR</v>
      </c>
      <c r="I303" s="0" t="str">
        <f aca="false">INDEX(JE_Lines!$J$5:$J$1733,MATCH(A303,JE_Lines!$B$5:$B$1733,0))</f>
        <v>System</v>
      </c>
      <c r="J303" s="0" t="str">
        <f aca="false">IF(LEN(INDEX(JE_Lines!$K$5:$K$1733,MATCH(A303,JE_Lines!$B$5:$B$1733,0)))=0,"",INDEX(JE_Lines!$K$5:$K$1733,MATCH(A303,JE_Lines!$B$5:$B$1733,0)))</f>
        <v>Customer receipts</v>
      </c>
      <c r="K303" s="9" t="n">
        <f aca="false">F303-G303</f>
        <v>3</v>
      </c>
      <c r="L303" s="9" t="n">
        <f aca="false">COUNTIFS(JE_Lines!$B$5:$B$1733,A303,JE_Lines!$F$5:$F$1733,"Revenue")</f>
        <v>0</v>
      </c>
      <c r="M303" s="9" t="n">
        <f aca="false">COUNTIFS(JE_Lines!$B$5:$B$1733,A303,JE_Lines!$F$5:$F$1733,"Suspense")</f>
        <v>0</v>
      </c>
      <c r="N303" s="9" t="n">
        <f aca="false">IF(ABS(E303)&gt;Parameters!$B$23,1,0)</f>
        <v>0</v>
      </c>
      <c r="O303" s="9" t="n">
        <f aca="false">IF(WEEKDAY(F303,2)&gt;5,1,0)</f>
        <v>0</v>
      </c>
      <c r="P303" s="9" t="n">
        <f aca="false">IF(K303&gt;Parameters!$B$17,1,0)</f>
        <v>0</v>
      </c>
      <c r="Q303" s="9" t="n">
        <f aca="false">IF(AND(F303&lt;=Parameters!$B$6,F303&gt;Parameters!$B$6-Parameters!$B$18),1,0)</f>
        <v>0</v>
      </c>
      <c r="R303" s="9" t="n">
        <f aca="false">IF(COUNTIF(Parameters!$A$51:$A$58,H303)=0,1,0)</f>
        <v>0</v>
      </c>
      <c r="S303" s="9" t="n">
        <f aca="false">IF(AND(I303="Manual",L303&gt;0),1,0)</f>
        <v>0</v>
      </c>
      <c r="T303" s="9" t="n">
        <f aca="false">IF(AND(C303&gt;=Parameters!$B$22,ROUND(MOD(ROUND(C303,2),Parameters!$B$21),2)=0),1,0)</f>
        <v>0</v>
      </c>
      <c r="U303" s="9" t="n">
        <f aca="false">IF(LEN(TRIM(J303))=0,1,0)</f>
        <v>0</v>
      </c>
      <c r="V303" s="9" t="n">
        <f aca="false">IF(AND(I303="Manual",C303&lt;Parameters!$B$19,C303&gt;=Parameters!$B$19*(1-Parameters!$B$20)),1,0)</f>
        <v>0</v>
      </c>
      <c r="W303" s="9" t="n">
        <f aca="false">IF(AND(I303="Manual",M303&gt;0),1,0)</f>
        <v>0</v>
      </c>
      <c r="X303" s="9" t="n">
        <f aca="false">IF(A303-A302&gt;1,1,0)</f>
        <v>0</v>
      </c>
      <c r="Y303" s="9" t="n">
        <f aca="false">N303*Parameters!$B$38+O303*Parameters!$B$39+P303*Parameters!$B$40+Q303*Parameters!$B$41+R303*Parameters!$B$42+S303*Parameters!$B$43+T303*Parameters!$B$44+U303*Parameters!$B$45+V303*Parameters!$B$46+W303*Parameters!$B$47+X303*Parameters!$B$48</f>
        <v>0</v>
      </c>
      <c r="Z303" s="0" t="str">
        <f aca="false">IF(Y303&gt;=Parameters!$B$25,"High","")</f>
        <v/>
      </c>
    </row>
    <row r="304" customFormat="false" ht="15" hidden="false" customHeight="false" outlineLevel="0" collapsed="false">
      <c r="A304" s="16" t="n">
        <v>1306</v>
      </c>
      <c r="B304" s="9" t="n">
        <f aca="false">COUNTIF(JE_Lines!$B$5:$B$1733,A304)</f>
        <v>2</v>
      </c>
      <c r="C304" s="17" t="n">
        <f aca="false">SUMIFS(JE_Lines!$G$5:$G$1733,JE_Lines!$B$5:$B$1733,A304)</f>
        <v>29449.5</v>
      </c>
      <c r="D304" s="17" t="n">
        <f aca="false">SUMIFS(JE_Lines!$H$5:$H$1733,JE_Lines!$B$5:$B$1733,A304)</f>
        <v>29449.5</v>
      </c>
      <c r="E304" s="17" t="n">
        <f aca="false">C304-D304</f>
        <v>0</v>
      </c>
      <c r="F304" s="18" t="n">
        <f aca="false">INDEX(JE_Lines!$C$5:$C$1733,MATCH(A304,JE_Lines!$B$5:$B$1733,0))</f>
        <v>45796</v>
      </c>
      <c r="G304" s="18" t="n">
        <f aca="false">INDEX(JE_Lines!$D$5:$D$1733,MATCH(A304,JE_Lines!$B$5:$B$1733,0))</f>
        <v>45754</v>
      </c>
      <c r="H304" s="0" t="str">
        <f aca="false">INDEX(JE_Lines!$I$5:$I$1733,MATCH(A304,JE_Lines!$B$5:$B$1733,0))</f>
        <v>FIN04</v>
      </c>
      <c r="I304" s="0" t="str">
        <f aca="false">INDEX(JE_Lines!$J$5:$J$1733,MATCH(A304,JE_Lines!$B$5:$B$1733,0))</f>
        <v>Manual</v>
      </c>
      <c r="J304" s="0" t="str">
        <f aca="false">IF(LEN(INDEX(JE_Lines!$K$5:$K$1733,MATCH(A304,JE_Lines!$B$5:$B$1733,0)))=0,"",INDEX(JE_Lines!$K$5:$K$1733,MATCH(A304,JE_Lines!$B$5:$B$1733,0)))</f>
        <v>Prior period correction 6</v>
      </c>
      <c r="K304" s="9" t="n">
        <f aca="false">F304-G304</f>
        <v>42</v>
      </c>
      <c r="L304" s="9" t="n">
        <f aca="false">COUNTIFS(JE_Lines!$B$5:$B$1733,A304,JE_Lines!$F$5:$F$1733,"Revenue")</f>
        <v>0</v>
      </c>
      <c r="M304" s="9" t="n">
        <f aca="false">COUNTIFS(JE_Lines!$B$5:$B$1733,A304,JE_Lines!$F$5:$F$1733,"Suspense")</f>
        <v>0</v>
      </c>
      <c r="N304" s="9" t="n">
        <f aca="false">IF(ABS(E304)&gt;Parameters!$B$23,1,0)</f>
        <v>0</v>
      </c>
      <c r="O304" s="9" t="n">
        <f aca="false">IF(WEEKDAY(F304,2)&gt;5,1,0)</f>
        <v>0</v>
      </c>
      <c r="P304" s="9" t="n">
        <f aca="false">IF(K304&gt;Parameters!$B$17,1,0)</f>
        <v>1</v>
      </c>
      <c r="Q304" s="9" t="n">
        <f aca="false">IF(AND(F304&lt;=Parameters!$B$6,F304&gt;Parameters!$B$6-Parameters!$B$18),1,0)</f>
        <v>0</v>
      </c>
      <c r="R304" s="9" t="n">
        <f aca="false">IF(COUNTIF(Parameters!$A$51:$A$58,H304)=0,1,0)</f>
        <v>0</v>
      </c>
      <c r="S304" s="9" t="n">
        <f aca="false">IF(AND(I304="Manual",L304&gt;0),1,0)</f>
        <v>0</v>
      </c>
      <c r="T304" s="9" t="n">
        <f aca="false">IF(AND(C304&gt;=Parameters!$B$22,ROUND(MOD(ROUND(C304,2),Parameters!$B$21),2)=0),1,0)</f>
        <v>0</v>
      </c>
      <c r="U304" s="9" t="n">
        <f aca="false">IF(LEN(TRIM(J304))=0,1,0)</f>
        <v>0</v>
      </c>
      <c r="V304" s="9" t="n">
        <f aca="false">IF(AND(I304="Manual",C304&lt;Parameters!$B$19,C304&gt;=Parameters!$B$19*(1-Parameters!$B$20)),1,0)</f>
        <v>0</v>
      </c>
      <c r="W304" s="9" t="n">
        <f aca="false">IF(AND(I304="Manual",M304&gt;0),1,0)</f>
        <v>0</v>
      </c>
      <c r="X304" s="9" t="n">
        <f aca="false">IF(A304-A303&gt;1,1,0)</f>
        <v>0</v>
      </c>
      <c r="Y304" s="9" t="n">
        <f aca="false">N304*Parameters!$B$38+O304*Parameters!$B$39+P304*Parameters!$B$40+Q304*Parameters!$B$41+R304*Parameters!$B$42+S304*Parameters!$B$43+T304*Parameters!$B$44+U304*Parameters!$B$45+V304*Parameters!$B$46+W304*Parameters!$B$47+X304*Parameters!$B$48</f>
        <v>2</v>
      </c>
      <c r="Z304" s="0" t="str">
        <f aca="false">IF(Y304&gt;=Parameters!$B$25,"High","")</f>
        <v/>
      </c>
    </row>
    <row r="305" customFormat="false" ht="15" hidden="false" customHeight="false" outlineLevel="0" collapsed="false">
      <c r="A305" s="16" t="n">
        <v>1307</v>
      </c>
      <c r="B305" s="9" t="n">
        <f aca="false">COUNTIF(JE_Lines!$B$5:$B$1733,A305)</f>
        <v>2</v>
      </c>
      <c r="C305" s="17" t="n">
        <f aca="false">SUMIFS(JE_Lines!$G$5:$G$1733,JE_Lines!$B$5:$B$1733,A305)</f>
        <v>214</v>
      </c>
      <c r="D305" s="17" t="n">
        <f aca="false">SUMIFS(JE_Lines!$H$5:$H$1733,JE_Lines!$B$5:$B$1733,A305)</f>
        <v>214</v>
      </c>
      <c r="E305" s="17" t="n">
        <f aca="false">C305-D305</f>
        <v>0</v>
      </c>
      <c r="F305" s="18" t="n">
        <f aca="false">INDEX(JE_Lines!$C$5:$C$1733,MATCH(A305,JE_Lines!$B$5:$B$1733,0))</f>
        <v>45796</v>
      </c>
      <c r="G305" s="18" t="n">
        <f aca="false">INDEX(JE_Lines!$D$5:$D$1733,MATCH(A305,JE_Lines!$B$5:$B$1733,0))</f>
        <v>45793</v>
      </c>
      <c r="H305" s="0" t="str">
        <f aca="false">INDEX(JE_Lines!$I$5:$I$1733,MATCH(A305,JE_Lines!$B$5:$B$1733,0))</f>
        <v>SYS_AR</v>
      </c>
      <c r="I305" s="0" t="str">
        <f aca="false">INDEX(JE_Lines!$J$5:$J$1733,MATCH(A305,JE_Lines!$B$5:$B$1733,0))</f>
        <v>System</v>
      </c>
      <c r="J305" s="0" t="str">
        <f aca="false">IF(LEN(INDEX(JE_Lines!$K$5:$K$1733,MATCH(A305,JE_Lines!$B$5:$B$1733,0)))=0,"",INDEX(JE_Lines!$K$5:$K$1733,MATCH(A305,JE_Lines!$B$5:$B$1733,0)))</f>
        <v>Customer receipts</v>
      </c>
      <c r="K305" s="9" t="n">
        <f aca="false">F305-G305</f>
        <v>3</v>
      </c>
      <c r="L305" s="9" t="n">
        <f aca="false">COUNTIFS(JE_Lines!$B$5:$B$1733,A305,JE_Lines!$F$5:$F$1733,"Revenue")</f>
        <v>0</v>
      </c>
      <c r="M305" s="9" t="n">
        <f aca="false">COUNTIFS(JE_Lines!$B$5:$B$1733,A305,JE_Lines!$F$5:$F$1733,"Suspense")</f>
        <v>0</v>
      </c>
      <c r="N305" s="9" t="n">
        <f aca="false">IF(ABS(E305)&gt;Parameters!$B$23,1,0)</f>
        <v>0</v>
      </c>
      <c r="O305" s="9" t="n">
        <f aca="false">IF(WEEKDAY(F305,2)&gt;5,1,0)</f>
        <v>0</v>
      </c>
      <c r="P305" s="9" t="n">
        <f aca="false">IF(K305&gt;Parameters!$B$17,1,0)</f>
        <v>0</v>
      </c>
      <c r="Q305" s="9" t="n">
        <f aca="false">IF(AND(F305&lt;=Parameters!$B$6,F305&gt;Parameters!$B$6-Parameters!$B$18),1,0)</f>
        <v>0</v>
      </c>
      <c r="R305" s="9" t="n">
        <f aca="false">IF(COUNTIF(Parameters!$A$51:$A$58,H305)=0,1,0)</f>
        <v>0</v>
      </c>
      <c r="S305" s="9" t="n">
        <f aca="false">IF(AND(I305="Manual",L305&gt;0),1,0)</f>
        <v>0</v>
      </c>
      <c r="T305" s="9" t="n">
        <f aca="false">IF(AND(C305&gt;=Parameters!$B$22,ROUND(MOD(ROUND(C305,2),Parameters!$B$21),2)=0),1,0)</f>
        <v>0</v>
      </c>
      <c r="U305" s="9" t="n">
        <f aca="false">IF(LEN(TRIM(J305))=0,1,0)</f>
        <v>0</v>
      </c>
      <c r="V305" s="9" t="n">
        <f aca="false">IF(AND(I305="Manual",C305&lt;Parameters!$B$19,C305&gt;=Parameters!$B$19*(1-Parameters!$B$20)),1,0)</f>
        <v>0</v>
      </c>
      <c r="W305" s="9" t="n">
        <f aca="false">IF(AND(I305="Manual",M305&gt;0),1,0)</f>
        <v>0</v>
      </c>
      <c r="X305" s="9" t="n">
        <f aca="false">IF(A305-A304&gt;1,1,0)</f>
        <v>0</v>
      </c>
      <c r="Y305" s="9" t="n">
        <f aca="false">N305*Parameters!$B$38+O305*Parameters!$B$39+P305*Parameters!$B$40+Q305*Parameters!$B$41+R305*Parameters!$B$42+S305*Parameters!$B$43+T305*Parameters!$B$44+U305*Parameters!$B$45+V305*Parameters!$B$46+W305*Parameters!$B$47+X305*Parameters!$B$48</f>
        <v>0</v>
      </c>
      <c r="Z305" s="0" t="str">
        <f aca="false">IF(Y305&gt;=Parameters!$B$25,"High","")</f>
        <v/>
      </c>
    </row>
    <row r="306" customFormat="false" ht="15" hidden="false" customHeight="false" outlineLevel="0" collapsed="false">
      <c r="A306" s="16" t="n">
        <v>1308</v>
      </c>
      <c r="B306" s="9" t="n">
        <f aca="false">COUNTIF(JE_Lines!$B$5:$B$1733,A306)</f>
        <v>2</v>
      </c>
      <c r="C306" s="17" t="n">
        <f aca="false">SUMIFS(JE_Lines!$G$5:$G$1733,JE_Lines!$B$5:$B$1733,A306)</f>
        <v>40904.92</v>
      </c>
      <c r="D306" s="17" t="n">
        <f aca="false">SUMIFS(JE_Lines!$H$5:$H$1733,JE_Lines!$B$5:$B$1733,A306)</f>
        <v>40904.92</v>
      </c>
      <c r="E306" s="17" t="n">
        <f aca="false">C306-D306</f>
        <v>0</v>
      </c>
      <c r="F306" s="18" t="n">
        <f aca="false">INDEX(JE_Lines!$C$5:$C$1733,MATCH(A306,JE_Lines!$B$5:$B$1733,0))</f>
        <v>45796</v>
      </c>
      <c r="G306" s="18" t="n">
        <f aca="false">INDEX(JE_Lines!$D$5:$D$1733,MATCH(A306,JE_Lines!$B$5:$B$1733,0))</f>
        <v>45792</v>
      </c>
      <c r="H306" s="0" t="str">
        <f aca="false">INDEX(JE_Lines!$I$5:$I$1733,MATCH(A306,JE_Lines!$B$5:$B$1733,0))</f>
        <v>SYS_AR</v>
      </c>
      <c r="I306" s="0" t="str">
        <f aca="false">INDEX(JE_Lines!$J$5:$J$1733,MATCH(A306,JE_Lines!$B$5:$B$1733,0))</f>
        <v>System</v>
      </c>
      <c r="J306" s="0" t="str">
        <f aca="false">IF(LEN(INDEX(JE_Lines!$K$5:$K$1733,MATCH(A306,JE_Lines!$B$5:$B$1733,0)))=0,"",INDEX(JE_Lines!$K$5:$K$1733,MATCH(A306,JE_Lines!$B$5:$B$1733,0)))</f>
        <v>Sales invoice batch</v>
      </c>
      <c r="K306" s="9" t="n">
        <f aca="false">F306-G306</f>
        <v>4</v>
      </c>
      <c r="L306" s="9" t="n">
        <f aca="false">COUNTIFS(JE_Lines!$B$5:$B$1733,A306,JE_Lines!$F$5:$F$1733,"Revenue")</f>
        <v>1</v>
      </c>
      <c r="M306" s="9" t="n">
        <f aca="false">COUNTIFS(JE_Lines!$B$5:$B$1733,A306,JE_Lines!$F$5:$F$1733,"Suspense")</f>
        <v>0</v>
      </c>
      <c r="N306" s="9" t="n">
        <f aca="false">IF(ABS(E306)&gt;Parameters!$B$23,1,0)</f>
        <v>0</v>
      </c>
      <c r="O306" s="9" t="n">
        <f aca="false">IF(WEEKDAY(F306,2)&gt;5,1,0)</f>
        <v>0</v>
      </c>
      <c r="P306" s="9" t="n">
        <f aca="false">IF(K306&gt;Parameters!$B$17,1,0)</f>
        <v>0</v>
      </c>
      <c r="Q306" s="9" t="n">
        <f aca="false">IF(AND(F306&lt;=Parameters!$B$6,F306&gt;Parameters!$B$6-Parameters!$B$18),1,0)</f>
        <v>0</v>
      </c>
      <c r="R306" s="9" t="n">
        <f aca="false">IF(COUNTIF(Parameters!$A$51:$A$58,H306)=0,1,0)</f>
        <v>0</v>
      </c>
      <c r="S306" s="9" t="n">
        <f aca="false">IF(AND(I306="Manual",L306&gt;0),1,0)</f>
        <v>0</v>
      </c>
      <c r="T306" s="9" t="n">
        <f aca="false">IF(AND(C306&gt;=Parameters!$B$22,ROUND(MOD(ROUND(C306,2),Parameters!$B$21),2)=0),1,0)</f>
        <v>0</v>
      </c>
      <c r="U306" s="9" t="n">
        <f aca="false">IF(LEN(TRIM(J306))=0,1,0)</f>
        <v>0</v>
      </c>
      <c r="V306" s="9" t="n">
        <f aca="false">IF(AND(I306="Manual",C306&lt;Parameters!$B$19,C306&gt;=Parameters!$B$19*(1-Parameters!$B$20)),1,0)</f>
        <v>0</v>
      </c>
      <c r="W306" s="9" t="n">
        <f aca="false">IF(AND(I306="Manual",M306&gt;0),1,0)</f>
        <v>0</v>
      </c>
      <c r="X306" s="9" t="n">
        <f aca="false">IF(A306-A305&gt;1,1,0)</f>
        <v>0</v>
      </c>
      <c r="Y306" s="9" t="n">
        <f aca="false">N306*Parameters!$B$38+O306*Parameters!$B$39+P306*Parameters!$B$40+Q306*Parameters!$B$41+R306*Parameters!$B$42+S306*Parameters!$B$43+T306*Parameters!$B$44+U306*Parameters!$B$45+V306*Parameters!$B$46+W306*Parameters!$B$47+X306*Parameters!$B$48</f>
        <v>0</v>
      </c>
      <c r="Z306" s="0" t="str">
        <f aca="false">IF(Y306&gt;=Parameters!$B$25,"High","")</f>
        <v/>
      </c>
    </row>
    <row r="307" customFormat="false" ht="15" hidden="false" customHeight="false" outlineLevel="0" collapsed="false">
      <c r="A307" s="16" t="n">
        <v>1309</v>
      </c>
      <c r="B307" s="9" t="n">
        <f aca="false">COUNTIF(JE_Lines!$B$5:$B$1733,A307)</f>
        <v>2</v>
      </c>
      <c r="C307" s="17" t="n">
        <f aca="false">SUMIFS(JE_Lines!$G$5:$G$1733,JE_Lines!$B$5:$B$1733,A307)</f>
        <v>29838.31</v>
      </c>
      <c r="D307" s="17" t="n">
        <f aca="false">SUMIFS(JE_Lines!$H$5:$H$1733,JE_Lines!$B$5:$B$1733,A307)</f>
        <v>29838.31</v>
      </c>
      <c r="E307" s="17" t="n">
        <f aca="false">C307-D307</f>
        <v>0</v>
      </c>
      <c r="F307" s="18" t="n">
        <f aca="false">INDEX(JE_Lines!$C$5:$C$1733,MATCH(A307,JE_Lines!$B$5:$B$1733,0))</f>
        <v>45796</v>
      </c>
      <c r="G307" s="18" t="n">
        <f aca="false">INDEX(JE_Lines!$D$5:$D$1733,MATCH(A307,JE_Lines!$B$5:$B$1733,0))</f>
        <v>45796</v>
      </c>
      <c r="H307" s="0" t="str">
        <f aca="false">INDEX(JE_Lines!$I$5:$I$1733,MATCH(A307,JE_Lines!$B$5:$B$1733,0))</f>
        <v>SYS_AR</v>
      </c>
      <c r="I307" s="0" t="str">
        <f aca="false">INDEX(JE_Lines!$J$5:$J$1733,MATCH(A307,JE_Lines!$B$5:$B$1733,0))</f>
        <v>System</v>
      </c>
      <c r="J307" s="0" t="str">
        <f aca="false">IF(LEN(INDEX(JE_Lines!$K$5:$K$1733,MATCH(A307,JE_Lines!$B$5:$B$1733,0)))=0,"",INDEX(JE_Lines!$K$5:$K$1733,MATCH(A307,JE_Lines!$B$5:$B$1733,0)))</f>
        <v>Customer receipts</v>
      </c>
      <c r="K307" s="9" t="n">
        <f aca="false">F307-G307</f>
        <v>0</v>
      </c>
      <c r="L307" s="9" t="n">
        <f aca="false">COUNTIFS(JE_Lines!$B$5:$B$1733,A307,JE_Lines!$F$5:$F$1733,"Revenue")</f>
        <v>0</v>
      </c>
      <c r="M307" s="9" t="n">
        <f aca="false">COUNTIFS(JE_Lines!$B$5:$B$1733,A307,JE_Lines!$F$5:$F$1733,"Suspense")</f>
        <v>0</v>
      </c>
      <c r="N307" s="9" t="n">
        <f aca="false">IF(ABS(E307)&gt;Parameters!$B$23,1,0)</f>
        <v>0</v>
      </c>
      <c r="O307" s="9" t="n">
        <f aca="false">IF(WEEKDAY(F307,2)&gt;5,1,0)</f>
        <v>0</v>
      </c>
      <c r="P307" s="9" t="n">
        <f aca="false">IF(K307&gt;Parameters!$B$17,1,0)</f>
        <v>0</v>
      </c>
      <c r="Q307" s="9" t="n">
        <f aca="false">IF(AND(F307&lt;=Parameters!$B$6,F307&gt;Parameters!$B$6-Parameters!$B$18),1,0)</f>
        <v>0</v>
      </c>
      <c r="R307" s="9" t="n">
        <f aca="false">IF(COUNTIF(Parameters!$A$51:$A$58,H307)=0,1,0)</f>
        <v>0</v>
      </c>
      <c r="S307" s="9" t="n">
        <f aca="false">IF(AND(I307="Manual",L307&gt;0),1,0)</f>
        <v>0</v>
      </c>
      <c r="T307" s="9" t="n">
        <f aca="false">IF(AND(C307&gt;=Parameters!$B$22,ROUND(MOD(ROUND(C307,2),Parameters!$B$21),2)=0),1,0)</f>
        <v>0</v>
      </c>
      <c r="U307" s="9" t="n">
        <f aca="false">IF(LEN(TRIM(J307))=0,1,0)</f>
        <v>0</v>
      </c>
      <c r="V307" s="9" t="n">
        <f aca="false">IF(AND(I307="Manual",C307&lt;Parameters!$B$19,C307&gt;=Parameters!$B$19*(1-Parameters!$B$20)),1,0)</f>
        <v>0</v>
      </c>
      <c r="W307" s="9" t="n">
        <f aca="false">IF(AND(I307="Manual",M307&gt;0),1,0)</f>
        <v>0</v>
      </c>
      <c r="X307" s="9" t="n">
        <f aca="false">IF(A307-A306&gt;1,1,0)</f>
        <v>0</v>
      </c>
      <c r="Y307" s="9" t="n">
        <f aca="false">N307*Parameters!$B$38+O307*Parameters!$B$39+P307*Parameters!$B$40+Q307*Parameters!$B$41+R307*Parameters!$B$42+S307*Parameters!$B$43+T307*Parameters!$B$44+U307*Parameters!$B$45+V307*Parameters!$B$46+W307*Parameters!$B$47+X307*Parameters!$B$48</f>
        <v>0</v>
      </c>
      <c r="Z307" s="0" t="str">
        <f aca="false">IF(Y307&gt;=Parameters!$B$25,"High","")</f>
        <v/>
      </c>
    </row>
    <row r="308" customFormat="false" ht="15" hidden="false" customHeight="false" outlineLevel="0" collapsed="false">
      <c r="A308" s="16" t="n">
        <v>1310</v>
      </c>
      <c r="B308" s="9" t="n">
        <f aca="false">COUNTIF(JE_Lines!$B$5:$B$1733,A308)</f>
        <v>2</v>
      </c>
      <c r="C308" s="17" t="n">
        <f aca="false">SUMIFS(JE_Lines!$G$5:$G$1733,JE_Lines!$B$5:$B$1733,A308)</f>
        <v>48223.07</v>
      </c>
      <c r="D308" s="17" t="n">
        <f aca="false">SUMIFS(JE_Lines!$H$5:$H$1733,JE_Lines!$B$5:$B$1733,A308)</f>
        <v>48223.07</v>
      </c>
      <c r="E308" s="17" t="n">
        <f aca="false">C308-D308</f>
        <v>0</v>
      </c>
      <c r="F308" s="18" t="n">
        <f aca="false">INDEX(JE_Lines!$C$5:$C$1733,MATCH(A308,JE_Lines!$B$5:$B$1733,0))</f>
        <v>45797</v>
      </c>
      <c r="G308" s="18" t="n">
        <f aca="false">INDEX(JE_Lines!$D$5:$D$1733,MATCH(A308,JE_Lines!$B$5:$B$1733,0))</f>
        <v>45797</v>
      </c>
      <c r="H308" s="0" t="str">
        <f aca="false">INDEX(JE_Lines!$I$5:$I$1733,MATCH(A308,JE_Lines!$B$5:$B$1733,0))</f>
        <v>FIN02</v>
      </c>
      <c r="I308" s="0" t="str">
        <f aca="false">INDEX(JE_Lines!$J$5:$J$1733,MATCH(A308,JE_Lines!$B$5:$B$1733,0))</f>
        <v>Manual</v>
      </c>
      <c r="J308" s="0" t="str">
        <f aca="false">IF(LEN(INDEX(JE_Lines!$K$5:$K$1733,MATCH(A308,JE_Lines!$B$5:$B$1733,0)))=0,"",INDEX(JE_Lines!$K$5:$K$1733,MATCH(A308,JE_Lines!$B$5:$B$1733,0)))</f>
        <v>Manual accrual 3</v>
      </c>
      <c r="K308" s="9" t="n">
        <f aca="false">F308-G308</f>
        <v>0</v>
      </c>
      <c r="L308" s="9" t="n">
        <f aca="false">COUNTIFS(JE_Lines!$B$5:$B$1733,A308,JE_Lines!$F$5:$F$1733,"Revenue")</f>
        <v>0</v>
      </c>
      <c r="M308" s="9" t="n">
        <f aca="false">COUNTIFS(JE_Lines!$B$5:$B$1733,A308,JE_Lines!$F$5:$F$1733,"Suspense")</f>
        <v>0</v>
      </c>
      <c r="N308" s="9" t="n">
        <f aca="false">IF(ABS(E308)&gt;Parameters!$B$23,1,0)</f>
        <v>0</v>
      </c>
      <c r="O308" s="9" t="n">
        <f aca="false">IF(WEEKDAY(F308,2)&gt;5,1,0)</f>
        <v>0</v>
      </c>
      <c r="P308" s="9" t="n">
        <f aca="false">IF(K308&gt;Parameters!$B$17,1,0)</f>
        <v>0</v>
      </c>
      <c r="Q308" s="9" t="n">
        <f aca="false">IF(AND(F308&lt;=Parameters!$B$6,F308&gt;Parameters!$B$6-Parameters!$B$18),1,0)</f>
        <v>0</v>
      </c>
      <c r="R308" s="9" t="n">
        <f aca="false">IF(COUNTIF(Parameters!$A$51:$A$58,H308)=0,1,0)</f>
        <v>0</v>
      </c>
      <c r="S308" s="9" t="n">
        <f aca="false">IF(AND(I308="Manual",L308&gt;0),1,0)</f>
        <v>0</v>
      </c>
      <c r="T308" s="9" t="n">
        <f aca="false">IF(AND(C308&gt;=Parameters!$B$22,ROUND(MOD(ROUND(C308,2),Parameters!$B$21),2)=0),1,0)</f>
        <v>0</v>
      </c>
      <c r="U308" s="9" t="n">
        <f aca="false">IF(LEN(TRIM(J308))=0,1,0)</f>
        <v>0</v>
      </c>
      <c r="V308" s="9" t="n">
        <f aca="false">IF(AND(I308="Manual",C308&lt;Parameters!$B$19,C308&gt;=Parameters!$B$19*(1-Parameters!$B$20)),1,0)</f>
        <v>1</v>
      </c>
      <c r="W308" s="9" t="n">
        <f aca="false">IF(AND(I308="Manual",M308&gt;0),1,0)</f>
        <v>0</v>
      </c>
      <c r="X308" s="9" t="n">
        <f aca="false">IF(A308-A307&gt;1,1,0)</f>
        <v>0</v>
      </c>
      <c r="Y308" s="9" t="n">
        <f aca="false">N308*Parameters!$B$38+O308*Parameters!$B$39+P308*Parameters!$B$40+Q308*Parameters!$B$41+R308*Parameters!$B$42+S308*Parameters!$B$43+T308*Parameters!$B$44+U308*Parameters!$B$45+V308*Parameters!$B$46+W308*Parameters!$B$47+X308*Parameters!$B$48</f>
        <v>3</v>
      </c>
      <c r="Z308" s="0" t="str">
        <f aca="false">IF(Y308&gt;=Parameters!$B$25,"High","")</f>
        <v/>
      </c>
    </row>
    <row r="309" customFormat="false" ht="15" hidden="false" customHeight="false" outlineLevel="0" collapsed="false">
      <c r="A309" s="16" t="n">
        <v>1311</v>
      </c>
      <c r="B309" s="9" t="n">
        <f aca="false">COUNTIF(JE_Lines!$B$5:$B$1733,A309)</f>
        <v>2</v>
      </c>
      <c r="C309" s="17" t="n">
        <f aca="false">SUMIFS(JE_Lines!$G$5:$G$1733,JE_Lines!$B$5:$B$1733,A309)</f>
        <v>3828.83</v>
      </c>
      <c r="D309" s="17" t="n">
        <f aca="false">SUMIFS(JE_Lines!$H$5:$H$1733,JE_Lines!$B$5:$B$1733,A309)</f>
        <v>3828.83</v>
      </c>
      <c r="E309" s="17" t="n">
        <f aca="false">C309-D309</f>
        <v>0</v>
      </c>
      <c r="F309" s="18" t="n">
        <f aca="false">INDEX(JE_Lines!$C$5:$C$1733,MATCH(A309,JE_Lines!$B$5:$B$1733,0))</f>
        <v>45797</v>
      </c>
      <c r="G309" s="18" t="n">
        <f aca="false">INDEX(JE_Lines!$D$5:$D$1733,MATCH(A309,JE_Lines!$B$5:$B$1733,0))</f>
        <v>45794</v>
      </c>
      <c r="H309" s="0" t="str">
        <f aca="false">INDEX(JE_Lines!$I$5:$I$1733,MATCH(A309,JE_Lines!$B$5:$B$1733,0))</f>
        <v>SYS_AP</v>
      </c>
      <c r="I309" s="0" t="str">
        <f aca="false">INDEX(JE_Lines!$J$5:$J$1733,MATCH(A309,JE_Lines!$B$5:$B$1733,0))</f>
        <v>System</v>
      </c>
      <c r="J309" s="0" t="str">
        <f aca="false">IF(LEN(INDEX(JE_Lines!$K$5:$K$1733,MATCH(A309,JE_Lines!$B$5:$B$1733,0)))=0,"",INDEX(JE_Lines!$K$5:$K$1733,MATCH(A309,JE_Lines!$B$5:$B$1733,0)))</f>
        <v>Utilities invoices</v>
      </c>
      <c r="K309" s="9" t="n">
        <f aca="false">F309-G309</f>
        <v>3</v>
      </c>
      <c r="L309" s="9" t="n">
        <f aca="false">COUNTIFS(JE_Lines!$B$5:$B$1733,A309,JE_Lines!$F$5:$F$1733,"Revenue")</f>
        <v>0</v>
      </c>
      <c r="M309" s="9" t="n">
        <f aca="false">COUNTIFS(JE_Lines!$B$5:$B$1733,A309,JE_Lines!$F$5:$F$1733,"Suspense")</f>
        <v>0</v>
      </c>
      <c r="N309" s="9" t="n">
        <f aca="false">IF(ABS(E309)&gt;Parameters!$B$23,1,0)</f>
        <v>0</v>
      </c>
      <c r="O309" s="9" t="n">
        <f aca="false">IF(WEEKDAY(F309,2)&gt;5,1,0)</f>
        <v>0</v>
      </c>
      <c r="P309" s="9" t="n">
        <f aca="false">IF(K309&gt;Parameters!$B$17,1,0)</f>
        <v>0</v>
      </c>
      <c r="Q309" s="9" t="n">
        <f aca="false">IF(AND(F309&lt;=Parameters!$B$6,F309&gt;Parameters!$B$6-Parameters!$B$18),1,0)</f>
        <v>0</v>
      </c>
      <c r="R309" s="9" t="n">
        <f aca="false">IF(COUNTIF(Parameters!$A$51:$A$58,H309)=0,1,0)</f>
        <v>0</v>
      </c>
      <c r="S309" s="9" t="n">
        <f aca="false">IF(AND(I309="Manual",L309&gt;0),1,0)</f>
        <v>0</v>
      </c>
      <c r="T309" s="9" t="n">
        <f aca="false">IF(AND(C309&gt;=Parameters!$B$22,ROUND(MOD(ROUND(C309,2),Parameters!$B$21),2)=0),1,0)</f>
        <v>0</v>
      </c>
      <c r="U309" s="9" t="n">
        <f aca="false">IF(LEN(TRIM(J309))=0,1,0)</f>
        <v>0</v>
      </c>
      <c r="V309" s="9" t="n">
        <f aca="false">IF(AND(I309="Manual",C309&lt;Parameters!$B$19,C309&gt;=Parameters!$B$19*(1-Parameters!$B$20)),1,0)</f>
        <v>0</v>
      </c>
      <c r="W309" s="9" t="n">
        <f aca="false">IF(AND(I309="Manual",M309&gt;0),1,0)</f>
        <v>0</v>
      </c>
      <c r="X309" s="9" t="n">
        <f aca="false">IF(A309-A308&gt;1,1,0)</f>
        <v>0</v>
      </c>
      <c r="Y309" s="9" t="n">
        <f aca="false">N309*Parameters!$B$38+O309*Parameters!$B$39+P309*Parameters!$B$40+Q309*Parameters!$B$41+R309*Parameters!$B$42+S309*Parameters!$B$43+T309*Parameters!$B$44+U309*Parameters!$B$45+V309*Parameters!$B$46+W309*Parameters!$B$47+X309*Parameters!$B$48</f>
        <v>0</v>
      </c>
      <c r="Z309" s="0" t="str">
        <f aca="false">IF(Y309&gt;=Parameters!$B$25,"High","")</f>
        <v/>
      </c>
    </row>
    <row r="310" customFormat="false" ht="15" hidden="false" customHeight="false" outlineLevel="0" collapsed="false">
      <c r="A310" s="16" t="n">
        <v>1312</v>
      </c>
      <c r="B310" s="9" t="n">
        <f aca="false">COUNTIF(JE_Lines!$B$5:$B$1733,A310)</f>
        <v>2</v>
      </c>
      <c r="C310" s="17" t="n">
        <f aca="false">SUMIFS(JE_Lines!$G$5:$G$1733,JE_Lines!$B$5:$B$1733,A310)</f>
        <v>3765.1</v>
      </c>
      <c r="D310" s="17" t="n">
        <f aca="false">SUMIFS(JE_Lines!$H$5:$H$1733,JE_Lines!$B$5:$B$1733,A310)</f>
        <v>3765.1</v>
      </c>
      <c r="E310" s="17" t="n">
        <f aca="false">C310-D310</f>
        <v>0</v>
      </c>
      <c r="F310" s="18" t="n">
        <f aca="false">INDEX(JE_Lines!$C$5:$C$1733,MATCH(A310,JE_Lines!$B$5:$B$1733,0))</f>
        <v>45798</v>
      </c>
      <c r="G310" s="18" t="n">
        <f aca="false">INDEX(JE_Lines!$D$5:$D$1733,MATCH(A310,JE_Lines!$B$5:$B$1733,0))</f>
        <v>45798</v>
      </c>
      <c r="H310" s="0" t="str">
        <f aca="false">INDEX(JE_Lines!$I$5:$I$1733,MATCH(A310,JE_Lines!$B$5:$B$1733,0))</f>
        <v>SYS_AR</v>
      </c>
      <c r="I310" s="0" t="str">
        <f aca="false">INDEX(JE_Lines!$J$5:$J$1733,MATCH(A310,JE_Lines!$B$5:$B$1733,0))</f>
        <v>System</v>
      </c>
      <c r="J310" s="0" t="str">
        <f aca="false">IF(LEN(INDEX(JE_Lines!$K$5:$K$1733,MATCH(A310,JE_Lines!$B$5:$B$1733,0)))=0,"",INDEX(JE_Lines!$K$5:$K$1733,MATCH(A310,JE_Lines!$B$5:$B$1733,0)))</f>
        <v>Sales invoice batch</v>
      </c>
      <c r="K310" s="9" t="n">
        <f aca="false">F310-G310</f>
        <v>0</v>
      </c>
      <c r="L310" s="9" t="n">
        <f aca="false">COUNTIFS(JE_Lines!$B$5:$B$1733,A310,JE_Lines!$F$5:$F$1733,"Revenue")</f>
        <v>1</v>
      </c>
      <c r="M310" s="9" t="n">
        <f aca="false">COUNTIFS(JE_Lines!$B$5:$B$1733,A310,JE_Lines!$F$5:$F$1733,"Suspense")</f>
        <v>0</v>
      </c>
      <c r="N310" s="9" t="n">
        <f aca="false">IF(ABS(E310)&gt;Parameters!$B$23,1,0)</f>
        <v>0</v>
      </c>
      <c r="O310" s="9" t="n">
        <f aca="false">IF(WEEKDAY(F310,2)&gt;5,1,0)</f>
        <v>0</v>
      </c>
      <c r="P310" s="9" t="n">
        <f aca="false">IF(K310&gt;Parameters!$B$17,1,0)</f>
        <v>0</v>
      </c>
      <c r="Q310" s="9" t="n">
        <f aca="false">IF(AND(F310&lt;=Parameters!$B$6,F310&gt;Parameters!$B$6-Parameters!$B$18),1,0)</f>
        <v>0</v>
      </c>
      <c r="R310" s="9" t="n">
        <f aca="false">IF(COUNTIF(Parameters!$A$51:$A$58,H310)=0,1,0)</f>
        <v>0</v>
      </c>
      <c r="S310" s="9" t="n">
        <f aca="false">IF(AND(I310="Manual",L310&gt;0),1,0)</f>
        <v>0</v>
      </c>
      <c r="T310" s="9" t="n">
        <f aca="false">IF(AND(C310&gt;=Parameters!$B$22,ROUND(MOD(ROUND(C310,2),Parameters!$B$21),2)=0),1,0)</f>
        <v>0</v>
      </c>
      <c r="U310" s="9" t="n">
        <f aca="false">IF(LEN(TRIM(J310))=0,1,0)</f>
        <v>0</v>
      </c>
      <c r="V310" s="9" t="n">
        <f aca="false">IF(AND(I310="Manual",C310&lt;Parameters!$B$19,C310&gt;=Parameters!$B$19*(1-Parameters!$B$20)),1,0)</f>
        <v>0</v>
      </c>
      <c r="W310" s="9" t="n">
        <f aca="false">IF(AND(I310="Manual",M310&gt;0),1,0)</f>
        <v>0</v>
      </c>
      <c r="X310" s="9" t="n">
        <f aca="false">IF(A310-A309&gt;1,1,0)</f>
        <v>0</v>
      </c>
      <c r="Y310" s="9" t="n">
        <f aca="false">N310*Parameters!$B$38+O310*Parameters!$B$39+P310*Parameters!$B$40+Q310*Parameters!$B$41+R310*Parameters!$B$42+S310*Parameters!$B$43+T310*Parameters!$B$44+U310*Parameters!$B$45+V310*Parameters!$B$46+W310*Parameters!$B$47+X310*Parameters!$B$48</f>
        <v>0</v>
      </c>
      <c r="Z310" s="0" t="str">
        <f aca="false">IF(Y310&gt;=Parameters!$B$25,"High","")</f>
        <v/>
      </c>
    </row>
    <row r="311" customFormat="false" ht="15" hidden="false" customHeight="false" outlineLevel="0" collapsed="false">
      <c r="A311" s="16" t="n">
        <v>1313</v>
      </c>
      <c r="B311" s="9" t="n">
        <f aca="false">COUNTIF(JE_Lines!$B$5:$B$1733,A311)</f>
        <v>3</v>
      </c>
      <c r="C311" s="17" t="n">
        <f aca="false">SUMIFS(JE_Lines!$G$5:$G$1733,JE_Lines!$B$5:$B$1733,A311)</f>
        <v>11357.29</v>
      </c>
      <c r="D311" s="17" t="n">
        <f aca="false">SUMIFS(JE_Lines!$H$5:$H$1733,JE_Lines!$B$5:$B$1733,A311)</f>
        <v>11357.29</v>
      </c>
      <c r="E311" s="17" t="n">
        <f aca="false">C311-D311</f>
        <v>0</v>
      </c>
      <c r="F311" s="18" t="n">
        <f aca="false">INDEX(JE_Lines!$C$5:$C$1733,MATCH(A311,JE_Lines!$B$5:$B$1733,0))</f>
        <v>45798</v>
      </c>
      <c r="G311" s="18" t="n">
        <f aca="false">INDEX(JE_Lines!$D$5:$D$1733,MATCH(A311,JE_Lines!$B$5:$B$1733,0))</f>
        <v>45796</v>
      </c>
      <c r="H311" s="0" t="str">
        <f aca="false">INDEX(JE_Lines!$I$5:$I$1733,MATCH(A311,JE_Lines!$B$5:$B$1733,0))</f>
        <v>SYS_AR</v>
      </c>
      <c r="I311" s="0" t="str">
        <f aca="false">INDEX(JE_Lines!$J$5:$J$1733,MATCH(A311,JE_Lines!$B$5:$B$1733,0))</f>
        <v>System</v>
      </c>
      <c r="J311" s="0" t="str">
        <f aca="false">IF(LEN(INDEX(JE_Lines!$K$5:$K$1733,MATCH(A311,JE_Lines!$B$5:$B$1733,0)))=0,"",INDEX(JE_Lines!$K$5:$K$1733,MATCH(A311,JE_Lines!$B$5:$B$1733,0)))</f>
        <v>Customer receipts</v>
      </c>
      <c r="K311" s="9" t="n">
        <f aca="false">F311-G311</f>
        <v>2</v>
      </c>
      <c r="L311" s="9" t="n">
        <f aca="false">COUNTIFS(JE_Lines!$B$5:$B$1733,A311,JE_Lines!$F$5:$F$1733,"Revenue")</f>
        <v>0</v>
      </c>
      <c r="M311" s="9" t="n">
        <f aca="false">COUNTIFS(JE_Lines!$B$5:$B$1733,A311,JE_Lines!$F$5:$F$1733,"Suspense")</f>
        <v>0</v>
      </c>
      <c r="N311" s="9" t="n">
        <f aca="false">IF(ABS(E311)&gt;Parameters!$B$23,1,0)</f>
        <v>0</v>
      </c>
      <c r="O311" s="9" t="n">
        <f aca="false">IF(WEEKDAY(F311,2)&gt;5,1,0)</f>
        <v>0</v>
      </c>
      <c r="P311" s="9" t="n">
        <f aca="false">IF(K311&gt;Parameters!$B$17,1,0)</f>
        <v>0</v>
      </c>
      <c r="Q311" s="9" t="n">
        <f aca="false">IF(AND(F311&lt;=Parameters!$B$6,F311&gt;Parameters!$B$6-Parameters!$B$18),1,0)</f>
        <v>0</v>
      </c>
      <c r="R311" s="9" t="n">
        <f aca="false">IF(COUNTIF(Parameters!$A$51:$A$58,H311)=0,1,0)</f>
        <v>0</v>
      </c>
      <c r="S311" s="9" t="n">
        <f aca="false">IF(AND(I311="Manual",L311&gt;0),1,0)</f>
        <v>0</v>
      </c>
      <c r="T311" s="9" t="n">
        <f aca="false">IF(AND(C311&gt;=Parameters!$B$22,ROUND(MOD(ROUND(C311,2),Parameters!$B$21),2)=0),1,0)</f>
        <v>0</v>
      </c>
      <c r="U311" s="9" t="n">
        <f aca="false">IF(LEN(TRIM(J311))=0,1,0)</f>
        <v>0</v>
      </c>
      <c r="V311" s="9" t="n">
        <f aca="false">IF(AND(I311="Manual",C311&lt;Parameters!$B$19,C311&gt;=Parameters!$B$19*(1-Parameters!$B$20)),1,0)</f>
        <v>0</v>
      </c>
      <c r="W311" s="9" t="n">
        <f aca="false">IF(AND(I311="Manual",M311&gt;0),1,0)</f>
        <v>0</v>
      </c>
      <c r="X311" s="9" t="n">
        <f aca="false">IF(A311-A310&gt;1,1,0)</f>
        <v>0</v>
      </c>
      <c r="Y311" s="9" t="n">
        <f aca="false">N311*Parameters!$B$38+O311*Parameters!$B$39+P311*Parameters!$B$40+Q311*Parameters!$B$41+R311*Parameters!$B$42+S311*Parameters!$B$43+T311*Parameters!$B$44+U311*Parameters!$B$45+V311*Parameters!$B$46+W311*Parameters!$B$47+X311*Parameters!$B$48</f>
        <v>0</v>
      </c>
      <c r="Z311" s="0" t="str">
        <f aca="false">IF(Y311&gt;=Parameters!$B$25,"High","")</f>
        <v/>
      </c>
    </row>
    <row r="312" customFormat="false" ht="15" hidden="false" customHeight="false" outlineLevel="0" collapsed="false">
      <c r="A312" s="16" t="n">
        <v>1314</v>
      </c>
      <c r="B312" s="9" t="n">
        <f aca="false">COUNTIF(JE_Lines!$B$5:$B$1733,A312)</f>
        <v>2</v>
      </c>
      <c r="C312" s="17" t="n">
        <f aca="false">SUMIFS(JE_Lines!$G$5:$G$1733,JE_Lines!$B$5:$B$1733,A312)</f>
        <v>33018.4</v>
      </c>
      <c r="D312" s="17" t="n">
        <f aca="false">SUMIFS(JE_Lines!$H$5:$H$1733,JE_Lines!$B$5:$B$1733,A312)</f>
        <v>33018.4</v>
      </c>
      <c r="E312" s="17" t="n">
        <f aca="false">C312-D312</f>
        <v>0</v>
      </c>
      <c r="F312" s="18" t="n">
        <f aca="false">INDEX(JE_Lines!$C$5:$C$1733,MATCH(A312,JE_Lines!$B$5:$B$1733,0))</f>
        <v>45798</v>
      </c>
      <c r="G312" s="18" t="n">
        <f aca="false">INDEX(JE_Lines!$D$5:$D$1733,MATCH(A312,JE_Lines!$B$5:$B$1733,0))</f>
        <v>45794</v>
      </c>
      <c r="H312" s="0" t="str">
        <f aca="false">INDEX(JE_Lines!$I$5:$I$1733,MATCH(A312,JE_Lines!$B$5:$B$1733,0))</f>
        <v>SYS_AR</v>
      </c>
      <c r="I312" s="0" t="str">
        <f aca="false">INDEX(JE_Lines!$J$5:$J$1733,MATCH(A312,JE_Lines!$B$5:$B$1733,0))</f>
        <v>System</v>
      </c>
      <c r="J312" s="0" t="str">
        <f aca="false">IF(LEN(INDEX(JE_Lines!$K$5:$K$1733,MATCH(A312,JE_Lines!$B$5:$B$1733,0)))=0,"",INDEX(JE_Lines!$K$5:$K$1733,MATCH(A312,JE_Lines!$B$5:$B$1733,0)))</f>
        <v>Customer receipts</v>
      </c>
      <c r="K312" s="9" t="n">
        <f aca="false">F312-G312</f>
        <v>4</v>
      </c>
      <c r="L312" s="9" t="n">
        <f aca="false">COUNTIFS(JE_Lines!$B$5:$B$1733,A312,JE_Lines!$F$5:$F$1733,"Revenue")</f>
        <v>0</v>
      </c>
      <c r="M312" s="9" t="n">
        <f aca="false">COUNTIFS(JE_Lines!$B$5:$B$1733,A312,JE_Lines!$F$5:$F$1733,"Suspense")</f>
        <v>0</v>
      </c>
      <c r="N312" s="9" t="n">
        <f aca="false">IF(ABS(E312)&gt;Parameters!$B$23,1,0)</f>
        <v>0</v>
      </c>
      <c r="O312" s="9" t="n">
        <f aca="false">IF(WEEKDAY(F312,2)&gt;5,1,0)</f>
        <v>0</v>
      </c>
      <c r="P312" s="9" t="n">
        <f aca="false">IF(K312&gt;Parameters!$B$17,1,0)</f>
        <v>0</v>
      </c>
      <c r="Q312" s="9" t="n">
        <f aca="false">IF(AND(F312&lt;=Parameters!$B$6,F312&gt;Parameters!$B$6-Parameters!$B$18),1,0)</f>
        <v>0</v>
      </c>
      <c r="R312" s="9" t="n">
        <f aca="false">IF(COUNTIF(Parameters!$A$51:$A$58,H312)=0,1,0)</f>
        <v>0</v>
      </c>
      <c r="S312" s="9" t="n">
        <f aca="false">IF(AND(I312="Manual",L312&gt;0),1,0)</f>
        <v>0</v>
      </c>
      <c r="T312" s="9" t="n">
        <f aca="false">IF(AND(C312&gt;=Parameters!$B$22,ROUND(MOD(ROUND(C312,2),Parameters!$B$21),2)=0),1,0)</f>
        <v>0</v>
      </c>
      <c r="U312" s="9" t="n">
        <f aca="false">IF(LEN(TRIM(J312))=0,1,0)</f>
        <v>0</v>
      </c>
      <c r="V312" s="9" t="n">
        <f aca="false">IF(AND(I312="Manual",C312&lt;Parameters!$B$19,C312&gt;=Parameters!$B$19*(1-Parameters!$B$20)),1,0)</f>
        <v>0</v>
      </c>
      <c r="W312" s="9" t="n">
        <f aca="false">IF(AND(I312="Manual",M312&gt;0),1,0)</f>
        <v>0</v>
      </c>
      <c r="X312" s="9" t="n">
        <f aca="false">IF(A312-A311&gt;1,1,0)</f>
        <v>0</v>
      </c>
      <c r="Y312" s="9" t="n">
        <f aca="false">N312*Parameters!$B$38+O312*Parameters!$B$39+P312*Parameters!$B$40+Q312*Parameters!$B$41+R312*Parameters!$B$42+S312*Parameters!$B$43+T312*Parameters!$B$44+U312*Parameters!$B$45+V312*Parameters!$B$46+W312*Parameters!$B$47+X312*Parameters!$B$48</f>
        <v>0</v>
      </c>
      <c r="Z312" s="0" t="str">
        <f aca="false">IF(Y312&gt;=Parameters!$B$25,"High","")</f>
        <v/>
      </c>
    </row>
    <row r="313" customFormat="false" ht="15" hidden="false" customHeight="false" outlineLevel="0" collapsed="false">
      <c r="A313" s="16" t="n">
        <v>1315</v>
      </c>
      <c r="B313" s="9" t="n">
        <f aca="false">COUNTIF(JE_Lines!$B$5:$B$1733,A313)</f>
        <v>3</v>
      </c>
      <c r="C313" s="17" t="n">
        <f aca="false">SUMIFS(JE_Lines!$G$5:$G$1733,JE_Lines!$B$5:$B$1733,A313)</f>
        <v>26582.04</v>
      </c>
      <c r="D313" s="17" t="n">
        <f aca="false">SUMIFS(JE_Lines!$H$5:$H$1733,JE_Lines!$B$5:$B$1733,A313)</f>
        <v>26582.04</v>
      </c>
      <c r="E313" s="17" t="n">
        <f aca="false">C313-D313</f>
        <v>0</v>
      </c>
      <c r="F313" s="18" t="n">
        <f aca="false">INDEX(JE_Lines!$C$5:$C$1733,MATCH(A313,JE_Lines!$B$5:$B$1733,0))</f>
        <v>45798</v>
      </c>
      <c r="G313" s="18" t="n">
        <f aca="false">INDEX(JE_Lines!$D$5:$D$1733,MATCH(A313,JE_Lines!$B$5:$B$1733,0))</f>
        <v>45796</v>
      </c>
      <c r="H313" s="0" t="str">
        <f aca="false">INDEX(JE_Lines!$I$5:$I$1733,MATCH(A313,JE_Lines!$B$5:$B$1733,0))</f>
        <v>SYS_AR</v>
      </c>
      <c r="I313" s="0" t="str">
        <f aca="false">INDEX(JE_Lines!$J$5:$J$1733,MATCH(A313,JE_Lines!$B$5:$B$1733,0))</f>
        <v>System</v>
      </c>
      <c r="J313" s="0" t="str">
        <f aca="false">IF(LEN(INDEX(JE_Lines!$K$5:$K$1733,MATCH(A313,JE_Lines!$B$5:$B$1733,0)))=0,"",INDEX(JE_Lines!$K$5:$K$1733,MATCH(A313,JE_Lines!$B$5:$B$1733,0)))</f>
        <v>Customer receipts</v>
      </c>
      <c r="K313" s="9" t="n">
        <f aca="false">F313-G313</f>
        <v>2</v>
      </c>
      <c r="L313" s="9" t="n">
        <f aca="false">COUNTIFS(JE_Lines!$B$5:$B$1733,A313,JE_Lines!$F$5:$F$1733,"Revenue")</f>
        <v>0</v>
      </c>
      <c r="M313" s="9" t="n">
        <f aca="false">COUNTIFS(JE_Lines!$B$5:$B$1733,A313,JE_Lines!$F$5:$F$1733,"Suspense")</f>
        <v>0</v>
      </c>
      <c r="N313" s="9" t="n">
        <f aca="false">IF(ABS(E313)&gt;Parameters!$B$23,1,0)</f>
        <v>0</v>
      </c>
      <c r="O313" s="9" t="n">
        <f aca="false">IF(WEEKDAY(F313,2)&gt;5,1,0)</f>
        <v>0</v>
      </c>
      <c r="P313" s="9" t="n">
        <f aca="false">IF(K313&gt;Parameters!$B$17,1,0)</f>
        <v>0</v>
      </c>
      <c r="Q313" s="9" t="n">
        <f aca="false">IF(AND(F313&lt;=Parameters!$B$6,F313&gt;Parameters!$B$6-Parameters!$B$18),1,0)</f>
        <v>0</v>
      </c>
      <c r="R313" s="9" t="n">
        <f aca="false">IF(COUNTIF(Parameters!$A$51:$A$58,H313)=0,1,0)</f>
        <v>0</v>
      </c>
      <c r="S313" s="9" t="n">
        <f aca="false">IF(AND(I313="Manual",L313&gt;0),1,0)</f>
        <v>0</v>
      </c>
      <c r="T313" s="9" t="n">
        <f aca="false">IF(AND(C313&gt;=Parameters!$B$22,ROUND(MOD(ROUND(C313,2),Parameters!$B$21),2)=0),1,0)</f>
        <v>0</v>
      </c>
      <c r="U313" s="9" t="n">
        <f aca="false">IF(LEN(TRIM(J313))=0,1,0)</f>
        <v>0</v>
      </c>
      <c r="V313" s="9" t="n">
        <f aca="false">IF(AND(I313="Manual",C313&lt;Parameters!$B$19,C313&gt;=Parameters!$B$19*(1-Parameters!$B$20)),1,0)</f>
        <v>0</v>
      </c>
      <c r="W313" s="9" t="n">
        <f aca="false">IF(AND(I313="Manual",M313&gt;0),1,0)</f>
        <v>0</v>
      </c>
      <c r="X313" s="9" t="n">
        <f aca="false">IF(A313-A312&gt;1,1,0)</f>
        <v>0</v>
      </c>
      <c r="Y313" s="9" t="n">
        <f aca="false">N313*Parameters!$B$38+O313*Parameters!$B$39+P313*Parameters!$B$40+Q313*Parameters!$B$41+R313*Parameters!$B$42+S313*Parameters!$B$43+T313*Parameters!$B$44+U313*Parameters!$B$45+V313*Parameters!$B$46+W313*Parameters!$B$47+X313*Parameters!$B$48</f>
        <v>0</v>
      </c>
      <c r="Z313" s="0" t="str">
        <f aca="false">IF(Y313&gt;=Parameters!$B$25,"High","")</f>
        <v/>
      </c>
    </row>
    <row r="314" customFormat="false" ht="15" hidden="false" customHeight="false" outlineLevel="0" collapsed="false">
      <c r="A314" s="16" t="n">
        <v>1316</v>
      </c>
      <c r="B314" s="9" t="n">
        <f aca="false">COUNTIF(JE_Lines!$B$5:$B$1733,A314)</f>
        <v>3</v>
      </c>
      <c r="C314" s="17" t="n">
        <f aca="false">SUMIFS(JE_Lines!$G$5:$G$1733,JE_Lines!$B$5:$B$1733,A314)</f>
        <v>61291.44</v>
      </c>
      <c r="D314" s="17" t="n">
        <f aca="false">SUMIFS(JE_Lines!$H$5:$H$1733,JE_Lines!$B$5:$B$1733,A314)</f>
        <v>61291.44</v>
      </c>
      <c r="E314" s="17" t="n">
        <f aca="false">C314-D314</f>
        <v>0</v>
      </c>
      <c r="F314" s="18" t="n">
        <f aca="false">INDEX(JE_Lines!$C$5:$C$1733,MATCH(A314,JE_Lines!$B$5:$B$1733,0))</f>
        <v>45799</v>
      </c>
      <c r="G314" s="18" t="n">
        <f aca="false">INDEX(JE_Lines!$D$5:$D$1733,MATCH(A314,JE_Lines!$B$5:$B$1733,0))</f>
        <v>45799</v>
      </c>
      <c r="H314" s="0" t="str">
        <f aca="false">INDEX(JE_Lines!$I$5:$I$1733,MATCH(A314,JE_Lines!$B$5:$B$1733,0))</f>
        <v>SYS_AR</v>
      </c>
      <c r="I314" s="0" t="str">
        <f aca="false">INDEX(JE_Lines!$J$5:$J$1733,MATCH(A314,JE_Lines!$B$5:$B$1733,0))</f>
        <v>System</v>
      </c>
      <c r="J314" s="0" t="str">
        <f aca="false">IF(LEN(INDEX(JE_Lines!$K$5:$K$1733,MATCH(A314,JE_Lines!$B$5:$B$1733,0)))=0,"",INDEX(JE_Lines!$K$5:$K$1733,MATCH(A314,JE_Lines!$B$5:$B$1733,0)))</f>
        <v>Sales invoice batch</v>
      </c>
      <c r="K314" s="9" t="n">
        <f aca="false">F314-G314</f>
        <v>0</v>
      </c>
      <c r="L314" s="9" t="n">
        <f aca="false">COUNTIFS(JE_Lines!$B$5:$B$1733,A314,JE_Lines!$F$5:$F$1733,"Revenue")</f>
        <v>1</v>
      </c>
      <c r="M314" s="9" t="n">
        <f aca="false">COUNTIFS(JE_Lines!$B$5:$B$1733,A314,JE_Lines!$F$5:$F$1733,"Suspense")</f>
        <v>0</v>
      </c>
      <c r="N314" s="9" t="n">
        <f aca="false">IF(ABS(E314)&gt;Parameters!$B$23,1,0)</f>
        <v>0</v>
      </c>
      <c r="O314" s="9" t="n">
        <f aca="false">IF(WEEKDAY(F314,2)&gt;5,1,0)</f>
        <v>0</v>
      </c>
      <c r="P314" s="9" t="n">
        <f aca="false">IF(K314&gt;Parameters!$B$17,1,0)</f>
        <v>0</v>
      </c>
      <c r="Q314" s="9" t="n">
        <f aca="false">IF(AND(F314&lt;=Parameters!$B$6,F314&gt;Parameters!$B$6-Parameters!$B$18),1,0)</f>
        <v>0</v>
      </c>
      <c r="R314" s="9" t="n">
        <f aca="false">IF(COUNTIF(Parameters!$A$51:$A$58,H314)=0,1,0)</f>
        <v>0</v>
      </c>
      <c r="S314" s="9" t="n">
        <f aca="false">IF(AND(I314="Manual",L314&gt;0),1,0)</f>
        <v>0</v>
      </c>
      <c r="T314" s="9" t="n">
        <f aca="false">IF(AND(C314&gt;=Parameters!$B$22,ROUND(MOD(ROUND(C314,2),Parameters!$B$21),2)=0),1,0)</f>
        <v>0</v>
      </c>
      <c r="U314" s="9" t="n">
        <f aca="false">IF(LEN(TRIM(J314))=0,1,0)</f>
        <v>0</v>
      </c>
      <c r="V314" s="9" t="n">
        <f aca="false">IF(AND(I314="Manual",C314&lt;Parameters!$B$19,C314&gt;=Parameters!$B$19*(1-Parameters!$B$20)),1,0)</f>
        <v>0</v>
      </c>
      <c r="W314" s="9" t="n">
        <f aca="false">IF(AND(I314="Manual",M314&gt;0),1,0)</f>
        <v>0</v>
      </c>
      <c r="X314" s="9" t="n">
        <f aca="false">IF(A314-A313&gt;1,1,0)</f>
        <v>0</v>
      </c>
      <c r="Y314" s="9" t="n">
        <f aca="false">N314*Parameters!$B$38+O314*Parameters!$B$39+P314*Parameters!$B$40+Q314*Parameters!$B$41+R314*Parameters!$B$42+S314*Parameters!$B$43+T314*Parameters!$B$44+U314*Parameters!$B$45+V314*Parameters!$B$46+W314*Parameters!$B$47+X314*Parameters!$B$48</f>
        <v>0</v>
      </c>
      <c r="Z314" s="0" t="str">
        <f aca="false">IF(Y314&gt;=Parameters!$B$25,"High","")</f>
        <v/>
      </c>
    </row>
    <row r="315" customFormat="false" ht="15" hidden="false" customHeight="false" outlineLevel="0" collapsed="false">
      <c r="A315" s="16" t="n">
        <v>1317</v>
      </c>
      <c r="B315" s="9" t="n">
        <f aca="false">COUNTIF(JE_Lines!$B$5:$B$1733,A315)</f>
        <v>2</v>
      </c>
      <c r="C315" s="17" t="n">
        <f aca="false">SUMIFS(JE_Lines!$G$5:$G$1733,JE_Lines!$B$5:$B$1733,A315)</f>
        <v>14194.9</v>
      </c>
      <c r="D315" s="17" t="n">
        <f aca="false">SUMIFS(JE_Lines!$H$5:$H$1733,JE_Lines!$B$5:$B$1733,A315)</f>
        <v>14194.9</v>
      </c>
      <c r="E315" s="17" t="n">
        <f aca="false">C315-D315</f>
        <v>0</v>
      </c>
      <c r="F315" s="18" t="n">
        <f aca="false">INDEX(JE_Lines!$C$5:$C$1733,MATCH(A315,JE_Lines!$B$5:$B$1733,0))</f>
        <v>45799</v>
      </c>
      <c r="G315" s="18" t="n">
        <f aca="false">INDEX(JE_Lines!$D$5:$D$1733,MATCH(A315,JE_Lines!$B$5:$B$1733,0))</f>
        <v>45797</v>
      </c>
      <c r="H315" s="0" t="str">
        <f aca="false">INDEX(JE_Lines!$I$5:$I$1733,MATCH(A315,JE_Lines!$B$5:$B$1733,0))</f>
        <v>SYS_PAY</v>
      </c>
      <c r="I315" s="0" t="str">
        <f aca="false">INDEX(JE_Lines!$J$5:$J$1733,MATCH(A315,JE_Lines!$B$5:$B$1733,0))</f>
        <v>System</v>
      </c>
      <c r="J315" s="0" t="str">
        <f aca="false">IF(LEN(INDEX(JE_Lines!$K$5:$K$1733,MATCH(A315,JE_Lines!$B$5:$B$1733,0)))=0,"",INDEX(JE_Lines!$K$5:$K$1733,MATCH(A315,JE_Lines!$B$5:$B$1733,0)))</f>
        <v>Supplier payments</v>
      </c>
      <c r="K315" s="9" t="n">
        <f aca="false">F315-G315</f>
        <v>2</v>
      </c>
      <c r="L315" s="9" t="n">
        <f aca="false">COUNTIFS(JE_Lines!$B$5:$B$1733,A315,JE_Lines!$F$5:$F$1733,"Revenue")</f>
        <v>0</v>
      </c>
      <c r="M315" s="9" t="n">
        <f aca="false">COUNTIFS(JE_Lines!$B$5:$B$1733,A315,JE_Lines!$F$5:$F$1733,"Suspense")</f>
        <v>0</v>
      </c>
      <c r="N315" s="9" t="n">
        <f aca="false">IF(ABS(E315)&gt;Parameters!$B$23,1,0)</f>
        <v>0</v>
      </c>
      <c r="O315" s="9" t="n">
        <f aca="false">IF(WEEKDAY(F315,2)&gt;5,1,0)</f>
        <v>0</v>
      </c>
      <c r="P315" s="9" t="n">
        <f aca="false">IF(K315&gt;Parameters!$B$17,1,0)</f>
        <v>0</v>
      </c>
      <c r="Q315" s="9" t="n">
        <f aca="false">IF(AND(F315&lt;=Parameters!$B$6,F315&gt;Parameters!$B$6-Parameters!$B$18),1,0)</f>
        <v>0</v>
      </c>
      <c r="R315" s="9" t="n">
        <f aca="false">IF(COUNTIF(Parameters!$A$51:$A$58,H315)=0,1,0)</f>
        <v>0</v>
      </c>
      <c r="S315" s="9" t="n">
        <f aca="false">IF(AND(I315="Manual",L315&gt;0),1,0)</f>
        <v>0</v>
      </c>
      <c r="T315" s="9" t="n">
        <f aca="false">IF(AND(C315&gt;=Parameters!$B$22,ROUND(MOD(ROUND(C315,2),Parameters!$B$21),2)=0),1,0)</f>
        <v>0</v>
      </c>
      <c r="U315" s="9" t="n">
        <f aca="false">IF(LEN(TRIM(J315))=0,1,0)</f>
        <v>0</v>
      </c>
      <c r="V315" s="9" t="n">
        <f aca="false">IF(AND(I315="Manual",C315&lt;Parameters!$B$19,C315&gt;=Parameters!$B$19*(1-Parameters!$B$20)),1,0)</f>
        <v>0</v>
      </c>
      <c r="W315" s="9" t="n">
        <f aca="false">IF(AND(I315="Manual",M315&gt;0),1,0)</f>
        <v>0</v>
      </c>
      <c r="X315" s="9" t="n">
        <f aca="false">IF(A315-A314&gt;1,1,0)</f>
        <v>0</v>
      </c>
      <c r="Y315" s="9" t="n">
        <f aca="false">N315*Parameters!$B$38+O315*Parameters!$B$39+P315*Parameters!$B$40+Q315*Parameters!$B$41+R315*Parameters!$B$42+S315*Parameters!$B$43+T315*Parameters!$B$44+U315*Parameters!$B$45+V315*Parameters!$B$46+W315*Parameters!$B$47+X315*Parameters!$B$48</f>
        <v>0</v>
      </c>
      <c r="Z315" s="0" t="str">
        <f aca="false">IF(Y315&gt;=Parameters!$B$25,"High","")</f>
        <v/>
      </c>
    </row>
    <row r="316" customFormat="false" ht="15" hidden="false" customHeight="false" outlineLevel="0" collapsed="false">
      <c r="A316" s="16" t="n">
        <v>1318</v>
      </c>
      <c r="B316" s="9" t="n">
        <f aca="false">COUNTIF(JE_Lines!$B$5:$B$1733,A316)</f>
        <v>2</v>
      </c>
      <c r="C316" s="17" t="n">
        <f aca="false">SUMIFS(JE_Lines!$G$5:$G$1733,JE_Lines!$B$5:$B$1733,A316)</f>
        <v>15791.3</v>
      </c>
      <c r="D316" s="17" t="n">
        <f aca="false">SUMIFS(JE_Lines!$H$5:$H$1733,JE_Lines!$B$5:$B$1733,A316)</f>
        <v>15791.3</v>
      </c>
      <c r="E316" s="17" t="n">
        <f aca="false">C316-D316</f>
        <v>0</v>
      </c>
      <c r="F316" s="18" t="n">
        <f aca="false">INDEX(JE_Lines!$C$5:$C$1733,MATCH(A316,JE_Lines!$B$5:$B$1733,0))</f>
        <v>45799</v>
      </c>
      <c r="G316" s="18" t="n">
        <f aca="false">INDEX(JE_Lines!$D$5:$D$1733,MATCH(A316,JE_Lines!$B$5:$B$1733,0))</f>
        <v>45799</v>
      </c>
      <c r="H316" s="0" t="str">
        <f aca="false">INDEX(JE_Lines!$I$5:$I$1733,MATCH(A316,JE_Lines!$B$5:$B$1733,0))</f>
        <v>FIN03</v>
      </c>
      <c r="I316" s="0" t="str">
        <f aca="false">INDEX(JE_Lines!$J$5:$J$1733,MATCH(A316,JE_Lines!$B$5:$B$1733,0))</f>
        <v>Manual</v>
      </c>
      <c r="J316" s="0" t="str">
        <f aca="false">IF(LEN(INDEX(JE_Lines!$K$5:$K$1733,MATCH(A316,JE_Lines!$B$5:$B$1733,0)))=0,"",INDEX(JE_Lines!$K$5:$K$1733,MATCH(A316,JE_Lines!$B$5:$B$1733,0)))</f>
        <v>Accrual reversal</v>
      </c>
      <c r="K316" s="9" t="n">
        <f aca="false">F316-G316</f>
        <v>0</v>
      </c>
      <c r="L316" s="9" t="n">
        <f aca="false">COUNTIFS(JE_Lines!$B$5:$B$1733,A316,JE_Lines!$F$5:$F$1733,"Revenue")</f>
        <v>0</v>
      </c>
      <c r="M316" s="9" t="n">
        <f aca="false">COUNTIFS(JE_Lines!$B$5:$B$1733,A316,JE_Lines!$F$5:$F$1733,"Suspense")</f>
        <v>0</v>
      </c>
      <c r="N316" s="9" t="n">
        <f aca="false">IF(ABS(E316)&gt;Parameters!$B$23,1,0)</f>
        <v>0</v>
      </c>
      <c r="O316" s="9" t="n">
        <f aca="false">IF(WEEKDAY(F316,2)&gt;5,1,0)</f>
        <v>0</v>
      </c>
      <c r="P316" s="9" t="n">
        <f aca="false">IF(K316&gt;Parameters!$B$17,1,0)</f>
        <v>0</v>
      </c>
      <c r="Q316" s="9" t="n">
        <f aca="false">IF(AND(F316&lt;=Parameters!$B$6,F316&gt;Parameters!$B$6-Parameters!$B$18),1,0)</f>
        <v>0</v>
      </c>
      <c r="R316" s="9" t="n">
        <f aca="false">IF(COUNTIF(Parameters!$A$51:$A$58,H316)=0,1,0)</f>
        <v>0</v>
      </c>
      <c r="S316" s="9" t="n">
        <f aca="false">IF(AND(I316="Manual",L316&gt;0),1,0)</f>
        <v>0</v>
      </c>
      <c r="T316" s="9" t="n">
        <f aca="false">IF(AND(C316&gt;=Parameters!$B$22,ROUND(MOD(ROUND(C316,2),Parameters!$B$21),2)=0),1,0)</f>
        <v>0</v>
      </c>
      <c r="U316" s="9" t="n">
        <f aca="false">IF(LEN(TRIM(J316))=0,1,0)</f>
        <v>0</v>
      </c>
      <c r="V316" s="9" t="n">
        <f aca="false">IF(AND(I316="Manual",C316&lt;Parameters!$B$19,C316&gt;=Parameters!$B$19*(1-Parameters!$B$20)),1,0)</f>
        <v>0</v>
      </c>
      <c r="W316" s="9" t="n">
        <f aca="false">IF(AND(I316="Manual",M316&gt;0),1,0)</f>
        <v>0</v>
      </c>
      <c r="X316" s="9" t="n">
        <f aca="false">IF(A316-A315&gt;1,1,0)</f>
        <v>0</v>
      </c>
      <c r="Y316" s="9" t="n">
        <f aca="false">N316*Parameters!$B$38+O316*Parameters!$B$39+P316*Parameters!$B$40+Q316*Parameters!$B$41+R316*Parameters!$B$42+S316*Parameters!$B$43+T316*Parameters!$B$44+U316*Parameters!$B$45+V316*Parameters!$B$46+W316*Parameters!$B$47+X316*Parameters!$B$48</f>
        <v>0</v>
      </c>
      <c r="Z316" s="0" t="str">
        <f aca="false">IF(Y316&gt;=Parameters!$B$25,"High","")</f>
        <v/>
      </c>
    </row>
    <row r="317" customFormat="false" ht="15" hidden="false" customHeight="false" outlineLevel="0" collapsed="false">
      <c r="A317" s="16" t="n">
        <v>1319</v>
      </c>
      <c r="B317" s="9" t="n">
        <f aca="false">COUNTIF(JE_Lines!$B$5:$B$1733,A317)</f>
        <v>2</v>
      </c>
      <c r="C317" s="17" t="n">
        <f aca="false">SUMIFS(JE_Lines!$G$5:$G$1733,JE_Lines!$B$5:$B$1733,A317)</f>
        <v>4035.61</v>
      </c>
      <c r="D317" s="17" t="n">
        <f aca="false">SUMIFS(JE_Lines!$H$5:$H$1733,JE_Lines!$B$5:$B$1733,A317)</f>
        <v>4035.61</v>
      </c>
      <c r="E317" s="17" t="n">
        <f aca="false">C317-D317</f>
        <v>0</v>
      </c>
      <c r="F317" s="18" t="n">
        <f aca="false">INDEX(JE_Lines!$C$5:$C$1733,MATCH(A317,JE_Lines!$B$5:$B$1733,0))</f>
        <v>45799</v>
      </c>
      <c r="G317" s="18" t="n">
        <f aca="false">INDEX(JE_Lines!$D$5:$D$1733,MATCH(A317,JE_Lines!$B$5:$B$1733,0))</f>
        <v>45796</v>
      </c>
      <c r="H317" s="0" t="str">
        <f aca="false">INDEX(JE_Lines!$I$5:$I$1733,MATCH(A317,JE_Lines!$B$5:$B$1733,0))</f>
        <v>SYS_AR</v>
      </c>
      <c r="I317" s="0" t="str">
        <f aca="false">INDEX(JE_Lines!$J$5:$J$1733,MATCH(A317,JE_Lines!$B$5:$B$1733,0))</f>
        <v>System</v>
      </c>
      <c r="J317" s="0" t="str">
        <f aca="false">IF(LEN(INDEX(JE_Lines!$K$5:$K$1733,MATCH(A317,JE_Lines!$B$5:$B$1733,0)))=0,"",INDEX(JE_Lines!$K$5:$K$1733,MATCH(A317,JE_Lines!$B$5:$B$1733,0)))</f>
        <v>Sales invoice batch</v>
      </c>
      <c r="K317" s="9" t="n">
        <f aca="false">F317-G317</f>
        <v>3</v>
      </c>
      <c r="L317" s="9" t="n">
        <f aca="false">COUNTIFS(JE_Lines!$B$5:$B$1733,A317,JE_Lines!$F$5:$F$1733,"Revenue")</f>
        <v>1</v>
      </c>
      <c r="M317" s="9" t="n">
        <f aca="false">COUNTIFS(JE_Lines!$B$5:$B$1733,A317,JE_Lines!$F$5:$F$1733,"Suspense")</f>
        <v>0</v>
      </c>
      <c r="N317" s="9" t="n">
        <f aca="false">IF(ABS(E317)&gt;Parameters!$B$23,1,0)</f>
        <v>0</v>
      </c>
      <c r="O317" s="9" t="n">
        <f aca="false">IF(WEEKDAY(F317,2)&gt;5,1,0)</f>
        <v>0</v>
      </c>
      <c r="P317" s="9" t="n">
        <f aca="false">IF(K317&gt;Parameters!$B$17,1,0)</f>
        <v>0</v>
      </c>
      <c r="Q317" s="9" t="n">
        <f aca="false">IF(AND(F317&lt;=Parameters!$B$6,F317&gt;Parameters!$B$6-Parameters!$B$18),1,0)</f>
        <v>0</v>
      </c>
      <c r="R317" s="9" t="n">
        <f aca="false">IF(COUNTIF(Parameters!$A$51:$A$58,H317)=0,1,0)</f>
        <v>0</v>
      </c>
      <c r="S317" s="9" t="n">
        <f aca="false">IF(AND(I317="Manual",L317&gt;0),1,0)</f>
        <v>0</v>
      </c>
      <c r="T317" s="9" t="n">
        <f aca="false">IF(AND(C317&gt;=Parameters!$B$22,ROUND(MOD(ROUND(C317,2),Parameters!$B$21),2)=0),1,0)</f>
        <v>0</v>
      </c>
      <c r="U317" s="9" t="n">
        <f aca="false">IF(LEN(TRIM(J317))=0,1,0)</f>
        <v>0</v>
      </c>
      <c r="V317" s="9" t="n">
        <f aca="false">IF(AND(I317="Manual",C317&lt;Parameters!$B$19,C317&gt;=Parameters!$B$19*(1-Parameters!$B$20)),1,0)</f>
        <v>0</v>
      </c>
      <c r="W317" s="9" t="n">
        <f aca="false">IF(AND(I317="Manual",M317&gt;0),1,0)</f>
        <v>0</v>
      </c>
      <c r="X317" s="9" t="n">
        <f aca="false">IF(A317-A316&gt;1,1,0)</f>
        <v>0</v>
      </c>
      <c r="Y317" s="9" t="n">
        <f aca="false">N317*Parameters!$B$38+O317*Parameters!$B$39+P317*Parameters!$B$40+Q317*Parameters!$B$41+R317*Parameters!$B$42+S317*Parameters!$B$43+T317*Parameters!$B$44+U317*Parameters!$B$45+V317*Parameters!$B$46+W317*Parameters!$B$47+X317*Parameters!$B$48</f>
        <v>0</v>
      </c>
      <c r="Z317" s="0" t="str">
        <f aca="false">IF(Y317&gt;=Parameters!$B$25,"High","")</f>
        <v/>
      </c>
    </row>
    <row r="318" customFormat="false" ht="15" hidden="false" customHeight="false" outlineLevel="0" collapsed="false">
      <c r="A318" s="16" t="n">
        <v>1320</v>
      </c>
      <c r="B318" s="9" t="n">
        <f aca="false">COUNTIF(JE_Lines!$B$5:$B$1733,A318)</f>
        <v>2</v>
      </c>
      <c r="C318" s="17" t="n">
        <f aca="false">SUMIFS(JE_Lines!$G$5:$G$1733,JE_Lines!$B$5:$B$1733,A318)</f>
        <v>70570.57</v>
      </c>
      <c r="D318" s="17" t="n">
        <f aca="false">SUMIFS(JE_Lines!$H$5:$H$1733,JE_Lines!$B$5:$B$1733,A318)</f>
        <v>70570.57</v>
      </c>
      <c r="E318" s="17" t="n">
        <f aca="false">C318-D318</f>
        <v>0</v>
      </c>
      <c r="F318" s="18" t="n">
        <f aca="false">INDEX(JE_Lines!$C$5:$C$1733,MATCH(A318,JE_Lines!$B$5:$B$1733,0))</f>
        <v>45800</v>
      </c>
      <c r="G318" s="18" t="n">
        <f aca="false">INDEX(JE_Lines!$D$5:$D$1733,MATCH(A318,JE_Lines!$B$5:$B$1733,0))</f>
        <v>45800</v>
      </c>
      <c r="H318" s="0" t="str">
        <f aca="false">INDEX(JE_Lines!$I$5:$I$1733,MATCH(A318,JE_Lines!$B$5:$B$1733,0))</f>
        <v>SYS_PAY</v>
      </c>
      <c r="I318" s="0" t="str">
        <f aca="false">INDEX(JE_Lines!$J$5:$J$1733,MATCH(A318,JE_Lines!$B$5:$B$1733,0))</f>
        <v>System</v>
      </c>
      <c r="J318" s="0" t="str">
        <f aca="false">IF(LEN(INDEX(JE_Lines!$K$5:$K$1733,MATCH(A318,JE_Lines!$B$5:$B$1733,0)))=0,"",INDEX(JE_Lines!$K$5:$K$1733,MATCH(A318,JE_Lines!$B$5:$B$1733,0)))</f>
        <v>Supplier payments</v>
      </c>
      <c r="K318" s="9" t="n">
        <f aca="false">F318-G318</f>
        <v>0</v>
      </c>
      <c r="L318" s="9" t="n">
        <f aca="false">COUNTIFS(JE_Lines!$B$5:$B$1733,A318,JE_Lines!$F$5:$F$1733,"Revenue")</f>
        <v>0</v>
      </c>
      <c r="M318" s="9" t="n">
        <f aca="false">COUNTIFS(JE_Lines!$B$5:$B$1733,A318,JE_Lines!$F$5:$F$1733,"Suspense")</f>
        <v>0</v>
      </c>
      <c r="N318" s="9" t="n">
        <f aca="false">IF(ABS(E318)&gt;Parameters!$B$23,1,0)</f>
        <v>0</v>
      </c>
      <c r="O318" s="9" t="n">
        <f aca="false">IF(WEEKDAY(F318,2)&gt;5,1,0)</f>
        <v>0</v>
      </c>
      <c r="P318" s="9" t="n">
        <f aca="false">IF(K318&gt;Parameters!$B$17,1,0)</f>
        <v>0</v>
      </c>
      <c r="Q318" s="9" t="n">
        <f aca="false">IF(AND(F318&lt;=Parameters!$B$6,F318&gt;Parameters!$B$6-Parameters!$B$18),1,0)</f>
        <v>0</v>
      </c>
      <c r="R318" s="9" t="n">
        <f aca="false">IF(COUNTIF(Parameters!$A$51:$A$58,H318)=0,1,0)</f>
        <v>0</v>
      </c>
      <c r="S318" s="9" t="n">
        <f aca="false">IF(AND(I318="Manual",L318&gt;0),1,0)</f>
        <v>0</v>
      </c>
      <c r="T318" s="9" t="n">
        <f aca="false">IF(AND(C318&gt;=Parameters!$B$22,ROUND(MOD(ROUND(C318,2),Parameters!$B$21),2)=0),1,0)</f>
        <v>0</v>
      </c>
      <c r="U318" s="9" t="n">
        <f aca="false">IF(LEN(TRIM(J318))=0,1,0)</f>
        <v>0</v>
      </c>
      <c r="V318" s="9" t="n">
        <f aca="false">IF(AND(I318="Manual",C318&lt;Parameters!$B$19,C318&gt;=Parameters!$B$19*(1-Parameters!$B$20)),1,0)</f>
        <v>0</v>
      </c>
      <c r="W318" s="9" t="n">
        <f aca="false">IF(AND(I318="Manual",M318&gt;0),1,0)</f>
        <v>0</v>
      </c>
      <c r="X318" s="9" t="n">
        <f aca="false">IF(A318-A317&gt;1,1,0)</f>
        <v>0</v>
      </c>
      <c r="Y318" s="9" t="n">
        <f aca="false">N318*Parameters!$B$38+O318*Parameters!$B$39+P318*Parameters!$B$40+Q318*Parameters!$B$41+R318*Parameters!$B$42+S318*Parameters!$B$43+T318*Parameters!$B$44+U318*Parameters!$B$45+V318*Parameters!$B$46+W318*Parameters!$B$47+X318*Parameters!$B$48</f>
        <v>0</v>
      </c>
      <c r="Z318" s="0" t="str">
        <f aca="false">IF(Y318&gt;=Parameters!$B$25,"High","")</f>
        <v/>
      </c>
    </row>
    <row r="319" customFormat="false" ht="15" hidden="false" customHeight="false" outlineLevel="0" collapsed="false">
      <c r="A319" s="16" t="n">
        <v>1321</v>
      </c>
      <c r="B319" s="9" t="n">
        <f aca="false">COUNTIF(JE_Lines!$B$5:$B$1733,A319)</f>
        <v>2</v>
      </c>
      <c r="C319" s="17" t="n">
        <f aca="false">SUMIFS(JE_Lines!$G$5:$G$1733,JE_Lines!$B$5:$B$1733,A319)</f>
        <v>106397.53</v>
      </c>
      <c r="D319" s="17" t="n">
        <f aca="false">SUMIFS(JE_Lines!$H$5:$H$1733,JE_Lines!$B$5:$B$1733,A319)</f>
        <v>106397.53</v>
      </c>
      <c r="E319" s="17" t="n">
        <f aca="false">C319-D319</f>
        <v>0</v>
      </c>
      <c r="F319" s="18" t="n">
        <f aca="false">INDEX(JE_Lines!$C$5:$C$1733,MATCH(A319,JE_Lines!$B$5:$B$1733,0))</f>
        <v>45802</v>
      </c>
      <c r="G319" s="18" t="n">
        <f aca="false">INDEX(JE_Lines!$D$5:$D$1733,MATCH(A319,JE_Lines!$B$5:$B$1733,0))</f>
        <v>45802</v>
      </c>
      <c r="H319" s="0" t="str">
        <f aca="false">INDEX(JE_Lines!$I$5:$I$1733,MATCH(A319,JE_Lines!$B$5:$B$1733,0))</f>
        <v>FIN02</v>
      </c>
      <c r="I319" s="0" t="str">
        <f aca="false">INDEX(JE_Lines!$J$5:$J$1733,MATCH(A319,JE_Lines!$B$5:$B$1733,0))</f>
        <v>Manual</v>
      </c>
      <c r="J319" s="0" t="str">
        <f aca="false">IF(LEN(INDEX(JE_Lines!$K$5:$K$1733,MATCH(A319,JE_Lines!$B$5:$B$1733,0)))=0,"",INDEX(JE_Lines!$K$5:$K$1733,MATCH(A319,JE_Lines!$B$5:$B$1733,0)))</f>
        <v>Weekend adjustment 4</v>
      </c>
      <c r="K319" s="9" t="n">
        <f aca="false">F319-G319</f>
        <v>0</v>
      </c>
      <c r="L319" s="9" t="n">
        <f aca="false">COUNTIFS(JE_Lines!$B$5:$B$1733,A319,JE_Lines!$F$5:$F$1733,"Revenue")</f>
        <v>0</v>
      </c>
      <c r="M319" s="9" t="n">
        <f aca="false">COUNTIFS(JE_Lines!$B$5:$B$1733,A319,JE_Lines!$F$5:$F$1733,"Suspense")</f>
        <v>0</v>
      </c>
      <c r="N319" s="9" t="n">
        <f aca="false">IF(ABS(E319)&gt;Parameters!$B$23,1,0)</f>
        <v>0</v>
      </c>
      <c r="O319" s="9" t="n">
        <f aca="false">IF(WEEKDAY(F319,2)&gt;5,1,0)</f>
        <v>1</v>
      </c>
      <c r="P319" s="9" t="n">
        <f aca="false">IF(K319&gt;Parameters!$B$17,1,0)</f>
        <v>0</v>
      </c>
      <c r="Q319" s="9" t="n">
        <f aca="false">IF(AND(F319&lt;=Parameters!$B$6,F319&gt;Parameters!$B$6-Parameters!$B$18),1,0)</f>
        <v>0</v>
      </c>
      <c r="R319" s="9" t="n">
        <f aca="false">IF(COUNTIF(Parameters!$A$51:$A$58,H319)=0,1,0)</f>
        <v>0</v>
      </c>
      <c r="S319" s="9" t="n">
        <f aca="false">IF(AND(I319="Manual",L319&gt;0),1,0)</f>
        <v>0</v>
      </c>
      <c r="T319" s="9" t="n">
        <f aca="false">IF(AND(C319&gt;=Parameters!$B$22,ROUND(MOD(ROUND(C319,2),Parameters!$B$21),2)=0),1,0)</f>
        <v>0</v>
      </c>
      <c r="U319" s="9" t="n">
        <f aca="false">IF(LEN(TRIM(J319))=0,1,0)</f>
        <v>0</v>
      </c>
      <c r="V319" s="9" t="n">
        <f aca="false">IF(AND(I319="Manual",C319&lt;Parameters!$B$19,C319&gt;=Parameters!$B$19*(1-Parameters!$B$20)),1,0)</f>
        <v>0</v>
      </c>
      <c r="W319" s="9" t="n">
        <f aca="false">IF(AND(I319="Manual",M319&gt;0),1,0)</f>
        <v>0</v>
      </c>
      <c r="X319" s="9" t="n">
        <f aca="false">IF(A319-A318&gt;1,1,0)</f>
        <v>0</v>
      </c>
      <c r="Y319" s="9" t="n">
        <f aca="false">N319*Parameters!$B$38+O319*Parameters!$B$39+P319*Parameters!$B$40+Q319*Parameters!$B$41+R319*Parameters!$B$42+S319*Parameters!$B$43+T319*Parameters!$B$44+U319*Parameters!$B$45+V319*Parameters!$B$46+W319*Parameters!$B$47+X319*Parameters!$B$48</f>
        <v>2</v>
      </c>
      <c r="Z319" s="0" t="str">
        <f aca="false">IF(Y319&gt;=Parameters!$B$25,"High","")</f>
        <v/>
      </c>
    </row>
    <row r="320" customFormat="false" ht="15" hidden="false" customHeight="false" outlineLevel="0" collapsed="false">
      <c r="A320" s="16" t="n">
        <v>1322</v>
      </c>
      <c r="B320" s="9" t="n">
        <f aca="false">COUNTIF(JE_Lines!$B$5:$B$1733,A320)</f>
        <v>2</v>
      </c>
      <c r="C320" s="17" t="n">
        <f aca="false">SUMIFS(JE_Lines!$G$5:$G$1733,JE_Lines!$B$5:$B$1733,A320)</f>
        <v>240000</v>
      </c>
      <c r="D320" s="17" t="n">
        <f aca="false">SUMIFS(JE_Lines!$H$5:$H$1733,JE_Lines!$B$5:$B$1733,A320)</f>
        <v>240000</v>
      </c>
      <c r="E320" s="17" t="n">
        <f aca="false">C320-D320</f>
        <v>0</v>
      </c>
      <c r="F320" s="18" t="n">
        <f aca="false">INDEX(JE_Lines!$C$5:$C$1733,MATCH(A320,JE_Lines!$B$5:$B$1733,0))</f>
        <v>45803</v>
      </c>
      <c r="G320" s="18" t="n">
        <f aca="false">INDEX(JE_Lines!$D$5:$D$1733,MATCH(A320,JE_Lines!$B$5:$B$1733,0))</f>
        <v>45803</v>
      </c>
      <c r="H320" s="0" t="str">
        <f aca="false">INDEX(JE_Lines!$I$5:$I$1733,MATCH(A320,JE_Lines!$B$5:$B$1733,0))</f>
        <v>SYS_PAY</v>
      </c>
      <c r="I320" s="0" t="str">
        <f aca="false">INDEX(JE_Lines!$J$5:$J$1733,MATCH(A320,JE_Lines!$B$5:$B$1733,0))</f>
        <v>System</v>
      </c>
      <c r="J320" s="0" t="str">
        <f aca="false">IF(LEN(INDEX(JE_Lines!$K$5:$K$1733,MATCH(A320,JE_Lines!$B$5:$B$1733,0)))=0,"",INDEX(JE_Lines!$K$5:$K$1733,MATCH(A320,JE_Lines!$B$5:$B$1733,0)))</f>
        <v>Monthly payroll</v>
      </c>
      <c r="K320" s="9" t="n">
        <f aca="false">F320-G320</f>
        <v>0</v>
      </c>
      <c r="L320" s="9" t="n">
        <f aca="false">COUNTIFS(JE_Lines!$B$5:$B$1733,A320,JE_Lines!$F$5:$F$1733,"Revenue")</f>
        <v>0</v>
      </c>
      <c r="M320" s="9" t="n">
        <f aca="false">COUNTIFS(JE_Lines!$B$5:$B$1733,A320,JE_Lines!$F$5:$F$1733,"Suspense")</f>
        <v>0</v>
      </c>
      <c r="N320" s="9" t="n">
        <f aca="false">IF(ABS(E320)&gt;Parameters!$B$23,1,0)</f>
        <v>0</v>
      </c>
      <c r="O320" s="9" t="n">
        <f aca="false">IF(WEEKDAY(F320,2)&gt;5,1,0)</f>
        <v>0</v>
      </c>
      <c r="P320" s="9" t="n">
        <f aca="false">IF(K320&gt;Parameters!$B$17,1,0)</f>
        <v>0</v>
      </c>
      <c r="Q320" s="9" t="n">
        <f aca="false">IF(AND(F320&lt;=Parameters!$B$6,F320&gt;Parameters!$B$6-Parameters!$B$18),1,0)</f>
        <v>0</v>
      </c>
      <c r="R320" s="9" t="n">
        <f aca="false">IF(COUNTIF(Parameters!$A$51:$A$58,H320)=0,1,0)</f>
        <v>0</v>
      </c>
      <c r="S320" s="9" t="n">
        <f aca="false">IF(AND(I320="Manual",L320&gt;0),1,0)</f>
        <v>0</v>
      </c>
      <c r="T320" s="9" t="n">
        <f aca="false">IF(AND(C320&gt;=Parameters!$B$22,ROUND(MOD(ROUND(C320,2),Parameters!$B$21),2)=0),1,0)</f>
        <v>1</v>
      </c>
      <c r="U320" s="9" t="n">
        <f aca="false">IF(LEN(TRIM(J320))=0,1,0)</f>
        <v>0</v>
      </c>
      <c r="V320" s="9" t="n">
        <f aca="false">IF(AND(I320="Manual",C320&lt;Parameters!$B$19,C320&gt;=Parameters!$B$19*(1-Parameters!$B$20)),1,0)</f>
        <v>0</v>
      </c>
      <c r="W320" s="9" t="n">
        <f aca="false">IF(AND(I320="Manual",M320&gt;0),1,0)</f>
        <v>0</v>
      </c>
      <c r="X320" s="9" t="n">
        <f aca="false">IF(A320-A319&gt;1,1,0)</f>
        <v>0</v>
      </c>
      <c r="Y320" s="9" t="n">
        <f aca="false">N320*Parameters!$B$38+O320*Parameters!$B$39+P320*Parameters!$B$40+Q320*Parameters!$B$41+R320*Parameters!$B$42+S320*Parameters!$B$43+T320*Parameters!$B$44+U320*Parameters!$B$45+V320*Parameters!$B$46+W320*Parameters!$B$47+X320*Parameters!$B$48</f>
        <v>2</v>
      </c>
      <c r="Z320" s="0" t="str">
        <f aca="false">IF(Y320&gt;=Parameters!$B$25,"High","")</f>
        <v/>
      </c>
    </row>
    <row r="321" customFormat="false" ht="15" hidden="false" customHeight="false" outlineLevel="0" collapsed="false">
      <c r="A321" s="16" t="n">
        <v>1323</v>
      </c>
      <c r="B321" s="9" t="n">
        <f aca="false">COUNTIF(JE_Lines!$B$5:$B$1733,A321)</f>
        <v>2</v>
      </c>
      <c r="C321" s="17" t="n">
        <f aca="false">SUMIFS(JE_Lines!$G$5:$G$1733,JE_Lines!$B$5:$B$1733,A321)</f>
        <v>2109.96</v>
      </c>
      <c r="D321" s="17" t="n">
        <f aca="false">SUMIFS(JE_Lines!$H$5:$H$1733,JE_Lines!$B$5:$B$1733,A321)</f>
        <v>2109.96</v>
      </c>
      <c r="E321" s="17" t="n">
        <f aca="false">C321-D321</f>
        <v>0</v>
      </c>
      <c r="F321" s="18" t="n">
        <f aca="false">INDEX(JE_Lines!$C$5:$C$1733,MATCH(A321,JE_Lines!$B$5:$B$1733,0))</f>
        <v>45803</v>
      </c>
      <c r="G321" s="18" t="n">
        <f aca="false">INDEX(JE_Lines!$D$5:$D$1733,MATCH(A321,JE_Lines!$B$5:$B$1733,0))</f>
        <v>45803</v>
      </c>
      <c r="H321" s="0" t="str">
        <f aca="false">INDEX(JE_Lines!$I$5:$I$1733,MATCH(A321,JE_Lines!$B$5:$B$1733,0))</f>
        <v>SYS_AR</v>
      </c>
      <c r="I321" s="0" t="str">
        <f aca="false">INDEX(JE_Lines!$J$5:$J$1733,MATCH(A321,JE_Lines!$B$5:$B$1733,0))</f>
        <v>System</v>
      </c>
      <c r="J321" s="0" t="str">
        <f aca="false">IF(LEN(INDEX(JE_Lines!$K$5:$K$1733,MATCH(A321,JE_Lines!$B$5:$B$1733,0)))=0,"",INDEX(JE_Lines!$K$5:$K$1733,MATCH(A321,JE_Lines!$B$5:$B$1733,0)))</f>
        <v>Customer receipts</v>
      </c>
      <c r="K321" s="9" t="n">
        <f aca="false">F321-G321</f>
        <v>0</v>
      </c>
      <c r="L321" s="9" t="n">
        <f aca="false">COUNTIFS(JE_Lines!$B$5:$B$1733,A321,JE_Lines!$F$5:$F$1733,"Revenue")</f>
        <v>0</v>
      </c>
      <c r="M321" s="9" t="n">
        <f aca="false">COUNTIFS(JE_Lines!$B$5:$B$1733,A321,JE_Lines!$F$5:$F$1733,"Suspense")</f>
        <v>0</v>
      </c>
      <c r="N321" s="9" t="n">
        <f aca="false">IF(ABS(E321)&gt;Parameters!$B$23,1,0)</f>
        <v>0</v>
      </c>
      <c r="O321" s="9" t="n">
        <f aca="false">IF(WEEKDAY(F321,2)&gt;5,1,0)</f>
        <v>0</v>
      </c>
      <c r="P321" s="9" t="n">
        <f aca="false">IF(K321&gt;Parameters!$B$17,1,0)</f>
        <v>0</v>
      </c>
      <c r="Q321" s="9" t="n">
        <f aca="false">IF(AND(F321&lt;=Parameters!$B$6,F321&gt;Parameters!$B$6-Parameters!$B$18),1,0)</f>
        <v>0</v>
      </c>
      <c r="R321" s="9" t="n">
        <f aca="false">IF(COUNTIF(Parameters!$A$51:$A$58,H321)=0,1,0)</f>
        <v>0</v>
      </c>
      <c r="S321" s="9" t="n">
        <f aca="false">IF(AND(I321="Manual",L321&gt;0),1,0)</f>
        <v>0</v>
      </c>
      <c r="T321" s="9" t="n">
        <f aca="false">IF(AND(C321&gt;=Parameters!$B$22,ROUND(MOD(ROUND(C321,2),Parameters!$B$21),2)=0),1,0)</f>
        <v>0</v>
      </c>
      <c r="U321" s="9" t="n">
        <f aca="false">IF(LEN(TRIM(J321))=0,1,0)</f>
        <v>0</v>
      </c>
      <c r="V321" s="9" t="n">
        <f aca="false">IF(AND(I321="Manual",C321&lt;Parameters!$B$19,C321&gt;=Parameters!$B$19*(1-Parameters!$B$20)),1,0)</f>
        <v>0</v>
      </c>
      <c r="W321" s="9" t="n">
        <f aca="false">IF(AND(I321="Manual",M321&gt;0),1,0)</f>
        <v>0</v>
      </c>
      <c r="X321" s="9" t="n">
        <f aca="false">IF(A321-A320&gt;1,1,0)</f>
        <v>0</v>
      </c>
      <c r="Y321" s="9" t="n">
        <f aca="false">N321*Parameters!$B$38+O321*Parameters!$B$39+P321*Parameters!$B$40+Q321*Parameters!$B$41+R321*Parameters!$B$42+S321*Parameters!$B$43+T321*Parameters!$B$44+U321*Parameters!$B$45+V321*Parameters!$B$46+W321*Parameters!$B$47+X321*Parameters!$B$48</f>
        <v>0</v>
      </c>
      <c r="Z321" s="0" t="str">
        <f aca="false">IF(Y321&gt;=Parameters!$B$25,"High","")</f>
        <v/>
      </c>
    </row>
    <row r="322" customFormat="false" ht="15" hidden="false" customHeight="false" outlineLevel="0" collapsed="false">
      <c r="A322" s="16" t="n">
        <v>1324</v>
      </c>
      <c r="B322" s="9" t="n">
        <f aca="false">COUNTIF(JE_Lines!$B$5:$B$1733,A322)</f>
        <v>2</v>
      </c>
      <c r="C322" s="17" t="n">
        <f aca="false">SUMIFS(JE_Lines!$G$5:$G$1733,JE_Lines!$B$5:$B$1733,A322)</f>
        <v>407.01</v>
      </c>
      <c r="D322" s="17" t="n">
        <f aca="false">SUMIFS(JE_Lines!$H$5:$H$1733,JE_Lines!$B$5:$B$1733,A322)</f>
        <v>407.01</v>
      </c>
      <c r="E322" s="17" t="n">
        <f aca="false">C322-D322</f>
        <v>0</v>
      </c>
      <c r="F322" s="18" t="n">
        <f aca="false">INDEX(JE_Lines!$C$5:$C$1733,MATCH(A322,JE_Lines!$B$5:$B$1733,0))</f>
        <v>45804</v>
      </c>
      <c r="G322" s="18" t="n">
        <f aca="false">INDEX(JE_Lines!$D$5:$D$1733,MATCH(A322,JE_Lines!$B$5:$B$1733,0))</f>
        <v>45745</v>
      </c>
      <c r="H322" s="0" t="str">
        <f aca="false">INDEX(JE_Lines!$I$5:$I$1733,MATCH(A322,JE_Lines!$B$5:$B$1733,0))</f>
        <v>FIN02</v>
      </c>
      <c r="I322" s="0" t="str">
        <f aca="false">INDEX(JE_Lines!$J$5:$J$1733,MATCH(A322,JE_Lines!$B$5:$B$1733,0))</f>
        <v>Manual</v>
      </c>
      <c r="J322" s="0" t="str">
        <f aca="false">IF(LEN(INDEX(JE_Lines!$K$5:$K$1733,MATCH(A322,JE_Lines!$B$5:$B$1733,0)))=0,"",INDEX(JE_Lines!$K$5:$K$1733,MATCH(A322,JE_Lines!$B$5:$B$1733,0)))</f>
        <v>Prior period correction 2</v>
      </c>
      <c r="K322" s="9" t="n">
        <f aca="false">F322-G322</f>
        <v>59</v>
      </c>
      <c r="L322" s="9" t="n">
        <f aca="false">COUNTIFS(JE_Lines!$B$5:$B$1733,A322,JE_Lines!$F$5:$F$1733,"Revenue")</f>
        <v>0</v>
      </c>
      <c r="M322" s="9" t="n">
        <f aca="false">COUNTIFS(JE_Lines!$B$5:$B$1733,A322,JE_Lines!$F$5:$F$1733,"Suspense")</f>
        <v>0</v>
      </c>
      <c r="N322" s="9" t="n">
        <f aca="false">IF(ABS(E322)&gt;Parameters!$B$23,1,0)</f>
        <v>0</v>
      </c>
      <c r="O322" s="9" t="n">
        <f aca="false">IF(WEEKDAY(F322,2)&gt;5,1,0)</f>
        <v>0</v>
      </c>
      <c r="P322" s="9" t="n">
        <f aca="false">IF(K322&gt;Parameters!$B$17,1,0)</f>
        <v>1</v>
      </c>
      <c r="Q322" s="9" t="n">
        <f aca="false">IF(AND(F322&lt;=Parameters!$B$6,F322&gt;Parameters!$B$6-Parameters!$B$18),1,0)</f>
        <v>0</v>
      </c>
      <c r="R322" s="9" t="n">
        <f aca="false">IF(COUNTIF(Parameters!$A$51:$A$58,H322)=0,1,0)</f>
        <v>0</v>
      </c>
      <c r="S322" s="9" t="n">
        <f aca="false">IF(AND(I322="Manual",L322&gt;0),1,0)</f>
        <v>0</v>
      </c>
      <c r="T322" s="9" t="n">
        <f aca="false">IF(AND(C322&gt;=Parameters!$B$22,ROUND(MOD(ROUND(C322,2),Parameters!$B$21),2)=0),1,0)</f>
        <v>0</v>
      </c>
      <c r="U322" s="9" t="n">
        <f aca="false">IF(LEN(TRIM(J322))=0,1,0)</f>
        <v>0</v>
      </c>
      <c r="V322" s="9" t="n">
        <f aca="false">IF(AND(I322="Manual",C322&lt;Parameters!$B$19,C322&gt;=Parameters!$B$19*(1-Parameters!$B$20)),1,0)</f>
        <v>0</v>
      </c>
      <c r="W322" s="9" t="n">
        <f aca="false">IF(AND(I322="Manual",M322&gt;0),1,0)</f>
        <v>0</v>
      </c>
      <c r="X322" s="9" t="n">
        <f aca="false">IF(A322-A321&gt;1,1,0)</f>
        <v>0</v>
      </c>
      <c r="Y322" s="9" t="n">
        <f aca="false">N322*Parameters!$B$38+O322*Parameters!$B$39+P322*Parameters!$B$40+Q322*Parameters!$B$41+R322*Parameters!$B$42+S322*Parameters!$B$43+T322*Parameters!$B$44+U322*Parameters!$B$45+V322*Parameters!$B$46+W322*Parameters!$B$47+X322*Parameters!$B$48</f>
        <v>2</v>
      </c>
      <c r="Z322" s="0" t="str">
        <f aca="false">IF(Y322&gt;=Parameters!$B$25,"High","")</f>
        <v/>
      </c>
    </row>
    <row r="323" customFormat="false" ht="15" hidden="false" customHeight="false" outlineLevel="0" collapsed="false">
      <c r="A323" s="16" t="n">
        <v>1325</v>
      </c>
      <c r="B323" s="9" t="n">
        <f aca="false">COUNTIF(JE_Lines!$B$5:$B$1733,A323)</f>
        <v>3</v>
      </c>
      <c r="C323" s="17" t="n">
        <f aca="false">SUMIFS(JE_Lines!$G$5:$G$1733,JE_Lines!$B$5:$B$1733,A323)</f>
        <v>2494.01</v>
      </c>
      <c r="D323" s="17" t="n">
        <f aca="false">SUMIFS(JE_Lines!$H$5:$H$1733,JE_Lines!$B$5:$B$1733,A323)</f>
        <v>2494.01</v>
      </c>
      <c r="E323" s="17" t="n">
        <f aca="false">C323-D323</f>
        <v>0</v>
      </c>
      <c r="F323" s="18" t="n">
        <f aca="false">INDEX(JE_Lines!$C$5:$C$1733,MATCH(A323,JE_Lines!$B$5:$B$1733,0))</f>
        <v>45805</v>
      </c>
      <c r="G323" s="18" t="n">
        <f aca="false">INDEX(JE_Lines!$D$5:$D$1733,MATCH(A323,JE_Lines!$B$5:$B$1733,0))</f>
        <v>45804</v>
      </c>
      <c r="H323" s="0" t="str">
        <f aca="false">INDEX(JE_Lines!$I$5:$I$1733,MATCH(A323,JE_Lines!$B$5:$B$1733,0))</f>
        <v>SYS_PAY</v>
      </c>
      <c r="I323" s="0" t="str">
        <f aca="false">INDEX(JE_Lines!$J$5:$J$1733,MATCH(A323,JE_Lines!$B$5:$B$1733,0))</f>
        <v>System</v>
      </c>
      <c r="J323" s="0" t="str">
        <f aca="false">IF(LEN(INDEX(JE_Lines!$K$5:$K$1733,MATCH(A323,JE_Lines!$B$5:$B$1733,0)))=0,"",INDEX(JE_Lines!$K$5:$K$1733,MATCH(A323,JE_Lines!$B$5:$B$1733,0)))</f>
        <v>Supplier payments</v>
      </c>
      <c r="K323" s="9" t="n">
        <f aca="false">F323-G323</f>
        <v>1</v>
      </c>
      <c r="L323" s="9" t="n">
        <f aca="false">COUNTIFS(JE_Lines!$B$5:$B$1733,A323,JE_Lines!$F$5:$F$1733,"Revenue")</f>
        <v>0</v>
      </c>
      <c r="M323" s="9" t="n">
        <f aca="false">COUNTIFS(JE_Lines!$B$5:$B$1733,A323,JE_Lines!$F$5:$F$1733,"Suspense")</f>
        <v>0</v>
      </c>
      <c r="N323" s="9" t="n">
        <f aca="false">IF(ABS(E323)&gt;Parameters!$B$23,1,0)</f>
        <v>0</v>
      </c>
      <c r="O323" s="9" t="n">
        <f aca="false">IF(WEEKDAY(F323,2)&gt;5,1,0)</f>
        <v>0</v>
      </c>
      <c r="P323" s="9" t="n">
        <f aca="false">IF(K323&gt;Parameters!$B$17,1,0)</f>
        <v>0</v>
      </c>
      <c r="Q323" s="9" t="n">
        <f aca="false">IF(AND(F323&lt;=Parameters!$B$6,F323&gt;Parameters!$B$6-Parameters!$B$18),1,0)</f>
        <v>0</v>
      </c>
      <c r="R323" s="9" t="n">
        <f aca="false">IF(COUNTIF(Parameters!$A$51:$A$58,H323)=0,1,0)</f>
        <v>0</v>
      </c>
      <c r="S323" s="9" t="n">
        <f aca="false">IF(AND(I323="Manual",L323&gt;0),1,0)</f>
        <v>0</v>
      </c>
      <c r="T323" s="9" t="n">
        <f aca="false">IF(AND(C323&gt;=Parameters!$B$22,ROUND(MOD(ROUND(C323,2),Parameters!$B$21),2)=0),1,0)</f>
        <v>0</v>
      </c>
      <c r="U323" s="9" t="n">
        <f aca="false">IF(LEN(TRIM(J323))=0,1,0)</f>
        <v>0</v>
      </c>
      <c r="V323" s="9" t="n">
        <f aca="false">IF(AND(I323="Manual",C323&lt;Parameters!$B$19,C323&gt;=Parameters!$B$19*(1-Parameters!$B$20)),1,0)</f>
        <v>0</v>
      </c>
      <c r="W323" s="9" t="n">
        <f aca="false">IF(AND(I323="Manual",M323&gt;0),1,0)</f>
        <v>0</v>
      </c>
      <c r="X323" s="9" t="n">
        <f aca="false">IF(A323-A322&gt;1,1,0)</f>
        <v>0</v>
      </c>
      <c r="Y323" s="9" t="n">
        <f aca="false">N323*Parameters!$B$38+O323*Parameters!$B$39+P323*Parameters!$B$40+Q323*Parameters!$B$41+R323*Parameters!$B$42+S323*Parameters!$B$43+T323*Parameters!$B$44+U323*Parameters!$B$45+V323*Parameters!$B$46+W323*Parameters!$B$47+X323*Parameters!$B$48</f>
        <v>0</v>
      </c>
      <c r="Z323" s="0" t="str">
        <f aca="false">IF(Y323&gt;=Parameters!$B$25,"High","")</f>
        <v/>
      </c>
    </row>
    <row r="324" customFormat="false" ht="15" hidden="false" customHeight="false" outlineLevel="0" collapsed="false">
      <c r="A324" s="16" t="n">
        <v>1326</v>
      </c>
      <c r="B324" s="9" t="n">
        <f aca="false">COUNTIF(JE_Lines!$B$5:$B$1733,A324)</f>
        <v>2</v>
      </c>
      <c r="C324" s="17" t="n">
        <f aca="false">SUMIFS(JE_Lines!$G$5:$G$1733,JE_Lines!$B$5:$B$1733,A324)</f>
        <v>25642.4</v>
      </c>
      <c r="D324" s="17" t="n">
        <f aca="false">SUMIFS(JE_Lines!$H$5:$H$1733,JE_Lines!$B$5:$B$1733,A324)</f>
        <v>25642.4</v>
      </c>
      <c r="E324" s="17" t="n">
        <f aca="false">C324-D324</f>
        <v>0</v>
      </c>
      <c r="F324" s="18" t="n">
        <f aca="false">INDEX(JE_Lines!$C$5:$C$1733,MATCH(A324,JE_Lines!$B$5:$B$1733,0))</f>
        <v>45805</v>
      </c>
      <c r="G324" s="18" t="n">
        <f aca="false">INDEX(JE_Lines!$D$5:$D$1733,MATCH(A324,JE_Lines!$B$5:$B$1733,0))</f>
        <v>45802</v>
      </c>
      <c r="H324" s="0" t="str">
        <f aca="false">INDEX(JE_Lines!$I$5:$I$1733,MATCH(A324,JE_Lines!$B$5:$B$1733,0))</f>
        <v>SYS_PAY</v>
      </c>
      <c r="I324" s="0" t="str">
        <f aca="false">INDEX(JE_Lines!$J$5:$J$1733,MATCH(A324,JE_Lines!$B$5:$B$1733,0))</f>
        <v>System</v>
      </c>
      <c r="J324" s="0" t="str">
        <f aca="false">IF(LEN(INDEX(JE_Lines!$K$5:$K$1733,MATCH(A324,JE_Lines!$B$5:$B$1733,0)))=0,"",INDEX(JE_Lines!$K$5:$K$1733,MATCH(A324,JE_Lines!$B$5:$B$1733,0)))</f>
        <v>Supplier payments</v>
      </c>
      <c r="K324" s="9" t="n">
        <f aca="false">F324-G324</f>
        <v>3</v>
      </c>
      <c r="L324" s="9" t="n">
        <f aca="false">COUNTIFS(JE_Lines!$B$5:$B$1733,A324,JE_Lines!$F$5:$F$1733,"Revenue")</f>
        <v>0</v>
      </c>
      <c r="M324" s="9" t="n">
        <f aca="false">COUNTIFS(JE_Lines!$B$5:$B$1733,A324,JE_Lines!$F$5:$F$1733,"Suspense")</f>
        <v>0</v>
      </c>
      <c r="N324" s="9" t="n">
        <f aca="false">IF(ABS(E324)&gt;Parameters!$B$23,1,0)</f>
        <v>0</v>
      </c>
      <c r="O324" s="9" t="n">
        <f aca="false">IF(WEEKDAY(F324,2)&gt;5,1,0)</f>
        <v>0</v>
      </c>
      <c r="P324" s="9" t="n">
        <f aca="false">IF(K324&gt;Parameters!$B$17,1,0)</f>
        <v>0</v>
      </c>
      <c r="Q324" s="9" t="n">
        <f aca="false">IF(AND(F324&lt;=Parameters!$B$6,F324&gt;Parameters!$B$6-Parameters!$B$18),1,0)</f>
        <v>0</v>
      </c>
      <c r="R324" s="9" t="n">
        <f aca="false">IF(COUNTIF(Parameters!$A$51:$A$58,H324)=0,1,0)</f>
        <v>0</v>
      </c>
      <c r="S324" s="9" t="n">
        <f aca="false">IF(AND(I324="Manual",L324&gt;0),1,0)</f>
        <v>0</v>
      </c>
      <c r="T324" s="9" t="n">
        <f aca="false">IF(AND(C324&gt;=Parameters!$B$22,ROUND(MOD(ROUND(C324,2),Parameters!$B$21),2)=0),1,0)</f>
        <v>0</v>
      </c>
      <c r="U324" s="9" t="n">
        <f aca="false">IF(LEN(TRIM(J324))=0,1,0)</f>
        <v>0</v>
      </c>
      <c r="V324" s="9" t="n">
        <f aca="false">IF(AND(I324="Manual",C324&lt;Parameters!$B$19,C324&gt;=Parameters!$B$19*(1-Parameters!$B$20)),1,0)</f>
        <v>0</v>
      </c>
      <c r="W324" s="9" t="n">
        <f aca="false">IF(AND(I324="Manual",M324&gt;0),1,0)</f>
        <v>0</v>
      </c>
      <c r="X324" s="9" t="n">
        <f aca="false">IF(A324-A323&gt;1,1,0)</f>
        <v>0</v>
      </c>
      <c r="Y324" s="9" t="n">
        <f aca="false">N324*Parameters!$B$38+O324*Parameters!$B$39+P324*Parameters!$B$40+Q324*Parameters!$B$41+R324*Parameters!$B$42+S324*Parameters!$B$43+T324*Parameters!$B$44+U324*Parameters!$B$45+V324*Parameters!$B$46+W324*Parameters!$B$47+X324*Parameters!$B$48</f>
        <v>0</v>
      </c>
      <c r="Z324" s="0" t="str">
        <f aca="false">IF(Y324&gt;=Parameters!$B$25,"High","")</f>
        <v/>
      </c>
    </row>
    <row r="325" customFormat="false" ht="15" hidden="false" customHeight="false" outlineLevel="0" collapsed="false">
      <c r="A325" s="16" t="n">
        <v>1327</v>
      </c>
      <c r="B325" s="9" t="n">
        <f aca="false">COUNTIF(JE_Lines!$B$5:$B$1733,A325)</f>
        <v>2</v>
      </c>
      <c r="C325" s="17" t="n">
        <f aca="false">SUMIFS(JE_Lines!$G$5:$G$1733,JE_Lines!$B$5:$B$1733,A325)</f>
        <v>24327.54</v>
      </c>
      <c r="D325" s="17" t="n">
        <f aca="false">SUMIFS(JE_Lines!$H$5:$H$1733,JE_Lines!$B$5:$B$1733,A325)</f>
        <v>24327.54</v>
      </c>
      <c r="E325" s="17" t="n">
        <f aca="false">C325-D325</f>
        <v>0</v>
      </c>
      <c r="F325" s="18" t="n">
        <f aca="false">INDEX(JE_Lines!$C$5:$C$1733,MATCH(A325,JE_Lines!$B$5:$B$1733,0))</f>
        <v>45805</v>
      </c>
      <c r="G325" s="18" t="n">
        <f aca="false">INDEX(JE_Lines!$D$5:$D$1733,MATCH(A325,JE_Lines!$B$5:$B$1733,0))</f>
        <v>45802</v>
      </c>
      <c r="H325" s="0" t="str">
        <f aca="false">INDEX(JE_Lines!$I$5:$I$1733,MATCH(A325,JE_Lines!$B$5:$B$1733,0))</f>
        <v>SYS_AR</v>
      </c>
      <c r="I325" s="0" t="str">
        <f aca="false">INDEX(JE_Lines!$J$5:$J$1733,MATCH(A325,JE_Lines!$B$5:$B$1733,0))</f>
        <v>System</v>
      </c>
      <c r="J325" s="0" t="str">
        <f aca="false">IF(LEN(INDEX(JE_Lines!$K$5:$K$1733,MATCH(A325,JE_Lines!$B$5:$B$1733,0)))=0,"",INDEX(JE_Lines!$K$5:$K$1733,MATCH(A325,JE_Lines!$B$5:$B$1733,0)))</f>
        <v>Sales invoice batch</v>
      </c>
      <c r="K325" s="9" t="n">
        <f aca="false">F325-G325</f>
        <v>3</v>
      </c>
      <c r="L325" s="9" t="n">
        <f aca="false">COUNTIFS(JE_Lines!$B$5:$B$1733,A325,JE_Lines!$F$5:$F$1733,"Revenue")</f>
        <v>1</v>
      </c>
      <c r="M325" s="9" t="n">
        <f aca="false">COUNTIFS(JE_Lines!$B$5:$B$1733,A325,JE_Lines!$F$5:$F$1733,"Suspense")</f>
        <v>0</v>
      </c>
      <c r="N325" s="9" t="n">
        <f aca="false">IF(ABS(E325)&gt;Parameters!$B$23,1,0)</f>
        <v>0</v>
      </c>
      <c r="O325" s="9" t="n">
        <f aca="false">IF(WEEKDAY(F325,2)&gt;5,1,0)</f>
        <v>0</v>
      </c>
      <c r="P325" s="9" t="n">
        <f aca="false">IF(K325&gt;Parameters!$B$17,1,0)</f>
        <v>0</v>
      </c>
      <c r="Q325" s="9" t="n">
        <f aca="false">IF(AND(F325&lt;=Parameters!$B$6,F325&gt;Parameters!$B$6-Parameters!$B$18),1,0)</f>
        <v>0</v>
      </c>
      <c r="R325" s="9" t="n">
        <f aca="false">IF(COUNTIF(Parameters!$A$51:$A$58,H325)=0,1,0)</f>
        <v>0</v>
      </c>
      <c r="S325" s="9" t="n">
        <f aca="false">IF(AND(I325="Manual",L325&gt;0),1,0)</f>
        <v>0</v>
      </c>
      <c r="T325" s="9" t="n">
        <f aca="false">IF(AND(C325&gt;=Parameters!$B$22,ROUND(MOD(ROUND(C325,2),Parameters!$B$21),2)=0),1,0)</f>
        <v>0</v>
      </c>
      <c r="U325" s="9" t="n">
        <f aca="false">IF(LEN(TRIM(J325))=0,1,0)</f>
        <v>0</v>
      </c>
      <c r="V325" s="9" t="n">
        <f aca="false">IF(AND(I325="Manual",C325&lt;Parameters!$B$19,C325&gt;=Parameters!$B$19*(1-Parameters!$B$20)),1,0)</f>
        <v>0</v>
      </c>
      <c r="W325" s="9" t="n">
        <f aca="false">IF(AND(I325="Manual",M325&gt;0),1,0)</f>
        <v>0</v>
      </c>
      <c r="X325" s="9" t="n">
        <f aca="false">IF(A325-A324&gt;1,1,0)</f>
        <v>0</v>
      </c>
      <c r="Y325" s="9" t="n">
        <f aca="false">N325*Parameters!$B$38+O325*Parameters!$B$39+P325*Parameters!$B$40+Q325*Parameters!$B$41+R325*Parameters!$B$42+S325*Parameters!$B$43+T325*Parameters!$B$44+U325*Parameters!$B$45+V325*Parameters!$B$46+W325*Parameters!$B$47+X325*Parameters!$B$48</f>
        <v>0</v>
      </c>
      <c r="Z325" s="0" t="str">
        <f aca="false">IF(Y325&gt;=Parameters!$B$25,"High","")</f>
        <v/>
      </c>
    </row>
    <row r="326" customFormat="false" ht="15" hidden="false" customHeight="false" outlineLevel="0" collapsed="false">
      <c r="A326" s="16" t="n">
        <v>1328</v>
      </c>
      <c r="B326" s="9" t="n">
        <f aca="false">COUNTIF(JE_Lines!$B$5:$B$1733,A326)</f>
        <v>3</v>
      </c>
      <c r="C326" s="17" t="n">
        <f aca="false">SUMIFS(JE_Lines!$G$5:$G$1733,JE_Lines!$B$5:$B$1733,A326)</f>
        <v>208.13</v>
      </c>
      <c r="D326" s="17" t="n">
        <f aca="false">SUMIFS(JE_Lines!$H$5:$H$1733,JE_Lines!$B$5:$B$1733,A326)</f>
        <v>208.13</v>
      </c>
      <c r="E326" s="17" t="n">
        <f aca="false">C326-D326</f>
        <v>0</v>
      </c>
      <c r="F326" s="18" t="n">
        <f aca="false">INDEX(JE_Lines!$C$5:$C$1733,MATCH(A326,JE_Lines!$B$5:$B$1733,0))</f>
        <v>45806</v>
      </c>
      <c r="G326" s="18" t="n">
        <f aca="false">INDEX(JE_Lines!$D$5:$D$1733,MATCH(A326,JE_Lines!$B$5:$B$1733,0))</f>
        <v>45803</v>
      </c>
      <c r="H326" s="0" t="str">
        <f aca="false">INDEX(JE_Lines!$I$5:$I$1733,MATCH(A326,JE_Lines!$B$5:$B$1733,0))</f>
        <v>SYS_AP</v>
      </c>
      <c r="I326" s="0" t="str">
        <f aca="false">INDEX(JE_Lines!$J$5:$J$1733,MATCH(A326,JE_Lines!$B$5:$B$1733,0))</f>
        <v>System</v>
      </c>
      <c r="J326" s="0" t="str">
        <f aca="false">IF(LEN(INDEX(JE_Lines!$K$5:$K$1733,MATCH(A326,JE_Lines!$B$5:$B$1733,0)))=0,"",INDEX(JE_Lines!$K$5:$K$1733,MATCH(A326,JE_Lines!$B$5:$B$1733,0)))</f>
        <v>Supplier invoices</v>
      </c>
      <c r="K326" s="9" t="n">
        <f aca="false">F326-G326</f>
        <v>3</v>
      </c>
      <c r="L326" s="9" t="n">
        <f aca="false">COUNTIFS(JE_Lines!$B$5:$B$1733,A326,JE_Lines!$F$5:$F$1733,"Revenue")</f>
        <v>0</v>
      </c>
      <c r="M326" s="9" t="n">
        <f aca="false">COUNTIFS(JE_Lines!$B$5:$B$1733,A326,JE_Lines!$F$5:$F$1733,"Suspense")</f>
        <v>0</v>
      </c>
      <c r="N326" s="9" t="n">
        <f aca="false">IF(ABS(E326)&gt;Parameters!$B$23,1,0)</f>
        <v>0</v>
      </c>
      <c r="O326" s="9" t="n">
        <f aca="false">IF(WEEKDAY(F326,2)&gt;5,1,0)</f>
        <v>0</v>
      </c>
      <c r="P326" s="9" t="n">
        <f aca="false">IF(K326&gt;Parameters!$B$17,1,0)</f>
        <v>0</v>
      </c>
      <c r="Q326" s="9" t="n">
        <f aca="false">IF(AND(F326&lt;=Parameters!$B$6,F326&gt;Parameters!$B$6-Parameters!$B$18),1,0)</f>
        <v>0</v>
      </c>
      <c r="R326" s="9" t="n">
        <f aca="false">IF(COUNTIF(Parameters!$A$51:$A$58,H326)=0,1,0)</f>
        <v>0</v>
      </c>
      <c r="S326" s="9" t="n">
        <f aca="false">IF(AND(I326="Manual",L326&gt;0),1,0)</f>
        <v>0</v>
      </c>
      <c r="T326" s="9" t="n">
        <f aca="false">IF(AND(C326&gt;=Parameters!$B$22,ROUND(MOD(ROUND(C326,2),Parameters!$B$21),2)=0),1,0)</f>
        <v>0</v>
      </c>
      <c r="U326" s="9" t="n">
        <f aca="false">IF(LEN(TRIM(J326))=0,1,0)</f>
        <v>0</v>
      </c>
      <c r="V326" s="9" t="n">
        <f aca="false">IF(AND(I326="Manual",C326&lt;Parameters!$B$19,C326&gt;=Parameters!$B$19*(1-Parameters!$B$20)),1,0)</f>
        <v>0</v>
      </c>
      <c r="W326" s="9" t="n">
        <f aca="false">IF(AND(I326="Manual",M326&gt;0),1,0)</f>
        <v>0</v>
      </c>
      <c r="X326" s="9" t="n">
        <f aca="false">IF(A326-A325&gt;1,1,0)</f>
        <v>0</v>
      </c>
      <c r="Y326" s="9" t="n">
        <f aca="false">N326*Parameters!$B$38+O326*Parameters!$B$39+P326*Parameters!$B$40+Q326*Parameters!$B$41+R326*Parameters!$B$42+S326*Parameters!$B$43+T326*Parameters!$B$44+U326*Parameters!$B$45+V326*Parameters!$B$46+W326*Parameters!$B$47+X326*Parameters!$B$48</f>
        <v>0</v>
      </c>
      <c r="Z326" s="0" t="str">
        <f aca="false">IF(Y326&gt;=Parameters!$B$25,"High","")</f>
        <v/>
      </c>
    </row>
    <row r="327" customFormat="false" ht="15" hidden="false" customHeight="false" outlineLevel="0" collapsed="false">
      <c r="A327" s="16" t="n">
        <v>1329</v>
      </c>
      <c r="B327" s="9" t="n">
        <f aca="false">COUNTIF(JE_Lines!$B$5:$B$1733,A327)</f>
        <v>2</v>
      </c>
      <c r="C327" s="17" t="n">
        <f aca="false">SUMIFS(JE_Lines!$G$5:$G$1733,JE_Lines!$B$5:$B$1733,A327)</f>
        <v>14611.41</v>
      </c>
      <c r="D327" s="17" t="n">
        <f aca="false">SUMIFS(JE_Lines!$H$5:$H$1733,JE_Lines!$B$5:$B$1733,A327)</f>
        <v>14611.41</v>
      </c>
      <c r="E327" s="17" t="n">
        <f aca="false">C327-D327</f>
        <v>0</v>
      </c>
      <c r="F327" s="18" t="n">
        <f aca="false">INDEX(JE_Lines!$C$5:$C$1733,MATCH(A327,JE_Lines!$B$5:$B$1733,0))</f>
        <v>45806</v>
      </c>
      <c r="G327" s="18" t="n">
        <f aca="false">INDEX(JE_Lines!$D$5:$D$1733,MATCH(A327,JE_Lines!$B$5:$B$1733,0))</f>
        <v>45806</v>
      </c>
      <c r="H327" s="0" t="str">
        <f aca="false">INDEX(JE_Lines!$I$5:$I$1733,MATCH(A327,JE_Lines!$B$5:$B$1733,0))</f>
        <v>SYS_AR</v>
      </c>
      <c r="I327" s="0" t="str">
        <f aca="false">INDEX(JE_Lines!$J$5:$J$1733,MATCH(A327,JE_Lines!$B$5:$B$1733,0))</f>
        <v>System</v>
      </c>
      <c r="J327" s="0" t="str">
        <f aca="false">IF(LEN(INDEX(JE_Lines!$K$5:$K$1733,MATCH(A327,JE_Lines!$B$5:$B$1733,0)))=0,"",INDEX(JE_Lines!$K$5:$K$1733,MATCH(A327,JE_Lines!$B$5:$B$1733,0)))</f>
        <v>Sales invoice batch</v>
      </c>
      <c r="K327" s="9" t="n">
        <f aca="false">F327-G327</f>
        <v>0</v>
      </c>
      <c r="L327" s="9" t="n">
        <f aca="false">COUNTIFS(JE_Lines!$B$5:$B$1733,A327,JE_Lines!$F$5:$F$1733,"Revenue")</f>
        <v>1</v>
      </c>
      <c r="M327" s="9" t="n">
        <f aca="false">COUNTIFS(JE_Lines!$B$5:$B$1733,A327,JE_Lines!$F$5:$F$1733,"Suspense")</f>
        <v>0</v>
      </c>
      <c r="N327" s="9" t="n">
        <f aca="false">IF(ABS(E327)&gt;Parameters!$B$23,1,0)</f>
        <v>0</v>
      </c>
      <c r="O327" s="9" t="n">
        <f aca="false">IF(WEEKDAY(F327,2)&gt;5,1,0)</f>
        <v>0</v>
      </c>
      <c r="P327" s="9" t="n">
        <f aca="false">IF(K327&gt;Parameters!$B$17,1,0)</f>
        <v>0</v>
      </c>
      <c r="Q327" s="9" t="n">
        <f aca="false">IF(AND(F327&lt;=Parameters!$B$6,F327&gt;Parameters!$B$6-Parameters!$B$18),1,0)</f>
        <v>0</v>
      </c>
      <c r="R327" s="9" t="n">
        <f aca="false">IF(COUNTIF(Parameters!$A$51:$A$58,H327)=0,1,0)</f>
        <v>0</v>
      </c>
      <c r="S327" s="9" t="n">
        <f aca="false">IF(AND(I327="Manual",L327&gt;0),1,0)</f>
        <v>0</v>
      </c>
      <c r="T327" s="9" t="n">
        <f aca="false">IF(AND(C327&gt;=Parameters!$B$22,ROUND(MOD(ROUND(C327,2),Parameters!$B$21),2)=0),1,0)</f>
        <v>0</v>
      </c>
      <c r="U327" s="9" t="n">
        <f aca="false">IF(LEN(TRIM(J327))=0,1,0)</f>
        <v>0</v>
      </c>
      <c r="V327" s="9" t="n">
        <f aca="false">IF(AND(I327="Manual",C327&lt;Parameters!$B$19,C327&gt;=Parameters!$B$19*(1-Parameters!$B$20)),1,0)</f>
        <v>0</v>
      </c>
      <c r="W327" s="9" t="n">
        <f aca="false">IF(AND(I327="Manual",M327&gt;0),1,0)</f>
        <v>0</v>
      </c>
      <c r="X327" s="9" t="n">
        <f aca="false">IF(A327-A326&gt;1,1,0)</f>
        <v>0</v>
      </c>
      <c r="Y327" s="9" t="n">
        <f aca="false">N327*Parameters!$B$38+O327*Parameters!$B$39+P327*Parameters!$B$40+Q327*Parameters!$B$41+R327*Parameters!$B$42+S327*Parameters!$B$43+T327*Parameters!$B$44+U327*Parameters!$B$45+V327*Parameters!$B$46+W327*Parameters!$B$47+X327*Parameters!$B$48</f>
        <v>0</v>
      </c>
      <c r="Z327" s="0" t="str">
        <f aca="false">IF(Y327&gt;=Parameters!$B$25,"High","")</f>
        <v/>
      </c>
    </row>
    <row r="328" customFormat="false" ht="15" hidden="false" customHeight="false" outlineLevel="0" collapsed="false">
      <c r="A328" s="16" t="n">
        <v>1331</v>
      </c>
      <c r="B328" s="9" t="n">
        <f aca="false">COUNTIF(JE_Lines!$B$5:$B$1733,A328)</f>
        <v>3</v>
      </c>
      <c r="C328" s="17" t="n">
        <f aca="false">SUMIFS(JE_Lines!$G$5:$G$1733,JE_Lines!$B$5:$B$1733,A328)</f>
        <v>533.05</v>
      </c>
      <c r="D328" s="17" t="n">
        <f aca="false">SUMIFS(JE_Lines!$H$5:$H$1733,JE_Lines!$B$5:$B$1733,A328)</f>
        <v>533.05</v>
      </c>
      <c r="E328" s="17" t="n">
        <f aca="false">C328-D328</f>
        <v>0</v>
      </c>
      <c r="F328" s="18" t="n">
        <f aca="false">INDEX(JE_Lines!$C$5:$C$1733,MATCH(A328,JE_Lines!$B$5:$B$1733,0))</f>
        <v>45806</v>
      </c>
      <c r="G328" s="18" t="n">
        <f aca="false">INDEX(JE_Lines!$D$5:$D$1733,MATCH(A328,JE_Lines!$B$5:$B$1733,0))</f>
        <v>45805</v>
      </c>
      <c r="H328" s="0" t="str">
        <f aca="false">INDEX(JE_Lines!$I$5:$I$1733,MATCH(A328,JE_Lines!$B$5:$B$1733,0))</f>
        <v>SYS_AR</v>
      </c>
      <c r="I328" s="0" t="str">
        <f aca="false">INDEX(JE_Lines!$J$5:$J$1733,MATCH(A328,JE_Lines!$B$5:$B$1733,0))</f>
        <v>System</v>
      </c>
      <c r="J328" s="0" t="str">
        <f aca="false">IF(LEN(INDEX(JE_Lines!$K$5:$K$1733,MATCH(A328,JE_Lines!$B$5:$B$1733,0)))=0,"",INDEX(JE_Lines!$K$5:$K$1733,MATCH(A328,JE_Lines!$B$5:$B$1733,0)))</f>
        <v>Sales invoice batch</v>
      </c>
      <c r="K328" s="9" t="n">
        <f aca="false">F328-G328</f>
        <v>1</v>
      </c>
      <c r="L328" s="9" t="n">
        <f aca="false">COUNTIFS(JE_Lines!$B$5:$B$1733,A328,JE_Lines!$F$5:$F$1733,"Revenue")</f>
        <v>1</v>
      </c>
      <c r="M328" s="9" t="n">
        <f aca="false">COUNTIFS(JE_Lines!$B$5:$B$1733,A328,JE_Lines!$F$5:$F$1733,"Suspense")</f>
        <v>0</v>
      </c>
      <c r="N328" s="9" t="n">
        <f aca="false">IF(ABS(E328)&gt;Parameters!$B$23,1,0)</f>
        <v>0</v>
      </c>
      <c r="O328" s="9" t="n">
        <f aca="false">IF(WEEKDAY(F328,2)&gt;5,1,0)</f>
        <v>0</v>
      </c>
      <c r="P328" s="9" t="n">
        <f aca="false">IF(K328&gt;Parameters!$B$17,1,0)</f>
        <v>0</v>
      </c>
      <c r="Q328" s="9" t="n">
        <f aca="false">IF(AND(F328&lt;=Parameters!$B$6,F328&gt;Parameters!$B$6-Parameters!$B$18),1,0)</f>
        <v>0</v>
      </c>
      <c r="R328" s="9" t="n">
        <f aca="false">IF(COUNTIF(Parameters!$A$51:$A$58,H328)=0,1,0)</f>
        <v>0</v>
      </c>
      <c r="S328" s="9" t="n">
        <f aca="false">IF(AND(I328="Manual",L328&gt;0),1,0)</f>
        <v>0</v>
      </c>
      <c r="T328" s="9" t="n">
        <f aca="false">IF(AND(C328&gt;=Parameters!$B$22,ROUND(MOD(ROUND(C328,2),Parameters!$B$21),2)=0),1,0)</f>
        <v>0</v>
      </c>
      <c r="U328" s="9" t="n">
        <f aca="false">IF(LEN(TRIM(J328))=0,1,0)</f>
        <v>0</v>
      </c>
      <c r="V328" s="9" t="n">
        <f aca="false">IF(AND(I328="Manual",C328&lt;Parameters!$B$19,C328&gt;=Parameters!$B$19*(1-Parameters!$B$20)),1,0)</f>
        <v>0</v>
      </c>
      <c r="W328" s="9" t="n">
        <f aca="false">IF(AND(I328="Manual",M328&gt;0),1,0)</f>
        <v>0</v>
      </c>
      <c r="X328" s="9" t="n">
        <f aca="false">IF(A328-A327&gt;1,1,0)</f>
        <v>1</v>
      </c>
      <c r="Y328" s="9" t="n">
        <f aca="false">N328*Parameters!$B$38+O328*Parameters!$B$39+P328*Parameters!$B$40+Q328*Parameters!$B$41+R328*Parameters!$B$42+S328*Parameters!$B$43+T328*Parameters!$B$44+U328*Parameters!$B$45+V328*Parameters!$B$46+W328*Parameters!$B$47+X328*Parameters!$B$48</f>
        <v>1</v>
      </c>
      <c r="Z328" s="0" t="str">
        <f aca="false">IF(Y328&gt;=Parameters!$B$25,"High","")</f>
        <v/>
      </c>
    </row>
    <row r="329" customFormat="false" ht="15" hidden="false" customHeight="false" outlineLevel="0" collapsed="false">
      <c r="A329" s="16" t="n">
        <v>1332</v>
      </c>
      <c r="B329" s="9" t="n">
        <f aca="false">COUNTIF(JE_Lines!$B$5:$B$1733,A329)</f>
        <v>2</v>
      </c>
      <c r="C329" s="17" t="n">
        <f aca="false">SUMIFS(JE_Lines!$G$5:$G$1733,JE_Lines!$B$5:$B$1733,A329)</f>
        <v>828.94</v>
      </c>
      <c r="D329" s="17" t="n">
        <f aca="false">SUMIFS(JE_Lines!$H$5:$H$1733,JE_Lines!$B$5:$B$1733,A329)</f>
        <v>828.94</v>
      </c>
      <c r="E329" s="17" t="n">
        <f aca="false">C329-D329</f>
        <v>0</v>
      </c>
      <c r="F329" s="18" t="n">
        <f aca="false">INDEX(JE_Lines!$C$5:$C$1733,MATCH(A329,JE_Lines!$B$5:$B$1733,0))</f>
        <v>45807</v>
      </c>
      <c r="G329" s="18" t="n">
        <f aca="false">INDEX(JE_Lines!$D$5:$D$1733,MATCH(A329,JE_Lines!$B$5:$B$1733,0))</f>
        <v>45805</v>
      </c>
      <c r="H329" s="0" t="str">
        <f aca="false">INDEX(JE_Lines!$I$5:$I$1733,MATCH(A329,JE_Lines!$B$5:$B$1733,0))</f>
        <v>SYS_AP</v>
      </c>
      <c r="I329" s="0" t="str">
        <f aca="false">INDEX(JE_Lines!$J$5:$J$1733,MATCH(A329,JE_Lines!$B$5:$B$1733,0))</f>
        <v>System</v>
      </c>
      <c r="J329" s="0" t="str">
        <f aca="false">IF(LEN(INDEX(JE_Lines!$K$5:$K$1733,MATCH(A329,JE_Lines!$B$5:$B$1733,0)))=0,"",INDEX(JE_Lines!$K$5:$K$1733,MATCH(A329,JE_Lines!$B$5:$B$1733,0)))</f>
        <v/>
      </c>
      <c r="K329" s="9" t="n">
        <f aca="false">F329-G329</f>
        <v>2</v>
      </c>
      <c r="L329" s="9" t="n">
        <f aca="false">COUNTIFS(JE_Lines!$B$5:$B$1733,A329,JE_Lines!$F$5:$F$1733,"Revenue")</f>
        <v>0</v>
      </c>
      <c r="M329" s="9" t="n">
        <f aca="false">COUNTIFS(JE_Lines!$B$5:$B$1733,A329,JE_Lines!$F$5:$F$1733,"Suspense")</f>
        <v>0</v>
      </c>
      <c r="N329" s="9" t="n">
        <f aca="false">IF(ABS(E329)&gt;Parameters!$B$23,1,0)</f>
        <v>0</v>
      </c>
      <c r="O329" s="9" t="n">
        <f aca="false">IF(WEEKDAY(F329,2)&gt;5,1,0)</f>
        <v>0</v>
      </c>
      <c r="P329" s="9" t="n">
        <f aca="false">IF(K329&gt;Parameters!$B$17,1,0)</f>
        <v>0</v>
      </c>
      <c r="Q329" s="9" t="n">
        <f aca="false">IF(AND(F329&lt;=Parameters!$B$6,F329&gt;Parameters!$B$6-Parameters!$B$18),1,0)</f>
        <v>0</v>
      </c>
      <c r="R329" s="9" t="n">
        <f aca="false">IF(COUNTIF(Parameters!$A$51:$A$58,H329)=0,1,0)</f>
        <v>0</v>
      </c>
      <c r="S329" s="9" t="n">
        <f aca="false">IF(AND(I329="Manual",L329&gt;0),1,0)</f>
        <v>0</v>
      </c>
      <c r="T329" s="9" t="n">
        <f aca="false">IF(AND(C329&gt;=Parameters!$B$22,ROUND(MOD(ROUND(C329,2),Parameters!$B$21),2)=0),1,0)</f>
        <v>0</v>
      </c>
      <c r="U329" s="9" t="n">
        <f aca="false">IF(LEN(TRIM(J329))=0,1,0)</f>
        <v>1</v>
      </c>
      <c r="V329" s="9" t="n">
        <f aca="false">IF(AND(I329="Manual",C329&lt;Parameters!$B$19,C329&gt;=Parameters!$B$19*(1-Parameters!$B$20)),1,0)</f>
        <v>0</v>
      </c>
      <c r="W329" s="9" t="n">
        <f aca="false">IF(AND(I329="Manual",M329&gt;0),1,0)</f>
        <v>0</v>
      </c>
      <c r="X329" s="9" t="n">
        <f aca="false">IF(A329-A328&gt;1,1,0)</f>
        <v>0</v>
      </c>
      <c r="Y329" s="9" t="n">
        <f aca="false">N329*Parameters!$B$38+O329*Parameters!$B$39+P329*Parameters!$B$40+Q329*Parameters!$B$41+R329*Parameters!$B$42+S329*Parameters!$B$43+T329*Parameters!$B$44+U329*Parameters!$B$45+V329*Parameters!$B$46+W329*Parameters!$B$47+X329*Parameters!$B$48</f>
        <v>2</v>
      </c>
      <c r="Z329" s="0" t="str">
        <f aca="false">IF(Y329&gt;=Parameters!$B$25,"High","")</f>
        <v/>
      </c>
    </row>
    <row r="330" customFormat="false" ht="15" hidden="false" customHeight="false" outlineLevel="0" collapsed="false">
      <c r="A330" s="16" t="n">
        <v>1333</v>
      </c>
      <c r="B330" s="9" t="n">
        <f aca="false">COUNTIF(JE_Lines!$B$5:$B$1733,A330)</f>
        <v>2</v>
      </c>
      <c r="C330" s="17" t="n">
        <f aca="false">SUMIFS(JE_Lines!$G$5:$G$1733,JE_Lines!$B$5:$B$1733,A330)</f>
        <v>378</v>
      </c>
      <c r="D330" s="17" t="n">
        <f aca="false">SUMIFS(JE_Lines!$H$5:$H$1733,JE_Lines!$B$5:$B$1733,A330)</f>
        <v>378</v>
      </c>
      <c r="E330" s="17" t="n">
        <f aca="false">C330-D330</f>
        <v>0</v>
      </c>
      <c r="F330" s="18" t="n">
        <f aca="false">INDEX(JE_Lines!$C$5:$C$1733,MATCH(A330,JE_Lines!$B$5:$B$1733,0))</f>
        <v>45807</v>
      </c>
      <c r="G330" s="18" t="n">
        <f aca="false">INDEX(JE_Lines!$D$5:$D$1733,MATCH(A330,JE_Lines!$B$5:$B$1733,0))</f>
        <v>45806</v>
      </c>
      <c r="H330" s="0" t="str">
        <f aca="false">INDEX(JE_Lines!$I$5:$I$1733,MATCH(A330,JE_Lines!$B$5:$B$1733,0))</f>
        <v>SYS_AR</v>
      </c>
      <c r="I330" s="0" t="str">
        <f aca="false">INDEX(JE_Lines!$J$5:$J$1733,MATCH(A330,JE_Lines!$B$5:$B$1733,0))</f>
        <v>System</v>
      </c>
      <c r="J330" s="0" t="str">
        <f aca="false">IF(LEN(INDEX(JE_Lines!$K$5:$K$1733,MATCH(A330,JE_Lines!$B$5:$B$1733,0)))=0,"",INDEX(JE_Lines!$K$5:$K$1733,MATCH(A330,JE_Lines!$B$5:$B$1733,0)))</f>
        <v>Cost of sales posting</v>
      </c>
      <c r="K330" s="9" t="n">
        <f aca="false">F330-G330</f>
        <v>1</v>
      </c>
      <c r="L330" s="9" t="n">
        <f aca="false">COUNTIFS(JE_Lines!$B$5:$B$1733,A330,JE_Lines!$F$5:$F$1733,"Revenue")</f>
        <v>0</v>
      </c>
      <c r="M330" s="9" t="n">
        <f aca="false">COUNTIFS(JE_Lines!$B$5:$B$1733,A330,JE_Lines!$F$5:$F$1733,"Suspense")</f>
        <v>0</v>
      </c>
      <c r="N330" s="9" t="n">
        <f aca="false">IF(ABS(E330)&gt;Parameters!$B$23,1,0)</f>
        <v>0</v>
      </c>
      <c r="O330" s="9" t="n">
        <f aca="false">IF(WEEKDAY(F330,2)&gt;5,1,0)</f>
        <v>0</v>
      </c>
      <c r="P330" s="9" t="n">
        <f aca="false">IF(K330&gt;Parameters!$B$17,1,0)</f>
        <v>0</v>
      </c>
      <c r="Q330" s="9" t="n">
        <f aca="false">IF(AND(F330&lt;=Parameters!$B$6,F330&gt;Parameters!$B$6-Parameters!$B$18),1,0)</f>
        <v>0</v>
      </c>
      <c r="R330" s="9" t="n">
        <f aca="false">IF(COUNTIF(Parameters!$A$51:$A$58,H330)=0,1,0)</f>
        <v>0</v>
      </c>
      <c r="S330" s="9" t="n">
        <f aca="false">IF(AND(I330="Manual",L330&gt;0),1,0)</f>
        <v>0</v>
      </c>
      <c r="T330" s="9" t="n">
        <f aca="false">IF(AND(C330&gt;=Parameters!$B$22,ROUND(MOD(ROUND(C330,2),Parameters!$B$21),2)=0),1,0)</f>
        <v>0</v>
      </c>
      <c r="U330" s="9" t="n">
        <f aca="false">IF(LEN(TRIM(J330))=0,1,0)</f>
        <v>0</v>
      </c>
      <c r="V330" s="9" t="n">
        <f aca="false">IF(AND(I330="Manual",C330&lt;Parameters!$B$19,C330&gt;=Parameters!$B$19*(1-Parameters!$B$20)),1,0)</f>
        <v>0</v>
      </c>
      <c r="W330" s="9" t="n">
        <f aca="false">IF(AND(I330="Manual",M330&gt;0),1,0)</f>
        <v>0</v>
      </c>
      <c r="X330" s="9" t="n">
        <f aca="false">IF(A330-A329&gt;1,1,0)</f>
        <v>0</v>
      </c>
      <c r="Y330" s="9" t="n">
        <f aca="false">N330*Parameters!$B$38+O330*Parameters!$B$39+P330*Parameters!$B$40+Q330*Parameters!$B$41+R330*Parameters!$B$42+S330*Parameters!$B$43+T330*Parameters!$B$44+U330*Parameters!$B$45+V330*Parameters!$B$46+W330*Parameters!$B$47+X330*Parameters!$B$48</f>
        <v>0</v>
      </c>
      <c r="Z330" s="0" t="str">
        <f aca="false">IF(Y330&gt;=Parameters!$B$25,"High","")</f>
        <v/>
      </c>
    </row>
    <row r="331" customFormat="false" ht="15" hidden="false" customHeight="false" outlineLevel="0" collapsed="false">
      <c r="A331" s="16" t="n">
        <v>1334</v>
      </c>
      <c r="B331" s="9" t="n">
        <f aca="false">COUNTIF(JE_Lines!$B$5:$B$1733,A331)</f>
        <v>3</v>
      </c>
      <c r="C331" s="17" t="n">
        <f aca="false">SUMIFS(JE_Lines!$G$5:$G$1733,JE_Lines!$B$5:$B$1733,A331)</f>
        <v>1514.02</v>
      </c>
      <c r="D331" s="17" t="n">
        <f aca="false">SUMIFS(JE_Lines!$H$5:$H$1733,JE_Lines!$B$5:$B$1733,A331)</f>
        <v>1514.02</v>
      </c>
      <c r="E331" s="17" t="n">
        <f aca="false">C331-D331</f>
        <v>0</v>
      </c>
      <c r="F331" s="18" t="n">
        <f aca="false">INDEX(JE_Lines!$C$5:$C$1733,MATCH(A331,JE_Lines!$B$5:$B$1733,0))</f>
        <v>45807</v>
      </c>
      <c r="G331" s="18" t="n">
        <f aca="false">INDEX(JE_Lines!$D$5:$D$1733,MATCH(A331,JE_Lines!$B$5:$B$1733,0))</f>
        <v>45805</v>
      </c>
      <c r="H331" s="0" t="str">
        <f aca="false">INDEX(JE_Lines!$I$5:$I$1733,MATCH(A331,JE_Lines!$B$5:$B$1733,0))</f>
        <v>SYS_AP</v>
      </c>
      <c r="I331" s="0" t="str">
        <f aca="false">INDEX(JE_Lines!$J$5:$J$1733,MATCH(A331,JE_Lines!$B$5:$B$1733,0))</f>
        <v>System</v>
      </c>
      <c r="J331" s="0" t="str">
        <f aca="false">IF(LEN(INDEX(JE_Lines!$K$5:$K$1733,MATCH(A331,JE_Lines!$B$5:$B$1733,0)))=0,"",INDEX(JE_Lines!$K$5:$K$1733,MATCH(A331,JE_Lines!$B$5:$B$1733,0)))</f>
        <v>Supplier invoices</v>
      </c>
      <c r="K331" s="9" t="n">
        <f aca="false">F331-G331</f>
        <v>2</v>
      </c>
      <c r="L331" s="9" t="n">
        <f aca="false">COUNTIFS(JE_Lines!$B$5:$B$1733,A331,JE_Lines!$F$5:$F$1733,"Revenue")</f>
        <v>0</v>
      </c>
      <c r="M331" s="9" t="n">
        <f aca="false">COUNTIFS(JE_Lines!$B$5:$B$1733,A331,JE_Lines!$F$5:$F$1733,"Suspense")</f>
        <v>0</v>
      </c>
      <c r="N331" s="9" t="n">
        <f aca="false">IF(ABS(E331)&gt;Parameters!$B$23,1,0)</f>
        <v>0</v>
      </c>
      <c r="O331" s="9" t="n">
        <f aca="false">IF(WEEKDAY(F331,2)&gt;5,1,0)</f>
        <v>0</v>
      </c>
      <c r="P331" s="9" t="n">
        <f aca="false">IF(K331&gt;Parameters!$B$17,1,0)</f>
        <v>0</v>
      </c>
      <c r="Q331" s="9" t="n">
        <f aca="false">IF(AND(F331&lt;=Parameters!$B$6,F331&gt;Parameters!$B$6-Parameters!$B$18),1,0)</f>
        <v>0</v>
      </c>
      <c r="R331" s="9" t="n">
        <f aca="false">IF(COUNTIF(Parameters!$A$51:$A$58,H331)=0,1,0)</f>
        <v>0</v>
      </c>
      <c r="S331" s="9" t="n">
        <f aca="false">IF(AND(I331="Manual",L331&gt;0),1,0)</f>
        <v>0</v>
      </c>
      <c r="T331" s="9" t="n">
        <f aca="false">IF(AND(C331&gt;=Parameters!$B$22,ROUND(MOD(ROUND(C331,2),Parameters!$B$21),2)=0),1,0)</f>
        <v>0</v>
      </c>
      <c r="U331" s="9" t="n">
        <f aca="false">IF(LEN(TRIM(J331))=0,1,0)</f>
        <v>0</v>
      </c>
      <c r="V331" s="9" t="n">
        <f aca="false">IF(AND(I331="Manual",C331&lt;Parameters!$B$19,C331&gt;=Parameters!$B$19*(1-Parameters!$B$20)),1,0)</f>
        <v>0</v>
      </c>
      <c r="W331" s="9" t="n">
        <f aca="false">IF(AND(I331="Manual",M331&gt;0),1,0)</f>
        <v>0</v>
      </c>
      <c r="X331" s="9" t="n">
        <f aca="false">IF(A331-A330&gt;1,1,0)</f>
        <v>0</v>
      </c>
      <c r="Y331" s="9" t="n">
        <f aca="false">N331*Parameters!$B$38+O331*Parameters!$B$39+P331*Parameters!$B$40+Q331*Parameters!$B$41+R331*Parameters!$B$42+S331*Parameters!$B$43+T331*Parameters!$B$44+U331*Parameters!$B$45+V331*Parameters!$B$46+W331*Parameters!$B$47+X331*Parameters!$B$48</f>
        <v>0</v>
      </c>
      <c r="Z331" s="0" t="str">
        <f aca="false">IF(Y331&gt;=Parameters!$B$25,"High","")</f>
        <v/>
      </c>
    </row>
    <row r="332" customFormat="false" ht="15" hidden="false" customHeight="false" outlineLevel="0" collapsed="false">
      <c r="A332" s="16" t="n">
        <v>1335</v>
      </c>
      <c r="B332" s="9" t="n">
        <f aca="false">COUNTIF(JE_Lines!$B$5:$B$1733,A332)</f>
        <v>2</v>
      </c>
      <c r="C332" s="17" t="n">
        <f aca="false">SUMIFS(JE_Lines!$G$5:$G$1733,JE_Lines!$B$5:$B$1733,A332)</f>
        <v>4373.6</v>
      </c>
      <c r="D332" s="17" t="n">
        <f aca="false">SUMIFS(JE_Lines!$H$5:$H$1733,JE_Lines!$B$5:$B$1733,A332)</f>
        <v>4373.6</v>
      </c>
      <c r="E332" s="17" t="n">
        <f aca="false">C332-D332</f>
        <v>0</v>
      </c>
      <c r="F332" s="18" t="n">
        <f aca="false">INDEX(JE_Lines!$C$5:$C$1733,MATCH(A332,JE_Lines!$B$5:$B$1733,0))</f>
        <v>45807</v>
      </c>
      <c r="G332" s="18" t="n">
        <f aca="false">INDEX(JE_Lines!$D$5:$D$1733,MATCH(A332,JE_Lines!$B$5:$B$1733,0))</f>
        <v>45806</v>
      </c>
      <c r="H332" s="0" t="str">
        <f aca="false">INDEX(JE_Lines!$I$5:$I$1733,MATCH(A332,JE_Lines!$B$5:$B$1733,0))</f>
        <v>SYS_AP</v>
      </c>
      <c r="I332" s="0" t="str">
        <f aca="false">INDEX(JE_Lines!$J$5:$J$1733,MATCH(A332,JE_Lines!$B$5:$B$1733,0))</f>
        <v>System</v>
      </c>
      <c r="J332" s="0" t="str">
        <f aca="false">IF(LEN(INDEX(JE_Lines!$K$5:$K$1733,MATCH(A332,JE_Lines!$B$5:$B$1733,0)))=0,"",INDEX(JE_Lines!$K$5:$K$1733,MATCH(A332,JE_Lines!$B$5:$B$1733,0)))</f>
        <v>Supplier invoices</v>
      </c>
      <c r="K332" s="9" t="n">
        <f aca="false">F332-G332</f>
        <v>1</v>
      </c>
      <c r="L332" s="9" t="n">
        <f aca="false">COUNTIFS(JE_Lines!$B$5:$B$1733,A332,JE_Lines!$F$5:$F$1733,"Revenue")</f>
        <v>0</v>
      </c>
      <c r="M332" s="9" t="n">
        <f aca="false">COUNTIFS(JE_Lines!$B$5:$B$1733,A332,JE_Lines!$F$5:$F$1733,"Suspense")</f>
        <v>0</v>
      </c>
      <c r="N332" s="9" t="n">
        <f aca="false">IF(ABS(E332)&gt;Parameters!$B$23,1,0)</f>
        <v>0</v>
      </c>
      <c r="O332" s="9" t="n">
        <f aca="false">IF(WEEKDAY(F332,2)&gt;5,1,0)</f>
        <v>0</v>
      </c>
      <c r="P332" s="9" t="n">
        <f aca="false">IF(K332&gt;Parameters!$B$17,1,0)</f>
        <v>0</v>
      </c>
      <c r="Q332" s="9" t="n">
        <f aca="false">IF(AND(F332&lt;=Parameters!$B$6,F332&gt;Parameters!$B$6-Parameters!$B$18),1,0)</f>
        <v>0</v>
      </c>
      <c r="R332" s="9" t="n">
        <f aca="false">IF(COUNTIF(Parameters!$A$51:$A$58,H332)=0,1,0)</f>
        <v>0</v>
      </c>
      <c r="S332" s="9" t="n">
        <f aca="false">IF(AND(I332="Manual",L332&gt;0),1,0)</f>
        <v>0</v>
      </c>
      <c r="T332" s="9" t="n">
        <f aca="false">IF(AND(C332&gt;=Parameters!$B$22,ROUND(MOD(ROUND(C332,2),Parameters!$B$21),2)=0),1,0)</f>
        <v>0</v>
      </c>
      <c r="U332" s="9" t="n">
        <f aca="false">IF(LEN(TRIM(J332))=0,1,0)</f>
        <v>0</v>
      </c>
      <c r="V332" s="9" t="n">
        <f aca="false">IF(AND(I332="Manual",C332&lt;Parameters!$B$19,C332&gt;=Parameters!$B$19*(1-Parameters!$B$20)),1,0)</f>
        <v>0</v>
      </c>
      <c r="W332" s="9" t="n">
        <f aca="false">IF(AND(I332="Manual",M332&gt;0),1,0)</f>
        <v>0</v>
      </c>
      <c r="X332" s="9" t="n">
        <f aca="false">IF(A332-A331&gt;1,1,0)</f>
        <v>0</v>
      </c>
      <c r="Y332" s="9" t="n">
        <f aca="false">N332*Parameters!$B$38+O332*Parameters!$B$39+P332*Parameters!$B$40+Q332*Parameters!$B$41+R332*Parameters!$B$42+S332*Parameters!$B$43+T332*Parameters!$B$44+U332*Parameters!$B$45+V332*Parameters!$B$46+W332*Parameters!$B$47+X332*Parameters!$B$48</f>
        <v>0</v>
      </c>
      <c r="Z332" s="0" t="str">
        <f aca="false">IF(Y332&gt;=Parameters!$B$25,"High","")</f>
        <v/>
      </c>
    </row>
    <row r="333" customFormat="false" ht="15" hidden="false" customHeight="false" outlineLevel="0" collapsed="false">
      <c r="A333" s="16" t="n">
        <v>1336</v>
      </c>
      <c r="B333" s="9" t="n">
        <f aca="false">COUNTIF(JE_Lines!$B$5:$B$1733,A333)</f>
        <v>2</v>
      </c>
      <c r="C333" s="17" t="n">
        <f aca="false">SUMIFS(JE_Lines!$G$5:$G$1733,JE_Lines!$B$5:$B$1733,A333)</f>
        <v>66765.9</v>
      </c>
      <c r="D333" s="17" t="n">
        <f aca="false">SUMIFS(JE_Lines!$H$5:$H$1733,JE_Lines!$B$5:$B$1733,A333)</f>
        <v>66765.9</v>
      </c>
      <c r="E333" s="17" t="n">
        <f aca="false">C333-D333</f>
        <v>0</v>
      </c>
      <c r="F333" s="18" t="n">
        <f aca="false">INDEX(JE_Lines!$C$5:$C$1733,MATCH(A333,JE_Lines!$B$5:$B$1733,0))</f>
        <v>45807</v>
      </c>
      <c r="G333" s="18" t="n">
        <f aca="false">INDEX(JE_Lines!$D$5:$D$1733,MATCH(A333,JE_Lines!$B$5:$B$1733,0))</f>
        <v>45804</v>
      </c>
      <c r="H333" s="0" t="str">
        <f aca="false">INDEX(JE_Lines!$I$5:$I$1733,MATCH(A333,JE_Lines!$B$5:$B$1733,0))</f>
        <v>SYS_AP</v>
      </c>
      <c r="I333" s="0" t="str">
        <f aca="false">INDEX(JE_Lines!$J$5:$J$1733,MATCH(A333,JE_Lines!$B$5:$B$1733,0))</f>
        <v>System</v>
      </c>
      <c r="J333" s="0" t="str">
        <f aca="false">IF(LEN(INDEX(JE_Lines!$K$5:$K$1733,MATCH(A333,JE_Lines!$B$5:$B$1733,0)))=0,"",INDEX(JE_Lines!$K$5:$K$1733,MATCH(A333,JE_Lines!$B$5:$B$1733,0)))</f>
        <v>Supplier invoices</v>
      </c>
      <c r="K333" s="9" t="n">
        <f aca="false">F333-G333</f>
        <v>3</v>
      </c>
      <c r="L333" s="9" t="n">
        <f aca="false">COUNTIFS(JE_Lines!$B$5:$B$1733,A333,JE_Lines!$F$5:$F$1733,"Revenue")</f>
        <v>0</v>
      </c>
      <c r="M333" s="9" t="n">
        <f aca="false">COUNTIFS(JE_Lines!$B$5:$B$1733,A333,JE_Lines!$F$5:$F$1733,"Suspense")</f>
        <v>0</v>
      </c>
      <c r="N333" s="9" t="n">
        <f aca="false">IF(ABS(E333)&gt;Parameters!$B$23,1,0)</f>
        <v>0</v>
      </c>
      <c r="O333" s="9" t="n">
        <f aca="false">IF(WEEKDAY(F333,2)&gt;5,1,0)</f>
        <v>0</v>
      </c>
      <c r="P333" s="9" t="n">
        <f aca="false">IF(K333&gt;Parameters!$B$17,1,0)</f>
        <v>0</v>
      </c>
      <c r="Q333" s="9" t="n">
        <f aca="false">IF(AND(F333&lt;=Parameters!$B$6,F333&gt;Parameters!$B$6-Parameters!$B$18),1,0)</f>
        <v>0</v>
      </c>
      <c r="R333" s="9" t="n">
        <f aca="false">IF(COUNTIF(Parameters!$A$51:$A$58,H333)=0,1,0)</f>
        <v>0</v>
      </c>
      <c r="S333" s="9" t="n">
        <f aca="false">IF(AND(I333="Manual",L333&gt;0),1,0)</f>
        <v>0</v>
      </c>
      <c r="T333" s="9" t="n">
        <f aca="false">IF(AND(C333&gt;=Parameters!$B$22,ROUND(MOD(ROUND(C333,2),Parameters!$B$21),2)=0),1,0)</f>
        <v>0</v>
      </c>
      <c r="U333" s="9" t="n">
        <f aca="false">IF(LEN(TRIM(J333))=0,1,0)</f>
        <v>0</v>
      </c>
      <c r="V333" s="9" t="n">
        <f aca="false">IF(AND(I333="Manual",C333&lt;Parameters!$B$19,C333&gt;=Parameters!$B$19*(1-Parameters!$B$20)),1,0)</f>
        <v>0</v>
      </c>
      <c r="W333" s="9" t="n">
        <f aca="false">IF(AND(I333="Manual",M333&gt;0),1,0)</f>
        <v>0</v>
      </c>
      <c r="X333" s="9" t="n">
        <f aca="false">IF(A333-A332&gt;1,1,0)</f>
        <v>0</v>
      </c>
      <c r="Y333" s="9" t="n">
        <f aca="false">N333*Parameters!$B$38+O333*Parameters!$B$39+P333*Parameters!$B$40+Q333*Parameters!$B$41+R333*Parameters!$B$42+S333*Parameters!$B$43+T333*Parameters!$B$44+U333*Parameters!$B$45+V333*Parameters!$B$46+W333*Parameters!$B$47+X333*Parameters!$B$48</f>
        <v>0</v>
      </c>
      <c r="Z333" s="0" t="str">
        <f aca="false">IF(Y333&gt;=Parameters!$B$25,"High","")</f>
        <v/>
      </c>
    </row>
    <row r="334" customFormat="false" ht="15" hidden="false" customHeight="false" outlineLevel="0" collapsed="false">
      <c r="A334" s="16" t="n">
        <v>1337</v>
      </c>
      <c r="B334" s="9" t="n">
        <f aca="false">COUNTIF(JE_Lines!$B$5:$B$1733,A334)</f>
        <v>2</v>
      </c>
      <c r="C334" s="17" t="n">
        <f aca="false">SUMIFS(JE_Lines!$G$5:$G$1733,JE_Lines!$B$5:$B$1733,A334)</f>
        <v>3208.39</v>
      </c>
      <c r="D334" s="17" t="n">
        <f aca="false">SUMIFS(JE_Lines!$H$5:$H$1733,JE_Lines!$B$5:$B$1733,A334)</f>
        <v>3208.39</v>
      </c>
      <c r="E334" s="17" t="n">
        <f aca="false">C334-D334</f>
        <v>0</v>
      </c>
      <c r="F334" s="18" t="n">
        <f aca="false">INDEX(JE_Lines!$C$5:$C$1733,MATCH(A334,JE_Lines!$B$5:$B$1733,0))</f>
        <v>45809</v>
      </c>
      <c r="G334" s="18" t="n">
        <f aca="false">INDEX(JE_Lines!$D$5:$D$1733,MATCH(A334,JE_Lines!$B$5:$B$1733,0))</f>
        <v>45809</v>
      </c>
      <c r="H334" s="0" t="str">
        <f aca="false">INDEX(JE_Lines!$I$5:$I$1733,MATCH(A334,JE_Lines!$B$5:$B$1733,0))</f>
        <v>SYS_AR</v>
      </c>
      <c r="I334" s="0" t="str">
        <f aca="false">INDEX(JE_Lines!$J$5:$J$1733,MATCH(A334,JE_Lines!$B$5:$B$1733,0))</f>
        <v>System</v>
      </c>
      <c r="J334" s="0" t="str">
        <f aca="false">IF(LEN(INDEX(JE_Lines!$K$5:$K$1733,MATCH(A334,JE_Lines!$B$5:$B$1733,0)))=0,"",INDEX(JE_Lines!$K$5:$K$1733,MATCH(A334,JE_Lines!$B$5:$B$1733,0)))</f>
        <v>Customer receipts</v>
      </c>
      <c r="K334" s="9" t="n">
        <f aca="false">F334-G334</f>
        <v>0</v>
      </c>
      <c r="L334" s="9" t="n">
        <f aca="false">COUNTIFS(JE_Lines!$B$5:$B$1733,A334,JE_Lines!$F$5:$F$1733,"Revenue")</f>
        <v>0</v>
      </c>
      <c r="M334" s="9" t="n">
        <f aca="false">COUNTIFS(JE_Lines!$B$5:$B$1733,A334,JE_Lines!$F$5:$F$1733,"Suspense")</f>
        <v>0</v>
      </c>
      <c r="N334" s="9" t="n">
        <f aca="false">IF(ABS(E334)&gt;Parameters!$B$23,1,0)</f>
        <v>0</v>
      </c>
      <c r="O334" s="9" t="n">
        <f aca="false">IF(WEEKDAY(F334,2)&gt;5,1,0)</f>
        <v>1</v>
      </c>
      <c r="P334" s="9" t="n">
        <f aca="false">IF(K334&gt;Parameters!$B$17,1,0)</f>
        <v>0</v>
      </c>
      <c r="Q334" s="9" t="n">
        <f aca="false">IF(AND(F334&lt;=Parameters!$B$6,F334&gt;Parameters!$B$6-Parameters!$B$18),1,0)</f>
        <v>0</v>
      </c>
      <c r="R334" s="9" t="n">
        <f aca="false">IF(COUNTIF(Parameters!$A$51:$A$58,H334)=0,1,0)</f>
        <v>0</v>
      </c>
      <c r="S334" s="9" t="n">
        <f aca="false">IF(AND(I334="Manual",L334&gt;0),1,0)</f>
        <v>0</v>
      </c>
      <c r="T334" s="9" t="n">
        <f aca="false">IF(AND(C334&gt;=Parameters!$B$22,ROUND(MOD(ROUND(C334,2),Parameters!$B$21),2)=0),1,0)</f>
        <v>0</v>
      </c>
      <c r="U334" s="9" t="n">
        <f aca="false">IF(LEN(TRIM(J334))=0,1,0)</f>
        <v>0</v>
      </c>
      <c r="V334" s="9" t="n">
        <f aca="false">IF(AND(I334="Manual",C334&lt;Parameters!$B$19,C334&gt;=Parameters!$B$19*(1-Parameters!$B$20)),1,0)</f>
        <v>0</v>
      </c>
      <c r="W334" s="9" t="n">
        <f aca="false">IF(AND(I334="Manual",M334&gt;0),1,0)</f>
        <v>0</v>
      </c>
      <c r="X334" s="9" t="n">
        <f aca="false">IF(A334-A333&gt;1,1,0)</f>
        <v>0</v>
      </c>
      <c r="Y334" s="9" t="n">
        <f aca="false">N334*Parameters!$B$38+O334*Parameters!$B$39+P334*Parameters!$B$40+Q334*Parameters!$B$41+R334*Parameters!$B$42+S334*Parameters!$B$43+T334*Parameters!$B$44+U334*Parameters!$B$45+V334*Parameters!$B$46+W334*Parameters!$B$47+X334*Parameters!$B$48</f>
        <v>2</v>
      </c>
      <c r="Z334" s="0" t="str">
        <f aca="false">IF(Y334&gt;=Parameters!$B$25,"High","")</f>
        <v/>
      </c>
    </row>
    <row r="335" customFormat="false" ht="15" hidden="false" customHeight="false" outlineLevel="0" collapsed="false">
      <c r="A335" s="16" t="n">
        <v>1338</v>
      </c>
      <c r="B335" s="9" t="n">
        <f aca="false">COUNTIF(JE_Lines!$B$5:$B$1733,A335)</f>
        <v>2</v>
      </c>
      <c r="C335" s="17" t="n">
        <f aca="false">SUMIFS(JE_Lines!$G$5:$G$1733,JE_Lines!$B$5:$B$1733,A335)</f>
        <v>1197.37</v>
      </c>
      <c r="D335" s="17" t="n">
        <f aca="false">SUMIFS(JE_Lines!$H$5:$H$1733,JE_Lines!$B$5:$B$1733,A335)</f>
        <v>1197.37</v>
      </c>
      <c r="E335" s="17" t="n">
        <f aca="false">C335-D335</f>
        <v>0</v>
      </c>
      <c r="F335" s="18" t="n">
        <f aca="false">INDEX(JE_Lines!$C$5:$C$1733,MATCH(A335,JE_Lines!$B$5:$B$1733,0))</f>
        <v>45810</v>
      </c>
      <c r="G335" s="18" t="n">
        <f aca="false">INDEX(JE_Lines!$D$5:$D$1733,MATCH(A335,JE_Lines!$B$5:$B$1733,0))</f>
        <v>45806</v>
      </c>
      <c r="H335" s="0" t="str">
        <f aca="false">INDEX(JE_Lines!$I$5:$I$1733,MATCH(A335,JE_Lines!$B$5:$B$1733,0))</f>
        <v>FIN05</v>
      </c>
      <c r="I335" s="0" t="str">
        <f aca="false">INDEX(JE_Lines!$J$5:$J$1733,MATCH(A335,JE_Lines!$B$5:$B$1733,0))</f>
        <v>Manual</v>
      </c>
      <c r="J335" s="0" t="str">
        <f aca="false">IF(LEN(INDEX(JE_Lines!$K$5:$K$1733,MATCH(A335,JE_Lines!$B$5:$B$1733,0)))=0,"",INDEX(JE_Lines!$K$5:$K$1733,MATCH(A335,JE_Lines!$B$5:$B$1733,0)))</f>
        <v>Accrual reversal</v>
      </c>
      <c r="K335" s="9" t="n">
        <f aca="false">F335-G335</f>
        <v>4</v>
      </c>
      <c r="L335" s="9" t="n">
        <f aca="false">COUNTIFS(JE_Lines!$B$5:$B$1733,A335,JE_Lines!$F$5:$F$1733,"Revenue")</f>
        <v>0</v>
      </c>
      <c r="M335" s="9" t="n">
        <f aca="false">COUNTIFS(JE_Lines!$B$5:$B$1733,A335,JE_Lines!$F$5:$F$1733,"Suspense")</f>
        <v>0</v>
      </c>
      <c r="N335" s="9" t="n">
        <f aca="false">IF(ABS(E335)&gt;Parameters!$B$23,1,0)</f>
        <v>0</v>
      </c>
      <c r="O335" s="9" t="n">
        <f aca="false">IF(WEEKDAY(F335,2)&gt;5,1,0)</f>
        <v>0</v>
      </c>
      <c r="P335" s="9" t="n">
        <f aca="false">IF(K335&gt;Parameters!$B$17,1,0)</f>
        <v>0</v>
      </c>
      <c r="Q335" s="9" t="n">
        <f aca="false">IF(AND(F335&lt;=Parameters!$B$6,F335&gt;Parameters!$B$6-Parameters!$B$18),1,0)</f>
        <v>0</v>
      </c>
      <c r="R335" s="9" t="n">
        <f aca="false">IF(COUNTIF(Parameters!$A$51:$A$58,H335)=0,1,0)</f>
        <v>0</v>
      </c>
      <c r="S335" s="9" t="n">
        <f aca="false">IF(AND(I335="Manual",L335&gt;0),1,0)</f>
        <v>0</v>
      </c>
      <c r="T335" s="9" t="n">
        <f aca="false">IF(AND(C335&gt;=Parameters!$B$22,ROUND(MOD(ROUND(C335,2),Parameters!$B$21),2)=0),1,0)</f>
        <v>0</v>
      </c>
      <c r="U335" s="9" t="n">
        <f aca="false">IF(LEN(TRIM(J335))=0,1,0)</f>
        <v>0</v>
      </c>
      <c r="V335" s="9" t="n">
        <f aca="false">IF(AND(I335="Manual",C335&lt;Parameters!$B$19,C335&gt;=Parameters!$B$19*(1-Parameters!$B$20)),1,0)</f>
        <v>0</v>
      </c>
      <c r="W335" s="9" t="n">
        <f aca="false">IF(AND(I335="Manual",M335&gt;0),1,0)</f>
        <v>0</v>
      </c>
      <c r="X335" s="9" t="n">
        <f aca="false">IF(A335-A334&gt;1,1,0)</f>
        <v>0</v>
      </c>
      <c r="Y335" s="9" t="n">
        <f aca="false">N335*Parameters!$B$38+O335*Parameters!$B$39+P335*Parameters!$B$40+Q335*Parameters!$B$41+R335*Parameters!$B$42+S335*Parameters!$B$43+T335*Parameters!$B$44+U335*Parameters!$B$45+V335*Parameters!$B$46+W335*Parameters!$B$47+X335*Parameters!$B$48</f>
        <v>0</v>
      </c>
      <c r="Z335" s="0" t="str">
        <f aca="false">IF(Y335&gt;=Parameters!$B$25,"High","")</f>
        <v/>
      </c>
    </row>
    <row r="336" customFormat="false" ht="15" hidden="false" customHeight="false" outlineLevel="0" collapsed="false">
      <c r="A336" s="16" t="n">
        <v>1339</v>
      </c>
      <c r="B336" s="9" t="n">
        <f aca="false">COUNTIF(JE_Lines!$B$5:$B$1733,A336)</f>
        <v>2</v>
      </c>
      <c r="C336" s="17" t="n">
        <f aca="false">SUMIFS(JE_Lines!$G$5:$G$1733,JE_Lines!$B$5:$B$1733,A336)</f>
        <v>51058.92</v>
      </c>
      <c r="D336" s="17" t="n">
        <f aca="false">SUMIFS(JE_Lines!$H$5:$H$1733,JE_Lines!$B$5:$B$1733,A336)</f>
        <v>51058.92</v>
      </c>
      <c r="E336" s="17" t="n">
        <f aca="false">C336-D336</f>
        <v>0</v>
      </c>
      <c r="F336" s="18" t="n">
        <f aca="false">INDEX(JE_Lines!$C$5:$C$1733,MATCH(A336,JE_Lines!$B$5:$B$1733,0))</f>
        <v>45810</v>
      </c>
      <c r="G336" s="18" t="n">
        <f aca="false">INDEX(JE_Lines!$D$5:$D$1733,MATCH(A336,JE_Lines!$B$5:$B$1733,0))</f>
        <v>45807</v>
      </c>
      <c r="H336" s="0" t="str">
        <f aca="false">INDEX(JE_Lines!$I$5:$I$1733,MATCH(A336,JE_Lines!$B$5:$B$1733,0))</f>
        <v>SYS_AR</v>
      </c>
      <c r="I336" s="0" t="str">
        <f aca="false">INDEX(JE_Lines!$J$5:$J$1733,MATCH(A336,JE_Lines!$B$5:$B$1733,0))</f>
        <v>System</v>
      </c>
      <c r="J336" s="0" t="str">
        <f aca="false">IF(LEN(INDEX(JE_Lines!$K$5:$K$1733,MATCH(A336,JE_Lines!$B$5:$B$1733,0)))=0,"",INDEX(JE_Lines!$K$5:$K$1733,MATCH(A336,JE_Lines!$B$5:$B$1733,0)))</f>
        <v>Cost of sales posting</v>
      </c>
      <c r="K336" s="9" t="n">
        <f aca="false">F336-G336</f>
        <v>3</v>
      </c>
      <c r="L336" s="9" t="n">
        <f aca="false">COUNTIFS(JE_Lines!$B$5:$B$1733,A336,JE_Lines!$F$5:$F$1733,"Revenue")</f>
        <v>0</v>
      </c>
      <c r="M336" s="9" t="n">
        <f aca="false">COUNTIFS(JE_Lines!$B$5:$B$1733,A336,JE_Lines!$F$5:$F$1733,"Suspense")</f>
        <v>0</v>
      </c>
      <c r="N336" s="9" t="n">
        <f aca="false">IF(ABS(E336)&gt;Parameters!$B$23,1,0)</f>
        <v>0</v>
      </c>
      <c r="O336" s="9" t="n">
        <f aca="false">IF(WEEKDAY(F336,2)&gt;5,1,0)</f>
        <v>0</v>
      </c>
      <c r="P336" s="9" t="n">
        <f aca="false">IF(K336&gt;Parameters!$B$17,1,0)</f>
        <v>0</v>
      </c>
      <c r="Q336" s="9" t="n">
        <f aca="false">IF(AND(F336&lt;=Parameters!$B$6,F336&gt;Parameters!$B$6-Parameters!$B$18),1,0)</f>
        <v>0</v>
      </c>
      <c r="R336" s="9" t="n">
        <f aca="false">IF(COUNTIF(Parameters!$A$51:$A$58,H336)=0,1,0)</f>
        <v>0</v>
      </c>
      <c r="S336" s="9" t="n">
        <f aca="false">IF(AND(I336="Manual",L336&gt;0),1,0)</f>
        <v>0</v>
      </c>
      <c r="T336" s="9" t="n">
        <f aca="false">IF(AND(C336&gt;=Parameters!$B$22,ROUND(MOD(ROUND(C336,2),Parameters!$B$21),2)=0),1,0)</f>
        <v>0</v>
      </c>
      <c r="U336" s="9" t="n">
        <f aca="false">IF(LEN(TRIM(J336))=0,1,0)</f>
        <v>0</v>
      </c>
      <c r="V336" s="9" t="n">
        <f aca="false">IF(AND(I336="Manual",C336&lt;Parameters!$B$19,C336&gt;=Parameters!$B$19*(1-Parameters!$B$20)),1,0)</f>
        <v>0</v>
      </c>
      <c r="W336" s="9" t="n">
        <f aca="false">IF(AND(I336="Manual",M336&gt;0),1,0)</f>
        <v>0</v>
      </c>
      <c r="X336" s="9" t="n">
        <f aca="false">IF(A336-A335&gt;1,1,0)</f>
        <v>0</v>
      </c>
      <c r="Y336" s="9" t="n">
        <f aca="false">N336*Parameters!$B$38+O336*Parameters!$B$39+P336*Parameters!$B$40+Q336*Parameters!$B$41+R336*Parameters!$B$42+S336*Parameters!$B$43+T336*Parameters!$B$44+U336*Parameters!$B$45+V336*Parameters!$B$46+W336*Parameters!$B$47+X336*Parameters!$B$48</f>
        <v>0</v>
      </c>
      <c r="Z336" s="0" t="str">
        <f aca="false">IF(Y336&gt;=Parameters!$B$25,"High","")</f>
        <v/>
      </c>
    </row>
    <row r="337" customFormat="false" ht="15" hidden="false" customHeight="false" outlineLevel="0" collapsed="false">
      <c r="A337" s="16" t="n">
        <v>1340</v>
      </c>
      <c r="B337" s="9" t="n">
        <f aca="false">COUNTIF(JE_Lines!$B$5:$B$1733,A337)</f>
        <v>2</v>
      </c>
      <c r="C337" s="17" t="n">
        <f aca="false">SUMIFS(JE_Lines!$G$5:$G$1733,JE_Lines!$B$5:$B$1733,A337)</f>
        <v>8919.21</v>
      </c>
      <c r="D337" s="17" t="n">
        <f aca="false">SUMIFS(JE_Lines!$H$5:$H$1733,JE_Lines!$B$5:$B$1733,A337)</f>
        <v>8919.21</v>
      </c>
      <c r="E337" s="17" t="n">
        <f aca="false">C337-D337</f>
        <v>0</v>
      </c>
      <c r="F337" s="18" t="n">
        <f aca="false">INDEX(JE_Lines!$C$5:$C$1733,MATCH(A337,JE_Lines!$B$5:$B$1733,0))</f>
        <v>45811</v>
      </c>
      <c r="G337" s="18" t="n">
        <f aca="false">INDEX(JE_Lines!$D$5:$D$1733,MATCH(A337,JE_Lines!$B$5:$B$1733,0))</f>
        <v>45808</v>
      </c>
      <c r="H337" s="0" t="str">
        <f aca="false">INDEX(JE_Lines!$I$5:$I$1733,MATCH(A337,JE_Lines!$B$5:$B$1733,0))</f>
        <v>SYS_AR</v>
      </c>
      <c r="I337" s="0" t="str">
        <f aca="false">INDEX(JE_Lines!$J$5:$J$1733,MATCH(A337,JE_Lines!$B$5:$B$1733,0))</f>
        <v>System</v>
      </c>
      <c r="J337" s="0" t="str">
        <f aca="false">IF(LEN(INDEX(JE_Lines!$K$5:$K$1733,MATCH(A337,JE_Lines!$B$5:$B$1733,0)))=0,"",INDEX(JE_Lines!$K$5:$K$1733,MATCH(A337,JE_Lines!$B$5:$B$1733,0)))</f>
        <v>Sales invoice batch</v>
      </c>
      <c r="K337" s="9" t="n">
        <f aca="false">F337-G337</f>
        <v>3</v>
      </c>
      <c r="L337" s="9" t="n">
        <f aca="false">COUNTIFS(JE_Lines!$B$5:$B$1733,A337,JE_Lines!$F$5:$F$1733,"Revenue")</f>
        <v>1</v>
      </c>
      <c r="M337" s="9" t="n">
        <f aca="false">COUNTIFS(JE_Lines!$B$5:$B$1733,A337,JE_Lines!$F$5:$F$1733,"Suspense")</f>
        <v>0</v>
      </c>
      <c r="N337" s="9" t="n">
        <f aca="false">IF(ABS(E337)&gt;Parameters!$B$23,1,0)</f>
        <v>0</v>
      </c>
      <c r="O337" s="9" t="n">
        <f aca="false">IF(WEEKDAY(F337,2)&gt;5,1,0)</f>
        <v>0</v>
      </c>
      <c r="P337" s="9" t="n">
        <f aca="false">IF(K337&gt;Parameters!$B$17,1,0)</f>
        <v>0</v>
      </c>
      <c r="Q337" s="9" t="n">
        <f aca="false">IF(AND(F337&lt;=Parameters!$B$6,F337&gt;Parameters!$B$6-Parameters!$B$18),1,0)</f>
        <v>0</v>
      </c>
      <c r="R337" s="9" t="n">
        <f aca="false">IF(COUNTIF(Parameters!$A$51:$A$58,H337)=0,1,0)</f>
        <v>0</v>
      </c>
      <c r="S337" s="9" t="n">
        <f aca="false">IF(AND(I337="Manual",L337&gt;0),1,0)</f>
        <v>0</v>
      </c>
      <c r="T337" s="9" t="n">
        <f aca="false">IF(AND(C337&gt;=Parameters!$B$22,ROUND(MOD(ROUND(C337,2),Parameters!$B$21),2)=0),1,0)</f>
        <v>0</v>
      </c>
      <c r="U337" s="9" t="n">
        <f aca="false">IF(LEN(TRIM(J337))=0,1,0)</f>
        <v>0</v>
      </c>
      <c r="V337" s="9" t="n">
        <f aca="false">IF(AND(I337="Manual",C337&lt;Parameters!$B$19,C337&gt;=Parameters!$B$19*(1-Parameters!$B$20)),1,0)</f>
        <v>0</v>
      </c>
      <c r="W337" s="9" t="n">
        <f aca="false">IF(AND(I337="Manual",M337&gt;0),1,0)</f>
        <v>0</v>
      </c>
      <c r="X337" s="9" t="n">
        <f aca="false">IF(A337-A336&gt;1,1,0)</f>
        <v>0</v>
      </c>
      <c r="Y337" s="9" t="n">
        <f aca="false">N337*Parameters!$B$38+O337*Parameters!$B$39+P337*Parameters!$B$40+Q337*Parameters!$B$41+R337*Parameters!$B$42+S337*Parameters!$B$43+T337*Parameters!$B$44+U337*Parameters!$B$45+V337*Parameters!$B$46+W337*Parameters!$B$47+X337*Parameters!$B$48</f>
        <v>0</v>
      </c>
      <c r="Z337" s="0" t="str">
        <f aca="false">IF(Y337&gt;=Parameters!$B$25,"High","")</f>
        <v/>
      </c>
    </row>
    <row r="338" customFormat="false" ht="15" hidden="false" customHeight="false" outlineLevel="0" collapsed="false">
      <c r="A338" s="16" t="n">
        <v>1341</v>
      </c>
      <c r="B338" s="9" t="n">
        <f aca="false">COUNTIF(JE_Lines!$B$5:$B$1733,A338)</f>
        <v>3</v>
      </c>
      <c r="C338" s="17" t="n">
        <f aca="false">SUMIFS(JE_Lines!$G$5:$G$1733,JE_Lines!$B$5:$B$1733,A338)</f>
        <v>4812.77</v>
      </c>
      <c r="D338" s="17" t="n">
        <f aca="false">SUMIFS(JE_Lines!$H$5:$H$1733,JE_Lines!$B$5:$B$1733,A338)</f>
        <v>4812.77</v>
      </c>
      <c r="E338" s="17" t="n">
        <f aca="false">C338-D338</f>
        <v>0</v>
      </c>
      <c r="F338" s="18" t="n">
        <f aca="false">INDEX(JE_Lines!$C$5:$C$1733,MATCH(A338,JE_Lines!$B$5:$B$1733,0))</f>
        <v>45811</v>
      </c>
      <c r="G338" s="18" t="n">
        <f aca="false">INDEX(JE_Lines!$D$5:$D$1733,MATCH(A338,JE_Lines!$B$5:$B$1733,0))</f>
        <v>45808</v>
      </c>
      <c r="H338" s="0" t="str">
        <f aca="false">INDEX(JE_Lines!$I$5:$I$1733,MATCH(A338,JE_Lines!$B$5:$B$1733,0))</f>
        <v>FIN05</v>
      </c>
      <c r="I338" s="0" t="str">
        <f aca="false">INDEX(JE_Lines!$J$5:$J$1733,MATCH(A338,JE_Lines!$B$5:$B$1733,0))</f>
        <v>Manual</v>
      </c>
      <c r="J338" s="0" t="str">
        <f aca="false">IF(LEN(INDEX(JE_Lines!$K$5:$K$1733,MATCH(A338,JE_Lines!$B$5:$B$1733,0)))=0,"",INDEX(JE_Lines!$K$5:$K$1733,MATCH(A338,JE_Lines!$B$5:$B$1733,0)))</f>
        <v>Accrual for sundry costs</v>
      </c>
      <c r="K338" s="9" t="n">
        <f aca="false">F338-G338</f>
        <v>3</v>
      </c>
      <c r="L338" s="9" t="n">
        <f aca="false">COUNTIFS(JE_Lines!$B$5:$B$1733,A338,JE_Lines!$F$5:$F$1733,"Revenue")</f>
        <v>0</v>
      </c>
      <c r="M338" s="9" t="n">
        <f aca="false">COUNTIFS(JE_Lines!$B$5:$B$1733,A338,JE_Lines!$F$5:$F$1733,"Suspense")</f>
        <v>0</v>
      </c>
      <c r="N338" s="9" t="n">
        <f aca="false">IF(ABS(E338)&gt;Parameters!$B$23,1,0)</f>
        <v>0</v>
      </c>
      <c r="O338" s="9" t="n">
        <f aca="false">IF(WEEKDAY(F338,2)&gt;5,1,0)</f>
        <v>0</v>
      </c>
      <c r="P338" s="9" t="n">
        <f aca="false">IF(K338&gt;Parameters!$B$17,1,0)</f>
        <v>0</v>
      </c>
      <c r="Q338" s="9" t="n">
        <f aca="false">IF(AND(F338&lt;=Parameters!$B$6,F338&gt;Parameters!$B$6-Parameters!$B$18),1,0)</f>
        <v>0</v>
      </c>
      <c r="R338" s="9" t="n">
        <f aca="false">IF(COUNTIF(Parameters!$A$51:$A$58,H338)=0,1,0)</f>
        <v>0</v>
      </c>
      <c r="S338" s="9" t="n">
        <f aca="false">IF(AND(I338="Manual",L338&gt;0),1,0)</f>
        <v>0</v>
      </c>
      <c r="T338" s="9" t="n">
        <f aca="false">IF(AND(C338&gt;=Parameters!$B$22,ROUND(MOD(ROUND(C338,2),Parameters!$B$21),2)=0),1,0)</f>
        <v>0</v>
      </c>
      <c r="U338" s="9" t="n">
        <f aca="false">IF(LEN(TRIM(J338))=0,1,0)</f>
        <v>0</v>
      </c>
      <c r="V338" s="9" t="n">
        <f aca="false">IF(AND(I338="Manual",C338&lt;Parameters!$B$19,C338&gt;=Parameters!$B$19*(1-Parameters!$B$20)),1,0)</f>
        <v>0</v>
      </c>
      <c r="W338" s="9" t="n">
        <f aca="false">IF(AND(I338="Manual",M338&gt;0),1,0)</f>
        <v>0</v>
      </c>
      <c r="X338" s="9" t="n">
        <f aca="false">IF(A338-A337&gt;1,1,0)</f>
        <v>0</v>
      </c>
      <c r="Y338" s="9" t="n">
        <f aca="false">N338*Parameters!$B$38+O338*Parameters!$B$39+P338*Parameters!$B$40+Q338*Parameters!$B$41+R338*Parameters!$B$42+S338*Parameters!$B$43+T338*Parameters!$B$44+U338*Parameters!$B$45+V338*Parameters!$B$46+W338*Parameters!$B$47+X338*Parameters!$B$48</f>
        <v>0</v>
      </c>
      <c r="Z338" s="0" t="str">
        <f aca="false">IF(Y338&gt;=Parameters!$B$25,"High","")</f>
        <v/>
      </c>
    </row>
    <row r="339" customFormat="false" ht="15" hidden="false" customHeight="false" outlineLevel="0" collapsed="false">
      <c r="A339" s="16" t="n">
        <v>1342</v>
      </c>
      <c r="B339" s="9" t="n">
        <f aca="false">COUNTIF(JE_Lines!$B$5:$B$1733,A339)</f>
        <v>2</v>
      </c>
      <c r="C339" s="17" t="n">
        <f aca="false">SUMIFS(JE_Lines!$G$5:$G$1733,JE_Lines!$B$5:$B$1733,A339)</f>
        <v>25040.79</v>
      </c>
      <c r="D339" s="17" t="n">
        <f aca="false">SUMIFS(JE_Lines!$H$5:$H$1733,JE_Lines!$B$5:$B$1733,A339)</f>
        <v>25040.79</v>
      </c>
      <c r="E339" s="17" t="n">
        <f aca="false">C339-D339</f>
        <v>0</v>
      </c>
      <c r="F339" s="18" t="n">
        <f aca="false">INDEX(JE_Lines!$C$5:$C$1733,MATCH(A339,JE_Lines!$B$5:$B$1733,0))</f>
        <v>45811</v>
      </c>
      <c r="G339" s="18" t="n">
        <f aca="false">INDEX(JE_Lines!$D$5:$D$1733,MATCH(A339,JE_Lines!$B$5:$B$1733,0))</f>
        <v>45807</v>
      </c>
      <c r="H339" s="0" t="str">
        <f aca="false">INDEX(JE_Lines!$I$5:$I$1733,MATCH(A339,JE_Lines!$B$5:$B$1733,0))</f>
        <v>SYS_PAY</v>
      </c>
      <c r="I339" s="0" t="str">
        <f aca="false">INDEX(JE_Lines!$J$5:$J$1733,MATCH(A339,JE_Lines!$B$5:$B$1733,0))</f>
        <v>System</v>
      </c>
      <c r="J339" s="0" t="str">
        <f aca="false">IF(LEN(INDEX(JE_Lines!$K$5:$K$1733,MATCH(A339,JE_Lines!$B$5:$B$1733,0)))=0,"",INDEX(JE_Lines!$K$5:$K$1733,MATCH(A339,JE_Lines!$B$5:$B$1733,0)))</f>
        <v>Supplier payments</v>
      </c>
      <c r="K339" s="9" t="n">
        <f aca="false">F339-G339</f>
        <v>4</v>
      </c>
      <c r="L339" s="9" t="n">
        <f aca="false">COUNTIFS(JE_Lines!$B$5:$B$1733,A339,JE_Lines!$F$5:$F$1733,"Revenue")</f>
        <v>0</v>
      </c>
      <c r="M339" s="9" t="n">
        <f aca="false">COUNTIFS(JE_Lines!$B$5:$B$1733,A339,JE_Lines!$F$5:$F$1733,"Suspense")</f>
        <v>0</v>
      </c>
      <c r="N339" s="9" t="n">
        <f aca="false">IF(ABS(E339)&gt;Parameters!$B$23,1,0)</f>
        <v>0</v>
      </c>
      <c r="O339" s="9" t="n">
        <f aca="false">IF(WEEKDAY(F339,2)&gt;5,1,0)</f>
        <v>0</v>
      </c>
      <c r="P339" s="9" t="n">
        <f aca="false">IF(K339&gt;Parameters!$B$17,1,0)</f>
        <v>0</v>
      </c>
      <c r="Q339" s="9" t="n">
        <f aca="false">IF(AND(F339&lt;=Parameters!$B$6,F339&gt;Parameters!$B$6-Parameters!$B$18),1,0)</f>
        <v>0</v>
      </c>
      <c r="R339" s="9" t="n">
        <f aca="false">IF(COUNTIF(Parameters!$A$51:$A$58,H339)=0,1,0)</f>
        <v>0</v>
      </c>
      <c r="S339" s="9" t="n">
        <f aca="false">IF(AND(I339="Manual",L339&gt;0),1,0)</f>
        <v>0</v>
      </c>
      <c r="T339" s="9" t="n">
        <f aca="false">IF(AND(C339&gt;=Parameters!$B$22,ROUND(MOD(ROUND(C339,2),Parameters!$B$21),2)=0),1,0)</f>
        <v>0</v>
      </c>
      <c r="U339" s="9" t="n">
        <f aca="false">IF(LEN(TRIM(J339))=0,1,0)</f>
        <v>0</v>
      </c>
      <c r="V339" s="9" t="n">
        <f aca="false">IF(AND(I339="Manual",C339&lt;Parameters!$B$19,C339&gt;=Parameters!$B$19*(1-Parameters!$B$20)),1,0)</f>
        <v>0</v>
      </c>
      <c r="W339" s="9" t="n">
        <f aca="false">IF(AND(I339="Manual",M339&gt;0),1,0)</f>
        <v>0</v>
      </c>
      <c r="X339" s="9" t="n">
        <f aca="false">IF(A339-A338&gt;1,1,0)</f>
        <v>0</v>
      </c>
      <c r="Y339" s="9" t="n">
        <f aca="false">N339*Parameters!$B$38+O339*Parameters!$B$39+P339*Parameters!$B$40+Q339*Parameters!$B$41+R339*Parameters!$B$42+S339*Parameters!$B$43+T339*Parameters!$B$44+U339*Parameters!$B$45+V339*Parameters!$B$46+W339*Parameters!$B$47+X339*Parameters!$B$48</f>
        <v>0</v>
      </c>
      <c r="Z339" s="0" t="str">
        <f aca="false">IF(Y339&gt;=Parameters!$B$25,"High","")</f>
        <v/>
      </c>
    </row>
    <row r="340" customFormat="false" ht="15" hidden="false" customHeight="false" outlineLevel="0" collapsed="false">
      <c r="A340" s="16" t="n">
        <v>1343</v>
      </c>
      <c r="B340" s="9" t="n">
        <f aca="false">COUNTIF(JE_Lines!$B$5:$B$1733,A340)</f>
        <v>3</v>
      </c>
      <c r="C340" s="17" t="n">
        <f aca="false">SUMIFS(JE_Lines!$G$5:$G$1733,JE_Lines!$B$5:$B$1733,A340)</f>
        <v>789.46</v>
      </c>
      <c r="D340" s="17" t="n">
        <f aca="false">SUMIFS(JE_Lines!$H$5:$H$1733,JE_Lines!$B$5:$B$1733,A340)</f>
        <v>789.46</v>
      </c>
      <c r="E340" s="17" t="n">
        <f aca="false">C340-D340</f>
        <v>0</v>
      </c>
      <c r="F340" s="18" t="n">
        <f aca="false">INDEX(JE_Lines!$C$5:$C$1733,MATCH(A340,JE_Lines!$B$5:$B$1733,0))</f>
        <v>45811</v>
      </c>
      <c r="G340" s="18" t="n">
        <f aca="false">INDEX(JE_Lines!$D$5:$D$1733,MATCH(A340,JE_Lines!$B$5:$B$1733,0))</f>
        <v>45810</v>
      </c>
      <c r="H340" s="0" t="str">
        <f aca="false">INDEX(JE_Lines!$I$5:$I$1733,MATCH(A340,JE_Lines!$B$5:$B$1733,0))</f>
        <v>SYS_PAY</v>
      </c>
      <c r="I340" s="0" t="str">
        <f aca="false">INDEX(JE_Lines!$J$5:$J$1733,MATCH(A340,JE_Lines!$B$5:$B$1733,0))</f>
        <v>System</v>
      </c>
      <c r="J340" s="0" t="str">
        <f aca="false">IF(LEN(INDEX(JE_Lines!$K$5:$K$1733,MATCH(A340,JE_Lines!$B$5:$B$1733,0)))=0,"",INDEX(JE_Lines!$K$5:$K$1733,MATCH(A340,JE_Lines!$B$5:$B$1733,0)))</f>
        <v>Supplier payments</v>
      </c>
      <c r="K340" s="9" t="n">
        <f aca="false">F340-G340</f>
        <v>1</v>
      </c>
      <c r="L340" s="9" t="n">
        <f aca="false">COUNTIFS(JE_Lines!$B$5:$B$1733,A340,JE_Lines!$F$5:$F$1733,"Revenue")</f>
        <v>0</v>
      </c>
      <c r="M340" s="9" t="n">
        <f aca="false">COUNTIFS(JE_Lines!$B$5:$B$1733,A340,JE_Lines!$F$5:$F$1733,"Suspense")</f>
        <v>0</v>
      </c>
      <c r="N340" s="9" t="n">
        <f aca="false">IF(ABS(E340)&gt;Parameters!$B$23,1,0)</f>
        <v>0</v>
      </c>
      <c r="O340" s="9" t="n">
        <f aca="false">IF(WEEKDAY(F340,2)&gt;5,1,0)</f>
        <v>0</v>
      </c>
      <c r="P340" s="9" t="n">
        <f aca="false">IF(K340&gt;Parameters!$B$17,1,0)</f>
        <v>0</v>
      </c>
      <c r="Q340" s="9" t="n">
        <f aca="false">IF(AND(F340&lt;=Parameters!$B$6,F340&gt;Parameters!$B$6-Parameters!$B$18),1,0)</f>
        <v>0</v>
      </c>
      <c r="R340" s="9" t="n">
        <f aca="false">IF(COUNTIF(Parameters!$A$51:$A$58,H340)=0,1,0)</f>
        <v>0</v>
      </c>
      <c r="S340" s="9" t="n">
        <f aca="false">IF(AND(I340="Manual",L340&gt;0),1,0)</f>
        <v>0</v>
      </c>
      <c r="T340" s="9" t="n">
        <f aca="false">IF(AND(C340&gt;=Parameters!$B$22,ROUND(MOD(ROUND(C340,2),Parameters!$B$21),2)=0),1,0)</f>
        <v>0</v>
      </c>
      <c r="U340" s="9" t="n">
        <f aca="false">IF(LEN(TRIM(J340))=0,1,0)</f>
        <v>0</v>
      </c>
      <c r="V340" s="9" t="n">
        <f aca="false">IF(AND(I340="Manual",C340&lt;Parameters!$B$19,C340&gt;=Parameters!$B$19*(1-Parameters!$B$20)),1,0)</f>
        <v>0</v>
      </c>
      <c r="W340" s="9" t="n">
        <f aca="false">IF(AND(I340="Manual",M340&gt;0),1,0)</f>
        <v>0</v>
      </c>
      <c r="X340" s="9" t="n">
        <f aca="false">IF(A340-A339&gt;1,1,0)</f>
        <v>0</v>
      </c>
      <c r="Y340" s="9" t="n">
        <f aca="false">N340*Parameters!$B$38+O340*Parameters!$B$39+P340*Parameters!$B$40+Q340*Parameters!$B$41+R340*Parameters!$B$42+S340*Parameters!$B$43+T340*Parameters!$B$44+U340*Parameters!$B$45+V340*Parameters!$B$46+W340*Parameters!$B$47+X340*Parameters!$B$48</f>
        <v>0</v>
      </c>
      <c r="Z340" s="0" t="str">
        <f aca="false">IF(Y340&gt;=Parameters!$B$25,"High","")</f>
        <v/>
      </c>
    </row>
    <row r="341" customFormat="false" ht="15" hidden="false" customHeight="false" outlineLevel="0" collapsed="false">
      <c r="A341" s="16" t="n">
        <v>1344</v>
      </c>
      <c r="B341" s="9" t="n">
        <f aca="false">COUNTIF(JE_Lines!$B$5:$B$1733,A341)</f>
        <v>2</v>
      </c>
      <c r="C341" s="17" t="n">
        <f aca="false">SUMIFS(JE_Lines!$G$5:$G$1733,JE_Lines!$B$5:$B$1733,A341)</f>
        <v>4707.17</v>
      </c>
      <c r="D341" s="17" t="n">
        <f aca="false">SUMIFS(JE_Lines!$H$5:$H$1733,JE_Lines!$B$5:$B$1733,A341)</f>
        <v>4707.17</v>
      </c>
      <c r="E341" s="17" t="n">
        <f aca="false">C341-D341</f>
        <v>0</v>
      </c>
      <c r="F341" s="18" t="n">
        <f aca="false">INDEX(JE_Lines!$C$5:$C$1733,MATCH(A341,JE_Lines!$B$5:$B$1733,0))</f>
        <v>45812</v>
      </c>
      <c r="G341" s="18" t="n">
        <f aca="false">INDEX(JE_Lines!$D$5:$D$1733,MATCH(A341,JE_Lines!$B$5:$B$1733,0))</f>
        <v>45809</v>
      </c>
      <c r="H341" s="0" t="str">
        <f aca="false">INDEX(JE_Lines!$I$5:$I$1733,MATCH(A341,JE_Lines!$B$5:$B$1733,0))</f>
        <v>SYS_AP</v>
      </c>
      <c r="I341" s="0" t="str">
        <f aca="false">INDEX(JE_Lines!$J$5:$J$1733,MATCH(A341,JE_Lines!$B$5:$B$1733,0))</f>
        <v>System</v>
      </c>
      <c r="J341" s="0" t="str">
        <f aca="false">IF(LEN(INDEX(JE_Lines!$K$5:$K$1733,MATCH(A341,JE_Lines!$B$5:$B$1733,0)))=0,"",INDEX(JE_Lines!$K$5:$K$1733,MATCH(A341,JE_Lines!$B$5:$B$1733,0)))</f>
        <v>Supplier invoices</v>
      </c>
      <c r="K341" s="9" t="n">
        <f aca="false">F341-G341</f>
        <v>3</v>
      </c>
      <c r="L341" s="9" t="n">
        <f aca="false">COUNTIFS(JE_Lines!$B$5:$B$1733,A341,JE_Lines!$F$5:$F$1733,"Revenue")</f>
        <v>0</v>
      </c>
      <c r="M341" s="9" t="n">
        <f aca="false">COUNTIFS(JE_Lines!$B$5:$B$1733,A341,JE_Lines!$F$5:$F$1733,"Suspense")</f>
        <v>0</v>
      </c>
      <c r="N341" s="9" t="n">
        <f aca="false">IF(ABS(E341)&gt;Parameters!$B$23,1,0)</f>
        <v>0</v>
      </c>
      <c r="O341" s="9" t="n">
        <f aca="false">IF(WEEKDAY(F341,2)&gt;5,1,0)</f>
        <v>0</v>
      </c>
      <c r="P341" s="9" t="n">
        <f aca="false">IF(K341&gt;Parameters!$B$17,1,0)</f>
        <v>0</v>
      </c>
      <c r="Q341" s="9" t="n">
        <f aca="false">IF(AND(F341&lt;=Parameters!$B$6,F341&gt;Parameters!$B$6-Parameters!$B$18),1,0)</f>
        <v>0</v>
      </c>
      <c r="R341" s="9" t="n">
        <f aca="false">IF(COUNTIF(Parameters!$A$51:$A$58,H341)=0,1,0)</f>
        <v>0</v>
      </c>
      <c r="S341" s="9" t="n">
        <f aca="false">IF(AND(I341="Manual",L341&gt;0),1,0)</f>
        <v>0</v>
      </c>
      <c r="T341" s="9" t="n">
        <f aca="false">IF(AND(C341&gt;=Parameters!$B$22,ROUND(MOD(ROUND(C341,2),Parameters!$B$21),2)=0),1,0)</f>
        <v>0</v>
      </c>
      <c r="U341" s="9" t="n">
        <f aca="false">IF(LEN(TRIM(J341))=0,1,0)</f>
        <v>0</v>
      </c>
      <c r="V341" s="9" t="n">
        <f aca="false">IF(AND(I341="Manual",C341&lt;Parameters!$B$19,C341&gt;=Parameters!$B$19*(1-Parameters!$B$20)),1,0)</f>
        <v>0</v>
      </c>
      <c r="W341" s="9" t="n">
        <f aca="false">IF(AND(I341="Manual",M341&gt;0),1,0)</f>
        <v>0</v>
      </c>
      <c r="X341" s="9" t="n">
        <f aca="false">IF(A341-A340&gt;1,1,0)</f>
        <v>0</v>
      </c>
      <c r="Y341" s="9" t="n">
        <f aca="false">N341*Parameters!$B$38+O341*Parameters!$B$39+P341*Parameters!$B$40+Q341*Parameters!$B$41+R341*Parameters!$B$42+S341*Parameters!$B$43+T341*Parameters!$B$44+U341*Parameters!$B$45+V341*Parameters!$B$46+W341*Parameters!$B$47+X341*Parameters!$B$48</f>
        <v>0</v>
      </c>
      <c r="Z341" s="0" t="str">
        <f aca="false">IF(Y341&gt;=Parameters!$B$25,"High","")</f>
        <v/>
      </c>
    </row>
    <row r="342" customFormat="false" ht="15" hidden="false" customHeight="false" outlineLevel="0" collapsed="false">
      <c r="A342" s="16" t="n">
        <v>1345</v>
      </c>
      <c r="B342" s="9" t="n">
        <f aca="false">COUNTIF(JE_Lines!$B$5:$B$1733,A342)</f>
        <v>2</v>
      </c>
      <c r="C342" s="17" t="n">
        <f aca="false">SUMIFS(JE_Lines!$G$5:$G$1733,JE_Lines!$B$5:$B$1733,A342)</f>
        <v>101146.48</v>
      </c>
      <c r="D342" s="17" t="n">
        <f aca="false">SUMIFS(JE_Lines!$H$5:$H$1733,JE_Lines!$B$5:$B$1733,A342)</f>
        <v>101146.48</v>
      </c>
      <c r="E342" s="17" t="n">
        <f aca="false">C342-D342</f>
        <v>0</v>
      </c>
      <c r="F342" s="18" t="n">
        <f aca="false">INDEX(JE_Lines!$C$5:$C$1733,MATCH(A342,JE_Lines!$B$5:$B$1733,0))</f>
        <v>45812</v>
      </c>
      <c r="G342" s="18" t="n">
        <f aca="false">INDEX(JE_Lines!$D$5:$D$1733,MATCH(A342,JE_Lines!$B$5:$B$1733,0))</f>
        <v>45808</v>
      </c>
      <c r="H342" s="0" t="str">
        <f aca="false">INDEX(JE_Lines!$I$5:$I$1733,MATCH(A342,JE_Lines!$B$5:$B$1733,0))</f>
        <v>SYS_AR</v>
      </c>
      <c r="I342" s="0" t="str">
        <f aca="false">INDEX(JE_Lines!$J$5:$J$1733,MATCH(A342,JE_Lines!$B$5:$B$1733,0))</f>
        <v>System</v>
      </c>
      <c r="J342" s="0" t="str">
        <f aca="false">IF(LEN(INDEX(JE_Lines!$K$5:$K$1733,MATCH(A342,JE_Lines!$B$5:$B$1733,0)))=0,"",INDEX(JE_Lines!$K$5:$K$1733,MATCH(A342,JE_Lines!$B$5:$B$1733,0)))</f>
        <v>Sales invoice batch</v>
      </c>
      <c r="K342" s="9" t="n">
        <f aca="false">F342-G342</f>
        <v>4</v>
      </c>
      <c r="L342" s="9" t="n">
        <f aca="false">COUNTIFS(JE_Lines!$B$5:$B$1733,A342,JE_Lines!$F$5:$F$1733,"Revenue")</f>
        <v>1</v>
      </c>
      <c r="M342" s="9" t="n">
        <f aca="false">COUNTIFS(JE_Lines!$B$5:$B$1733,A342,JE_Lines!$F$5:$F$1733,"Suspense")</f>
        <v>0</v>
      </c>
      <c r="N342" s="9" t="n">
        <f aca="false">IF(ABS(E342)&gt;Parameters!$B$23,1,0)</f>
        <v>0</v>
      </c>
      <c r="O342" s="9" t="n">
        <f aca="false">IF(WEEKDAY(F342,2)&gt;5,1,0)</f>
        <v>0</v>
      </c>
      <c r="P342" s="9" t="n">
        <f aca="false">IF(K342&gt;Parameters!$B$17,1,0)</f>
        <v>0</v>
      </c>
      <c r="Q342" s="9" t="n">
        <f aca="false">IF(AND(F342&lt;=Parameters!$B$6,F342&gt;Parameters!$B$6-Parameters!$B$18),1,0)</f>
        <v>0</v>
      </c>
      <c r="R342" s="9" t="n">
        <f aca="false">IF(COUNTIF(Parameters!$A$51:$A$58,H342)=0,1,0)</f>
        <v>0</v>
      </c>
      <c r="S342" s="9" t="n">
        <f aca="false">IF(AND(I342="Manual",L342&gt;0),1,0)</f>
        <v>0</v>
      </c>
      <c r="T342" s="9" t="n">
        <f aca="false">IF(AND(C342&gt;=Parameters!$B$22,ROUND(MOD(ROUND(C342,2),Parameters!$B$21),2)=0),1,0)</f>
        <v>0</v>
      </c>
      <c r="U342" s="9" t="n">
        <f aca="false">IF(LEN(TRIM(J342))=0,1,0)</f>
        <v>0</v>
      </c>
      <c r="V342" s="9" t="n">
        <f aca="false">IF(AND(I342="Manual",C342&lt;Parameters!$B$19,C342&gt;=Parameters!$B$19*(1-Parameters!$B$20)),1,0)</f>
        <v>0</v>
      </c>
      <c r="W342" s="9" t="n">
        <f aca="false">IF(AND(I342="Manual",M342&gt;0),1,0)</f>
        <v>0</v>
      </c>
      <c r="X342" s="9" t="n">
        <f aca="false">IF(A342-A341&gt;1,1,0)</f>
        <v>0</v>
      </c>
      <c r="Y342" s="9" t="n">
        <f aca="false">N342*Parameters!$B$38+O342*Parameters!$B$39+P342*Parameters!$B$40+Q342*Parameters!$B$41+R342*Parameters!$B$42+S342*Parameters!$B$43+T342*Parameters!$B$44+U342*Parameters!$B$45+V342*Parameters!$B$46+W342*Parameters!$B$47+X342*Parameters!$B$48</f>
        <v>0</v>
      </c>
      <c r="Z342" s="0" t="str">
        <f aca="false">IF(Y342&gt;=Parameters!$B$25,"High","")</f>
        <v/>
      </c>
    </row>
    <row r="343" customFormat="false" ht="15" hidden="false" customHeight="false" outlineLevel="0" collapsed="false">
      <c r="A343" s="16" t="n">
        <v>1346</v>
      </c>
      <c r="B343" s="9" t="n">
        <f aca="false">COUNTIF(JE_Lines!$B$5:$B$1733,A343)</f>
        <v>2</v>
      </c>
      <c r="C343" s="17" t="n">
        <f aca="false">SUMIFS(JE_Lines!$G$5:$G$1733,JE_Lines!$B$5:$B$1733,A343)</f>
        <v>20751.92</v>
      </c>
      <c r="D343" s="17" t="n">
        <f aca="false">SUMIFS(JE_Lines!$H$5:$H$1733,JE_Lines!$B$5:$B$1733,A343)</f>
        <v>20751.92</v>
      </c>
      <c r="E343" s="17" t="n">
        <f aca="false">C343-D343</f>
        <v>0</v>
      </c>
      <c r="F343" s="18" t="n">
        <f aca="false">INDEX(JE_Lines!$C$5:$C$1733,MATCH(A343,JE_Lines!$B$5:$B$1733,0))</f>
        <v>45812</v>
      </c>
      <c r="G343" s="18" t="n">
        <f aca="false">INDEX(JE_Lines!$D$5:$D$1733,MATCH(A343,JE_Lines!$B$5:$B$1733,0))</f>
        <v>45812</v>
      </c>
      <c r="H343" s="0" t="str">
        <f aca="false">INDEX(JE_Lines!$I$5:$I$1733,MATCH(A343,JE_Lines!$B$5:$B$1733,0))</f>
        <v>SYS_AR</v>
      </c>
      <c r="I343" s="0" t="str">
        <f aca="false">INDEX(JE_Lines!$J$5:$J$1733,MATCH(A343,JE_Lines!$B$5:$B$1733,0))</f>
        <v>System</v>
      </c>
      <c r="J343" s="0" t="str">
        <f aca="false">IF(LEN(INDEX(JE_Lines!$K$5:$K$1733,MATCH(A343,JE_Lines!$B$5:$B$1733,0)))=0,"",INDEX(JE_Lines!$K$5:$K$1733,MATCH(A343,JE_Lines!$B$5:$B$1733,0)))</f>
        <v>Sales invoice batch</v>
      </c>
      <c r="K343" s="9" t="n">
        <f aca="false">F343-G343</f>
        <v>0</v>
      </c>
      <c r="L343" s="9" t="n">
        <f aca="false">COUNTIFS(JE_Lines!$B$5:$B$1733,A343,JE_Lines!$F$5:$F$1733,"Revenue")</f>
        <v>1</v>
      </c>
      <c r="M343" s="9" t="n">
        <f aca="false">COUNTIFS(JE_Lines!$B$5:$B$1733,A343,JE_Lines!$F$5:$F$1733,"Suspense")</f>
        <v>0</v>
      </c>
      <c r="N343" s="9" t="n">
        <f aca="false">IF(ABS(E343)&gt;Parameters!$B$23,1,0)</f>
        <v>0</v>
      </c>
      <c r="O343" s="9" t="n">
        <f aca="false">IF(WEEKDAY(F343,2)&gt;5,1,0)</f>
        <v>0</v>
      </c>
      <c r="P343" s="9" t="n">
        <f aca="false">IF(K343&gt;Parameters!$B$17,1,0)</f>
        <v>0</v>
      </c>
      <c r="Q343" s="9" t="n">
        <f aca="false">IF(AND(F343&lt;=Parameters!$B$6,F343&gt;Parameters!$B$6-Parameters!$B$18),1,0)</f>
        <v>0</v>
      </c>
      <c r="R343" s="9" t="n">
        <f aca="false">IF(COUNTIF(Parameters!$A$51:$A$58,H343)=0,1,0)</f>
        <v>0</v>
      </c>
      <c r="S343" s="9" t="n">
        <f aca="false">IF(AND(I343="Manual",L343&gt;0),1,0)</f>
        <v>0</v>
      </c>
      <c r="T343" s="9" t="n">
        <f aca="false">IF(AND(C343&gt;=Parameters!$B$22,ROUND(MOD(ROUND(C343,2),Parameters!$B$21),2)=0),1,0)</f>
        <v>0</v>
      </c>
      <c r="U343" s="9" t="n">
        <f aca="false">IF(LEN(TRIM(J343))=0,1,0)</f>
        <v>0</v>
      </c>
      <c r="V343" s="9" t="n">
        <f aca="false">IF(AND(I343="Manual",C343&lt;Parameters!$B$19,C343&gt;=Parameters!$B$19*(1-Parameters!$B$20)),1,0)</f>
        <v>0</v>
      </c>
      <c r="W343" s="9" t="n">
        <f aca="false">IF(AND(I343="Manual",M343&gt;0),1,0)</f>
        <v>0</v>
      </c>
      <c r="X343" s="9" t="n">
        <f aca="false">IF(A343-A342&gt;1,1,0)</f>
        <v>0</v>
      </c>
      <c r="Y343" s="9" t="n">
        <f aca="false">N343*Parameters!$B$38+O343*Parameters!$B$39+P343*Parameters!$B$40+Q343*Parameters!$B$41+R343*Parameters!$B$42+S343*Parameters!$B$43+T343*Parameters!$B$44+U343*Parameters!$B$45+V343*Parameters!$B$46+W343*Parameters!$B$47+X343*Parameters!$B$48</f>
        <v>0</v>
      </c>
      <c r="Z343" s="0" t="str">
        <f aca="false">IF(Y343&gt;=Parameters!$B$25,"High","")</f>
        <v/>
      </c>
    </row>
    <row r="344" customFormat="false" ht="15" hidden="false" customHeight="false" outlineLevel="0" collapsed="false">
      <c r="A344" s="16" t="n">
        <v>1347</v>
      </c>
      <c r="B344" s="9" t="n">
        <f aca="false">COUNTIF(JE_Lines!$B$5:$B$1733,A344)</f>
        <v>2</v>
      </c>
      <c r="C344" s="17" t="n">
        <f aca="false">SUMIFS(JE_Lines!$G$5:$G$1733,JE_Lines!$B$5:$B$1733,A344)</f>
        <v>524.81</v>
      </c>
      <c r="D344" s="17" t="n">
        <f aca="false">SUMIFS(JE_Lines!$H$5:$H$1733,JE_Lines!$B$5:$B$1733,A344)</f>
        <v>524.81</v>
      </c>
      <c r="E344" s="17" t="n">
        <f aca="false">C344-D344</f>
        <v>0</v>
      </c>
      <c r="F344" s="18" t="n">
        <f aca="false">INDEX(JE_Lines!$C$5:$C$1733,MATCH(A344,JE_Lines!$B$5:$B$1733,0))</f>
        <v>45812</v>
      </c>
      <c r="G344" s="18" t="n">
        <f aca="false">INDEX(JE_Lines!$D$5:$D$1733,MATCH(A344,JE_Lines!$B$5:$B$1733,0))</f>
        <v>45811</v>
      </c>
      <c r="H344" s="0" t="str">
        <f aca="false">INDEX(JE_Lines!$I$5:$I$1733,MATCH(A344,JE_Lines!$B$5:$B$1733,0))</f>
        <v>SYS_AR</v>
      </c>
      <c r="I344" s="0" t="str">
        <f aca="false">INDEX(JE_Lines!$J$5:$J$1733,MATCH(A344,JE_Lines!$B$5:$B$1733,0))</f>
        <v>System</v>
      </c>
      <c r="J344" s="0" t="str">
        <f aca="false">IF(LEN(INDEX(JE_Lines!$K$5:$K$1733,MATCH(A344,JE_Lines!$B$5:$B$1733,0)))=0,"",INDEX(JE_Lines!$K$5:$K$1733,MATCH(A344,JE_Lines!$B$5:$B$1733,0)))</f>
        <v>Sales invoice batch</v>
      </c>
      <c r="K344" s="9" t="n">
        <f aca="false">F344-G344</f>
        <v>1</v>
      </c>
      <c r="L344" s="9" t="n">
        <f aca="false">COUNTIFS(JE_Lines!$B$5:$B$1733,A344,JE_Lines!$F$5:$F$1733,"Revenue")</f>
        <v>1</v>
      </c>
      <c r="M344" s="9" t="n">
        <f aca="false">COUNTIFS(JE_Lines!$B$5:$B$1733,A344,JE_Lines!$F$5:$F$1733,"Suspense")</f>
        <v>0</v>
      </c>
      <c r="N344" s="9" t="n">
        <f aca="false">IF(ABS(E344)&gt;Parameters!$B$23,1,0)</f>
        <v>0</v>
      </c>
      <c r="O344" s="9" t="n">
        <f aca="false">IF(WEEKDAY(F344,2)&gt;5,1,0)</f>
        <v>0</v>
      </c>
      <c r="P344" s="9" t="n">
        <f aca="false">IF(K344&gt;Parameters!$B$17,1,0)</f>
        <v>0</v>
      </c>
      <c r="Q344" s="9" t="n">
        <f aca="false">IF(AND(F344&lt;=Parameters!$B$6,F344&gt;Parameters!$B$6-Parameters!$B$18),1,0)</f>
        <v>0</v>
      </c>
      <c r="R344" s="9" t="n">
        <f aca="false">IF(COUNTIF(Parameters!$A$51:$A$58,H344)=0,1,0)</f>
        <v>0</v>
      </c>
      <c r="S344" s="9" t="n">
        <f aca="false">IF(AND(I344="Manual",L344&gt;0),1,0)</f>
        <v>0</v>
      </c>
      <c r="T344" s="9" t="n">
        <f aca="false">IF(AND(C344&gt;=Parameters!$B$22,ROUND(MOD(ROUND(C344,2),Parameters!$B$21),2)=0),1,0)</f>
        <v>0</v>
      </c>
      <c r="U344" s="9" t="n">
        <f aca="false">IF(LEN(TRIM(J344))=0,1,0)</f>
        <v>0</v>
      </c>
      <c r="V344" s="9" t="n">
        <f aca="false">IF(AND(I344="Manual",C344&lt;Parameters!$B$19,C344&gt;=Parameters!$B$19*(1-Parameters!$B$20)),1,0)</f>
        <v>0</v>
      </c>
      <c r="W344" s="9" t="n">
        <f aca="false">IF(AND(I344="Manual",M344&gt;0),1,0)</f>
        <v>0</v>
      </c>
      <c r="X344" s="9" t="n">
        <f aca="false">IF(A344-A343&gt;1,1,0)</f>
        <v>0</v>
      </c>
      <c r="Y344" s="9" t="n">
        <f aca="false">N344*Parameters!$B$38+O344*Parameters!$B$39+P344*Parameters!$B$40+Q344*Parameters!$B$41+R344*Parameters!$B$42+S344*Parameters!$B$43+T344*Parameters!$B$44+U344*Parameters!$B$45+V344*Parameters!$B$46+W344*Parameters!$B$47+X344*Parameters!$B$48</f>
        <v>0</v>
      </c>
      <c r="Z344" s="0" t="str">
        <f aca="false">IF(Y344&gt;=Parameters!$B$25,"High","")</f>
        <v/>
      </c>
    </row>
    <row r="345" customFormat="false" ht="15" hidden="false" customHeight="false" outlineLevel="0" collapsed="false">
      <c r="A345" s="16" t="n">
        <v>1348</v>
      </c>
      <c r="B345" s="9" t="n">
        <f aca="false">COUNTIF(JE_Lines!$B$5:$B$1733,A345)</f>
        <v>3</v>
      </c>
      <c r="C345" s="17" t="n">
        <f aca="false">SUMIFS(JE_Lines!$G$5:$G$1733,JE_Lines!$B$5:$B$1733,A345)</f>
        <v>5639.48</v>
      </c>
      <c r="D345" s="17" t="n">
        <f aca="false">SUMIFS(JE_Lines!$H$5:$H$1733,JE_Lines!$B$5:$B$1733,A345)</f>
        <v>5639.48</v>
      </c>
      <c r="E345" s="17" t="n">
        <f aca="false">C345-D345</f>
        <v>0</v>
      </c>
      <c r="F345" s="18" t="n">
        <f aca="false">INDEX(JE_Lines!$C$5:$C$1733,MATCH(A345,JE_Lines!$B$5:$B$1733,0))</f>
        <v>45812</v>
      </c>
      <c r="G345" s="18" t="n">
        <f aca="false">INDEX(JE_Lines!$D$5:$D$1733,MATCH(A345,JE_Lines!$B$5:$B$1733,0))</f>
        <v>45810</v>
      </c>
      <c r="H345" s="0" t="str">
        <f aca="false">INDEX(JE_Lines!$I$5:$I$1733,MATCH(A345,JE_Lines!$B$5:$B$1733,0))</f>
        <v>SYS_AP</v>
      </c>
      <c r="I345" s="0" t="str">
        <f aca="false">INDEX(JE_Lines!$J$5:$J$1733,MATCH(A345,JE_Lines!$B$5:$B$1733,0))</f>
        <v>System</v>
      </c>
      <c r="J345" s="0" t="str">
        <f aca="false">IF(LEN(INDEX(JE_Lines!$K$5:$K$1733,MATCH(A345,JE_Lines!$B$5:$B$1733,0)))=0,"",INDEX(JE_Lines!$K$5:$K$1733,MATCH(A345,JE_Lines!$B$5:$B$1733,0)))</f>
        <v>Fixed asset additions</v>
      </c>
      <c r="K345" s="9" t="n">
        <f aca="false">F345-G345</f>
        <v>2</v>
      </c>
      <c r="L345" s="9" t="n">
        <f aca="false">COUNTIFS(JE_Lines!$B$5:$B$1733,A345,JE_Lines!$F$5:$F$1733,"Revenue")</f>
        <v>0</v>
      </c>
      <c r="M345" s="9" t="n">
        <f aca="false">COUNTIFS(JE_Lines!$B$5:$B$1733,A345,JE_Lines!$F$5:$F$1733,"Suspense")</f>
        <v>0</v>
      </c>
      <c r="N345" s="9" t="n">
        <f aca="false">IF(ABS(E345)&gt;Parameters!$B$23,1,0)</f>
        <v>0</v>
      </c>
      <c r="O345" s="9" t="n">
        <f aca="false">IF(WEEKDAY(F345,2)&gt;5,1,0)</f>
        <v>0</v>
      </c>
      <c r="P345" s="9" t="n">
        <f aca="false">IF(K345&gt;Parameters!$B$17,1,0)</f>
        <v>0</v>
      </c>
      <c r="Q345" s="9" t="n">
        <f aca="false">IF(AND(F345&lt;=Parameters!$B$6,F345&gt;Parameters!$B$6-Parameters!$B$18),1,0)</f>
        <v>0</v>
      </c>
      <c r="R345" s="9" t="n">
        <f aca="false">IF(COUNTIF(Parameters!$A$51:$A$58,H345)=0,1,0)</f>
        <v>0</v>
      </c>
      <c r="S345" s="9" t="n">
        <f aca="false">IF(AND(I345="Manual",L345&gt;0),1,0)</f>
        <v>0</v>
      </c>
      <c r="T345" s="9" t="n">
        <f aca="false">IF(AND(C345&gt;=Parameters!$B$22,ROUND(MOD(ROUND(C345,2),Parameters!$B$21),2)=0),1,0)</f>
        <v>0</v>
      </c>
      <c r="U345" s="9" t="n">
        <f aca="false">IF(LEN(TRIM(J345))=0,1,0)</f>
        <v>0</v>
      </c>
      <c r="V345" s="9" t="n">
        <f aca="false">IF(AND(I345="Manual",C345&lt;Parameters!$B$19,C345&gt;=Parameters!$B$19*(1-Parameters!$B$20)),1,0)</f>
        <v>0</v>
      </c>
      <c r="W345" s="9" t="n">
        <f aca="false">IF(AND(I345="Manual",M345&gt;0),1,0)</f>
        <v>0</v>
      </c>
      <c r="X345" s="9" t="n">
        <f aca="false">IF(A345-A344&gt;1,1,0)</f>
        <v>0</v>
      </c>
      <c r="Y345" s="9" t="n">
        <f aca="false">N345*Parameters!$B$38+O345*Parameters!$B$39+P345*Parameters!$B$40+Q345*Parameters!$B$41+R345*Parameters!$B$42+S345*Parameters!$B$43+T345*Parameters!$B$44+U345*Parameters!$B$45+V345*Parameters!$B$46+W345*Parameters!$B$47+X345*Parameters!$B$48</f>
        <v>0</v>
      </c>
      <c r="Z345" s="0" t="str">
        <f aca="false">IF(Y345&gt;=Parameters!$B$25,"High","")</f>
        <v/>
      </c>
    </row>
    <row r="346" customFormat="false" ht="15" hidden="false" customHeight="false" outlineLevel="0" collapsed="false">
      <c r="A346" s="16" t="n">
        <v>1349</v>
      </c>
      <c r="B346" s="9" t="n">
        <f aca="false">COUNTIF(JE_Lines!$B$5:$B$1733,A346)</f>
        <v>2</v>
      </c>
      <c r="C346" s="17" t="n">
        <f aca="false">SUMIFS(JE_Lines!$G$5:$G$1733,JE_Lines!$B$5:$B$1733,A346)</f>
        <v>4916.97</v>
      </c>
      <c r="D346" s="17" t="n">
        <f aca="false">SUMIFS(JE_Lines!$H$5:$H$1733,JE_Lines!$B$5:$B$1733,A346)</f>
        <v>4916.97</v>
      </c>
      <c r="E346" s="17" t="n">
        <f aca="false">C346-D346</f>
        <v>0</v>
      </c>
      <c r="F346" s="18" t="n">
        <f aca="false">INDEX(JE_Lines!$C$5:$C$1733,MATCH(A346,JE_Lines!$B$5:$B$1733,0))</f>
        <v>45813</v>
      </c>
      <c r="G346" s="18" t="n">
        <f aca="false">INDEX(JE_Lines!$D$5:$D$1733,MATCH(A346,JE_Lines!$B$5:$B$1733,0))</f>
        <v>45813</v>
      </c>
      <c r="H346" s="0" t="str">
        <f aca="false">INDEX(JE_Lines!$I$5:$I$1733,MATCH(A346,JE_Lines!$B$5:$B$1733,0))</f>
        <v>SYS_AP</v>
      </c>
      <c r="I346" s="0" t="str">
        <f aca="false">INDEX(JE_Lines!$J$5:$J$1733,MATCH(A346,JE_Lines!$B$5:$B$1733,0))</f>
        <v>System</v>
      </c>
      <c r="J346" s="0" t="str">
        <f aca="false">IF(LEN(INDEX(JE_Lines!$K$5:$K$1733,MATCH(A346,JE_Lines!$B$5:$B$1733,0)))=0,"",INDEX(JE_Lines!$K$5:$K$1733,MATCH(A346,JE_Lines!$B$5:$B$1733,0)))</f>
        <v>Supplier invoices</v>
      </c>
      <c r="K346" s="9" t="n">
        <f aca="false">F346-G346</f>
        <v>0</v>
      </c>
      <c r="L346" s="9" t="n">
        <f aca="false">COUNTIFS(JE_Lines!$B$5:$B$1733,A346,JE_Lines!$F$5:$F$1733,"Revenue")</f>
        <v>0</v>
      </c>
      <c r="M346" s="9" t="n">
        <f aca="false">COUNTIFS(JE_Lines!$B$5:$B$1733,A346,JE_Lines!$F$5:$F$1733,"Suspense")</f>
        <v>0</v>
      </c>
      <c r="N346" s="9" t="n">
        <f aca="false">IF(ABS(E346)&gt;Parameters!$B$23,1,0)</f>
        <v>0</v>
      </c>
      <c r="O346" s="9" t="n">
        <f aca="false">IF(WEEKDAY(F346,2)&gt;5,1,0)</f>
        <v>0</v>
      </c>
      <c r="P346" s="9" t="n">
        <f aca="false">IF(K346&gt;Parameters!$B$17,1,0)</f>
        <v>0</v>
      </c>
      <c r="Q346" s="9" t="n">
        <f aca="false">IF(AND(F346&lt;=Parameters!$B$6,F346&gt;Parameters!$B$6-Parameters!$B$18),1,0)</f>
        <v>0</v>
      </c>
      <c r="R346" s="9" t="n">
        <f aca="false">IF(COUNTIF(Parameters!$A$51:$A$58,H346)=0,1,0)</f>
        <v>0</v>
      </c>
      <c r="S346" s="9" t="n">
        <f aca="false">IF(AND(I346="Manual",L346&gt;0),1,0)</f>
        <v>0</v>
      </c>
      <c r="T346" s="9" t="n">
        <f aca="false">IF(AND(C346&gt;=Parameters!$B$22,ROUND(MOD(ROUND(C346,2),Parameters!$B$21),2)=0),1,0)</f>
        <v>0</v>
      </c>
      <c r="U346" s="9" t="n">
        <f aca="false">IF(LEN(TRIM(J346))=0,1,0)</f>
        <v>0</v>
      </c>
      <c r="V346" s="9" t="n">
        <f aca="false">IF(AND(I346="Manual",C346&lt;Parameters!$B$19,C346&gt;=Parameters!$B$19*(1-Parameters!$B$20)),1,0)</f>
        <v>0</v>
      </c>
      <c r="W346" s="9" t="n">
        <f aca="false">IF(AND(I346="Manual",M346&gt;0),1,0)</f>
        <v>0</v>
      </c>
      <c r="X346" s="9" t="n">
        <f aca="false">IF(A346-A345&gt;1,1,0)</f>
        <v>0</v>
      </c>
      <c r="Y346" s="9" t="n">
        <f aca="false">N346*Parameters!$B$38+O346*Parameters!$B$39+P346*Parameters!$B$40+Q346*Parameters!$B$41+R346*Parameters!$B$42+S346*Parameters!$B$43+T346*Parameters!$B$44+U346*Parameters!$B$45+V346*Parameters!$B$46+W346*Parameters!$B$47+X346*Parameters!$B$48</f>
        <v>0</v>
      </c>
      <c r="Z346" s="0" t="str">
        <f aca="false">IF(Y346&gt;=Parameters!$B$25,"High","")</f>
        <v/>
      </c>
    </row>
    <row r="347" customFormat="false" ht="15" hidden="false" customHeight="false" outlineLevel="0" collapsed="false">
      <c r="A347" s="16" t="n">
        <v>1350</v>
      </c>
      <c r="B347" s="9" t="n">
        <f aca="false">COUNTIF(JE_Lines!$B$5:$B$1733,A347)</f>
        <v>2</v>
      </c>
      <c r="C347" s="17" t="n">
        <f aca="false">SUMIFS(JE_Lines!$G$5:$G$1733,JE_Lines!$B$5:$B$1733,A347)</f>
        <v>1578.31</v>
      </c>
      <c r="D347" s="17" t="n">
        <f aca="false">SUMIFS(JE_Lines!$H$5:$H$1733,JE_Lines!$B$5:$B$1733,A347)</f>
        <v>1578.31</v>
      </c>
      <c r="E347" s="17" t="n">
        <f aca="false">C347-D347</f>
        <v>0</v>
      </c>
      <c r="F347" s="18" t="n">
        <f aca="false">INDEX(JE_Lines!$C$5:$C$1733,MATCH(A347,JE_Lines!$B$5:$B$1733,0))</f>
        <v>45813</v>
      </c>
      <c r="G347" s="18" t="n">
        <f aca="false">INDEX(JE_Lines!$D$5:$D$1733,MATCH(A347,JE_Lines!$B$5:$B$1733,0))</f>
        <v>45813</v>
      </c>
      <c r="H347" s="0" t="str">
        <f aca="false">INDEX(JE_Lines!$I$5:$I$1733,MATCH(A347,JE_Lines!$B$5:$B$1733,0))</f>
        <v>TEMP02</v>
      </c>
      <c r="I347" s="0" t="str">
        <f aca="false">INDEX(JE_Lines!$J$5:$J$1733,MATCH(A347,JE_Lines!$B$5:$B$1733,0))</f>
        <v>Manual</v>
      </c>
      <c r="J347" s="0" t="str">
        <f aca="false">IF(LEN(INDEX(JE_Lines!$K$5:$K$1733,MATCH(A347,JE_Lines!$B$5:$B$1733,0)))=0,"",INDEX(JE_Lines!$K$5:$K$1733,MATCH(A347,JE_Lines!$B$5:$B$1733,0)))</f>
        <v>Manual journal 3</v>
      </c>
      <c r="K347" s="9" t="n">
        <f aca="false">F347-G347</f>
        <v>0</v>
      </c>
      <c r="L347" s="9" t="n">
        <f aca="false">COUNTIFS(JE_Lines!$B$5:$B$1733,A347,JE_Lines!$F$5:$F$1733,"Revenue")</f>
        <v>0</v>
      </c>
      <c r="M347" s="9" t="n">
        <f aca="false">COUNTIFS(JE_Lines!$B$5:$B$1733,A347,JE_Lines!$F$5:$F$1733,"Suspense")</f>
        <v>0</v>
      </c>
      <c r="N347" s="9" t="n">
        <f aca="false">IF(ABS(E347)&gt;Parameters!$B$23,1,0)</f>
        <v>0</v>
      </c>
      <c r="O347" s="9" t="n">
        <f aca="false">IF(WEEKDAY(F347,2)&gt;5,1,0)</f>
        <v>0</v>
      </c>
      <c r="P347" s="9" t="n">
        <f aca="false">IF(K347&gt;Parameters!$B$17,1,0)</f>
        <v>0</v>
      </c>
      <c r="Q347" s="9" t="n">
        <f aca="false">IF(AND(F347&lt;=Parameters!$B$6,F347&gt;Parameters!$B$6-Parameters!$B$18),1,0)</f>
        <v>0</v>
      </c>
      <c r="R347" s="9" t="n">
        <f aca="false">IF(COUNTIF(Parameters!$A$51:$A$58,H347)=0,1,0)</f>
        <v>1</v>
      </c>
      <c r="S347" s="9" t="n">
        <f aca="false">IF(AND(I347="Manual",L347&gt;0),1,0)</f>
        <v>0</v>
      </c>
      <c r="T347" s="9" t="n">
        <f aca="false">IF(AND(C347&gt;=Parameters!$B$22,ROUND(MOD(ROUND(C347,2),Parameters!$B$21),2)=0),1,0)</f>
        <v>0</v>
      </c>
      <c r="U347" s="9" t="n">
        <f aca="false">IF(LEN(TRIM(J347))=0,1,0)</f>
        <v>0</v>
      </c>
      <c r="V347" s="9" t="n">
        <f aca="false">IF(AND(I347="Manual",C347&lt;Parameters!$B$19,C347&gt;=Parameters!$B$19*(1-Parameters!$B$20)),1,0)</f>
        <v>0</v>
      </c>
      <c r="W347" s="9" t="n">
        <f aca="false">IF(AND(I347="Manual",M347&gt;0),1,0)</f>
        <v>0</v>
      </c>
      <c r="X347" s="9" t="n">
        <f aca="false">IF(A347-A346&gt;1,1,0)</f>
        <v>0</v>
      </c>
      <c r="Y347" s="9" t="n">
        <f aca="false">N347*Parameters!$B$38+O347*Parameters!$B$39+P347*Parameters!$B$40+Q347*Parameters!$B$41+R347*Parameters!$B$42+S347*Parameters!$B$43+T347*Parameters!$B$44+U347*Parameters!$B$45+V347*Parameters!$B$46+W347*Parameters!$B$47+X347*Parameters!$B$48</f>
        <v>3</v>
      </c>
      <c r="Z347" s="0" t="str">
        <f aca="false">IF(Y347&gt;=Parameters!$B$25,"High","")</f>
        <v/>
      </c>
    </row>
    <row r="348" customFormat="false" ht="15" hidden="false" customHeight="false" outlineLevel="0" collapsed="false">
      <c r="A348" s="16" t="n">
        <v>1351</v>
      </c>
      <c r="B348" s="9" t="n">
        <f aca="false">COUNTIF(JE_Lines!$B$5:$B$1733,A348)</f>
        <v>2</v>
      </c>
      <c r="C348" s="17" t="n">
        <f aca="false">SUMIFS(JE_Lines!$G$5:$G$1733,JE_Lines!$B$5:$B$1733,A348)</f>
        <v>5104.59</v>
      </c>
      <c r="D348" s="17" t="n">
        <f aca="false">SUMIFS(JE_Lines!$H$5:$H$1733,JE_Lines!$B$5:$B$1733,A348)</f>
        <v>5104.59</v>
      </c>
      <c r="E348" s="17" t="n">
        <f aca="false">C348-D348</f>
        <v>0</v>
      </c>
      <c r="F348" s="18" t="n">
        <f aca="false">INDEX(JE_Lines!$C$5:$C$1733,MATCH(A348,JE_Lines!$B$5:$B$1733,0))</f>
        <v>45813</v>
      </c>
      <c r="G348" s="18" t="n">
        <f aca="false">INDEX(JE_Lines!$D$5:$D$1733,MATCH(A348,JE_Lines!$B$5:$B$1733,0))</f>
        <v>45809</v>
      </c>
      <c r="H348" s="0" t="str">
        <f aca="false">INDEX(JE_Lines!$I$5:$I$1733,MATCH(A348,JE_Lines!$B$5:$B$1733,0))</f>
        <v>SYS_AP</v>
      </c>
      <c r="I348" s="0" t="str">
        <f aca="false">INDEX(JE_Lines!$J$5:$J$1733,MATCH(A348,JE_Lines!$B$5:$B$1733,0))</f>
        <v>System</v>
      </c>
      <c r="J348" s="0" t="str">
        <f aca="false">IF(LEN(INDEX(JE_Lines!$K$5:$K$1733,MATCH(A348,JE_Lines!$B$5:$B$1733,0)))=0,"",INDEX(JE_Lines!$K$5:$K$1733,MATCH(A348,JE_Lines!$B$5:$B$1733,0)))</f>
        <v>Supplier invoices</v>
      </c>
      <c r="K348" s="9" t="n">
        <f aca="false">F348-G348</f>
        <v>4</v>
      </c>
      <c r="L348" s="9" t="n">
        <f aca="false">COUNTIFS(JE_Lines!$B$5:$B$1733,A348,JE_Lines!$F$5:$F$1733,"Revenue")</f>
        <v>0</v>
      </c>
      <c r="M348" s="9" t="n">
        <f aca="false">COUNTIFS(JE_Lines!$B$5:$B$1733,A348,JE_Lines!$F$5:$F$1733,"Suspense")</f>
        <v>0</v>
      </c>
      <c r="N348" s="9" t="n">
        <f aca="false">IF(ABS(E348)&gt;Parameters!$B$23,1,0)</f>
        <v>0</v>
      </c>
      <c r="O348" s="9" t="n">
        <f aca="false">IF(WEEKDAY(F348,2)&gt;5,1,0)</f>
        <v>0</v>
      </c>
      <c r="P348" s="9" t="n">
        <f aca="false">IF(K348&gt;Parameters!$B$17,1,0)</f>
        <v>0</v>
      </c>
      <c r="Q348" s="9" t="n">
        <f aca="false">IF(AND(F348&lt;=Parameters!$B$6,F348&gt;Parameters!$B$6-Parameters!$B$18),1,0)</f>
        <v>0</v>
      </c>
      <c r="R348" s="9" t="n">
        <f aca="false">IF(COUNTIF(Parameters!$A$51:$A$58,H348)=0,1,0)</f>
        <v>0</v>
      </c>
      <c r="S348" s="9" t="n">
        <f aca="false">IF(AND(I348="Manual",L348&gt;0),1,0)</f>
        <v>0</v>
      </c>
      <c r="T348" s="9" t="n">
        <f aca="false">IF(AND(C348&gt;=Parameters!$B$22,ROUND(MOD(ROUND(C348,2),Parameters!$B$21),2)=0),1,0)</f>
        <v>0</v>
      </c>
      <c r="U348" s="9" t="n">
        <f aca="false">IF(LEN(TRIM(J348))=0,1,0)</f>
        <v>0</v>
      </c>
      <c r="V348" s="9" t="n">
        <f aca="false">IF(AND(I348="Manual",C348&lt;Parameters!$B$19,C348&gt;=Parameters!$B$19*(1-Parameters!$B$20)),1,0)</f>
        <v>0</v>
      </c>
      <c r="W348" s="9" t="n">
        <f aca="false">IF(AND(I348="Manual",M348&gt;0),1,0)</f>
        <v>0</v>
      </c>
      <c r="X348" s="9" t="n">
        <f aca="false">IF(A348-A347&gt;1,1,0)</f>
        <v>0</v>
      </c>
      <c r="Y348" s="9" t="n">
        <f aca="false">N348*Parameters!$B$38+O348*Parameters!$B$39+P348*Parameters!$B$40+Q348*Parameters!$B$41+R348*Parameters!$B$42+S348*Parameters!$B$43+T348*Parameters!$B$44+U348*Parameters!$B$45+V348*Parameters!$B$46+W348*Parameters!$B$47+X348*Parameters!$B$48</f>
        <v>0</v>
      </c>
      <c r="Z348" s="0" t="str">
        <f aca="false">IF(Y348&gt;=Parameters!$B$25,"High","")</f>
        <v/>
      </c>
    </row>
    <row r="349" customFormat="false" ht="15" hidden="false" customHeight="false" outlineLevel="0" collapsed="false">
      <c r="A349" s="16" t="n">
        <v>1352</v>
      </c>
      <c r="B349" s="9" t="n">
        <f aca="false">COUNTIF(JE_Lines!$B$5:$B$1733,A349)</f>
        <v>2</v>
      </c>
      <c r="C349" s="17" t="n">
        <f aca="false">SUMIFS(JE_Lines!$G$5:$G$1733,JE_Lines!$B$5:$B$1733,A349)</f>
        <v>220.58</v>
      </c>
      <c r="D349" s="17" t="n">
        <f aca="false">SUMIFS(JE_Lines!$H$5:$H$1733,JE_Lines!$B$5:$B$1733,A349)</f>
        <v>220.58</v>
      </c>
      <c r="E349" s="17" t="n">
        <f aca="false">C349-D349</f>
        <v>0</v>
      </c>
      <c r="F349" s="18" t="n">
        <f aca="false">INDEX(JE_Lines!$C$5:$C$1733,MATCH(A349,JE_Lines!$B$5:$B$1733,0))</f>
        <v>45814</v>
      </c>
      <c r="G349" s="18" t="n">
        <f aca="false">INDEX(JE_Lines!$D$5:$D$1733,MATCH(A349,JE_Lines!$B$5:$B$1733,0))</f>
        <v>45813</v>
      </c>
      <c r="H349" s="0" t="str">
        <f aca="false">INDEX(JE_Lines!$I$5:$I$1733,MATCH(A349,JE_Lines!$B$5:$B$1733,0))</f>
        <v>SYS_AR</v>
      </c>
      <c r="I349" s="0" t="str">
        <f aca="false">INDEX(JE_Lines!$J$5:$J$1733,MATCH(A349,JE_Lines!$B$5:$B$1733,0))</f>
        <v>System</v>
      </c>
      <c r="J349" s="0" t="str">
        <f aca="false">IF(LEN(INDEX(JE_Lines!$K$5:$K$1733,MATCH(A349,JE_Lines!$B$5:$B$1733,0)))=0,"",INDEX(JE_Lines!$K$5:$K$1733,MATCH(A349,JE_Lines!$B$5:$B$1733,0)))</f>
        <v>Customer receipts</v>
      </c>
      <c r="K349" s="9" t="n">
        <f aca="false">F349-G349</f>
        <v>1</v>
      </c>
      <c r="L349" s="9" t="n">
        <f aca="false">COUNTIFS(JE_Lines!$B$5:$B$1733,A349,JE_Lines!$F$5:$F$1733,"Revenue")</f>
        <v>0</v>
      </c>
      <c r="M349" s="9" t="n">
        <f aca="false">COUNTIFS(JE_Lines!$B$5:$B$1733,A349,JE_Lines!$F$5:$F$1733,"Suspense")</f>
        <v>0</v>
      </c>
      <c r="N349" s="9" t="n">
        <f aca="false">IF(ABS(E349)&gt;Parameters!$B$23,1,0)</f>
        <v>0</v>
      </c>
      <c r="O349" s="9" t="n">
        <f aca="false">IF(WEEKDAY(F349,2)&gt;5,1,0)</f>
        <v>0</v>
      </c>
      <c r="P349" s="9" t="n">
        <f aca="false">IF(K349&gt;Parameters!$B$17,1,0)</f>
        <v>0</v>
      </c>
      <c r="Q349" s="9" t="n">
        <f aca="false">IF(AND(F349&lt;=Parameters!$B$6,F349&gt;Parameters!$B$6-Parameters!$B$18),1,0)</f>
        <v>0</v>
      </c>
      <c r="R349" s="9" t="n">
        <f aca="false">IF(COUNTIF(Parameters!$A$51:$A$58,H349)=0,1,0)</f>
        <v>0</v>
      </c>
      <c r="S349" s="9" t="n">
        <f aca="false">IF(AND(I349="Manual",L349&gt;0),1,0)</f>
        <v>0</v>
      </c>
      <c r="T349" s="9" t="n">
        <f aca="false">IF(AND(C349&gt;=Parameters!$B$22,ROUND(MOD(ROUND(C349,2),Parameters!$B$21),2)=0),1,0)</f>
        <v>0</v>
      </c>
      <c r="U349" s="9" t="n">
        <f aca="false">IF(LEN(TRIM(J349))=0,1,0)</f>
        <v>0</v>
      </c>
      <c r="V349" s="9" t="n">
        <f aca="false">IF(AND(I349="Manual",C349&lt;Parameters!$B$19,C349&gt;=Parameters!$B$19*(1-Parameters!$B$20)),1,0)</f>
        <v>0</v>
      </c>
      <c r="W349" s="9" t="n">
        <f aca="false">IF(AND(I349="Manual",M349&gt;0),1,0)</f>
        <v>0</v>
      </c>
      <c r="X349" s="9" t="n">
        <f aca="false">IF(A349-A348&gt;1,1,0)</f>
        <v>0</v>
      </c>
      <c r="Y349" s="9" t="n">
        <f aca="false">N349*Parameters!$B$38+O349*Parameters!$B$39+P349*Parameters!$B$40+Q349*Parameters!$B$41+R349*Parameters!$B$42+S349*Parameters!$B$43+T349*Parameters!$B$44+U349*Parameters!$B$45+V349*Parameters!$B$46+W349*Parameters!$B$47+X349*Parameters!$B$48</f>
        <v>0</v>
      </c>
      <c r="Z349" s="0" t="str">
        <f aca="false">IF(Y349&gt;=Parameters!$B$25,"High","")</f>
        <v/>
      </c>
    </row>
    <row r="350" customFormat="false" ht="15" hidden="false" customHeight="false" outlineLevel="0" collapsed="false">
      <c r="A350" s="16" t="n">
        <v>1353</v>
      </c>
      <c r="B350" s="9" t="n">
        <f aca="false">COUNTIF(JE_Lines!$B$5:$B$1733,A350)</f>
        <v>3</v>
      </c>
      <c r="C350" s="17" t="n">
        <f aca="false">SUMIFS(JE_Lines!$G$5:$G$1733,JE_Lines!$B$5:$B$1733,A350)</f>
        <v>1443.88</v>
      </c>
      <c r="D350" s="17" t="n">
        <f aca="false">SUMIFS(JE_Lines!$H$5:$H$1733,JE_Lines!$B$5:$B$1733,A350)</f>
        <v>1443.88</v>
      </c>
      <c r="E350" s="17" t="n">
        <f aca="false">C350-D350</f>
        <v>0</v>
      </c>
      <c r="F350" s="18" t="n">
        <f aca="false">INDEX(JE_Lines!$C$5:$C$1733,MATCH(A350,JE_Lines!$B$5:$B$1733,0))</f>
        <v>45814</v>
      </c>
      <c r="G350" s="18" t="n">
        <f aca="false">INDEX(JE_Lines!$D$5:$D$1733,MATCH(A350,JE_Lines!$B$5:$B$1733,0))</f>
        <v>45810</v>
      </c>
      <c r="H350" s="0" t="str">
        <f aca="false">INDEX(JE_Lines!$I$5:$I$1733,MATCH(A350,JE_Lines!$B$5:$B$1733,0))</f>
        <v>SYS_AR</v>
      </c>
      <c r="I350" s="0" t="str">
        <f aca="false">INDEX(JE_Lines!$J$5:$J$1733,MATCH(A350,JE_Lines!$B$5:$B$1733,0))</f>
        <v>System</v>
      </c>
      <c r="J350" s="0" t="str">
        <f aca="false">IF(LEN(INDEX(JE_Lines!$K$5:$K$1733,MATCH(A350,JE_Lines!$B$5:$B$1733,0)))=0,"",INDEX(JE_Lines!$K$5:$K$1733,MATCH(A350,JE_Lines!$B$5:$B$1733,0)))</f>
        <v>Cost of sales posting</v>
      </c>
      <c r="K350" s="9" t="n">
        <f aca="false">F350-G350</f>
        <v>4</v>
      </c>
      <c r="L350" s="9" t="n">
        <f aca="false">COUNTIFS(JE_Lines!$B$5:$B$1733,A350,JE_Lines!$F$5:$F$1733,"Revenue")</f>
        <v>0</v>
      </c>
      <c r="M350" s="9" t="n">
        <f aca="false">COUNTIFS(JE_Lines!$B$5:$B$1733,A350,JE_Lines!$F$5:$F$1733,"Suspense")</f>
        <v>0</v>
      </c>
      <c r="N350" s="9" t="n">
        <f aca="false">IF(ABS(E350)&gt;Parameters!$B$23,1,0)</f>
        <v>0</v>
      </c>
      <c r="O350" s="9" t="n">
        <f aca="false">IF(WEEKDAY(F350,2)&gt;5,1,0)</f>
        <v>0</v>
      </c>
      <c r="P350" s="9" t="n">
        <f aca="false">IF(K350&gt;Parameters!$B$17,1,0)</f>
        <v>0</v>
      </c>
      <c r="Q350" s="9" t="n">
        <f aca="false">IF(AND(F350&lt;=Parameters!$B$6,F350&gt;Parameters!$B$6-Parameters!$B$18),1,0)</f>
        <v>0</v>
      </c>
      <c r="R350" s="9" t="n">
        <f aca="false">IF(COUNTIF(Parameters!$A$51:$A$58,H350)=0,1,0)</f>
        <v>0</v>
      </c>
      <c r="S350" s="9" t="n">
        <f aca="false">IF(AND(I350="Manual",L350&gt;0),1,0)</f>
        <v>0</v>
      </c>
      <c r="T350" s="9" t="n">
        <f aca="false">IF(AND(C350&gt;=Parameters!$B$22,ROUND(MOD(ROUND(C350,2),Parameters!$B$21),2)=0),1,0)</f>
        <v>0</v>
      </c>
      <c r="U350" s="9" t="n">
        <f aca="false">IF(LEN(TRIM(J350))=0,1,0)</f>
        <v>0</v>
      </c>
      <c r="V350" s="9" t="n">
        <f aca="false">IF(AND(I350="Manual",C350&lt;Parameters!$B$19,C350&gt;=Parameters!$B$19*(1-Parameters!$B$20)),1,0)</f>
        <v>0</v>
      </c>
      <c r="W350" s="9" t="n">
        <f aca="false">IF(AND(I350="Manual",M350&gt;0),1,0)</f>
        <v>0</v>
      </c>
      <c r="X350" s="9" t="n">
        <f aca="false">IF(A350-A349&gt;1,1,0)</f>
        <v>0</v>
      </c>
      <c r="Y350" s="9" t="n">
        <f aca="false">N350*Parameters!$B$38+O350*Parameters!$B$39+P350*Parameters!$B$40+Q350*Parameters!$B$41+R350*Parameters!$B$42+S350*Parameters!$B$43+T350*Parameters!$B$44+U350*Parameters!$B$45+V350*Parameters!$B$46+W350*Parameters!$B$47+X350*Parameters!$B$48</f>
        <v>0</v>
      </c>
      <c r="Z350" s="0" t="str">
        <f aca="false">IF(Y350&gt;=Parameters!$B$25,"High","")</f>
        <v/>
      </c>
    </row>
    <row r="351" customFormat="false" ht="15" hidden="false" customHeight="false" outlineLevel="0" collapsed="false">
      <c r="A351" s="16" t="n">
        <v>1354</v>
      </c>
      <c r="B351" s="9" t="n">
        <f aca="false">COUNTIF(JE_Lines!$B$5:$B$1733,A351)</f>
        <v>2</v>
      </c>
      <c r="C351" s="17" t="n">
        <f aca="false">SUMIFS(JE_Lines!$G$5:$G$1733,JE_Lines!$B$5:$B$1733,A351)</f>
        <v>3522.06</v>
      </c>
      <c r="D351" s="17" t="n">
        <f aca="false">SUMIFS(JE_Lines!$H$5:$H$1733,JE_Lines!$B$5:$B$1733,A351)</f>
        <v>3522.06</v>
      </c>
      <c r="E351" s="17" t="n">
        <f aca="false">C351-D351</f>
        <v>0</v>
      </c>
      <c r="F351" s="18" t="n">
        <f aca="false">INDEX(JE_Lines!$C$5:$C$1733,MATCH(A351,JE_Lines!$B$5:$B$1733,0))</f>
        <v>45814</v>
      </c>
      <c r="G351" s="18" t="n">
        <f aca="false">INDEX(JE_Lines!$D$5:$D$1733,MATCH(A351,JE_Lines!$B$5:$B$1733,0))</f>
        <v>45810</v>
      </c>
      <c r="H351" s="0" t="str">
        <f aca="false">INDEX(JE_Lines!$I$5:$I$1733,MATCH(A351,JE_Lines!$B$5:$B$1733,0))</f>
        <v>SYS_PAY</v>
      </c>
      <c r="I351" s="0" t="str">
        <f aca="false">INDEX(JE_Lines!$J$5:$J$1733,MATCH(A351,JE_Lines!$B$5:$B$1733,0))</f>
        <v>System</v>
      </c>
      <c r="J351" s="0" t="str">
        <f aca="false">IF(LEN(INDEX(JE_Lines!$K$5:$K$1733,MATCH(A351,JE_Lines!$B$5:$B$1733,0)))=0,"",INDEX(JE_Lines!$K$5:$K$1733,MATCH(A351,JE_Lines!$B$5:$B$1733,0)))</f>
        <v>Supplier payments</v>
      </c>
      <c r="K351" s="9" t="n">
        <f aca="false">F351-G351</f>
        <v>4</v>
      </c>
      <c r="L351" s="9" t="n">
        <f aca="false">COUNTIFS(JE_Lines!$B$5:$B$1733,A351,JE_Lines!$F$5:$F$1733,"Revenue")</f>
        <v>0</v>
      </c>
      <c r="M351" s="9" t="n">
        <f aca="false">COUNTIFS(JE_Lines!$B$5:$B$1733,A351,JE_Lines!$F$5:$F$1733,"Suspense")</f>
        <v>0</v>
      </c>
      <c r="N351" s="9" t="n">
        <f aca="false">IF(ABS(E351)&gt;Parameters!$B$23,1,0)</f>
        <v>0</v>
      </c>
      <c r="O351" s="9" t="n">
        <f aca="false">IF(WEEKDAY(F351,2)&gt;5,1,0)</f>
        <v>0</v>
      </c>
      <c r="P351" s="9" t="n">
        <f aca="false">IF(K351&gt;Parameters!$B$17,1,0)</f>
        <v>0</v>
      </c>
      <c r="Q351" s="9" t="n">
        <f aca="false">IF(AND(F351&lt;=Parameters!$B$6,F351&gt;Parameters!$B$6-Parameters!$B$18),1,0)</f>
        <v>0</v>
      </c>
      <c r="R351" s="9" t="n">
        <f aca="false">IF(COUNTIF(Parameters!$A$51:$A$58,H351)=0,1,0)</f>
        <v>0</v>
      </c>
      <c r="S351" s="9" t="n">
        <f aca="false">IF(AND(I351="Manual",L351&gt;0),1,0)</f>
        <v>0</v>
      </c>
      <c r="T351" s="9" t="n">
        <f aca="false">IF(AND(C351&gt;=Parameters!$B$22,ROUND(MOD(ROUND(C351,2),Parameters!$B$21),2)=0),1,0)</f>
        <v>0</v>
      </c>
      <c r="U351" s="9" t="n">
        <f aca="false">IF(LEN(TRIM(J351))=0,1,0)</f>
        <v>0</v>
      </c>
      <c r="V351" s="9" t="n">
        <f aca="false">IF(AND(I351="Manual",C351&lt;Parameters!$B$19,C351&gt;=Parameters!$B$19*(1-Parameters!$B$20)),1,0)</f>
        <v>0</v>
      </c>
      <c r="W351" s="9" t="n">
        <f aca="false">IF(AND(I351="Manual",M351&gt;0),1,0)</f>
        <v>0</v>
      </c>
      <c r="X351" s="9" t="n">
        <f aca="false">IF(A351-A350&gt;1,1,0)</f>
        <v>0</v>
      </c>
      <c r="Y351" s="9" t="n">
        <f aca="false">N351*Parameters!$B$38+O351*Parameters!$B$39+P351*Parameters!$B$40+Q351*Parameters!$B$41+R351*Parameters!$B$42+S351*Parameters!$B$43+T351*Parameters!$B$44+U351*Parameters!$B$45+V351*Parameters!$B$46+W351*Parameters!$B$47+X351*Parameters!$B$48</f>
        <v>0</v>
      </c>
      <c r="Z351" s="0" t="str">
        <f aca="false">IF(Y351&gt;=Parameters!$B$25,"High","")</f>
        <v/>
      </c>
    </row>
    <row r="352" customFormat="false" ht="15" hidden="false" customHeight="false" outlineLevel="0" collapsed="false">
      <c r="A352" s="16" t="n">
        <v>1355</v>
      </c>
      <c r="B352" s="9" t="n">
        <f aca="false">COUNTIF(JE_Lines!$B$5:$B$1733,A352)</f>
        <v>2</v>
      </c>
      <c r="C352" s="17" t="n">
        <f aca="false">SUMIFS(JE_Lines!$G$5:$G$1733,JE_Lines!$B$5:$B$1733,A352)</f>
        <v>1839.22</v>
      </c>
      <c r="D352" s="17" t="n">
        <f aca="false">SUMIFS(JE_Lines!$H$5:$H$1733,JE_Lines!$B$5:$B$1733,A352)</f>
        <v>1839.22</v>
      </c>
      <c r="E352" s="17" t="n">
        <f aca="false">C352-D352</f>
        <v>0</v>
      </c>
      <c r="F352" s="18" t="n">
        <f aca="false">INDEX(JE_Lines!$C$5:$C$1733,MATCH(A352,JE_Lines!$B$5:$B$1733,0))</f>
        <v>45814</v>
      </c>
      <c r="G352" s="18" t="n">
        <f aca="false">INDEX(JE_Lines!$D$5:$D$1733,MATCH(A352,JE_Lines!$B$5:$B$1733,0))</f>
        <v>45814</v>
      </c>
      <c r="H352" s="0" t="str">
        <f aca="false">INDEX(JE_Lines!$I$5:$I$1733,MATCH(A352,JE_Lines!$B$5:$B$1733,0))</f>
        <v>SYS_AR</v>
      </c>
      <c r="I352" s="0" t="str">
        <f aca="false">INDEX(JE_Lines!$J$5:$J$1733,MATCH(A352,JE_Lines!$B$5:$B$1733,0))</f>
        <v>System</v>
      </c>
      <c r="J352" s="0" t="str">
        <f aca="false">IF(LEN(INDEX(JE_Lines!$K$5:$K$1733,MATCH(A352,JE_Lines!$B$5:$B$1733,0)))=0,"",INDEX(JE_Lines!$K$5:$K$1733,MATCH(A352,JE_Lines!$B$5:$B$1733,0)))</f>
        <v>Customer receipts</v>
      </c>
      <c r="K352" s="9" t="n">
        <f aca="false">F352-G352</f>
        <v>0</v>
      </c>
      <c r="L352" s="9" t="n">
        <f aca="false">COUNTIFS(JE_Lines!$B$5:$B$1733,A352,JE_Lines!$F$5:$F$1733,"Revenue")</f>
        <v>0</v>
      </c>
      <c r="M352" s="9" t="n">
        <f aca="false">COUNTIFS(JE_Lines!$B$5:$B$1733,A352,JE_Lines!$F$5:$F$1733,"Suspense")</f>
        <v>0</v>
      </c>
      <c r="N352" s="9" t="n">
        <f aca="false">IF(ABS(E352)&gt;Parameters!$B$23,1,0)</f>
        <v>0</v>
      </c>
      <c r="O352" s="9" t="n">
        <f aca="false">IF(WEEKDAY(F352,2)&gt;5,1,0)</f>
        <v>0</v>
      </c>
      <c r="P352" s="9" t="n">
        <f aca="false">IF(K352&gt;Parameters!$B$17,1,0)</f>
        <v>0</v>
      </c>
      <c r="Q352" s="9" t="n">
        <f aca="false">IF(AND(F352&lt;=Parameters!$B$6,F352&gt;Parameters!$B$6-Parameters!$B$18),1,0)</f>
        <v>0</v>
      </c>
      <c r="R352" s="9" t="n">
        <f aca="false">IF(COUNTIF(Parameters!$A$51:$A$58,H352)=0,1,0)</f>
        <v>0</v>
      </c>
      <c r="S352" s="9" t="n">
        <f aca="false">IF(AND(I352="Manual",L352&gt;0),1,0)</f>
        <v>0</v>
      </c>
      <c r="T352" s="9" t="n">
        <f aca="false">IF(AND(C352&gt;=Parameters!$B$22,ROUND(MOD(ROUND(C352,2),Parameters!$B$21),2)=0),1,0)</f>
        <v>0</v>
      </c>
      <c r="U352" s="9" t="n">
        <f aca="false">IF(LEN(TRIM(J352))=0,1,0)</f>
        <v>0</v>
      </c>
      <c r="V352" s="9" t="n">
        <f aca="false">IF(AND(I352="Manual",C352&lt;Parameters!$B$19,C352&gt;=Parameters!$B$19*(1-Parameters!$B$20)),1,0)</f>
        <v>0</v>
      </c>
      <c r="W352" s="9" t="n">
        <f aca="false">IF(AND(I352="Manual",M352&gt;0),1,0)</f>
        <v>0</v>
      </c>
      <c r="X352" s="9" t="n">
        <f aca="false">IF(A352-A351&gt;1,1,0)</f>
        <v>0</v>
      </c>
      <c r="Y352" s="9" t="n">
        <f aca="false">N352*Parameters!$B$38+O352*Parameters!$B$39+P352*Parameters!$B$40+Q352*Parameters!$B$41+R352*Parameters!$B$42+S352*Parameters!$B$43+T352*Parameters!$B$44+U352*Parameters!$B$45+V352*Parameters!$B$46+W352*Parameters!$B$47+X352*Parameters!$B$48</f>
        <v>0</v>
      </c>
      <c r="Z352" s="0" t="str">
        <f aca="false">IF(Y352&gt;=Parameters!$B$25,"High","")</f>
        <v/>
      </c>
    </row>
    <row r="353" customFormat="false" ht="15" hidden="false" customHeight="false" outlineLevel="0" collapsed="false">
      <c r="A353" s="16" t="n">
        <v>1356</v>
      </c>
      <c r="B353" s="9" t="n">
        <f aca="false">COUNTIF(JE_Lines!$B$5:$B$1733,A353)</f>
        <v>3</v>
      </c>
      <c r="C353" s="17" t="n">
        <f aca="false">SUMIFS(JE_Lines!$G$5:$G$1733,JE_Lines!$B$5:$B$1733,A353)</f>
        <v>11353.85</v>
      </c>
      <c r="D353" s="17" t="n">
        <f aca="false">SUMIFS(JE_Lines!$H$5:$H$1733,JE_Lines!$B$5:$B$1733,A353)</f>
        <v>11353.85</v>
      </c>
      <c r="E353" s="17" t="n">
        <f aca="false">C353-D353</f>
        <v>0</v>
      </c>
      <c r="F353" s="18" t="n">
        <f aca="false">INDEX(JE_Lines!$C$5:$C$1733,MATCH(A353,JE_Lines!$B$5:$B$1733,0))</f>
        <v>45817</v>
      </c>
      <c r="G353" s="18" t="n">
        <f aca="false">INDEX(JE_Lines!$D$5:$D$1733,MATCH(A353,JE_Lines!$B$5:$B$1733,0))</f>
        <v>45814</v>
      </c>
      <c r="H353" s="0" t="str">
        <f aca="false">INDEX(JE_Lines!$I$5:$I$1733,MATCH(A353,JE_Lines!$B$5:$B$1733,0))</f>
        <v>SYS_PAY</v>
      </c>
      <c r="I353" s="0" t="str">
        <f aca="false">INDEX(JE_Lines!$J$5:$J$1733,MATCH(A353,JE_Lines!$B$5:$B$1733,0))</f>
        <v>System</v>
      </c>
      <c r="J353" s="0" t="str">
        <f aca="false">IF(LEN(INDEX(JE_Lines!$K$5:$K$1733,MATCH(A353,JE_Lines!$B$5:$B$1733,0)))=0,"",INDEX(JE_Lines!$K$5:$K$1733,MATCH(A353,JE_Lines!$B$5:$B$1733,0)))</f>
        <v>Supplier payments</v>
      </c>
      <c r="K353" s="9" t="n">
        <f aca="false">F353-G353</f>
        <v>3</v>
      </c>
      <c r="L353" s="9" t="n">
        <f aca="false">COUNTIFS(JE_Lines!$B$5:$B$1733,A353,JE_Lines!$F$5:$F$1733,"Revenue")</f>
        <v>0</v>
      </c>
      <c r="M353" s="9" t="n">
        <f aca="false">COUNTIFS(JE_Lines!$B$5:$B$1733,A353,JE_Lines!$F$5:$F$1733,"Suspense")</f>
        <v>0</v>
      </c>
      <c r="N353" s="9" t="n">
        <f aca="false">IF(ABS(E353)&gt;Parameters!$B$23,1,0)</f>
        <v>0</v>
      </c>
      <c r="O353" s="9" t="n">
        <f aca="false">IF(WEEKDAY(F353,2)&gt;5,1,0)</f>
        <v>0</v>
      </c>
      <c r="P353" s="9" t="n">
        <f aca="false">IF(K353&gt;Parameters!$B$17,1,0)</f>
        <v>0</v>
      </c>
      <c r="Q353" s="9" t="n">
        <f aca="false">IF(AND(F353&lt;=Parameters!$B$6,F353&gt;Parameters!$B$6-Parameters!$B$18),1,0)</f>
        <v>0</v>
      </c>
      <c r="R353" s="9" t="n">
        <f aca="false">IF(COUNTIF(Parameters!$A$51:$A$58,H353)=0,1,0)</f>
        <v>0</v>
      </c>
      <c r="S353" s="9" t="n">
        <f aca="false">IF(AND(I353="Manual",L353&gt;0),1,0)</f>
        <v>0</v>
      </c>
      <c r="T353" s="9" t="n">
        <f aca="false">IF(AND(C353&gt;=Parameters!$B$22,ROUND(MOD(ROUND(C353,2),Parameters!$B$21),2)=0),1,0)</f>
        <v>0</v>
      </c>
      <c r="U353" s="9" t="n">
        <f aca="false">IF(LEN(TRIM(J353))=0,1,0)</f>
        <v>0</v>
      </c>
      <c r="V353" s="9" t="n">
        <f aca="false">IF(AND(I353="Manual",C353&lt;Parameters!$B$19,C353&gt;=Parameters!$B$19*(1-Parameters!$B$20)),1,0)</f>
        <v>0</v>
      </c>
      <c r="W353" s="9" t="n">
        <f aca="false">IF(AND(I353="Manual",M353&gt;0),1,0)</f>
        <v>0</v>
      </c>
      <c r="X353" s="9" t="n">
        <f aca="false">IF(A353-A352&gt;1,1,0)</f>
        <v>0</v>
      </c>
      <c r="Y353" s="9" t="n">
        <f aca="false">N353*Parameters!$B$38+O353*Parameters!$B$39+P353*Parameters!$B$40+Q353*Parameters!$B$41+R353*Parameters!$B$42+S353*Parameters!$B$43+T353*Parameters!$B$44+U353*Parameters!$B$45+V353*Parameters!$B$46+W353*Parameters!$B$47+X353*Parameters!$B$48</f>
        <v>0</v>
      </c>
      <c r="Z353" s="0" t="str">
        <f aca="false">IF(Y353&gt;=Parameters!$B$25,"High","")</f>
        <v/>
      </c>
    </row>
    <row r="354" customFormat="false" ht="15" hidden="false" customHeight="false" outlineLevel="0" collapsed="false">
      <c r="A354" s="16" t="n">
        <v>1357</v>
      </c>
      <c r="B354" s="9" t="n">
        <f aca="false">COUNTIF(JE_Lines!$B$5:$B$1733,A354)</f>
        <v>2</v>
      </c>
      <c r="C354" s="17" t="n">
        <f aca="false">SUMIFS(JE_Lines!$G$5:$G$1733,JE_Lines!$B$5:$B$1733,A354)</f>
        <v>2775.6</v>
      </c>
      <c r="D354" s="17" t="n">
        <f aca="false">SUMIFS(JE_Lines!$H$5:$H$1733,JE_Lines!$B$5:$B$1733,A354)</f>
        <v>2775.6</v>
      </c>
      <c r="E354" s="17" t="n">
        <f aca="false">C354-D354</f>
        <v>0</v>
      </c>
      <c r="F354" s="18" t="n">
        <f aca="false">INDEX(JE_Lines!$C$5:$C$1733,MATCH(A354,JE_Lines!$B$5:$B$1733,0))</f>
        <v>45817</v>
      </c>
      <c r="G354" s="18" t="n">
        <f aca="false">INDEX(JE_Lines!$D$5:$D$1733,MATCH(A354,JE_Lines!$B$5:$B$1733,0))</f>
        <v>45791</v>
      </c>
      <c r="H354" s="0" t="str">
        <f aca="false">INDEX(JE_Lines!$I$5:$I$1733,MATCH(A354,JE_Lines!$B$5:$B$1733,0))</f>
        <v>FIN03</v>
      </c>
      <c r="I354" s="0" t="str">
        <f aca="false">INDEX(JE_Lines!$J$5:$J$1733,MATCH(A354,JE_Lines!$B$5:$B$1733,0))</f>
        <v>Manual</v>
      </c>
      <c r="J354" s="0" t="str">
        <f aca="false">IF(LEN(INDEX(JE_Lines!$K$5:$K$1733,MATCH(A354,JE_Lines!$B$5:$B$1733,0)))=0,"",INDEX(JE_Lines!$K$5:$K$1733,MATCH(A354,JE_Lines!$B$5:$B$1733,0)))</f>
        <v>Prior period correction 5</v>
      </c>
      <c r="K354" s="9" t="n">
        <f aca="false">F354-G354</f>
        <v>26</v>
      </c>
      <c r="L354" s="9" t="n">
        <f aca="false">COUNTIFS(JE_Lines!$B$5:$B$1733,A354,JE_Lines!$F$5:$F$1733,"Revenue")</f>
        <v>0</v>
      </c>
      <c r="M354" s="9" t="n">
        <f aca="false">COUNTIFS(JE_Lines!$B$5:$B$1733,A354,JE_Lines!$F$5:$F$1733,"Suspense")</f>
        <v>0</v>
      </c>
      <c r="N354" s="9" t="n">
        <f aca="false">IF(ABS(E354)&gt;Parameters!$B$23,1,0)</f>
        <v>0</v>
      </c>
      <c r="O354" s="9" t="n">
        <f aca="false">IF(WEEKDAY(F354,2)&gt;5,1,0)</f>
        <v>0</v>
      </c>
      <c r="P354" s="9" t="n">
        <f aca="false">IF(K354&gt;Parameters!$B$17,1,0)</f>
        <v>1</v>
      </c>
      <c r="Q354" s="9" t="n">
        <f aca="false">IF(AND(F354&lt;=Parameters!$B$6,F354&gt;Parameters!$B$6-Parameters!$B$18),1,0)</f>
        <v>0</v>
      </c>
      <c r="R354" s="9" t="n">
        <f aca="false">IF(COUNTIF(Parameters!$A$51:$A$58,H354)=0,1,0)</f>
        <v>0</v>
      </c>
      <c r="S354" s="9" t="n">
        <f aca="false">IF(AND(I354="Manual",L354&gt;0),1,0)</f>
        <v>0</v>
      </c>
      <c r="T354" s="9" t="n">
        <f aca="false">IF(AND(C354&gt;=Parameters!$B$22,ROUND(MOD(ROUND(C354,2),Parameters!$B$21),2)=0),1,0)</f>
        <v>0</v>
      </c>
      <c r="U354" s="9" t="n">
        <f aca="false">IF(LEN(TRIM(J354))=0,1,0)</f>
        <v>0</v>
      </c>
      <c r="V354" s="9" t="n">
        <f aca="false">IF(AND(I354="Manual",C354&lt;Parameters!$B$19,C354&gt;=Parameters!$B$19*(1-Parameters!$B$20)),1,0)</f>
        <v>0</v>
      </c>
      <c r="W354" s="9" t="n">
        <f aca="false">IF(AND(I354="Manual",M354&gt;0),1,0)</f>
        <v>0</v>
      </c>
      <c r="X354" s="9" t="n">
        <f aca="false">IF(A354-A353&gt;1,1,0)</f>
        <v>0</v>
      </c>
      <c r="Y354" s="9" t="n">
        <f aca="false">N354*Parameters!$B$38+O354*Parameters!$B$39+P354*Parameters!$B$40+Q354*Parameters!$B$41+R354*Parameters!$B$42+S354*Parameters!$B$43+T354*Parameters!$B$44+U354*Parameters!$B$45+V354*Parameters!$B$46+W354*Parameters!$B$47+X354*Parameters!$B$48</f>
        <v>2</v>
      </c>
      <c r="Z354" s="0" t="str">
        <f aca="false">IF(Y354&gt;=Parameters!$B$25,"High","")</f>
        <v/>
      </c>
    </row>
    <row r="355" customFormat="false" ht="15" hidden="false" customHeight="false" outlineLevel="0" collapsed="false">
      <c r="A355" s="16" t="n">
        <v>1358</v>
      </c>
      <c r="B355" s="9" t="n">
        <f aca="false">COUNTIF(JE_Lines!$B$5:$B$1733,A355)</f>
        <v>2</v>
      </c>
      <c r="C355" s="17" t="n">
        <f aca="false">SUMIFS(JE_Lines!$G$5:$G$1733,JE_Lines!$B$5:$B$1733,A355)</f>
        <v>989.97</v>
      </c>
      <c r="D355" s="17" t="n">
        <f aca="false">SUMIFS(JE_Lines!$H$5:$H$1733,JE_Lines!$B$5:$B$1733,A355)</f>
        <v>989.97</v>
      </c>
      <c r="E355" s="17" t="n">
        <f aca="false">C355-D355</f>
        <v>0</v>
      </c>
      <c r="F355" s="18" t="n">
        <f aca="false">INDEX(JE_Lines!$C$5:$C$1733,MATCH(A355,JE_Lines!$B$5:$B$1733,0))</f>
        <v>45817</v>
      </c>
      <c r="G355" s="18" t="n">
        <f aca="false">INDEX(JE_Lines!$D$5:$D$1733,MATCH(A355,JE_Lines!$B$5:$B$1733,0))</f>
        <v>45814</v>
      </c>
      <c r="H355" s="0" t="str">
        <f aca="false">INDEX(JE_Lines!$I$5:$I$1733,MATCH(A355,JE_Lines!$B$5:$B$1733,0))</f>
        <v>SYS_AR</v>
      </c>
      <c r="I355" s="0" t="str">
        <f aca="false">INDEX(JE_Lines!$J$5:$J$1733,MATCH(A355,JE_Lines!$B$5:$B$1733,0))</f>
        <v>System</v>
      </c>
      <c r="J355" s="0" t="str">
        <f aca="false">IF(LEN(INDEX(JE_Lines!$K$5:$K$1733,MATCH(A355,JE_Lines!$B$5:$B$1733,0)))=0,"",INDEX(JE_Lines!$K$5:$K$1733,MATCH(A355,JE_Lines!$B$5:$B$1733,0)))</f>
        <v>Customer receipts</v>
      </c>
      <c r="K355" s="9" t="n">
        <f aca="false">F355-G355</f>
        <v>3</v>
      </c>
      <c r="L355" s="9" t="n">
        <f aca="false">COUNTIFS(JE_Lines!$B$5:$B$1733,A355,JE_Lines!$F$5:$F$1733,"Revenue")</f>
        <v>0</v>
      </c>
      <c r="M355" s="9" t="n">
        <f aca="false">COUNTIFS(JE_Lines!$B$5:$B$1733,A355,JE_Lines!$F$5:$F$1733,"Suspense")</f>
        <v>0</v>
      </c>
      <c r="N355" s="9" t="n">
        <f aca="false">IF(ABS(E355)&gt;Parameters!$B$23,1,0)</f>
        <v>0</v>
      </c>
      <c r="O355" s="9" t="n">
        <f aca="false">IF(WEEKDAY(F355,2)&gt;5,1,0)</f>
        <v>0</v>
      </c>
      <c r="P355" s="9" t="n">
        <f aca="false">IF(K355&gt;Parameters!$B$17,1,0)</f>
        <v>0</v>
      </c>
      <c r="Q355" s="9" t="n">
        <f aca="false">IF(AND(F355&lt;=Parameters!$B$6,F355&gt;Parameters!$B$6-Parameters!$B$18),1,0)</f>
        <v>0</v>
      </c>
      <c r="R355" s="9" t="n">
        <f aca="false">IF(COUNTIF(Parameters!$A$51:$A$58,H355)=0,1,0)</f>
        <v>0</v>
      </c>
      <c r="S355" s="9" t="n">
        <f aca="false">IF(AND(I355="Manual",L355&gt;0),1,0)</f>
        <v>0</v>
      </c>
      <c r="T355" s="9" t="n">
        <f aca="false">IF(AND(C355&gt;=Parameters!$B$22,ROUND(MOD(ROUND(C355,2),Parameters!$B$21),2)=0),1,0)</f>
        <v>0</v>
      </c>
      <c r="U355" s="9" t="n">
        <f aca="false">IF(LEN(TRIM(J355))=0,1,0)</f>
        <v>0</v>
      </c>
      <c r="V355" s="9" t="n">
        <f aca="false">IF(AND(I355="Manual",C355&lt;Parameters!$B$19,C355&gt;=Parameters!$B$19*(1-Parameters!$B$20)),1,0)</f>
        <v>0</v>
      </c>
      <c r="W355" s="9" t="n">
        <f aca="false">IF(AND(I355="Manual",M355&gt;0),1,0)</f>
        <v>0</v>
      </c>
      <c r="X355" s="9" t="n">
        <f aca="false">IF(A355-A354&gt;1,1,0)</f>
        <v>0</v>
      </c>
      <c r="Y355" s="9" t="n">
        <f aca="false">N355*Parameters!$B$38+O355*Parameters!$B$39+P355*Parameters!$B$40+Q355*Parameters!$B$41+R355*Parameters!$B$42+S355*Parameters!$B$43+T355*Parameters!$B$44+U355*Parameters!$B$45+V355*Parameters!$B$46+W355*Parameters!$B$47+X355*Parameters!$B$48</f>
        <v>0</v>
      </c>
      <c r="Z355" s="0" t="str">
        <f aca="false">IF(Y355&gt;=Parameters!$B$25,"High","")</f>
        <v/>
      </c>
    </row>
    <row r="356" customFormat="false" ht="15" hidden="false" customHeight="false" outlineLevel="0" collapsed="false">
      <c r="A356" s="16" t="n">
        <v>1359</v>
      </c>
      <c r="B356" s="9" t="n">
        <f aca="false">COUNTIF(JE_Lines!$B$5:$B$1733,A356)</f>
        <v>2</v>
      </c>
      <c r="C356" s="17" t="n">
        <f aca="false">SUMIFS(JE_Lines!$G$5:$G$1733,JE_Lines!$B$5:$B$1733,A356)</f>
        <v>241.79</v>
      </c>
      <c r="D356" s="17" t="n">
        <f aca="false">SUMIFS(JE_Lines!$H$5:$H$1733,JE_Lines!$B$5:$B$1733,A356)</f>
        <v>241.79</v>
      </c>
      <c r="E356" s="17" t="n">
        <f aca="false">C356-D356</f>
        <v>0</v>
      </c>
      <c r="F356" s="18" t="n">
        <f aca="false">INDEX(JE_Lines!$C$5:$C$1733,MATCH(A356,JE_Lines!$B$5:$B$1733,0))</f>
        <v>45818</v>
      </c>
      <c r="G356" s="18" t="n">
        <f aca="false">INDEX(JE_Lines!$D$5:$D$1733,MATCH(A356,JE_Lines!$B$5:$B$1733,0))</f>
        <v>45816</v>
      </c>
      <c r="H356" s="0" t="str">
        <f aca="false">INDEX(JE_Lines!$I$5:$I$1733,MATCH(A356,JE_Lines!$B$5:$B$1733,0))</f>
        <v>SYS_AR</v>
      </c>
      <c r="I356" s="0" t="str">
        <f aca="false">INDEX(JE_Lines!$J$5:$J$1733,MATCH(A356,JE_Lines!$B$5:$B$1733,0))</f>
        <v>System</v>
      </c>
      <c r="J356" s="0" t="str">
        <f aca="false">IF(LEN(INDEX(JE_Lines!$K$5:$K$1733,MATCH(A356,JE_Lines!$B$5:$B$1733,0)))=0,"",INDEX(JE_Lines!$K$5:$K$1733,MATCH(A356,JE_Lines!$B$5:$B$1733,0)))</f>
        <v>Customer receipts</v>
      </c>
      <c r="K356" s="9" t="n">
        <f aca="false">F356-G356</f>
        <v>2</v>
      </c>
      <c r="L356" s="9" t="n">
        <f aca="false">COUNTIFS(JE_Lines!$B$5:$B$1733,A356,JE_Lines!$F$5:$F$1733,"Revenue")</f>
        <v>0</v>
      </c>
      <c r="M356" s="9" t="n">
        <f aca="false">COUNTIFS(JE_Lines!$B$5:$B$1733,A356,JE_Lines!$F$5:$F$1733,"Suspense")</f>
        <v>0</v>
      </c>
      <c r="N356" s="9" t="n">
        <f aca="false">IF(ABS(E356)&gt;Parameters!$B$23,1,0)</f>
        <v>0</v>
      </c>
      <c r="O356" s="9" t="n">
        <f aca="false">IF(WEEKDAY(F356,2)&gt;5,1,0)</f>
        <v>0</v>
      </c>
      <c r="P356" s="9" t="n">
        <f aca="false">IF(K356&gt;Parameters!$B$17,1,0)</f>
        <v>0</v>
      </c>
      <c r="Q356" s="9" t="n">
        <f aca="false">IF(AND(F356&lt;=Parameters!$B$6,F356&gt;Parameters!$B$6-Parameters!$B$18),1,0)</f>
        <v>0</v>
      </c>
      <c r="R356" s="9" t="n">
        <f aca="false">IF(COUNTIF(Parameters!$A$51:$A$58,H356)=0,1,0)</f>
        <v>0</v>
      </c>
      <c r="S356" s="9" t="n">
        <f aca="false">IF(AND(I356="Manual",L356&gt;0),1,0)</f>
        <v>0</v>
      </c>
      <c r="T356" s="9" t="n">
        <f aca="false">IF(AND(C356&gt;=Parameters!$B$22,ROUND(MOD(ROUND(C356,2),Parameters!$B$21),2)=0),1,0)</f>
        <v>0</v>
      </c>
      <c r="U356" s="9" t="n">
        <f aca="false">IF(LEN(TRIM(J356))=0,1,0)</f>
        <v>0</v>
      </c>
      <c r="V356" s="9" t="n">
        <f aca="false">IF(AND(I356="Manual",C356&lt;Parameters!$B$19,C356&gt;=Parameters!$B$19*(1-Parameters!$B$20)),1,0)</f>
        <v>0</v>
      </c>
      <c r="W356" s="9" t="n">
        <f aca="false">IF(AND(I356="Manual",M356&gt;0),1,0)</f>
        <v>0</v>
      </c>
      <c r="X356" s="9" t="n">
        <f aca="false">IF(A356-A355&gt;1,1,0)</f>
        <v>0</v>
      </c>
      <c r="Y356" s="9" t="n">
        <f aca="false">N356*Parameters!$B$38+O356*Parameters!$B$39+P356*Parameters!$B$40+Q356*Parameters!$B$41+R356*Parameters!$B$42+S356*Parameters!$B$43+T356*Parameters!$B$44+U356*Parameters!$B$45+V356*Parameters!$B$46+W356*Parameters!$B$47+X356*Parameters!$B$48</f>
        <v>0</v>
      </c>
      <c r="Z356" s="0" t="str">
        <f aca="false">IF(Y356&gt;=Parameters!$B$25,"High","")</f>
        <v/>
      </c>
    </row>
    <row r="357" customFormat="false" ht="15" hidden="false" customHeight="false" outlineLevel="0" collapsed="false">
      <c r="A357" s="16" t="n">
        <v>1360</v>
      </c>
      <c r="B357" s="9" t="n">
        <f aca="false">COUNTIF(JE_Lines!$B$5:$B$1733,A357)</f>
        <v>3</v>
      </c>
      <c r="C357" s="17" t="n">
        <f aca="false">SUMIFS(JE_Lines!$G$5:$G$1733,JE_Lines!$B$5:$B$1733,A357)</f>
        <v>6765.29</v>
      </c>
      <c r="D357" s="17" t="n">
        <f aca="false">SUMIFS(JE_Lines!$H$5:$H$1733,JE_Lines!$B$5:$B$1733,A357)</f>
        <v>6765.29</v>
      </c>
      <c r="E357" s="17" t="n">
        <f aca="false">C357-D357</f>
        <v>0</v>
      </c>
      <c r="F357" s="18" t="n">
        <f aca="false">INDEX(JE_Lines!$C$5:$C$1733,MATCH(A357,JE_Lines!$B$5:$B$1733,0))</f>
        <v>45818</v>
      </c>
      <c r="G357" s="18" t="n">
        <f aca="false">INDEX(JE_Lines!$D$5:$D$1733,MATCH(A357,JE_Lines!$B$5:$B$1733,0))</f>
        <v>45817</v>
      </c>
      <c r="H357" s="0" t="str">
        <f aca="false">INDEX(JE_Lines!$I$5:$I$1733,MATCH(A357,JE_Lines!$B$5:$B$1733,0))</f>
        <v>SYS_AR</v>
      </c>
      <c r="I357" s="0" t="str">
        <f aca="false">INDEX(JE_Lines!$J$5:$J$1733,MATCH(A357,JE_Lines!$B$5:$B$1733,0))</f>
        <v>System</v>
      </c>
      <c r="J357" s="0" t="str">
        <f aca="false">IF(LEN(INDEX(JE_Lines!$K$5:$K$1733,MATCH(A357,JE_Lines!$B$5:$B$1733,0)))=0,"",INDEX(JE_Lines!$K$5:$K$1733,MATCH(A357,JE_Lines!$B$5:$B$1733,0)))</f>
        <v>Cost of sales posting</v>
      </c>
      <c r="K357" s="9" t="n">
        <f aca="false">F357-G357</f>
        <v>1</v>
      </c>
      <c r="L357" s="9" t="n">
        <f aca="false">COUNTIFS(JE_Lines!$B$5:$B$1733,A357,JE_Lines!$F$5:$F$1733,"Revenue")</f>
        <v>0</v>
      </c>
      <c r="M357" s="9" t="n">
        <f aca="false">COUNTIFS(JE_Lines!$B$5:$B$1733,A357,JE_Lines!$F$5:$F$1733,"Suspense")</f>
        <v>0</v>
      </c>
      <c r="N357" s="9" t="n">
        <f aca="false">IF(ABS(E357)&gt;Parameters!$B$23,1,0)</f>
        <v>0</v>
      </c>
      <c r="O357" s="9" t="n">
        <f aca="false">IF(WEEKDAY(F357,2)&gt;5,1,0)</f>
        <v>0</v>
      </c>
      <c r="P357" s="9" t="n">
        <f aca="false">IF(K357&gt;Parameters!$B$17,1,0)</f>
        <v>0</v>
      </c>
      <c r="Q357" s="9" t="n">
        <f aca="false">IF(AND(F357&lt;=Parameters!$B$6,F357&gt;Parameters!$B$6-Parameters!$B$18),1,0)</f>
        <v>0</v>
      </c>
      <c r="R357" s="9" t="n">
        <f aca="false">IF(COUNTIF(Parameters!$A$51:$A$58,H357)=0,1,0)</f>
        <v>0</v>
      </c>
      <c r="S357" s="9" t="n">
        <f aca="false">IF(AND(I357="Manual",L357&gt;0),1,0)</f>
        <v>0</v>
      </c>
      <c r="T357" s="9" t="n">
        <f aca="false">IF(AND(C357&gt;=Parameters!$B$22,ROUND(MOD(ROUND(C357,2),Parameters!$B$21),2)=0),1,0)</f>
        <v>0</v>
      </c>
      <c r="U357" s="9" t="n">
        <f aca="false">IF(LEN(TRIM(J357))=0,1,0)</f>
        <v>0</v>
      </c>
      <c r="V357" s="9" t="n">
        <f aca="false">IF(AND(I357="Manual",C357&lt;Parameters!$B$19,C357&gt;=Parameters!$B$19*(1-Parameters!$B$20)),1,0)</f>
        <v>0</v>
      </c>
      <c r="W357" s="9" t="n">
        <f aca="false">IF(AND(I357="Manual",M357&gt;0),1,0)</f>
        <v>0</v>
      </c>
      <c r="X357" s="9" t="n">
        <f aca="false">IF(A357-A356&gt;1,1,0)</f>
        <v>0</v>
      </c>
      <c r="Y357" s="9" t="n">
        <f aca="false">N357*Parameters!$B$38+O357*Parameters!$B$39+P357*Parameters!$B$40+Q357*Parameters!$B$41+R357*Parameters!$B$42+S357*Parameters!$B$43+T357*Parameters!$B$44+U357*Parameters!$B$45+V357*Parameters!$B$46+W357*Parameters!$B$47+X357*Parameters!$B$48</f>
        <v>0</v>
      </c>
      <c r="Z357" s="0" t="str">
        <f aca="false">IF(Y357&gt;=Parameters!$B$25,"High","")</f>
        <v/>
      </c>
    </row>
    <row r="358" customFormat="false" ht="15" hidden="false" customHeight="false" outlineLevel="0" collapsed="false">
      <c r="A358" s="16" t="n">
        <v>1361</v>
      </c>
      <c r="B358" s="9" t="n">
        <f aca="false">COUNTIF(JE_Lines!$B$5:$B$1733,A358)</f>
        <v>2</v>
      </c>
      <c r="C358" s="17" t="n">
        <f aca="false">SUMIFS(JE_Lines!$G$5:$G$1733,JE_Lines!$B$5:$B$1733,A358)</f>
        <v>251.57</v>
      </c>
      <c r="D358" s="17" t="n">
        <f aca="false">SUMIFS(JE_Lines!$H$5:$H$1733,JE_Lines!$B$5:$B$1733,A358)</f>
        <v>251.57</v>
      </c>
      <c r="E358" s="17" t="n">
        <f aca="false">C358-D358</f>
        <v>0</v>
      </c>
      <c r="F358" s="18" t="n">
        <f aca="false">INDEX(JE_Lines!$C$5:$C$1733,MATCH(A358,JE_Lines!$B$5:$B$1733,0))</f>
        <v>45819</v>
      </c>
      <c r="G358" s="18" t="n">
        <f aca="false">INDEX(JE_Lines!$D$5:$D$1733,MATCH(A358,JE_Lines!$B$5:$B$1733,0))</f>
        <v>45817</v>
      </c>
      <c r="H358" s="0" t="str">
        <f aca="false">INDEX(JE_Lines!$I$5:$I$1733,MATCH(A358,JE_Lines!$B$5:$B$1733,0))</f>
        <v>SYS_AR</v>
      </c>
      <c r="I358" s="0" t="str">
        <f aca="false">INDEX(JE_Lines!$J$5:$J$1733,MATCH(A358,JE_Lines!$B$5:$B$1733,0))</f>
        <v>System</v>
      </c>
      <c r="J358" s="0" t="str">
        <f aca="false">IF(LEN(INDEX(JE_Lines!$K$5:$K$1733,MATCH(A358,JE_Lines!$B$5:$B$1733,0)))=0,"",INDEX(JE_Lines!$K$5:$K$1733,MATCH(A358,JE_Lines!$B$5:$B$1733,0)))</f>
        <v>Cost of sales posting</v>
      </c>
      <c r="K358" s="9" t="n">
        <f aca="false">F358-G358</f>
        <v>2</v>
      </c>
      <c r="L358" s="9" t="n">
        <f aca="false">COUNTIFS(JE_Lines!$B$5:$B$1733,A358,JE_Lines!$F$5:$F$1733,"Revenue")</f>
        <v>0</v>
      </c>
      <c r="M358" s="9" t="n">
        <f aca="false">COUNTIFS(JE_Lines!$B$5:$B$1733,A358,JE_Lines!$F$5:$F$1733,"Suspense")</f>
        <v>0</v>
      </c>
      <c r="N358" s="9" t="n">
        <f aca="false">IF(ABS(E358)&gt;Parameters!$B$23,1,0)</f>
        <v>0</v>
      </c>
      <c r="O358" s="9" t="n">
        <f aca="false">IF(WEEKDAY(F358,2)&gt;5,1,0)</f>
        <v>0</v>
      </c>
      <c r="P358" s="9" t="n">
        <f aca="false">IF(K358&gt;Parameters!$B$17,1,0)</f>
        <v>0</v>
      </c>
      <c r="Q358" s="9" t="n">
        <f aca="false">IF(AND(F358&lt;=Parameters!$B$6,F358&gt;Parameters!$B$6-Parameters!$B$18),1,0)</f>
        <v>0</v>
      </c>
      <c r="R358" s="9" t="n">
        <f aca="false">IF(COUNTIF(Parameters!$A$51:$A$58,H358)=0,1,0)</f>
        <v>0</v>
      </c>
      <c r="S358" s="9" t="n">
        <f aca="false">IF(AND(I358="Manual",L358&gt;0),1,0)</f>
        <v>0</v>
      </c>
      <c r="T358" s="9" t="n">
        <f aca="false">IF(AND(C358&gt;=Parameters!$B$22,ROUND(MOD(ROUND(C358,2),Parameters!$B$21),2)=0),1,0)</f>
        <v>0</v>
      </c>
      <c r="U358" s="9" t="n">
        <f aca="false">IF(LEN(TRIM(J358))=0,1,0)</f>
        <v>0</v>
      </c>
      <c r="V358" s="9" t="n">
        <f aca="false">IF(AND(I358="Manual",C358&lt;Parameters!$B$19,C358&gt;=Parameters!$B$19*(1-Parameters!$B$20)),1,0)</f>
        <v>0</v>
      </c>
      <c r="W358" s="9" t="n">
        <f aca="false">IF(AND(I358="Manual",M358&gt;0),1,0)</f>
        <v>0</v>
      </c>
      <c r="X358" s="9" t="n">
        <f aca="false">IF(A358-A357&gt;1,1,0)</f>
        <v>0</v>
      </c>
      <c r="Y358" s="9" t="n">
        <f aca="false">N358*Parameters!$B$38+O358*Parameters!$B$39+P358*Parameters!$B$40+Q358*Parameters!$B$41+R358*Parameters!$B$42+S358*Parameters!$B$43+T358*Parameters!$B$44+U358*Parameters!$B$45+V358*Parameters!$B$46+W358*Parameters!$B$47+X358*Parameters!$B$48</f>
        <v>0</v>
      </c>
      <c r="Z358" s="0" t="str">
        <f aca="false">IF(Y358&gt;=Parameters!$B$25,"High","")</f>
        <v/>
      </c>
    </row>
    <row r="359" customFormat="false" ht="15" hidden="false" customHeight="false" outlineLevel="0" collapsed="false">
      <c r="A359" s="16" t="n">
        <v>1362</v>
      </c>
      <c r="B359" s="9" t="n">
        <f aca="false">COUNTIF(JE_Lines!$B$5:$B$1733,A359)</f>
        <v>2</v>
      </c>
      <c r="C359" s="17" t="n">
        <f aca="false">SUMIFS(JE_Lines!$G$5:$G$1733,JE_Lines!$B$5:$B$1733,A359)</f>
        <v>2902.41</v>
      </c>
      <c r="D359" s="17" t="n">
        <f aca="false">SUMIFS(JE_Lines!$H$5:$H$1733,JE_Lines!$B$5:$B$1733,A359)</f>
        <v>2902.41</v>
      </c>
      <c r="E359" s="17" t="n">
        <f aca="false">C359-D359</f>
        <v>0</v>
      </c>
      <c r="F359" s="18" t="n">
        <f aca="false">INDEX(JE_Lines!$C$5:$C$1733,MATCH(A359,JE_Lines!$B$5:$B$1733,0))</f>
        <v>45819</v>
      </c>
      <c r="G359" s="18" t="n">
        <f aca="false">INDEX(JE_Lines!$D$5:$D$1733,MATCH(A359,JE_Lines!$B$5:$B$1733,0))</f>
        <v>45819</v>
      </c>
      <c r="H359" s="0" t="str">
        <f aca="false">INDEX(JE_Lines!$I$5:$I$1733,MATCH(A359,JE_Lines!$B$5:$B$1733,0))</f>
        <v>SYS_AP</v>
      </c>
      <c r="I359" s="0" t="str">
        <f aca="false">INDEX(JE_Lines!$J$5:$J$1733,MATCH(A359,JE_Lines!$B$5:$B$1733,0))</f>
        <v>System</v>
      </c>
      <c r="J359" s="0" t="str">
        <f aca="false">IF(LEN(INDEX(JE_Lines!$K$5:$K$1733,MATCH(A359,JE_Lines!$B$5:$B$1733,0)))=0,"",INDEX(JE_Lines!$K$5:$K$1733,MATCH(A359,JE_Lines!$B$5:$B$1733,0)))</f>
        <v>Supplier invoices</v>
      </c>
      <c r="K359" s="9" t="n">
        <f aca="false">F359-G359</f>
        <v>0</v>
      </c>
      <c r="L359" s="9" t="n">
        <f aca="false">COUNTIFS(JE_Lines!$B$5:$B$1733,A359,JE_Lines!$F$5:$F$1733,"Revenue")</f>
        <v>0</v>
      </c>
      <c r="M359" s="9" t="n">
        <f aca="false">COUNTIFS(JE_Lines!$B$5:$B$1733,A359,JE_Lines!$F$5:$F$1733,"Suspense")</f>
        <v>0</v>
      </c>
      <c r="N359" s="9" t="n">
        <f aca="false">IF(ABS(E359)&gt;Parameters!$B$23,1,0)</f>
        <v>0</v>
      </c>
      <c r="O359" s="9" t="n">
        <f aca="false">IF(WEEKDAY(F359,2)&gt;5,1,0)</f>
        <v>0</v>
      </c>
      <c r="P359" s="9" t="n">
        <f aca="false">IF(K359&gt;Parameters!$B$17,1,0)</f>
        <v>0</v>
      </c>
      <c r="Q359" s="9" t="n">
        <f aca="false">IF(AND(F359&lt;=Parameters!$B$6,F359&gt;Parameters!$B$6-Parameters!$B$18),1,0)</f>
        <v>0</v>
      </c>
      <c r="R359" s="9" t="n">
        <f aca="false">IF(COUNTIF(Parameters!$A$51:$A$58,H359)=0,1,0)</f>
        <v>0</v>
      </c>
      <c r="S359" s="9" t="n">
        <f aca="false">IF(AND(I359="Manual",L359&gt;0),1,0)</f>
        <v>0</v>
      </c>
      <c r="T359" s="9" t="n">
        <f aca="false">IF(AND(C359&gt;=Parameters!$B$22,ROUND(MOD(ROUND(C359,2),Parameters!$B$21),2)=0),1,0)</f>
        <v>0</v>
      </c>
      <c r="U359" s="9" t="n">
        <f aca="false">IF(LEN(TRIM(J359))=0,1,0)</f>
        <v>0</v>
      </c>
      <c r="V359" s="9" t="n">
        <f aca="false">IF(AND(I359="Manual",C359&lt;Parameters!$B$19,C359&gt;=Parameters!$B$19*(1-Parameters!$B$20)),1,0)</f>
        <v>0</v>
      </c>
      <c r="W359" s="9" t="n">
        <f aca="false">IF(AND(I359="Manual",M359&gt;0),1,0)</f>
        <v>0</v>
      </c>
      <c r="X359" s="9" t="n">
        <f aca="false">IF(A359-A358&gt;1,1,0)</f>
        <v>0</v>
      </c>
      <c r="Y359" s="9" t="n">
        <f aca="false">N359*Parameters!$B$38+O359*Parameters!$B$39+P359*Parameters!$B$40+Q359*Parameters!$B$41+R359*Parameters!$B$42+S359*Parameters!$B$43+T359*Parameters!$B$44+U359*Parameters!$B$45+V359*Parameters!$B$46+W359*Parameters!$B$47+X359*Parameters!$B$48</f>
        <v>0</v>
      </c>
      <c r="Z359" s="0" t="str">
        <f aca="false">IF(Y359&gt;=Parameters!$B$25,"High","")</f>
        <v/>
      </c>
    </row>
    <row r="360" customFormat="false" ht="15" hidden="false" customHeight="false" outlineLevel="0" collapsed="false">
      <c r="A360" s="16" t="n">
        <v>1363</v>
      </c>
      <c r="B360" s="9" t="n">
        <f aca="false">COUNTIF(JE_Lines!$B$5:$B$1733,A360)</f>
        <v>2</v>
      </c>
      <c r="C360" s="17" t="n">
        <f aca="false">SUMIFS(JE_Lines!$G$5:$G$1733,JE_Lines!$B$5:$B$1733,A360)</f>
        <v>93470.21</v>
      </c>
      <c r="D360" s="17" t="n">
        <f aca="false">SUMIFS(JE_Lines!$H$5:$H$1733,JE_Lines!$B$5:$B$1733,A360)</f>
        <v>93470.21</v>
      </c>
      <c r="E360" s="17" t="n">
        <f aca="false">C360-D360</f>
        <v>0</v>
      </c>
      <c r="F360" s="18" t="n">
        <f aca="false">INDEX(JE_Lines!$C$5:$C$1733,MATCH(A360,JE_Lines!$B$5:$B$1733,0))</f>
        <v>45819</v>
      </c>
      <c r="G360" s="18" t="n">
        <f aca="false">INDEX(JE_Lines!$D$5:$D$1733,MATCH(A360,JE_Lines!$B$5:$B$1733,0))</f>
        <v>45818</v>
      </c>
      <c r="H360" s="0" t="str">
        <f aca="false">INDEX(JE_Lines!$I$5:$I$1733,MATCH(A360,JE_Lines!$B$5:$B$1733,0))</f>
        <v>SYS_PAY</v>
      </c>
      <c r="I360" s="0" t="str">
        <f aca="false">INDEX(JE_Lines!$J$5:$J$1733,MATCH(A360,JE_Lines!$B$5:$B$1733,0))</f>
        <v>System</v>
      </c>
      <c r="J360" s="0" t="str">
        <f aca="false">IF(LEN(INDEX(JE_Lines!$K$5:$K$1733,MATCH(A360,JE_Lines!$B$5:$B$1733,0)))=0,"",INDEX(JE_Lines!$K$5:$K$1733,MATCH(A360,JE_Lines!$B$5:$B$1733,0)))</f>
        <v>Supplier payments</v>
      </c>
      <c r="K360" s="9" t="n">
        <f aca="false">F360-G360</f>
        <v>1</v>
      </c>
      <c r="L360" s="9" t="n">
        <f aca="false">COUNTIFS(JE_Lines!$B$5:$B$1733,A360,JE_Lines!$F$5:$F$1733,"Revenue")</f>
        <v>0</v>
      </c>
      <c r="M360" s="9" t="n">
        <f aca="false">COUNTIFS(JE_Lines!$B$5:$B$1733,A360,JE_Lines!$F$5:$F$1733,"Suspense")</f>
        <v>0</v>
      </c>
      <c r="N360" s="9" t="n">
        <f aca="false">IF(ABS(E360)&gt;Parameters!$B$23,1,0)</f>
        <v>0</v>
      </c>
      <c r="O360" s="9" t="n">
        <f aca="false">IF(WEEKDAY(F360,2)&gt;5,1,0)</f>
        <v>0</v>
      </c>
      <c r="P360" s="9" t="n">
        <f aca="false">IF(K360&gt;Parameters!$B$17,1,0)</f>
        <v>0</v>
      </c>
      <c r="Q360" s="9" t="n">
        <f aca="false">IF(AND(F360&lt;=Parameters!$B$6,F360&gt;Parameters!$B$6-Parameters!$B$18),1,0)</f>
        <v>0</v>
      </c>
      <c r="R360" s="9" t="n">
        <f aca="false">IF(COUNTIF(Parameters!$A$51:$A$58,H360)=0,1,0)</f>
        <v>0</v>
      </c>
      <c r="S360" s="9" t="n">
        <f aca="false">IF(AND(I360="Manual",L360&gt;0),1,0)</f>
        <v>0</v>
      </c>
      <c r="T360" s="9" t="n">
        <f aca="false">IF(AND(C360&gt;=Parameters!$B$22,ROUND(MOD(ROUND(C360,2),Parameters!$B$21),2)=0),1,0)</f>
        <v>0</v>
      </c>
      <c r="U360" s="9" t="n">
        <f aca="false">IF(LEN(TRIM(J360))=0,1,0)</f>
        <v>0</v>
      </c>
      <c r="V360" s="9" t="n">
        <f aca="false">IF(AND(I360="Manual",C360&lt;Parameters!$B$19,C360&gt;=Parameters!$B$19*(1-Parameters!$B$20)),1,0)</f>
        <v>0</v>
      </c>
      <c r="W360" s="9" t="n">
        <f aca="false">IF(AND(I360="Manual",M360&gt;0),1,0)</f>
        <v>0</v>
      </c>
      <c r="X360" s="9" t="n">
        <f aca="false">IF(A360-A359&gt;1,1,0)</f>
        <v>0</v>
      </c>
      <c r="Y360" s="9" t="n">
        <f aca="false">N360*Parameters!$B$38+O360*Parameters!$B$39+P360*Parameters!$B$40+Q360*Parameters!$B$41+R360*Parameters!$B$42+S360*Parameters!$B$43+T360*Parameters!$B$44+U360*Parameters!$B$45+V360*Parameters!$B$46+W360*Parameters!$B$47+X360*Parameters!$B$48</f>
        <v>0</v>
      </c>
      <c r="Z360" s="0" t="str">
        <f aca="false">IF(Y360&gt;=Parameters!$B$25,"High","")</f>
        <v/>
      </c>
    </row>
    <row r="361" customFormat="false" ht="15" hidden="false" customHeight="false" outlineLevel="0" collapsed="false">
      <c r="A361" s="16" t="n">
        <v>1364</v>
      </c>
      <c r="B361" s="9" t="n">
        <f aca="false">COUNTIF(JE_Lines!$B$5:$B$1733,A361)</f>
        <v>2</v>
      </c>
      <c r="C361" s="17" t="n">
        <f aca="false">SUMIFS(JE_Lines!$G$5:$G$1733,JE_Lines!$B$5:$B$1733,A361)</f>
        <v>323.13</v>
      </c>
      <c r="D361" s="17" t="n">
        <f aca="false">SUMIFS(JE_Lines!$H$5:$H$1733,JE_Lines!$B$5:$B$1733,A361)</f>
        <v>323.13</v>
      </c>
      <c r="E361" s="17" t="n">
        <f aca="false">C361-D361</f>
        <v>0</v>
      </c>
      <c r="F361" s="18" t="n">
        <f aca="false">INDEX(JE_Lines!$C$5:$C$1733,MATCH(A361,JE_Lines!$B$5:$B$1733,0))</f>
        <v>45819</v>
      </c>
      <c r="G361" s="18" t="n">
        <f aca="false">INDEX(JE_Lines!$D$5:$D$1733,MATCH(A361,JE_Lines!$B$5:$B$1733,0))</f>
        <v>45819</v>
      </c>
      <c r="H361" s="0" t="str">
        <f aca="false">INDEX(JE_Lines!$I$5:$I$1733,MATCH(A361,JE_Lines!$B$5:$B$1733,0))</f>
        <v>SYS_AR</v>
      </c>
      <c r="I361" s="0" t="str">
        <f aca="false">INDEX(JE_Lines!$J$5:$J$1733,MATCH(A361,JE_Lines!$B$5:$B$1733,0))</f>
        <v>System</v>
      </c>
      <c r="J361" s="0" t="str">
        <f aca="false">IF(LEN(INDEX(JE_Lines!$K$5:$K$1733,MATCH(A361,JE_Lines!$B$5:$B$1733,0)))=0,"",INDEX(JE_Lines!$K$5:$K$1733,MATCH(A361,JE_Lines!$B$5:$B$1733,0)))</f>
        <v>Cost of sales posting</v>
      </c>
      <c r="K361" s="9" t="n">
        <f aca="false">F361-G361</f>
        <v>0</v>
      </c>
      <c r="L361" s="9" t="n">
        <f aca="false">COUNTIFS(JE_Lines!$B$5:$B$1733,A361,JE_Lines!$F$5:$F$1733,"Revenue")</f>
        <v>0</v>
      </c>
      <c r="M361" s="9" t="n">
        <f aca="false">COUNTIFS(JE_Lines!$B$5:$B$1733,A361,JE_Lines!$F$5:$F$1733,"Suspense")</f>
        <v>0</v>
      </c>
      <c r="N361" s="9" t="n">
        <f aca="false">IF(ABS(E361)&gt;Parameters!$B$23,1,0)</f>
        <v>0</v>
      </c>
      <c r="O361" s="9" t="n">
        <f aca="false">IF(WEEKDAY(F361,2)&gt;5,1,0)</f>
        <v>0</v>
      </c>
      <c r="P361" s="9" t="n">
        <f aca="false">IF(K361&gt;Parameters!$B$17,1,0)</f>
        <v>0</v>
      </c>
      <c r="Q361" s="9" t="n">
        <f aca="false">IF(AND(F361&lt;=Parameters!$B$6,F361&gt;Parameters!$B$6-Parameters!$B$18),1,0)</f>
        <v>0</v>
      </c>
      <c r="R361" s="9" t="n">
        <f aca="false">IF(COUNTIF(Parameters!$A$51:$A$58,H361)=0,1,0)</f>
        <v>0</v>
      </c>
      <c r="S361" s="9" t="n">
        <f aca="false">IF(AND(I361="Manual",L361&gt;0),1,0)</f>
        <v>0</v>
      </c>
      <c r="T361" s="9" t="n">
        <f aca="false">IF(AND(C361&gt;=Parameters!$B$22,ROUND(MOD(ROUND(C361,2),Parameters!$B$21),2)=0),1,0)</f>
        <v>0</v>
      </c>
      <c r="U361" s="9" t="n">
        <f aca="false">IF(LEN(TRIM(J361))=0,1,0)</f>
        <v>0</v>
      </c>
      <c r="V361" s="9" t="n">
        <f aca="false">IF(AND(I361="Manual",C361&lt;Parameters!$B$19,C361&gt;=Parameters!$B$19*(1-Parameters!$B$20)),1,0)</f>
        <v>0</v>
      </c>
      <c r="W361" s="9" t="n">
        <f aca="false">IF(AND(I361="Manual",M361&gt;0),1,0)</f>
        <v>0</v>
      </c>
      <c r="X361" s="9" t="n">
        <f aca="false">IF(A361-A360&gt;1,1,0)</f>
        <v>0</v>
      </c>
      <c r="Y361" s="9" t="n">
        <f aca="false">N361*Parameters!$B$38+O361*Parameters!$B$39+P361*Parameters!$B$40+Q361*Parameters!$B$41+R361*Parameters!$B$42+S361*Parameters!$B$43+T361*Parameters!$B$44+U361*Parameters!$B$45+V361*Parameters!$B$46+W361*Parameters!$B$47+X361*Parameters!$B$48</f>
        <v>0</v>
      </c>
      <c r="Z361" s="0" t="str">
        <f aca="false">IF(Y361&gt;=Parameters!$B$25,"High","")</f>
        <v/>
      </c>
    </row>
    <row r="362" customFormat="false" ht="15" hidden="false" customHeight="false" outlineLevel="0" collapsed="false">
      <c r="A362" s="16" t="n">
        <v>1365</v>
      </c>
      <c r="B362" s="9" t="n">
        <f aca="false">COUNTIF(JE_Lines!$B$5:$B$1733,A362)</f>
        <v>2</v>
      </c>
      <c r="C362" s="17" t="n">
        <f aca="false">SUMIFS(JE_Lines!$G$5:$G$1733,JE_Lines!$B$5:$B$1733,A362)</f>
        <v>200.53</v>
      </c>
      <c r="D362" s="17" t="n">
        <f aca="false">SUMIFS(JE_Lines!$H$5:$H$1733,JE_Lines!$B$5:$B$1733,A362)</f>
        <v>200.53</v>
      </c>
      <c r="E362" s="17" t="n">
        <f aca="false">C362-D362</f>
        <v>0</v>
      </c>
      <c r="F362" s="18" t="n">
        <f aca="false">INDEX(JE_Lines!$C$5:$C$1733,MATCH(A362,JE_Lines!$B$5:$B$1733,0))</f>
        <v>45820</v>
      </c>
      <c r="G362" s="18" t="n">
        <f aca="false">INDEX(JE_Lines!$D$5:$D$1733,MATCH(A362,JE_Lines!$B$5:$B$1733,0))</f>
        <v>45816</v>
      </c>
      <c r="H362" s="0" t="str">
        <f aca="false">INDEX(JE_Lines!$I$5:$I$1733,MATCH(A362,JE_Lines!$B$5:$B$1733,0))</f>
        <v>SYS_AR</v>
      </c>
      <c r="I362" s="0" t="str">
        <f aca="false">INDEX(JE_Lines!$J$5:$J$1733,MATCH(A362,JE_Lines!$B$5:$B$1733,0))</f>
        <v>System</v>
      </c>
      <c r="J362" s="0" t="str">
        <f aca="false">IF(LEN(INDEX(JE_Lines!$K$5:$K$1733,MATCH(A362,JE_Lines!$B$5:$B$1733,0)))=0,"",INDEX(JE_Lines!$K$5:$K$1733,MATCH(A362,JE_Lines!$B$5:$B$1733,0)))</f>
        <v>Cost of sales posting</v>
      </c>
      <c r="K362" s="9" t="n">
        <f aca="false">F362-G362</f>
        <v>4</v>
      </c>
      <c r="L362" s="9" t="n">
        <f aca="false">COUNTIFS(JE_Lines!$B$5:$B$1733,A362,JE_Lines!$F$5:$F$1733,"Revenue")</f>
        <v>0</v>
      </c>
      <c r="M362" s="9" t="n">
        <f aca="false">COUNTIFS(JE_Lines!$B$5:$B$1733,A362,JE_Lines!$F$5:$F$1733,"Suspense")</f>
        <v>0</v>
      </c>
      <c r="N362" s="9" t="n">
        <f aca="false">IF(ABS(E362)&gt;Parameters!$B$23,1,0)</f>
        <v>0</v>
      </c>
      <c r="O362" s="9" t="n">
        <f aca="false">IF(WEEKDAY(F362,2)&gt;5,1,0)</f>
        <v>0</v>
      </c>
      <c r="P362" s="9" t="n">
        <f aca="false">IF(K362&gt;Parameters!$B$17,1,0)</f>
        <v>0</v>
      </c>
      <c r="Q362" s="9" t="n">
        <f aca="false">IF(AND(F362&lt;=Parameters!$B$6,F362&gt;Parameters!$B$6-Parameters!$B$18),1,0)</f>
        <v>0</v>
      </c>
      <c r="R362" s="9" t="n">
        <f aca="false">IF(COUNTIF(Parameters!$A$51:$A$58,H362)=0,1,0)</f>
        <v>0</v>
      </c>
      <c r="S362" s="9" t="n">
        <f aca="false">IF(AND(I362="Manual",L362&gt;0),1,0)</f>
        <v>0</v>
      </c>
      <c r="T362" s="9" t="n">
        <f aca="false">IF(AND(C362&gt;=Parameters!$B$22,ROUND(MOD(ROUND(C362,2),Parameters!$B$21),2)=0),1,0)</f>
        <v>0</v>
      </c>
      <c r="U362" s="9" t="n">
        <f aca="false">IF(LEN(TRIM(J362))=0,1,0)</f>
        <v>0</v>
      </c>
      <c r="V362" s="9" t="n">
        <f aca="false">IF(AND(I362="Manual",C362&lt;Parameters!$B$19,C362&gt;=Parameters!$B$19*(1-Parameters!$B$20)),1,0)</f>
        <v>0</v>
      </c>
      <c r="W362" s="9" t="n">
        <f aca="false">IF(AND(I362="Manual",M362&gt;0),1,0)</f>
        <v>0</v>
      </c>
      <c r="X362" s="9" t="n">
        <f aca="false">IF(A362-A361&gt;1,1,0)</f>
        <v>0</v>
      </c>
      <c r="Y362" s="9" t="n">
        <f aca="false">N362*Parameters!$B$38+O362*Parameters!$B$39+P362*Parameters!$B$40+Q362*Parameters!$B$41+R362*Parameters!$B$42+S362*Parameters!$B$43+T362*Parameters!$B$44+U362*Parameters!$B$45+V362*Parameters!$B$46+W362*Parameters!$B$47+X362*Parameters!$B$48</f>
        <v>0</v>
      </c>
      <c r="Z362" s="0" t="str">
        <f aca="false">IF(Y362&gt;=Parameters!$B$25,"High","")</f>
        <v/>
      </c>
    </row>
    <row r="363" customFormat="false" ht="15" hidden="false" customHeight="false" outlineLevel="0" collapsed="false">
      <c r="A363" s="16" t="n">
        <v>1366</v>
      </c>
      <c r="B363" s="9" t="n">
        <f aca="false">COUNTIF(JE_Lines!$B$5:$B$1733,A363)</f>
        <v>2</v>
      </c>
      <c r="C363" s="17" t="n">
        <f aca="false">SUMIFS(JE_Lines!$G$5:$G$1733,JE_Lines!$B$5:$B$1733,A363)</f>
        <v>36803.17</v>
      </c>
      <c r="D363" s="17" t="n">
        <f aca="false">SUMIFS(JE_Lines!$H$5:$H$1733,JE_Lines!$B$5:$B$1733,A363)</f>
        <v>36803.17</v>
      </c>
      <c r="E363" s="17" t="n">
        <f aca="false">C363-D363</f>
        <v>0</v>
      </c>
      <c r="F363" s="18" t="n">
        <f aca="false">INDEX(JE_Lines!$C$5:$C$1733,MATCH(A363,JE_Lines!$B$5:$B$1733,0))</f>
        <v>45820</v>
      </c>
      <c r="G363" s="18" t="n">
        <f aca="false">INDEX(JE_Lines!$D$5:$D$1733,MATCH(A363,JE_Lines!$B$5:$B$1733,0))</f>
        <v>45818</v>
      </c>
      <c r="H363" s="0" t="str">
        <f aca="false">INDEX(JE_Lines!$I$5:$I$1733,MATCH(A363,JE_Lines!$B$5:$B$1733,0))</f>
        <v>SYS_AR</v>
      </c>
      <c r="I363" s="0" t="str">
        <f aca="false">INDEX(JE_Lines!$J$5:$J$1733,MATCH(A363,JE_Lines!$B$5:$B$1733,0))</f>
        <v>System</v>
      </c>
      <c r="J363" s="0" t="str">
        <f aca="false">IF(LEN(INDEX(JE_Lines!$K$5:$K$1733,MATCH(A363,JE_Lines!$B$5:$B$1733,0)))=0,"",INDEX(JE_Lines!$K$5:$K$1733,MATCH(A363,JE_Lines!$B$5:$B$1733,0)))</f>
        <v>Cost of sales posting</v>
      </c>
      <c r="K363" s="9" t="n">
        <f aca="false">F363-G363</f>
        <v>2</v>
      </c>
      <c r="L363" s="9" t="n">
        <f aca="false">COUNTIFS(JE_Lines!$B$5:$B$1733,A363,JE_Lines!$F$5:$F$1733,"Revenue")</f>
        <v>0</v>
      </c>
      <c r="M363" s="9" t="n">
        <f aca="false">COUNTIFS(JE_Lines!$B$5:$B$1733,A363,JE_Lines!$F$5:$F$1733,"Suspense")</f>
        <v>0</v>
      </c>
      <c r="N363" s="9" t="n">
        <f aca="false">IF(ABS(E363)&gt;Parameters!$B$23,1,0)</f>
        <v>0</v>
      </c>
      <c r="O363" s="9" t="n">
        <f aca="false">IF(WEEKDAY(F363,2)&gt;5,1,0)</f>
        <v>0</v>
      </c>
      <c r="P363" s="9" t="n">
        <f aca="false">IF(K363&gt;Parameters!$B$17,1,0)</f>
        <v>0</v>
      </c>
      <c r="Q363" s="9" t="n">
        <f aca="false">IF(AND(F363&lt;=Parameters!$B$6,F363&gt;Parameters!$B$6-Parameters!$B$18),1,0)</f>
        <v>0</v>
      </c>
      <c r="R363" s="9" t="n">
        <f aca="false">IF(COUNTIF(Parameters!$A$51:$A$58,H363)=0,1,0)</f>
        <v>0</v>
      </c>
      <c r="S363" s="9" t="n">
        <f aca="false">IF(AND(I363="Manual",L363&gt;0),1,0)</f>
        <v>0</v>
      </c>
      <c r="T363" s="9" t="n">
        <f aca="false">IF(AND(C363&gt;=Parameters!$B$22,ROUND(MOD(ROUND(C363,2),Parameters!$B$21),2)=0),1,0)</f>
        <v>0</v>
      </c>
      <c r="U363" s="9" t="n">
        <f aca="false">IF(LEN(TRIM(J363))=0,1,0)</f>
        <v>0</v>
      </c>
      <c r="V363" s="9" t="n">
        <f aca="false">IF(AND(I363="Manual",C363&lt;Parameters!$B$19,C363&gt;=Parameters!$B$19*(1-Parameters!$B$20)),1,0)</f>
        <v>0</v>
      </c>
      <c r="W363" s="9" t="n">
        <f aca="false">IF(AND(I363="Manual",M363&gt;0),1,0)</f>
        <v>0</v>
      </c>
      <c r="X363" s="9" t="n">
        <f aca="false">IF(A363-A362&gt;1,1,0)</f>
        <v>0</v>
      </c>
      <c r="Y363" s="9" t="n">
        <f aca="false">N363*Parameters!$B$38+O363*Parameters!$B$39+P363*Parameters!$B$40+Q363*Parameters!$B$41+R363*Parameters!$B$42+S363*Parameters!$B$43+T363*Parameters!$B$44+U363*Parameters!$B$45+V363*Parameters!$B$46+W363*Parameters!$B$47+X363*Parameters!$B$48</f>
        <v>0</v>
      </c>
      <c r="Z363" s="0" t="str">
        <f aca="false">IF(Y363&gt;=Parameters!$B$25,"High","")</f>
        <v/>
      </c>
    </row>
    <row r="364" customFormat="false" ht="15" hidden="false" customHeight="false" outlineLevel="0" collapsed="false">
      <c r="A364" s="16" t="n">
        <v>1367</v>
      </c>
      <c r="B364" s="9" t="n">
        <f aca="false">COUNTIF(JE_Lines!$B$5:$B$1733,A364)</f>
        <v>2</v>
      </c>
      <c r="C364" s="17" t="n">
        <f aca="false">SUMIFS(JE_Lines!$G$5:$G$1733,JE_Lines!$B$5:$B$1733,A364)</f>
        <v>550.42</v>
      </c>
      <c r="D364" s="17" t="n">
        <f aca="false">SUMIFS(JE_Lines!$H$5:$H$1733,JE_Lines!$B$5:$B$1733,A364)</f>
        <v>550.42</v>
      </c>
      <c r="E364" s="17" t="n">
        <f aca="false">C364-D364</f>
        <v>0</v>
      </c>
      <c r="F364" s="18" t="n">
        <f aca="false">INDEX(JE_Lines!$C$5:$C$1733,MATCH(A364,JE_Lines!$B$5:$B$1733,0))</f>
        <v>45820</v>
      </c>
      <c r="G364" s="18" t="n">
        <f aca="false">INDEX(JE_Lines!$D$5:$D$1733,MATCH(A364,JE_Lines!$B$5:$B$1733,0))</f>
        <v>45819</v>
      </c>
      <c r="H364" s="0" t="str">
        <f aca="false">INDEX(JE_Lines!$I$5:$I$1733,MATCH(A364,JE_Lines!$B$5:$B$1733,0))</f>
        <v>SYS_AR</v>
      </c>
      <c r="I364" s="0" t="str">
        <f aca="false">INDEX(JE_Lines!$J$5:$J$1733,MATCH(A364,JE_Lines!$B$5:$B$1733,0))</f>
        <v>System</v>
      </c>
      <c r="J364" s="0" t="str">
        <f aca="false">IF(LEN(INDEX(JE_Lines!$K$5:$K$1733,MATCH(A364,JE_Lines!$B$5:$B$1733,0)))=0,"",INDEX(JE_Lines!$K$5:$K$1733,MATCH(A364,JE_Lines!$B$5:$B$1733,0)))</f>
        <v>Sales invoice batch</v>
      </c>
      <c r="K364" s="9" t="n">
        <f aca="false">F364-G364</f>
        <v>1</v>
      </c>
      <c r="L364" s="9" t="n">
        <f aca="false">COUNTIFS(JE_Lines!$B$5:$B$1733,A364,JE_Lines!$F$5:$F$1733,"Revenue")</f>
        <v>1</v>
      </c>
      <c r="M364" s="9" t="n">
        <f aca="false">COUNTIFS(JE_Lines!$B$5:$B$1733,A364,JE_Lines!$F$5:$F$1733,"Suspense")</f>
        <v>0</v>
      </c>
      <c r="N364" s="9" t="n">
        <f aca="false">IF(ABS(E364)&gt;Parameters!$B$23,1,0)</f>
        <v>0</v>
      </c>
      <c r="O364" s="9" t="n">
        <f aca="false">IF(WEEKDAY(F364,2)&gt;5,1,0)</f>
        <v>0</v>
      </c>
      <c r="P364" s="9" t="n">
        <f aca="false">IF(K364&gt;Parameters!$B$17,1,0)</f>
        <v>0</v>
      </c>
      <c r="Q364" s="9" t="n">
        <f aca="false">IF(AND(F364&lt;=Parameters!$B$6,F364&gt;Parameters!$B$6-Parameters!$B$18),1,0)</f>
        <v>0</v>
      </c>
      <c r="R364" s="9" t="n">
        <f aca="false">IF(COUNTIF(Parameters!$A$51:$A$58,H364)=0,1,0)</f>
        <v>0</v>
      </c>
      <c r="S364" s="9" t="n">
        <f aca="false">IF(AND(I364="Manual",L364&gt;0),1,0)</f>
        <v>0</v>
      </c>
      <c r="T364" s="9" t="n">
        <f aca="false">IF(AND(C364&gt;=Parameters!$B$22,ROUND(MOD(ROUND(C364,2),Parameters!$B$21),2)=0),1,0)</f>
        <v>0</v>
      </c>
      <c r="U364" s="9" t="n">
        <f aca="false">IF(LEN(TRIM(J364))=0,1,0)</f>
        <v>0</v>
      </c>
      <c r="V364" s="9" t="n">
        <f aca="false">IF(AND(I364="Manual",C364&lt;Parameters!$B$19,C364&gt;=Parameters!$B$19*(1-Parameters!$B$20)),1,0)</f>
        <v>0</v>
      </c>
      <c r="W364" s="9" t="n">
        <f aca="false">IF(AND(I364="Manual",M364&gt;0),1,0)</f>
        <v>0</v>
      </c>
      <c r="X364" s="9" t="n">
        <f aca="false">IF(A364-A363&gt;1,1,0)</f>
        <v>0</v>
      </c>
      <c r="Y364" s="9" t="n">
        <f aca="false">N364*Parameters!$B$38+O364*Parameters!$B$39+P364*Parameters!$B$40+Q364*Parameters!$B$41+R364*Parameters!$B$42+S364*Parameters!$B$43+T364*Parameters!$B$44+U364*Parameters!$B$45+V364*Parameters!$B$46+W364*Parameters!$B$47+X364*Parameters!$B$48</f>
        <v>0</v>
      </c>
      <c r="Z364" s="0" t="str">
        <f aca="false">IF(Y364&gt;=Parameters!$B$25,"High","")</f>
        <v/>
      </c>
    </row>
    <row r="365" customFormat="false" ht="15" hidden="false" customHeight="false" outlineLevel="0" collapsed="false">
      <c r="A365" s="16" t="n">
        <v>1368</v>
      </c>
      <c r="B365" s="9" t="n">
        <f aca="false">COUNTIF(JE_Lines!$B$5:$B$1733,A365)</f>
        <v>3</v>
      </c>
      <c r="C365" s="17" t="n">
        <f aca="false">SUMIFS(JE_Lines!$G$5:$G$1733,JE_Lines!$B$5:$B$1733,A365)</f>
        <v>9162.3</v>
      </c>
      <c r="D365" s="17" t="n">
        <f aca="false">SUMIFS(JE_Lines!$H$5:$H$1733,JE_Lines!$B$5:$B$1733,A365)</f>
        <v>9162.3</v>
      </c>
      <c r="E365" s="17" t="n">
        <f aca="false">C365-D365</f>
        <v>0</v>
      </c>
      <c r="F365" s="18" t="n">
        <f aca="false">INDEX(JE_Lines!$C$5:$C$1733,MATCH(A365,JE_Lines!$B$5:$B$1733,0))</f>
        <v>45820</v>
      </c>
      <c r="G365" s="18" t="n">
        <f aca="false">INDEX(JE_Lines!$D$5:$D$1733,MATCH(A365,JE_Lines!$B$5:$B$1733,0))</f>
        <v>45820</v>
      </c>
      <c r="H365" s="0" t="str">
        <f aca="false">INDEX(JE_Lines!$I$5:$I$1733,MATCH(A365,JE_Lines!$B$5:$B$1733,0))</f>
        <v>SYS_AR</v>
      </c>
      <c r="I365" s="0" t="str">
        <f aca="false">INDEX(JE_Lines!$J$5:$J$1733,MATCH(A365,JE_Lines!$B$5:$B$1733,0))</f>
        <v>System</v>
      </c>
      <c r="J365" s="0" t="str">
        <f aca="false">IF(LEN(INDEX(JE_Lines!$K$5:$K$1733,MATCH(A365,JE_Lines!$B$5:$B$1733,0)))=0,"",INDEX(JE_Lines!$K$5:$K$1733,MATCH(A365,JE_Lines!$B$5:$B$1733,0)))</f>
        <v>Sales invoice batch</v>
      </c>
      <c r="K365" s="9" t="n">
        <f aca="false">F365-G365</f>
        <v>0</v>
      </c>
      <c r="L365" s="9" t="n">
        <f aca="false">COUNTIFS(JE_Lines!$B$5:$B$1733,A365,JE_Lines!$F$5:$F$1733,"Revenue")</f>
        <v>1</v>
      </c>
      <c r="M365" s="9" t="n">
        <f aca="false">COUNTIFS(JE_Lines!$B$5:$B$1733,A365,JE_Lines!$F$5:$F$1733,"Suspense")</f>
        <v>0</v>
      </c>
      <c r="N365" s="9" t="n">
        <f aca="false">IF(ABS(E365)&gt;Parameters!$B$23,1,0)</f>
        <v>0</v>
      </c>
      <c r="O365" s="9" t="n">
        <f aca="false">IF(WEEKDAY(F365,2)&gt;5,1,0)</f>
        <v>0</v>
      </c>
      <c r="P365" s="9" t="n">
        <f aca="false">IF(K365&gt;Parameters!$B$17,1,0)</f>
        <v>0</v>
      </c>
      <c r="Q365" s="9" t="n">
        <f aca="false">IF(AND(F365&lt;=Parameters!$B$6,F365&gt;Parameters!$B$6-Parameters!$B$18),1,0)</f>
        <v>0</v>
      </c>
      <c r="R365" s="9" t="n">
        <f aca="false">IF(COUNTIF(Parameters!$A$51:$A$58,H365)=0,1,0)</f>
        <v>0</v>
      </c>
      <c r="S365" s="9" t="n">
        <f aca="false">IF(AND(I365="Manual",L365&gt;0),1,0)</f>
        <v>0</v>
      </c>
      <c r="T365" s="9" t="n">
        <f aca="false">IF(AND(C365&gt;=Parameters!$B$22,ROUND(MOD(ROUND(C365,2),Parameters!$B$21),2)=0),1,0)</f>
        <v>0</v>
      </c>
      <c r="U365" s="9" t="n">
        <f aca="false">IF(LEN(TRIM(J365))=0,1,0)</f>
        <v>0</v>
      </c>
      <c r="V365" s="9" t="n">
        <f aca="false">IF(AND(I365="Manual",C365&lt;Parameters!$B$19,C365&gt;=Parameters!$B$19*(1-Parameters!$B$20)),1,0)</f>
        <v>0</v>
      </c>
      <c r="W365" s="9" t="n">
        <f aca="false">IF(AND(I365="Manual",M365&gt;0),1,0)</f>
        <v>0</v>
      </c>
      <c r="X365" s="9" t="n">
        <f aca="false">IF(A365-A364&gt;1,1,0)</f>
        <v>0</v>
      </c>
      <c r="Y365" s="9" t="n">
        <f aca="false">N365*Parameters!$B$38+O365*Parameters!$B$39+P365*Parameters!$B$40+Q365*Parameters!$B$41+R365*Parameters!$B$42+S365*Parameters!$B$43+T365*Parameters!$B$44+U365*Parameters!$B$45+V365*Parameters!$B$46+W365*Parameters!$B$47+X365*Parameters!$B$48</f>
        <v>0</v>
      </c>
      <c r="Z365" s="0" t="str">
        <f aca="false">IF(Y365&gt;=Parameters!$B$25,"High","")</f>
        <v/>
      </c>
    </row>
    <row r="366" customFormat="false" ht="15" hidden="false" customHeight="false" outlineLevel="0" collapsed="false">
      <c r="A366" s="16" t="n">
        <v>1369</v>
      </c>
      <c r="B366" s="9" t="n">
        <f aca="false">COUNTIF(JE_Lines!$B$5:$B$1733,A366)</f>
        <v>3</v>
      </c>
      <c r="C366" s="17" t="n">
        <f aca="false">SUMIFS(JE_Lines!$G$5:$G$1733,JE_Lines!$B$5:$B$1733,A366)</f>
        <v>52752.55</v>
      </c>
      <c r="D366" s="17" t="n">
        <f aca="false">SUMIFS(JE_Lines!$H$5:$H$1733,JE_Lines!$B$5:$B$1733,A366)</f>
        <v>52752.55</v>
      </c>
      <c r="E366" s="17" t="n">
        <f aca="false">C366-D366</f>
        <v>0</v>
      </c>
      <c r="F366" s="18" t="n">
        <f aca="false">INDEX(JE_Lines!$C$5:$C$1733,MATCH(A366,JE_Lines!$B$5:$B$1733,0))</f>
        <v>45821</v>
      </c>
      <c r="G366" s="18" t="n">
        <f aca="false">INDEX(JE_Lines!$D$5:$D$1733,MATCH(A366,JE_Lines!$B$5:$B$1733,0))</f>
        <v>45821</v>
      </c>
      <c r="H366" s="0" t="str">
        <f aca="false">INDEX(JE_Lines!$I$5:$I$1733,MATCH(A366,JE_Lines!$B$5:$B$1733,0))</f>
        <v>SYS_AR</v>
      </c>
      <c r="I366" s="0" t="str">
        <f aca="false">INDEX(JE_Lines!$J$5:$J$1733,MATCH(A366,JE_Lines!$B$5:$B$1733,0))</f>
        <v>System</v>
      </c>
      <c r="J366" s="0" t="str">
        <f aca="false">IF(LEN(INDEX(JE_Lines!$K$5:$K$1733,MATCH(A366,JE_Lines!$B$5:$B$1733,0)))=0,"",INDEX(JE_Lines!$K$5:$K$1733,MATCH(A366,JE_Lines!$B$5:$B$1733,0)))</f>
        <v>Customer receipts</v>
      </c>
      <c r="K366" s="9" t="n">
        <f aca="false">F366-G366</f>
        <v>0</v>
      </c>
      <c r="L366" s="9" t="n">
        <f aca="false">COUNTIFS(JE_Lines!$B$5:$B$1733,A366,JE_Lines!$F$5:$F$1733,"Revenue")</f>
        <v>0</v>
      </c>
      <c r="M366" s="9" t="n">
        <f aca="false">COUNTIFS(JE_Lines!$B$5:$B$1733,A366,JE_Lines!$F$5:$F$1733,"Suspense")</f>
        <v>0</v>
      </c>
      <c r="N366" s="9" t="n">
        <f aca="false">IF(ABS(E366)&gt;Parameters!$B$23,1,0)</f>
        <v>0</v>
      </c>
      <c r="O366" s="9" t="n">
        <f aca="false">IF(WEEKDAY(F366,2)&gt;5,1,0)</f>
        <v>0</v>
      </c>
      <c r="P366" s="9" t="n">
        <f aca="false">IF(K366&gt;Parameters!$B$17,1,0)</f>
        <v>0</v>
      </c>
      <c r="Q366" s="9" t="n">
        <f aca="false">IF(AND(F366&lt;=Parameters!$B$6,F366&gt;Parameters!$B$6-Parameters!$B$18),1,0)</f>
        <v>0</v>
      </c>
      <c r="R366" s="9" t="n">
        <f aca="false">IF(COUNTIF(Parameters!$A$51:$A$58,H366)=0,1,0)</f>
        <v>0</v>
      </c>
      <c r="S366" s="9" t="n">
        <f aca="false">IF(AND(I366="Manual",L366&gt;0),1,0)</f>
        <v>0</v>
      </c>
      <c r="T366" s="9" t="n">
        <f aca="false">IF(AND(C366&gt;=Parameters!$B$22,ROUND(MOD(ROUND(C366,2),Parameters!$B$21),2)=0),1,0)</f>
        <v>0</v>
      </c>
      <c r="U366" s="9" t="n">
        <f aca="false">IF(LEN(TRIM(J366))=0,1,0)</f>
        <v>0</v>
      </c>
      <c r="V366" s="9" t="n">
        <f aca="false">IF(AND(I366="Manual",C366&lt;Parameters!$B$19,C366&gt;=Parameters!$B$19*(1-Parameters!$B$20)),1,0)</f>
        <v>0</v>
      </c>
      <c r="W366" s="9" t="n">
        <f aca="false">IF(AND(I366="Manual",M366&gt;0),1,0)</f>
        <v>0</v>
      </c>
      <c r="X366" s="9" t="n">
        <f aca="false">IF(A366-A365&gt;1,1,0)</f>
        <v>0</v>
      </c>
      <c r="Y366" s="9" t="n">
        <f aca="false">N366*Parameters!$B$38+O366*Parameters!$B$39+P366*Parameters!$B$40+Q366*Parameters!$B$41+R366*Parameters!$B$42+S366*Parameters!$B$43+T366*Parameters!$B$44+U366*Parameters!$B$45+V366*Parameters!$B$46+W366*Parameters!$B$47+X366*Parameters!$B$48</f>
        <v>0</v>
      </c>
      <c r="Z366" s="0" t="str">
        <f aca="false">IF(Y366&gt;=Parameters!$B$25,"High","")</f>
        <v/>
      </c>
    </row>
    <row r="367" customFormat="false" ht="15" hidden="false" customHeight="false" outlineLevel="0" collapsed="false">
      <c r="A367" s="16" t="n">
        <v>1370</v>
      </c>
      <c r="B367" s="9" t="n">
        <f aca="false">COUNTIF(JE_Lines!$B$5:$B$1733,A367)</f>
        <v>2</v>
      </c>
      <c r="C367" s="17" t="n">
        <f aca="false">SUMIFS(JE_Lines!$G$5:$G$1733,JE_Lines!$B$5:$B$1733,A367)</f>
        <v>48593.96</v>
      </c>
      <c r="D367" s="17" t="n">
        <f aca="false">SUMIFS(JE_Lines!$H$5:$H$1733,JE_Lines!$B$5:$B$1733,A367)</f>
        <v>48593.96</v>
      </c>
      <c r="E367" s="17" t="n">
        <f aca="false">C367-D367</f>
        <v>0</v>
      </c>
      <c r="F367" s="18" t="n">
        <f aca="false">INDEX(JE_Lines!$C$5:$C$1733,MATCH(A367,JE_Lines!$B$5:$B$1733,0))</f>
        <v>45821</v>
      </c>
      <c r="G367" s="18" t="n">
        <f aca="false">INDEX(JE_Lines!$D$5:$D$1733,MATCH(A367,JE_Lines!$B$5:$B$1733,0))</f>
        <v>45821</v>
      </c>
      <c r="H367" s="0" t="str">
        <f aca="false">INDEX(JE_Lines!$I$5:$I$1733,MATCH(A367,JE_Lines!$B$5:$B$1733,0))</f>
        <v>FIN03</v>
      </c>
      <c r="I367" s="0" t="str">
        <f aca="false">INDEX(JE_Lines!$J$5:$J$1733,MATCH(A367,JE_Lines!$B$5:$B$1733,0))</f>
        <v>Manual</v>
      </c>
      <c r="J367" s="0" t="str">
        <f aca="false">IF(LEN(INDEX(JE_Lines!$K$5:$K$1733,MATCH(A367,JE_Lines!$B$5:$B$1733,0)))=0,"",INDEX(JE_Lines!$K$5:$K$1733,MATCH(A367,JE_Lines!$B$5:$B$1733,0)))</f>
        <v>Manual accrual 1</v>
      </c>
      <c r="K367" s="9" t="n">
        <f aca="false">F367-G367</f>
        <v>0</v>
      </c>
      <c r="L367" s="9" t="n">
        <f aca="false">COUNTIFS(JE_Lines!$B$5:$B$1733,A367,JE_Lines!$F$5:$F$1733,"Revenue")</f>
        <v>0</v>
      </c>
      <c r="M367" s="9" t="n">
        <f aca="false">COUNTIFS(JE_Lines!$B$5:$B$1733,A367,JE_Lines!$F$5:$F$1733,"Suspense")</f>
        <v>0</v>
      </c>
      <c r="N367" s="9" t="n">
        <f aca="false">IF(ABS(E367)&gt;Parameters!$B$23,1,0)</f>
        <v>0</v>
      </c>
      <c r="O367" s="9" t="n">
        <f aca="false">IF(WEEKDAY(F367,2)&gt;5,1,0)</f>
        <v>0</v>
      </c>
      <c r="P367" s="9" t="n">
        <f aca="false">IF(K367&gt;Parameters!$B$17,1,0)</f>
        <v>0</v>
      </c>
      <c r="Q367" s="9" t="n">
        <f aca="false">IF(AND(F367&lt;=Parameters!$B$6,F367&gt;Parameters!$B$6-Parameters!$B$18),1,0)</f>
        <v>0</v>
      </c>
      <c r="R367" s="9" t="n">
        <f aca="false">IF(COUNTIF(Parameters!$A$51:$A$58,H367)=0,1,0)</f>
        <v>0</v>
      </c>
      <c r="S367" s="9" t="n">
        <f aca="false">IF(AND(I367="Manual",L367&gt;0),1,0)</f>
        <v>0</v>
      </c>
      <c r="T367" s="9" t="n">
        <f aca="false">IF(AND(C367&gt;=Parameters!$B$22,ROUND(MOD(ROUND(C367,2),Parameters!$B$21),2)=0),1,0)</f>
        <v>0</v>
      </c>
      <c r="U367" s="9" t="n">
        <f aca="false">IF(LEN(TRIM(J367))=0,1,0)</f>
        <v>0</v>
      </c>
      <c r="V367" s="9" t="n">
        <f aca="false">IF(AND(I367="Manual",C367&lt;Parameters!$B$19,C367&gt;=Parameters!$B$19*(1-Parameters!$B$20)),1,0)</f>
        <v>1</v>
      </c>
      <c r="W367" s="9" t="n">
        <f aca="false">IF(AND(I367="Manual",M367&gt;0),1,0)</f>
        <v>0</v>
      </c>
      <c r="X367" s="9" t="n">
        <f aca="false">IF(A367-A366&gt;1,1,0)</f>
        <v>0</v>
      </c>
      <c r="Y367" s="9" t="n">
        <f aca="false">N367*Parameters!$B$38+O367*Parameters!$B$39+P367*Parameters!$B$40+Q367*Parameters!$B$41+R367*Parameters!$B$42+S367*Parameters!$B$43+T367*Parameters!$B$44+U367*Parameters!$B$45+V367*Parameters!$B$46+W367*Parameters!$B$47+X367*Parameters!$B$48</f>
        <v>3</v>
      </c>
      <c r="Z367" s="0" t="str">
        <f aca="false">IF(Y367&gt;=Parameters!$B$25,"High","")</f>
        <v/>
      </c>
    </row>
    <row r="368" customFormat="false" ht="15" hidden="false" customHeight="false" outlineLevel="0" collapsed="false">
      <c r="A368" s="16" t="n">
        <v>1371</v>
      </c>
      <c r="B368" s="9" t="n">
        <f aca="false">COUNTIF(JE_Lines!$B$5:$B$1733,A368)</f>
        <v>2</v>
      </c>
      <c r="C368" s="17" t="n">
        <f aca="false">SUMIFS(JE_Lines!$G$5:$G$1733,JE_Lines!$B$5:$B$1733,A368)</f>
        <v>77216.28</v>
      </c>
      <c r="D368" s="17" t="n">
        <f aca="false">SUMIFS(JE_Lines!$H$5:$H$1733,JE_Lines!$B$5:$B$1733,A368)</f>
        <v>77216.28</v>
      </c>
      <c r="E368" s="17" t="n">
        <f aca="false">C368-D368</f>
        <v>0</v>
      </c>
      <c r="F368" s="18" t="n">
        <f aca="false">INDEX(JE_Lines!$C$5:$C$1733,MATCH(A368,JE_Lines!$B$5:$B$1733,0))</f>
        <v>45824</v>
      </c>
      <c r="G368" s="18" t="n">
        <f aca="false">INDEX(JE_Lines!$D$5:$D$1733,MATCH(A368,JE_Lines!$B$5:$B$1733,0))</f>
        <v>45821</v>
      </c>
      <c r="H368" s="0" t="str">
        <f aca="false">INDEX(JE_Lines!$I$5:$I$1733,MATCH(A368,JE_Lines!$B$5:$B$1733,0))</f>
        <v>SYS_AR</v>
      </c>
      <c r="I368" s="0" t="str">
        <f aca="false">INDEX(JE_Lines!$J$5:$J$1733,MATCH(A368,JE_Lines!$B$5:$B$1733,0))</f>
        <v>System</v>
      </c>
      <c r="J368" s="0" t="str">
        <f aca="false">IF(LEN(INDEX(JE_Lines!$K$5:$K$1733,MATCH(A368,JE_Lines!$B$5:$B$1733,0)))=0,"",INDEX(JE_Lines!$K$5:$K$1733,MATCH(A368,JE_Lines!$B$5:$B$1733,0)))</f>
        <v>Cost of sales posting</v>
      </c>
      <c r="K368" s="9" t="n">
        <f aca="false">F368-G368</f>
        <v>3</v>
      </c>
      <c r="L368" s="9" t="n">
        <f aca="false">COUNTIFS(JE_Lines!$B$5:$B$1733,A368,JE_Lines!$F$5:$F$1733,"Revenue")</f>
        <v>0</v>
      </c>
      <c r="M368" s="9" t="n">
        <f aca="false">COUNTIFS(JE_Lines!$B$5:$B$1733,A368,JE_Lines!$F$5:$F$1733,"Suspense")</f>
        <v>0</v>
      </c>
      <c r="N368" s="9" t="n">
        <f aca="false">IF(ABS(E368)&gt;Parameters!$B$23,1,0)</f>
        <v>0</v>
      </c>
      <c r="O368" s="9" t="n">
        <f aca="false">IF(WEEKDAY(F368,2)&gt;5,1,0)</f>
        <v>0</v>
      </c>
      <c r="P368" s="9" t="n">
        <f aca="false">IF(K368&gt;Parameters!$B$17,1,0)</f>
        <v>0</v>
      </c>
      <c r="Q368" s="9" t="n">
        <f aca="false">IF(AND(F368&lt;=Parameters!$B$6,F368&gt;Parameters!$B$6-Parameters!$B$18),1,0)</f>
        <v>0</v>
      </c>
      <c r="R368" s="9" t="n">
        <f aca="false">IF(COUNTIF(Parameters!$A$51:$A$58,H368)=0,1,0)</f>
        <v>0</v>
      </c>
      <c r="S368" s="9" t="n">
        <f aca="false">IF(AND(I368="Manual",L368&gt;0),1,0)</f>
        <v>0</v>
      </c>
      <c r="T368" s="9" t="n">
        <f aca="false">IF(AND(C368&gt;=Parameters!$B$22,ROUND(MOD(ROUND(C368,2),Parameters!$B$21),2)=0),1,0)</f>
        <v>0</v>
      </c>
      <c r="U368" s="9" t="n">
        <f aca="false">IF(LEN(TRIM(J368))=0,1,0)</f>
        <v>0</v>
      </c>
      <c r="V368" s="9" t="n">
        <f aca="false">IF(AND(I368="Manual",C368&lt;Parameters!$B$19,C368&gt;=Parameters!$B$19*(1-Parameters!$B$20)),1,0)</f>
        <v>0</v>
      </c>
      <c r="W368" s="9" t="n">
        <f aca="false">IF(AND(I368="Manual",M368&gt;0),1,0)</f>
        <v>0</v>
      </c>
      <c r="X368" s="9" t="n">
        <f aca="false">IF(A368-A367&gt;1,1,0)</f>
        <v>0</v>
      </c>
      <c r="Y368" s="9" t="n">
        <f aca="false">N368*Parameters!$B$38+O368*Parameters!$B$39+P368*Parameters!$B$40+Q368*Parameters!$B$41+R368*Parameters!$B$42+S368*Parameters!$B$43+T368*Parameters!$B$44+U368*Parameters!$B$45+V368*Parameters!$B$46+W368*Parameters!$B$47+X368*Parameters!$B$48</f>
        <v>0</v>
      </c>
      <c r="Z368" s="0" t="str">
        <f aca="false">IF(Y368&gt;=Parameters!$B$25,"High","")</f>
        <v/>
      </c>
    </row>
    <row r="369" customFormat="false" ht="15" hidden="false" customHeight="false" outlineLevel="0" collapsed="false">
      <c r="A369" s="16" t="n">
        <v>1372</v>
      </c>
      <c r="B369" s="9" t="n">
        <f aca="false">COUNTIF(JE_Lines!$B$5:$B$1733,A369)</f>
        <v>2</v>
      </c>
      <c r="C369" s="17" t="n">
        <f aca="false">SUMIFS(JE_Lines!$G$5:$G$1733,JE_Lines!$B$5:$B$1733,A369)</f>
        <v>282.09</v>
      </c>
      <c r="D369" s="17" t="n">
        <f aca="false">SUMIFS(JE_Lines!$H$5:$H$1733,JE_Lines!$B$5:$B$1733,A369)</f>
        <v>282.09</v>
      </c>
      <c r="E369" s="17" t="n">
        <f aca="false">C369-D369</f>
        <v>0</v>
      </c>
      <c r="F369" s="18" t="n">
        <f aca="false">INDEX(JE_Lines!$C$5:$C$1733,MATCH(A369,JE_Lines!$B$5:$B$1733,0))</f>
        <v>45824</v>
      </c>
      <c r="G369" s="18" t="n">
        <f aca="false">INDEX(JE_Lines!$D$5:$D$1733,MATCH(A369,JE_Lines!$B$5:$B$1733,0))</f>
        <v>45823</v>
      </c>
      <c r="H369" s="0" t="str">
        <f aca="false">INDEX(JE_Lines!$I$5:$I$1733,MATCH(A369,JE_Lines!$B$5:$B$1733,0))</f>
        <v>SYS_AP</v>
      </c>
      <c r="I369" s="0" t="str">
        <f aca="false">INDEX(JE_Lines!$J$5:$J$1733,MATCH(A369,JE_Lines!$B$5:$B$1733,0))</f>
        <v>System</v>
      </c>
      <c r="J369" s="0" t="str">
        <f aca="false">IF(LEN(INDEX(JE_Lines!$K$5:$K$1733,MATCH(A369,JE_Lines!$B$5:$B$1733,0)))=0,"",INDEX(JE_Lines!$K$5:$K$1733,MATCH(A369,JE_Lines!$B$5:$B$1733,0)))</f>
        <v>Supplier invoices</v>
      </c>
      <c r="K369" s="9" t="n">
        <f aca="false">F369-G369</f>
        <v>1</v>
      </c>
      <c r="L369" s="9" t="n">
        <f aca="false">COUNTIFS(JE_Lines!$B$5:$B$1733,A369,JE_Lines!$F$5:$F$1733,"Revenue")</f>
        <v>0</v>
      </c>
      <c r="M369" s="9" t="n">
        <f aca="false">COUNTIFS(JE_Lines!$B$5:$B$1733,A369,JE_Lines!$F$5:$F$1733,"Suspense")</f>
        <v>0</v>
      </c>
      <c r="N369" s="9" t="n">
        <f aca="false">IF(ABS(E369)&gt;Parameters!$B$23,1,0)</f>
        <v>0</v>
      </c>
      <c r="O369" s="9" t="n">
        <f aca="false">IF(WEEKDAY(F369,2)&gt;5,1,0)</f>
        <v>0</v>
      </c>
      <c r="P369" s="9" t="n">
        <f aca="false">IF(K369&gt;Parameters!$B$17,1,0)</f>
        <v>0</v>
      </c>
      <c r="Q369" s="9" t="n">
        <f aca="false">IF(AND(F369&lt;=Parameters!$B$6,F369&gt;Parameters!$B$6-Parameters!$B$18),1,0)</f>
        <v>0</v>
      </c>
      <c r="R369" s="9" t="n">
        <f aca="false">IF(COUNTIF(Parameters!$A$51:$A$58,H369)=0,1,0)</f>
        <v>0</v>
      </c>
      <c r="S369" s="9" t="n">
        <f aca="false">IF(AND(I369="Manual",L369&gt;0),1,0)</f>
        <v>0</v>
      </c>
      <c r="T369" s="9" t="n">
        <f aca="false">IF(AND(C369&gt;=Parameters!$B$22,ROUND(MOD(ROUND(C369,2),Parameters!$B$21),2)=0),1,0)</f>
        <v>0</v>
      </c>
      <c r="U369" s="9" t="n">
        <f aca="false">IF(LEN(TRIM(J369))=0,1,0)</f>
        <v>0</v>
      </c>
      <c r="V369" s="9" t="n">
        <f aca="false">IF(AND(I369="Manual",C369&lt;Parameters!$B$19,C369&gt;=Parameters!$B$19*(1-Parameters!$B$20)),1,0)</f>
        <v>0</v>
      </c>
      <c r="W369" s="9" t="n">
        <f aca="false">IF(AND(I369="Manual",M369&gt;0),1,0)</f>
        <v>0</v>
      </c>
      <c r="X369" s="9" t="n">
        <f aca="false">IF(A369-A368&gt;1,1,0)</f>
        <v>0</v>
      </c>
      <c r="Y369" s="9" t="n">
        <f aca="false">N369*Parameters!$B$38+O369*Parameters!$B$39+P369*Parameters!$B$40+Q369*Parameters!$B$41+R369*Parameters!$B$42+S369*Parameters!$B$43+T369*Parameters!$B$44+U369*Parameters!$B$45+V369*Parameters!$B$46+W369*Parameters!$B$47+X369*Parameters!$B$48</f>
        <v>0</v>
      </c>
      <c r="Z369" s="0" t="str">
        <f aca="false">IF(Y369&gt;=Parameters!$B$25,"High","")</f>
        <v/>
      </c>
    </row>
    <row r="370" customFormat="false" ht="15" hidden="false" customHeight="false" outlineLevel="0" collapsed="false">
      <c r="A370" s="16" t="n">
        <v>1373</v>
      </c>
      <c r="B370" s="9" t="n">
        <f aca="false">COUNTIF(JE_Lines!$B$5:$B$1733,A370)</f>
        <v>2</v>
      </c>
      <c r="C370" s="17" t="n">
        <f aca="false">SUMIFS(JE_Lines!$G$5:$G$1733,JE_Lines!$B$5:$B$1733,A370)</f>
        <v>6917.35</v>
      </c>
      <c r="D370" s="17" t="n">
        <f aca="false">SUMIFS(JE_Lines!$H$5:$H$1733,JE_Lines!$B$5:$B$1733,A370)</f>
        <v>6917.35</v>
      </c>
      <c r="E370" s="17" t="n">
        <f aca="false">C370-D370</f>
        <v>0</v>
      </c>
      <c r="F370" s="18" t="n">
        <f aca="false">INDEX(JE_Lines!$C$5:$C$1733,MATCH(A370,JE_Lines!$B$5:$B$1733,0))</f>
        <v>45824</v>
      </c>
      <c r="G370" s="18" t="n">
        <f aca="false">INDEX(JE_Lines!$D$5:$D$1733,MATCH(A370,JE_Lines!$B$5:$B$1733,0))</f>
        <v>45820</v>
      </c>
      <c r="H370" s="0" t="str">
        <f aca="false">INDEX(JE_Lines!$I$5:$I$1733,MATCH(A370,JE_Lines!$B$5:$B$1733,0))</f>
        <v>SYS_AP</v>
      </c>
      <c r="I370" s="0" t="str">
        <f aca="false">INDEX(JE_Lines!$J$5:$J$1733,MATCH(A370,JE_Lines!$B$5:$B$1733,0))</f>
        <v>System</v>
      </c>
      <c r="J370" s="0" t="str">
        <f aca="false">IF(LEN(INDEX(JE_Lines!$K$5:$K$1733,MATCH(A370,JE_Lines!$B$5:$B$1733,0)))=0,"",INDEX(JE_Lines!$K$5:$K$1733,MATCH(A370,JE_Lines!$B$5:$B$1733,0)))</f>
        <v>Supplier invoices</v>
      </c>
      <c r="K370" s="9" t="n">
        <f aca="false">F370-G370</f>
        <v>4</v>
      </c>
      <c r="L370" s="9" t="n">
        <f aca="false">COUNTIFS(JE_Lines!$B$5:$B$1733,A370,JE_Lines!$F$5:$F$1733,"Revenue")</f>
        <v>0</v>
      </c>
      <c r="M370" s="9" t="n">
        <f aca="false">COUNTIFS(JE_Lines!$B$5:$B$1733,A370,JE_Lines!$F$5:$F$1733,"Suspense")</f>
        <v>0</v>
      </c>
      <c r="N370" s="9" t="n">
        <f aca="false">IF(ABS(E370)&gt;Parameters!$B$23,1,0)</f>
        <v>0</v>
      </c>
      <c r="O370" s="9" t="n">
        <f aca="false">IF(WEEKDAY(F370,2)&gt;5,1,0)</f>
        <v>0</v>
      </c>
      <c r="P370" s="9" t="n">
        <f aca="false">IF(K370&gt;Parameters!$B$17,1,0)</f>
        <v>0</v>
      </c>
      <c r="Q370" s="9" t="n">
        <f aca="false">IF(AND(F370&lt;=Parameters!$B$6,F370&gt;Parameters!$B$6-Parameters!$B$18),1,0)</f>
        <v>0</v>
      </c>
      <c r="R370" s="9" t="n">
        <f aca="false">IF(COUNTIF(Parameters!$A$51:$A$58,H370)=0,1,0)</f>
        <v>0</v>
      </c>
      <c r="S370" s="9" t="n">
        <f aca="false">IF(AND(I370="Manual",L370&gt;0),1,0)</f>
        <v>0</v>
      </c>
      <c r="T370" s="9" t="n">
        <f aca="false">IF(AND(C370&gt;=Parameters!$B$22,ROUND(MOD(ROUND(C370,2),Parameters!$B$21),2)=0),1,0)</f>
        <v>0</v>
      </c>
      <c r="U370" s="9" t="n">
        <f aca="false">IF(LEN(TRIM(J370))=0,1,0)</f>
        <v>0</v>
      </c>
      <c r="V370" s="9" t="n">
        <f aca="false">IF(AND(I370="Manual",C370&lt;Parameters!$B$19,C370&gt;=Parameters!$B$19*(1-Parameters!$B$20)),1,0)</f>
        <v>0</v>
      </c>
      <c r="W370" s="9" t="n">
        <f aca="false">IF(AND(I370="Manual",M370&gt;0),1,0)</f>
        <v>0</v>
      </c>
      <c r="X370" s="9" t="n">
        <f aca="false">IF(A370-A369&gt;1,1,0)</f>
        <v>0</v>
      </c>
      <c r="Y370" s="9" t="n">
        <f aca="false">N370*Parameters!$B$38+O370*Parameters!$B$39+P370*Parameters!$B$40+Q370*Parameters!$B$41+R370*Parameters!$B$42+S370*Parameters!$B$43+T370*Parameters!$B$44+U370*Parameters!$B$45+V370*Parameters!$B$46+W370*Parameters!$B$47+X370*Parameters!$B$48</f>
        <v>0</v>
      </c>
      <c r="Z370" s="0" t="str">
        <f aca="false">IF(Y370&gt;=Parameters!$B$25,"High","")</f>
        <v/>
      </c>
    </row>
    <row r="371" customFormat="false" ht="15" hidden="false" customHeight="false" outlineLevel="0" collapsed="false">
      <c r="A371" s="16" t="n">
        <v>1374</v>
      </c>
      <c r="B371" s="9" t="n">
        <f aca="false">COUNTIF(JE_Lines!$B$5:$B$1733,A371)</f>
        <v>2</v>
      </c>
      <c r="C371" s="17" t="n">
        <f aca="false">SUMIFS(JE_Lines!$G$5:$G$1733,JE_Lines!$B$5:$B$1733,A371)</f>
        <v>242.78</v>
      </c>
      <c r="D371" s="17" t="n">
        <f aca="false">SUMIFS(JE_Lines!$H$5:$H$1733,JE_Lines!$B$5:$B$1733,A371)</f>
        <v>242.78</v>
      </c>
      <c r="E371" s="17" t="n">
        <f aca="false">C371-D371</f>
        <v>0</v>
      </c>
      <c r="F371" s="18" t="n">
        <f aca="false">INDEX(JE_Lines!$C$5:$C$1733,MATCH(A371,JE_Lines!$B$5:$B$1733,0))</f>
        <v>45825</v>
      </c>
      <c r="G371" s="18" t="n">
        <f aca="false">INDEX(JE_Lines!$D$5:$D$1733,MATCH(A371,JE_Lines!$B$5:$B$1733,0))</f>
        <v>45823</v>
      </c>
      <c r="H371" s="0" t="str">
        <f aca="false">INDEX(JE_Lines!$I$5:$I$1733,MATCH(A371,JE_Lines!$B$5:$B$1733,0))</f>
        <v>SYS_AP</v>
      </c>
      <c r="I371" s="0" t="str">
        <f aca="false">INDEX(JE_Lines!$J$5:$J$1733,MATCH(A371,JE_Lines!$B$5:$B$1733,0))</f>
        <v>System</v>
      </c>
      <c r="J371" s="0" t="str">
        <f aca="false">IF(LEN(INDEX(JE_Lines!$K$5:$K$1733,MATCH(A371,JE_Lines!$B$5:$B$1733,0)))=0,"",INDEX(JE_Lines!$K$5:$K$1733,MATCH(A371,JE_Lines!$B$5:$B$1733,0)))</f>
        <v>Supplier invoices</v>
      </c>
      <c r="K371" s="9" t="n">
        <f aca="false">F371-G371</f>
        <v>2</v>
      </c>
      <c r="L371" s="9" t="n">
        <f aca="false">COUNTIFS(JE_Lines!$B$5:$B$1733,A371,JE_Lines!$F$5:$F$1733,"Revenue")</f>
        <v>0</v>
      </c>
      <c r="M371" s="9" t="n">
        <f aca="false">COUNTIFS(JE_Lines!$B$5:$B$1733,A371,JE_Lines!$F$5:$F$1733,"Suspense")</f>
        <v>0</v>
      </c>
      <c r="N371" s="9" t="n">
        <f aca="false">IF(ABS(E371)&gt;Parameters!$B$23,1,0)</f>
        <v>0</v>
      </c>
      <c r="O371" s="9" t="n">
        <f aca="false">IF(WEEKDAY(F371,2)&gt;5,1,0)</f>
        <v>0</v>
      </c>
      <c r="P371" s="9" t="n">
        <f aca="false">IF(K371&gt;Parameters!$B$17,1,0)</f>
        <v>0</v>
      </c>
      <c r="Q371" s="9" t="n">
        <f aca="false">IF(AND(F371&lt;=Parameters!$B$6,F371&gt;Parameters!$B$6-Parameters!$B$18),1,0)</f>
        <v>0</v>
      </c>
      <c r="R371" s="9" t="n">
        <f aca="false">IF(COUNTIF(Parameters!$A$51:$A$58,H371)=0,1,0)</f>
        <v>0</v>
      </c>
      <c r="S371" s="9" t="n">
        <f aca="false">IF(AND(I371="Manual",L371&gt;0),1,0)</f>
        <v>0</v>
      </c>
      <c r="T371" s="9" t="n">
        <f aca="false">IF(AND(C371&gt;=Parameters!$B$22,ROUND(MOD(ROUND(C371,2),Parameters!$B$21),2)=0),1,0)</f>
        <v>0</v>
      </c>
      <c r="U371" s="9" t="n">
        <f aca="false">IF(LEN(TRIM(J371))=0,1,0)</f>
        <v>0</v>
      </c>
      <c r="V371" s="9" t="n">
        <f aca="false">IF(AND(I371="Manual",C371&lt;Parameters!$B$19,C371&gt;=Parameters!$B$19*(1-Parameters!$B$20)),1,0)</f>
        <v>0</v>
      </c>
      <c r="W371" s="9" t="n">
        <f aca="false">IF(AND(I371="Manual",M371&gt;0),1,0)</f>
        <v>0</v>
      </c>
      <c r="X371" s="9" t="n">
        <f aca="false">IF(A371-A370&gt;1,1,0)</f>
        <v>0</v>
      </c>
      <c r="Y371" s="9" t="n">
        <f aca="false">N371*Parameters!$B$38+O371*Parameters!$B$39+P371*Parameters!$B$40+Q371*Parameters!$B$41+R371*Parameters!$B$42+S371*Parameters!$B$43+T371*Parameters!$B$44+U371*Parameters!$B$45+V371*Parameters!$B$46+W371*Parameters!$B$47+X371*Parameters!$B$48</f>
        <v>0</v>
      </c>
      <c r="Z371" s="0" t="str">
        <f aca="false">IF(Y371&gt;=Parameters!$B$25,"High","")</f>
        <v/>
      </c>
    </row>
    <row r="372" customFormat="false" ht="15" hidden="false" customHeight="false" outlineLevel="0" collapsed="false">
      <c r="A372" s="16" t="n">
        <v>1375</v>
      </c>
      <c r="B372" s="9" t="n">
        <f aca="false">COUNTIF(JE_Lines!$B$5:$B$1733,A372)</f>
        <v>3</v>
      </c>
      <c r="C372" s="17" t="n">
        <f aca="false">SUMIFS(JE_Lines!$G$5:$G$1733,JE_Lines!$B$5:$B$1733,A372)</f>
        <v>26008.93</v>
      </c>
      <c r="D372" s="17" t="n">
        <f aca="false">SUMIFS(JE_Lines!$H$5:$H$1733,JE_Lines!$B$5:$B$1733,A372)</f>
        <v>26008.93</v>
      </c>
      <c r="E372" s="17" t="n">
        <f aca="false">C372-D372</f>
        <v>0</v>
      </c>
      <c r="F372" s="18" t="n">
        <f aca="false">INDEX(JE_Lines!$C$5:$C$1733,MATCH(A372,JE_Lines!$B$5:$B$1733,0))</f>
        <v>45825</v>
      </c>
      <c r="G372" s="18" t="n">
        <f aca="false">INDEX(JE_Lines!$D$5:$D$1733,MATCH(A372,JE_Lines!$B$5:$B$1733,0))</f>
        <v>45822</v>
      </c>
      <c r="H372" s="0" t="str">
        <f aca="false">INDEX(JE_Lines!$I$5:$I$1733,MATCH(A372,JE_Lines!$B$5:$B$1733,0))</f>
        <v>SYS_AR</v>
      </c>
      <c r="I372" s="0" t="str">
        <f aca="false">INDEX(JE_Lines!$J$5:$J$1733,MATCH(A372,JE_Lines!$B$5:$B$1733,0))</f>
        <v>System</v>
      </c>
      <c r="J372" s="0" t="str">
        <f aca="false">IF(LEN(INDEX(JE_Lines!$K$5:$K$1733,MATCH(A372,JE_Lines!$B$5:$B$1733,0)))=0,"",INDEX(JE_Lines!$K$5:$K$1733,MATCH(A372,JE_Lines!$B$5:$B$1733,0)))</f>
        <v>Sales invoice batch</v>
      </c>
      <c r="K372" s="9" t="n">
        <f aca="false">F372-G372</f>
        <v>3</v>
      </c>
      <c r="L372" s="9" t="n">
        <f aca="false">COUNTIFS(JE_Lines!$B$5:$B$1733,A372,JE_Lines!$F$5:$F$1733,"Revenue")</f>
        <v>1</v>
      </c>
      <c r="M372" s="9" t="n">
        <f aca="false">COUNTIFS(JE_Lines!$B$5:$B$1733,A372,JE_Lines!$F$5:$F$1733,"Suspense")</f>
        <v>0</v>
      </c>
      <c r="N372" s="9" t="n">
        <f aca="false">IF(ABS(E372)&gt;Parameters!$B$23,1,0)</f>
        <v>0</v>
      </c>
      <c r="O372" s="9" t="n">
        <f aca="false">IF(WEEKDAY(F372,2)&gt;5,1,0)</f>
        <v>0</v>
      </c>
      <c r="P372" s="9" t="n">
        <f aca="false">IF(K372&gt;Parameters!$B$17,1,0)</f>
        <v>0</v>
      </c>
      <c r="Q372" s="9" t="n">
        <f aca="false">IF(AND(F372&lt;=Parameters!$B$6,F372&gt;Parameters!$B$6-Parameters!$B$18),1,0)</f>
        <v>0</v>
      </c>
      <c r="R372" s="9" t="n">
        <f aca="false">IF(COUNTIF(Parameters!$A$51:$A$58,H372)=0,1,0)</f>
        <v>0</v>
      </c>
      <c r="S372" s="9" t="n">
        <f aca="false">IF(AND(I372="Manual",L372&gt;0),1,0)</f>
        <v>0</v>
      </c>
      <c r="T372" s="9" t="n">
        <f aca="false">IF(AND(C372&gt;=Parameters!$B$22,ROUND(MOD(ROUND(C372,2),Parameters!$B$21),2)=0),1,0)</f>
        <v>0</v>
      </c>
      <c r="U372" s="9" t="n">
        <f aca="false">IF(LEN(TRIM(J372))=0,1,0)</f>
        <v>0</v>
      </c>
      <c r="V372" s="9" t="n">
        <f aca="false">IF(AND(I372="Manual",C372&lt;Parameters!$B$19,C372&gt;=Parameters!$B$19*(1-Parameters!$B$20)),1,0)</f>
        <v>0</v>
      </c>
      <c r="W372" s="9" t="n">
        <f aca="false">IF(AND(I372="Manual",M372&gt;0),1,0)</f>
        <v>0</v>
      </c>
      <c r="X372" s="9" t="n">
        <f aca="false">IF(A372-A371&gt;1,1,0)</f>
        <v>0</v>
      </c>
      <c r="Y372" s="9" t="n">
        <f aca="false">N372*Parameters!$B$38+O372*Parameters!$B$39+P372*Parameters!$B$40+Q372*Parameters!$B$41+R372*Parameters!$B$42+S372*Parameters!$B$43+T372*Parameters!$B$44+U372*Parameters!$B$45+V372*Parameters!$B$46+W372*Parameters!$B$47+X372*Parameters!$B$48</f>
        <v>0</v>
      </c>
      <c r="Z372" s="0" t="str">
        <f aca="false">IF(Y372&gt;=Parameters!$B$25,"High","")</f>
        <v/>
      </c>
    </row>
    <row r="373" customFormat="false" ht="15" hidden="false" customHeight="false" outlineLevel="0" collapsed="false">
      <c r="A373" s="16" t="n">
        <v>1376</v>
      </c>
      <c r="B373" s="9" t="n">
        <f aca="false">COUNTIF(JE_Lines!$B$5:$B$1733,A373)</f>
        <v>2</v>
      </c>
      <c r="C373" s="17" t="n">
        <f aca="false">SUMIFS(JE_Lines!$G$5:$G$1733,JE_Lines!$B$5:$B$1733,A373)</f>
        <v>60404.37</v>
      </c>
      <c r="D373" s="17" t="n">
        <f aca="false">SUMIFS(JE_Lines!$H$5:$H$1733,JE_Lines!$B$5:$B$1733,A373)</f>
        <v>60404.37</v>
      </c>
      <c r="E373" s="17" t="n">
        <f aca="false">C373-D373</f>
        <v>0</v>
      </c>
      <c r="F373" s="18" t="n">
        <f aca="false">INDEX(JE_Lines!$C$5:$C$1733,MATCH(A373,JE_Lines!$B$5:$B$1733,0))</f>
        <v>45825</v>
      </c>
      <c r="G373" s="18" t="n">
        <f aca="false">INDEX(JE_Lines!$D$5:$D$1733,MATCH(A373,JE_Lines!$B$5:$B$1733,0))</f>
        <v>45824</v>
      </c>
      <c r="H373" s="0" t="str">
        <f aca="false">INDEX(JE_Lines!$I$5:$I$1733,MATCH(A373,JE_Lines!$B$5:$B$1733,0))</f>
        <v>SYS_PAY</v>
      </c>
      <c r="I373" s="0" t="str">
        <f aca="false">INDEX(JE_Lines!$J$5:$J$1733,MATCH(A373,JE_Lines!$B$5:$B$1733,0))</f>
        <v>System</v>
      </c>
      <c r="J373" s="0" t="str">
        <f aca="false">IF(LEN(INDEX(JE_Lines!$K$5:$K$1733,MATCH(A373,JE_Lines!$B$5:$B$1733,0)))=0,"",INDEX(JE_Lines!$K$5:$K$1733,MATCH(A373,JE_Lines!$B$5:$B$1733,0)))</f>
        <v>Supplier payments</v>
      </c>
      <c r="K373" s="9" t="n">
        <f aca="false">F373-G373</f>
        <v>1</v>
      </c>
      <c r="L373" s="9" t="n">
        <f aca="false">COUNTIFS(JE_Lines!$B$5:$B$1733,A373,JE_Lines!$F$5:$F$1733,"Revenue")</f>
        <v>0</v>
      </c>
      <c r="M373" s="9" t="n">
        <f aca="false">COUNTIFS(JE_Lines!$B$5:$B$1733,A373,JE_Lines!$F$5:$F$1733,"Suspense")</f>
        <v>0</v>
      </c>
      <c r="N373" s="9" t="n">
        <f aca="false">IF(ABS(E373)&gt;Parameters!$B$23,1,0)</f>
        <v>0</v>
      </c>
      <c r="O373" s="9" t="n">
        <f aca="false">IF(WEEKDAY(F373,2)&gt;5,1,0)</f>
        <v>0</v>
      </c>
      <c r="P373" s="9" t="n">
        <f aca="false">IF(K373&gt;Parameters!$B$17,1,0)</f>
        <v>0</v>
      </c>
      <c r="Q373" s="9" t="n">
        <f aca="false">IF(AND(F373&lt;=Parameters!$B$6,F373&gt;Parameters!$B$6-Parameters!$B$18),1,0)</f>
        <v>0</v>
      </c>
      <c r="R373" s="9" t="n">
        <f aca="false">IF(COUNTIF(Parameters!$A$51:$A$58,H373)=0,1,0)</f>
        <v>0</v>
      </c>
      <c r="S373" s="9" t="n">
        <f aca="false">IF(AND(I373="Manual",L373&gt;0),1,0)</f>
        <v>0</v>
      </c>
      <c r="T373" s="9" t="n">
        <f aca="false">IF(AND(C373&gt;=Parameters!$B$22,ROUND(MOD(ROUND(C373,2),Parameters!$B$21),2)=0),1,0)</f>
        <v>0</v>
      </c>
      <c r="U373" s="9" t="n">
        <f aca="false">IF(LEN(TRIM(J373))=0,1,0)</f>
        <v>0</v>
      </c>
      <c r="V373" s="9" t="n">
        <f aca="false">IF(AND(I373="Manual",C373&lt;Parameters!$B$19,C373&gt;=Parameters!$B$19*(1-Parameters!$B$20)),1,0)</f>
        <v>0</v>
      </c>
      <c r="W373" s="9" t="n">
        <f aca="false">IF(AND(I373="Manual",M373&gt;0),1,0)</f>
        <v>0</v>
      </c>
      <c r="X373" s="9" t="n">
        <f aca="false">IF(A373-A372&gt;1,1,0)</f>
        <v>0</v>
      </c>
      <c r="Y373" s="9" t="n">
        <f aca="false">N373*Parameters!$B$38+O373*Parameters!$B$39+P373*Parameters!$B$40+Q373*Parameters!$B$41+R373*Parameters!$B$42+S373*Parameters!$B$43+T373*Parameters!$B$44+U373*Parameters!$B$45+V373*Parameters!$B$46+W373*Parameters!$B$47+X373*Parameters!$B$48</f>
        <v>0</v>
      </c>
      <c r="Z373" s="0" t="str">
        <f aca="false">IF(Y373&gt;=Parameters!$B$25,"High","")</f>
        <v/>
      </c>
    </row>
    <row r="374" customFormat="false" ht="15" hidden="false" customHeight="false" outlineLevel="0" collapsed="false">
      <c r="A374" s="16" t="n">
        <v>1377</v>
      </c>
      <c r="B374" s="9" t="n">
        <f aca="false">COUNTIF(JE_Lines!$B$5:$B$1733,A374)</f>
        <v>2</v>
      </c>
      <c r="C374" s="17" t="n">
        <f aca="false">SUMIFS(JE_Lines!$G$5:$G$1733,JE_Lines!$B$5:$B$1733,A374)</f>
        <v>236.38</v>
      </c>
      <c r="D374" s="17" t="n">
        <f aca="false">SUMIFS(JE_Lines!$H$5:$H$1733,JE_Lines!$B$5:$B$1733,A374)</f>
        <v>236.38</v>
      </c>
      <c r="E374" s="17" t="n">
        <f aca="false">C374-D374</f>
        <v>0</v>
      </c>
      <c r="F374" s="18" t="n">
        <f aca="false">INDEX(JE_Lines!$C$5:$C$1733,MATCH(A374,JE_Lines!$B$5:$B$1733,0))</f>
        <v>45825</v>
      </c>
      <c r="G374" s="18" t="n">
        <f aca="false">INDEX(JE_Lines!$D$5:$D$1733,MATCH(A374,JE_Lines!$B$5:$B$1733,0))</f>
        <v>45822</v>
      </c>
      <c r="H374" s="0" t="str">
        <f aca="false">INDEX(JE_Lines!$I$5:$I$1733,MATCH(A374,JE_Lines!$B$5:$B$1733,0))</f>
        <v>SYS_AR</v>
      </c>
      <c r="I374" s="0" t="str">
        <f aca="false">INDEX(JE_Lines!$J$5:$J$1733,MATCH(A374,JE_Lines!$B$5:$B$1733,0))</f>
        <v>System</v>
      </c>
      <c r="J374" s="0" t="str">
        <f aca="false">IF(LEN(INDEX(JE_Lines!$K$5:$K$1733,MATCH(A374,JE_Lines!$B$5:$B$1733,0)))=0,"",INDEX(JE_Lines!$K$5:$K$1733,MATCH(A374,JE_Lines!$B$5:$B$1733,0)))</f>
        <v/>
      </c>
      <c r="K374" s="9" t="n">
        <f aca="false">F374-G374</f>
        <v>3</v>
      </c>
      <c r="L374" s="9" t="n">
        <f aca="false">COUNTIFS(JE_Lines!$B$5:$B$1733,A374,JE_Lines!$F$5:$F$1733,"Revenue")</f>
        <v>0</v>
      </c>
      <c r="M374" s="9" t="n">
        <f aca="false">COUNTIFS(JE_Lines!$B$5:$B$1733,A374,JE_Lines!$F$5:$F$1733,"Suspense")</f>
        <v>0</v>
      </c>
      <c r="N374" s="9" t="n">
        <f aca="false">IF(ABS(E374)&gt;Parameters!$B$23,1,0)</f>
        <v>0</v>
      </c>
      <c r="O374" s="9" t="n">
        <f aca="false">IF(WEEKDAY(F374,2)&gt;5,1,0)</f>
        <v>0</v>
      </c>
      <c r="P374" s="9" t="n">
        <f aca="false">IF(K374&gt;Parameters!$B$17,1,0)</f>
        <v>0</v>
      </c>
      <c r="Q374" s="9" t="n">
        <f aca="false">IF(AND(F374&lt;=Parameters!$B$6,F374&gt;Parameters!$B$6-Parameters!$B$18),1,0)</f>
        <v>0</v>
      </c>
      <c r="R374" s="9" t="n">
        <f aca="false">IF(COUNTIF(Parameters!$A$51:$A$58,H374)=0,1,0)</f>
        <v>0</v>
      </c>
      <c r="S374" s="9" t="n">
        <f aca="false">IF(AND(I374="Manual",L374&gt;0),1,0)</f>
        <v>0</v>
      </c>
      <c r="T374" s="9" t="n">
        <f aca="false">IF(AND(C374&gt;=Parameters!$B$22,ROUND(MOD(ROUND(C374,2),Parameters!$B$21),2)=0),1,0)</f>
        <v>0</v>
      </c>
      <c r="U374" s="9" t="n">
        <f aca="false">IF(LEN(TRIM(J374))=0,1,0)</f>
        <v>1</v>
      </c>
      <c r="V374" s="9" t="n">
        <f aca="false">IF(AND(I374="Manual",C374&lt;Parameters!$B$19,C374&gt;=Parameters!$B$19*(1-Parameters!$B$20)),1,0)</f>
        <v>0</v>
      </c>
      <c r="W374" s="9" t="n">
        <f aca="false">IF(AND(I374="Manual",M374&gt;0),1,0)</f>
        <v>0</v>
      </c>
      <c r="X374" s="9" t="n">
        <f aca="false">IF(A374-A373&gt;1,1,0)</f>
        <v>0</v>
      </c>
      <c r="Y374" s="9" t="n">
        <f aca="false">N374*Parameters!$B$38+O374*Parameters!$B$39+P374*Parameters!$B$40+Q374*Parameters!$B$41+R374*Parameters!$B$42+S374*Parameters!$B$43+T374*Parameters!$B$44+U374*Parameters!$B$45+V374*Parameters!$B$46+W374*Parameters!$B$47+X374*Parameters!$B$48</f>
        <v>2</v>
      </c>
      <c r="Z374" s="0" t="str">
        <f aca="false">IF(Y374&gt;=Parameters!$B$25,"High","")</f>
        <v/>
      </c>
    </row>
    <row r="375" customFormat="false" ht="15" hidden="false" customHeight="false" outlineLevel="0" collapsed="false">
      <c r="A375" s="16" t="n">
        <v>1378</v>
      </c>
      <c r="B375" s="9" t="n">
        <f aca="false">COUNTIF(JE_Lines!$B$5:$B$1733,A375)</f>
        <v>2</v>
      </c>
      <c r="C375" s="17" t="n">
        <f aca="false">SUMIFS(JE_Lines!$G$5:$G$1733,JE_Lines!$B$5:$B$1733,A375)</f>
        <v>32701.56</v>
      </c>
      <c r="D375" s="17" t="n">
        <f aca="false">SUMIFS(JE_Lines!$H$5:$H$1733,JE_Lines!$B$5:$B$1733,A375)</f>
        <v>32701.56</v>
      </c>
      <c r="E375" s="17" t="n">
        <f aca="false">C375-D375</f>
        <v>0</v>
      </c>
      <c r="F375" s="18" t="n">
        <f aca="false">INDEX(JE_Lines!$C$5:$C$1733,MATCH(A375,JE_Lines!$B$5:$B$1733,0))</f>
        <v>45825</v>
      </c>
      <c r="G375" s="18" t="n">
        <f aca="false">INDEX(JE_Lines!$D$5:$D$1733,MATCH(A375,JE_Lines!$B$5:$B$1733,0))</f>
        <v>45823</v>
      </c>
      <c r="H375" s="0" t="str">
        <f aca="false">INDEX(JE_Lines!$I$5:$I$1733,MATCH(A375,JE_Lines!$B$5:$B$1733,0))</f>
        <v>SYS_AR</v>
      </c>
      <c r="I375" s="0" t="str">
        <f aca="false">INDEX(JE_Lines!$J$5:$J$1733,MATCH(A375,JE_Lines!$B$5:$B$1733,0))</f>
        <v>System</v>
      </c>
      <c r="J375" s="0" t="str">
        <f aca="false">IF(LEN(INDEX(JE_Lines!$K$5:$K$1733,MATCH(A375,JE_Lines!$B$5:$B$1733,0)))=0,"",INDEX(JE_Lines!$K$5:$K$1733,MATCH(A375,JE_Lines!$B$5:$B$1733,0)))</f>
        <v>Sales invoice batch</v>
      </c>
      <c r="K375" s="9" t="n">
        <f aca="false">F375-G375</f>
        <v>2</v>
      </c>
      <c r="L375" s="9" t="n">
        <f aca="false">COUNTIFS(JE_Lines!$B$5:$B$1733,A375,JE_Lines!$F$5:$F$1733,"Revenue")</f>
        <v>1</v>
      </c>
      <c r="M375" s="9" t="n">
        <f aca="false">COUNTIFS(JE_Lines!$B$5:$B$1733,A375,JE_Lines!$F$5:$F$1733,"Suspense")</f>
        <v>0</v>
      </c>
      <c r="N375" s="9" t="n">
        <f aca="false">IF(ABS(E375)&gt;Parameters!$B$23,1,0)</f>
        <v>0</v>
      </c>
      <c r="O375" s="9" t="n">
        <f aca="false">IF(WEEKDAY(F375,2)&gt;5,1,0)</f>
        <v>0</v>
      </c>
      <c r="P375" s="9" t="n">
        <f aca="false">IF(K375&gt;Parameters!$B$17,1,0)</f>
        <v>0</v>
      </c>
      <c r="Q375" s="9" t="n">
        <f aca="false">IF(AND(F375&lt;=Parameters!$B$6,F375&gt;Parameters!$B$6-Parameters!$B$18),1,0)</f>
        <v>0</v>
      </c>
      <c r="R375" s="9" t="n">
        <f aca="false">IF(COUNTIF(Parameters!$A$51:$A$58,H375)=0,1,0)</f>
        <v>0</v>
      </c>
      <c r="S375" s="9" t="n">
        <f aca="false">IF(AND(I375="Manual",L375&gt;0),1,0)</f>
        <v>0</v>
      </c>
      <c r="T375" s="9" t="n">
        <f aca="false">IF(AND(C375&gt;=Parameters!$B$22,ROUND(MOD(ROUND(C375,2),Parameters!$B$21),2)=0),1,0)</f>
        <v>0</v>
      </c>
      <c r="U375" s="9" t="n">
        <f aca="false">IF(LEN(TRIM(J375))=0,1,0)</f>
        <v>0</v>
      </c>
      <c r="V375" s="9" t="n">
        <f aca="false">IF(AND(I375="Manual",C375&lt;Parameters!$B$19,C375&gt;=Parameters!$B$19*(1-Parameters!$B$20)),1,0)</f>
        <v>0</v>
      </c>
      <c r="W375" s="9" t="n">
        <f aca="false">IF(AND(I375="Manual",M375&gt;0),1,0)</f>
        <v>0</v>
      </c>
      <c r="X375" s="9" t="n">
        <f aca="false">IF(A375-A374&gt;1,1,0)</f>
        <v>0</v>
      </c>
      <c r="Y375" s="9" t="n">
        <f aca="false">N375*Parameters!$B$38+O375*Parameters!$B$39+P375*Parameters!$B$40+Q375*Parameters!$B$41+R375*Parameters!$B$42+S375*Parameters!$B$43+T375*Parameters!$B$44+U375*Parameters!$B$45+V375*Parameters!$B$46+W375*Parameters!$B$47+X375*Parameters!$B$48</f>
        <v>0</v>
      </c>
      <c r="Z375" s="0" t="str">
        <f aca="false">IF(Y375&gt;=Parameters!$B$25,"High","")</f>
        <v/>
      </c>
    </row>
    <row r="376" customFormat="false" ht="15" hidden="false" customHeight="false" outlineLevel="0" collapsed="false">
      <c r="A376" s="16" t="n">
        <v>1379</v>
      </c>
      <c r="B376" s="9" t="n">
        <f aca="false">COUNTIF(JE_Lines!$B$5:$B$1733,A376)</f>
        <v>2</v>
      </c>
      <c r="C376" s="17" t="n">
        <f aca="false">SUMIFS(JE_Lines!$G$5:$G$1733,JE_Lines!$B$5:$B$1733,A376)</f>
        <v>363.56</v>
      </c>
      <c r="D376" s="17" t="n">
        <f aca="false">SUMIFS(JE_Lines!$H$5:$H$1733,JE_Lines!$B$5:$B$1733,A376)</f>
        <v>363.56</v>
      </c>
      <c r="E376" s="17" t="n">
        <f aca="false">C376-D376</f>
        <v>0</v>
      </c>
      <c r="F376" s="18" t="n">
        <f aca="false">INDEX(JE_Lines!$C$5:$C$1733,MATCH(A376,JE_Lines!$B$5:$B$1733,0))</f>
        <v>45825</v>
      </c>
      <c r="G376" s="18" t="n">
        <f aca="false">INDEX(JE_Lines!$D$5:$D$1733,MATCH(A376,JE_Lines!$B$5:$B$1733,0))</f>
        <v>45823</v>
      </c>
      <c r="H376" s="0" t="str">
        <f aca="false">INDEX(JE_Lines!$I$5:$I$1733,MATCH(A376,JE_Lines!$B$5:$B$1733,0))</f>
        <v>SYS_AR</v>
      </c>
      <c r="I376" s="0" t="str">
        <f aca="false">INDEX(JE_Lines!$J$5:$J$1733,MATCH(A376,JE_Lines!$B$5:$B$1733,0))</f>
        <v>System</v>
      </c>
      <c r="J376" s="0" t="str">
        <f aca="false">IF(LEN(INDEX(JE_Lines!$K$5:$K$1733,MATCH(A376,JE_Lines!$B$5:$B$1733,0)))=0,"",INDEX(JE_Lines!$K$5:$K$1733,MATCH(A376,JE_Lines!$B$5:$B$1733,0)))</f>
        <v>Sales invoice batch</v>
      </c>
      <c r="K376" s="9" t="n">
        <f aca="false">F376-G376</f>
        <v>2</v>
      </c>
      <c r="L376" s="9" t="n">
        <f aca="false">COUNTIFS(JE_Lines!$B$5:$B$1733,A376,JE_Lines!$F$5:$F$1733,"Revenue")</f>
        <v>1</v>
      </c>
      <c r="M376" s="9" t="n">
        <f aca="false">COUNTIFS(JE_Lines!$B$5:$B$1733,A376,JE_Lines!$F$5:$F$1733,"Suspense")</f>
        <v>0</v>
      </c>
      <c r="N376" s="9" t="n">
        <f aca="false">IF(ABS(E376)&gt;Parameters!$B$23,1,0)</f>
        <v>0</v>
      </c>
      <c r="O376" s="9" t="n">
        <f aca="false">IF(WEEKDAY(F376,2)&gt;5,1,0)</f>
        <v>0</v>
      </c>
      <c r="P376" s="9" t="n">
        <f aca="false">IF(K376&gt;Parameters!$B$17,1,0)</f>
        <v>0</v>
      </c>
      <c r="Q376" s="9" t="n">
        <f aca="false">IF(AND(F376&lt;=Parameters!$B$6,F376&gt;Parameters!$B$6-Parameters!$B$18),1,0)</f>
        <v>0</v>
      </c>
      <c r="R376" s="9" t="n">
        <f aca="false">IF(COUNTIF(Parameters!$A$51:$A$58,H376)=0,1,0)</f>
        <v>0</v>
      </c>
      <c r="S376" s="9" t="n">
        <f aca="false">IF(AND(I376="Manual",L376&gt;0),1,0)</f>
        <v>0</v>
      </c>
      <c r="T376" s="9" t="n">
        <f aca="false">IF(AND(C376&gt;=Parameters!$B$22,ROUND(MOD(ROUND(C376,2),Parameters!$B$21),2)=0),1,0)</f>
        <v>0</v>
      </c>
      <c r="U376" s="9" t="n">
        <f aca="false">IF(LEN(TRIM(J376))=0,1,0)</f>
        <v>0</v>
      </c>
      <c r="V376" s="9" t="n">
        <f aca="false">IF(AND(I376="Manual",C376&lt;Parameters!$B$19,C376&gt;=Parameters!$B$19*(1-Parameters!$B$20)),1,0)</f>
        <v>0</v>
      </c>
      <c r="W376" s="9" t="n">
        <f aca="false">IF(AND(I376="Manual",M376&gt;0),1,0)</f>
        <v>0</v>
      </c>
      <c r="X376" s="9" t="n">
        <f aca="false">IF(A376-A375&gt;1,1,0)</f>
        <v>0</v>
      </c>
      <c r="Y376" s="9" t="n">
        <f aca="false">N376*Parameters!$B$38+O376*Parameters!$B$39+P376*Parameters!$B$40+Q376*Parameters!$B$41+R376*Parameters!$B$42+S376*Parameters!$B$43+T376*Parameters!$B$44+U376*Parameters!$B$45+V376*Parameters!$B$46+W376*Parameters!$B$47+X376*Parameters!$B$48</f>
        <v>0</v>
      </c>
      <c r="Z376" s="0" t="str">
        <f aca="false">IF(Y376&gt;=Parameters!$B$25,"High","")</f>
        <v/>
      </c>
    </row>
    <row r="377" customFormat="false" ht="15" hidden="false" customHeight="false" outlineLevel="0" collapsed="false">
      <c r="A377" s="16" t="n">
        <v>1380</v>
      </c>
      <c r="B377" s="9" t="n">
        <f aca="false">COUNTIF(JE_Lines!$B$5:$B$1733,A377)</f>
        <v>2</v>
      </c>
      <c r="C377" s="17" t="n">
        <f aca="false">SUMIFS(JE_Lines!$G$5:$G$1733,JE_Lines!$B$5:$B$1733,A377)</f>
        <v>13273.84</v>
      </c>
      <c r="D377" s="17" t="n">
        <f aca="false">SUMIFS(JE_Lines!$H$5:$H$1733,JE_Lines!$B$5:$B$1733,A377)</f>
        <v>13273.84</v>
      </c>
      <c r="E377" s="17" t="n">
        <f aca="false">C377-D377</f>
        <v>0</v>
      </c>
      <c r="F377" s="18" t="n">
        <f aca="false">INDEX(JE_Lines!$C$5:$C$1733,MATCH(A377,JE_Lines!$B$5:$B$1733,0))</f>
        <v>45825</v>
      </c>
      <c r="G377" s="18" t="n">
        <f aca="false">INDEX(JE_Lines!$D$5:$D$1733,MATCH(A377,JE_Lines!$B$5:$B$1733,0))</f>
        <v>45823</v>
      </c>
      <c r="H377" s="0" t="str">
        <f aca="false">INDEX(JE_Lines!$I$5:$I$1733,MATCH(A377,JE_Lines!$B$5:$B$1733,0))</f>
        <v>SYS_AR</v>
      </c>
      <c r="I377" s="0" t="str">
        <f aca="false">INDEX(JE_Lines!$J$5:$J$1733,MATCH(A377,JE_Lines!$B$5:$B$1733,0))</f>
        <v>System</v>
      </c>
      <c r="J377" s="0" t="str">
        <f aca="false">IF(LEN(INDEX(JE_Lines!$K$5:$K$1733,MATCH(A377,JE_Lines!$B$5:$B$1733,0)))=0,"",INDEX(JE_Lines!$K$5:$K$1733,MATCH(A377,JE_Lines!$B$5:$B$1733,0)))</f>
        <v>Customer receipts</v>
      </c>
      <c r="K377" s="9" t="n">
        <f aca="false">F377-G377</f>
        <v>2</v>
      </c>
      <c r="L377" s="9" t="n">
        <f aca="false">COUNTIFS(JE_Lines!$B$5:$B$1733,A377,JE_Lines!$F$5:$F$1733,"Revenue")</f>
        <v>0</v>
      </c>
      <c r="M377" s="9" t="n">
        <f aca="false">COUNTIFS(JE_Lines!$B$5:$B$1733,A377,JE_Lines!$F$5:$F$1733,"Suspense")</f>
        <v>0</v>
      </c>
      <c r="N377" s="9" t="n">
        <f aca="false">IF(ABS(E377)&gt;Parameters!$B$23,1,0)</f>
        <v>0</v>
      </c>
      <c r="O377" s="9" t="n">
        <f aca="false">IF(WEEKDAY(F377,2)&gt;5,1,0)</f>
        <v>0</v>
      </c>
      <c r="P377" s="9" t="n">
        <f aca="false">IF(K377&gt;Parameters!$B$17,1,0)</f>
        <v>0</v>
      </c>
      <c r="Q377" s="9" t="n">
        <f aca="false">IF(AND(F377&lt;=Parameters!$B$6,F377&gt;Parameters!$B$6-Parameters!$B$18),1,0)</f>
        <v>0</v>
      </c>
      <c r="R377" s="9" t="n">
        <f aca="false">IF(COUNTIF(Parameters!$A$51:$A$58,H377)=0,1,0)</f>
        <v>0</v>
      </c>
      <c r="S377" s="9" t="n">
        <f aca="false">IF(AND(I377="Manual",L377&gt;0),1,0)</f>
        <v>0</v>
      </c>
      <c r="T377" s="9" t="n">
        <f aca="false">IF(AND(C377&gt;=Parameters!$B$22,ROUND(MOD(ROUND(C377,2),Parameters!$B$21),2)=0),1,0)</f>
        <v>0</v>
      </c>
      <c r="U377" s="9" t="n">
        <f aca="false">IF(LEN(TRIM(J377))=0,1,0)</f>
        <v>0</v>
      </c>
      <c r="V377" s="9" t="n">
        <f aca="false">IF(AND(I377="Manual",C377&lt;Parameters!$B$19,C377&gt;=Parameters!$B$19*(1-Parameters!$B$20)),1,0)</f>
        <v>0</v>
      </c>
      <c r="W377" s="9" t="n">
        <f aca="false">IF(AND(I377="Manual",M377&gt;0),1,0)</f>
        <v>0</v>
      </c>
      <c r="X377" s="9" t="n">
        <f aca="false">IF(A377-A376&gt;1,1,0)</f>
        <v>0</v>
      </c>
      <c r="Y377" s="9" t="n">
        <f aca="false">N377*Parameters!$B$38+O377*Parameters!$B$39+P377*Parameters!$B$40+Q377*Parameters!$B$41+R377*Parameters!$B$42+S377*Parameters!$B$43+T377*Parameters!$B$44+U377*Parameters!$B$45+V377*Parameters!$B$46+W377*Parameters!$B$47+X377*Parameters!$B$48</f>
        <v>0</v>
      </c>
      <c r="Z377" s="0" t="str">
        <f aca="false">IF(Y377&gt;=Parameters!$B$25,"High","")</f>
        <v/>
      </c>
    </row>
    <row r="378" customFormat="false" ht="15" hidden="false" customHeight="false" outlineLevel="0" collapsed="false">
      <c r="A378" s="16" t="n">
        <v>1381</v>
      </c>
      <c r="B378" s="9" t="n">
        <f aca="false">COUNTIF(JE_Lines!$B$5:$B$1733,A378)</f>
        <v>3</v>
      </c>
      <c r="C378" s="17" t="n">
        <f aca="false">SUMIFS(JE_Lines!$G$5:$G$1733,JE_Lines!$B$5:$B$1733,A378)</f>
        <v>24201.65</v>
      </c>
      <c r="D378" s="17" t="n">
        <f aca="false">SUMIFS(JE_Lines!$H$5:$H$1733,JE_Lines!$B$5:$B$1733,A378)</f>
        <v>24201.65</v>
      </c>
      <c r="E378" s="17" t="n">
        <f aca="false">C378-D378</f>
        <v>0</v>
      </c>
      <c r="F378" s="18" t="n">
        <f aca="false">INDEX(JE_Lines!$C$5:$C$1733,MATCH(A378,JE_Lines!$B$5:$B$1733,0))</f>
        <v>45825</v>
      </c>
      <c r="G378" s="18" t="n">
        <f aca="false">INDEX(JE_Lines!$D$5:$D$1733,MATCH(A378,JE_Lines!$B$5:$B$1733,0))</f>
        <v>45825</v>
      </c>
      <c r="H378" s="0" t="str">
        <f aca="false">INDEX(JE_Lines!$I$5:$I$1733,MATCH(A378,JE_Lines!$B$5:$B$1733,0))</f>
        <v>SYS_AR</v>
      </c>
      <c r="I378" s="0" t="str">
        <f aca="false">INDEX(JE_Lines!$J$5:$J$1733,MATCH(A378,JE_Lines!$B$5:$B$1733,0))</f>
        <v>System</v>
      </c>
      <c r="J378" s="0" t="str">
        <f aca="false">IF(LEN(INDEX(JE_Lines!$K$5:$K$1733,MATCH(A378,JE_Lines!$B$5:$B$1733,0)))=0,"",INDEX(JE_Lines!$K$5:$K$1733,MATCH(A378,JE_Lines!$B$5:$B$1733,0)))</f>
        <v>Sales invoice batch</v>
      </c>
      <c r="K378" s="9" t="n">
        <f aca="false">F378-G378</f>
        <v>0</v>
      </c>
      <c r="L378" s="9" t="n">
        <f aca="false">COUNTIFS(JE_Lines!$B$5:$B$1733,A378,JE_Lines!$F$5:$F$1733,"Revenue")</f>
        <v>1</v>
      </c>
      <c r="M378" s="9" t="n">
        <f aca="false">COUNTIFS(JE_Lines!$B$5:$B$1733,A378,JE_Lines!$F$5:$F$1733,"Suspense")</f>
        <v>0</v>
      </c>
      <c r="N378" s="9" t="n">
        <f aca="false">IF(ABS(E378)&gt;Parameters!$B$23,1,0)</f>
        <v>0</v>
      </c>
      <c r="O378" s="9" t="n">
        <f aca="false">IF(WEEKDAY(F378,2)&gt;5,1,0)</f>
        <v>0</v>
      </c>
      <c r="P378" s="9" t="n">
        <f aca="false">IF(K378&gt;Parameters!$B$17,1,0)</f>
        <v>0</v>
      </c>
      <c r="Q378" s="9" t="n">
        <f aca="false">IF(AND(F378&lt;=Parameters!$B$6,F378&gt;Parameters!$B$6-Parameters!$B$18),1,0)</f>
        <v>0</v>
      </c>
      <c r="R378" s="9" t="n">
        <f aca="false">IF(COUNTIF(Parameters!$A$51:$A$58,H378)=0,1,0)</f>
        <v>0</v>
      </c>
      <c r="S378" s="9" t="n">
        <f aca="false">IF(AND(I378="Manual",L378&gt;0),1,0)</f>
        <v>0</v>
      </c>
      <c r="T378" s="9" t="n">
        <f aca="false">IF(AND(C378&gt;=Parameters!$B$22,ROUND(MOD(ROUND(C378,2),Parameters!$B$21),2)=0),1,0)</f>
        <v>0</v>
      </c>
      <c r="U378" s="9" t="n">
        <f aca="false">IF(LEN(TRIM(J378))=0,1,0)</f>
        <v>0</v>
      </c>
      <c r="V378" s="9" t="n">
        <f aca="false">IF(AND(I378="Manual",C378&lt;Parameters!$B$19,C378&gt;=Parameters!$B$19*(1-Parameters!$B$20)),1,0)</f>
        <v>0</v>
      </c>
      <c r="W378" s="9" t="n">
        <f aca="false">IF(AND(I378="Manual",M378&gt;0),1,0)</f>
        <v>0</v>
      </c>
      <c r="X378" s="9" t="n">
        <f aca="false">IF(A378-A377&gt;1,1,0)</f>
        <v>0</v>
      </c>
      <c r="Y378" s="9" t="n">
        <f aca="false">N378*Parameters!$B$38+O378*Parameters!$B$39+P378*Parameters!$B$40+Q378*Parameters!$B$41+R378*Parameters!$B$42+S378*Parameters!$B$43+T378*Parameters!$B$44+U378*Parameters!$B$45+V378*Parameters!$B$46+W378*Parameters!$B$47+X378*Parameters!$B$48</f>
        <v>0</v>
      </c>
      <c r="Z378" s="0" t="str">
        <f aca="false">IF(Y378&gt;=Parameters!$B$25,"High","")</f>
        <v/>
      </c>
    </row>
    <row r="379" customFormat="false" ht="15" hidden="false" customHeight="false" outlineLevel="0" collapsed="false">
      <c r="A379" s="16" t="n">
        <v>1382</v>
      </c>
      <c r="B379" s="9" t="n">
        <f aca="false">COUNTIF(JE_Lines!$B$5:$B$1733,A379)</f>
        <v>2</v>
      </c>
      <c r="C379" s="17" t="n">
        <f aca="false">SUMIFS(JE_Lines!$G$5:$G$1733,JE_Lines!$B$5:$B$1733,A379)</f>
        <v>7997.95</v>
      </c>
      <c r="D379" s="17" t="n">
        <f aca="false">SUMIFS(JE_Lines!$H$5:$H$1733,JE_Lines!$B$5:$B$1733,A379)</f>
        <v>7997.95</v>
      </c>
      <c r="E379" s="17" t="n">
        <f aca="false">C379-D379</f>
        <v>0</v>
      </c>
      <c r="F379" s="18" t="n">
        <f aca="false">INDEX(JE_Lines!$C$5:$C$1733,MATCH(A379,JE_Lines!$B$5:$B$1733,0))</f>
        <v>45825</v>
      </c>
      <c r="G379" s="18" t="n">
        <f aca="false">INDEX(JE_Lines!$D$5:$D$1733,MATCH(A379,JE_Lines!$B$5:$B$1733,0))</f>
        <v>45823</v>
      </c>
      <c r="H379" s="0" t="str">
        <f aca="false">INDEX(JE_Lines!$I$5:$I$1733,MATCH(A379,JE_Lines!$B$5:$B$1733,0))</f>
        <v>SYS_AR</v>
      </c>
      <c r="I379" s="0" t="str">
        <f aca="false">INDEX(JE_Lines!$J$5:$J$1733,MATCH(A379,JE_Lines!$B$5:$B$1733,0))</f>
        <v>System</v>
      </c>
      <c r="J379" s="0" t="str">
        <f aca="false">IF(LEN(INDEX(JE_Lines!$K$5:$K$1733,MATCH(A379,JE_Lines!$B$5:$B$1733,0)))=0,"",INDEX(JE_Lines!$K$5:$K$1733,MATCH(A379,JE_Lines!$B$5:$B$1733,0)))</f>
        <v>Sales invoice batch</v>
      </c>
      <c r="K379" s="9" t="n">
        <f aca="false">F379-G379</f>
        <v>2</v>
      </c>
      <c r="L379" s="9" t="n">
        <f aca="false">COUNTIFS(JE_Lines!$B$5:$B$1733,A379,JE_Lines!$F$5:$F$1733,"Revenue")</f>
        <v>1</v>
      </c>
      <c r="M379" s="9" t="n">
        <f aca="false">COUNTIFS(JE_Lines!$B$5:$B$1733,A379,JE_Lines!$F$5:$F$1733,"Suspense")</f>
        <v>0</v>
      </c>
      <c r="N379" s="9" t="n">
        <f aca="false">IF(ABS(E379)&gt;Parameters!$B$23,1,0)</f>
        <v>0</v>
      </c>
      <c r="O379" s="9" t="n">
        <f aca="false">IF(WEEKDAY(F379,2)&gt;5,1,0)</f>
        <v>0</v>
      </c>
      <c r="P379" s="9" t="n">
        <f aca="false">IF(K379&gt;Parameters!$B$17,1,0)</f>
        <v>0</v>
      </c>
      <c r="Q379" s="9" t="n">
        <f aca="false">IF(AND(F379&lt;=Parameters!$B$6,F379&gt;Parameters!$B$6-Parameters!$B$18),1,0)</f>
        <v>0</v>
      </c>
      <c r="R379" s="9" t="n">
        <f aca="false">IF(COUNTIF(Parameters!$A$51:$A$58,H379)=0,1,0)</f>
        <v>0</v>
      </c>
      <c r="S379" s="9" t="n">
        <f aca="false">IF(AND(I379="Manual",L379&gt;0),1,0)</f>
        <v>0</v>
      </c>
      <c r="T379" s="9" t="n">
        <f aca="false">IF(AND(C379&gt;=Parameters!$B$22,ROUND(MOD(ROUND(C379,2),Parameters!$B$21),2)=0),1,0)</f>
        <v>0</v>
      </c>
      <c r="U379" s="9" t="n">
        <f aca="false">IF(LEN(TRIM(J379))=0,1,0)</f>
        <v>0</v>
      </c>
      <c r="V379" s="9" t="n">
        <f aca="false">IF(AND(I379="Manual",C379&lt;Parameters!$B$19,C379&gt;=Parameters!$B$19*(1-Parameters!$B$20)),1,0)</f>
        <v>0</v>
      </c>
      <c r="W379" s="9" t="n">
        <f aca="false">IF(AND(I379="Manual",M379&gt;0),1,0)</f>
        <v>0</v>
      </c>
      <c r="X379" s="9" t="n">
        <f aca="false">IF(A379-A378&gt;1,1,0)</f>
        <v>0</v>
      </c>
      <c r="Y379" s="9" t="n">
        <f aca="false">N379*Parameters!$B$38+O379*Parameters!$B$39+P379*Parameters!$B$40+Q379*Parameters!$B$41+R379*Parameters!$B$42+S379*Parameters!$B$43+T379*Parameters!$B$44+U379*Parameters!$B$45+V379*Parameters!$B$46+W379*Parameters!$B$47+X379*Parameters!$B$48</f>
        <v>0</v>
      </c>
      <c r="Z379" s="0" t="str">
        <f aca="false">IF(Y379&gt;=Parameters!$B$25,"High","")</f>
        <v/>
      </c>
    </row>
    <row r="380" customFormat="false" ht="15" hidden="false" customHeight="false" outlineLevel="0" collapsed="false">
      <c r="A380" s="16" t="n">
        <v>1383</v>
      </c>
      <c r="B380" s="9" t="n">
        <f aca="false">COUNTIF(JE_Lines!$B$5:$B$1733,A380)</f>
        <v>2</v>
      </c>
      <c r="C380" s="17" t="n">
        <f aca="false">SUMIFS(JE_Lines!$G$5:$G$1733,JE_Lines!$B$5:$B$1733,A380)</f>
        <v>12147.92</v>
      </c>
      <c r="D380" s="17" t="n">
        <f aca="false">SUMIFS(JE_Lines!$H$5:$H$1733,JE_Lines!$B$5:$B$1733,A380)</f>
        <v>12147.92</v>
      </c>
      <c r="E380" s="17" t="n">
        <f aca="false">C380-D380</f>
        <v>0</v>
      </c>
      <c r="F380" s="18" t="n">
        <f aca="false">INDEX(JE_Lines!$C$5:$C$1733,MATCH(A380,JE_Lines!$B$5:$B$1733,0))</f>
        <v>45826</v>
      </c>
      <c r="G380" s="18" t="n">
        <f aca="false">INDEX(JE_Lines!$D$5:$D$1733,MATCH(A380,JE_Lines!$B$5:$B$1733,0))</f>
        <v>45825</v>
      </c>
      <c r="H380" s="0" t="str">
        <f aca="false">INDEX(JE_Lines!$I$5:$I$1733,MATCH(A380,JE_Lines!$B$5:$B$1733,0))</f>
        <v>SYS_AR</v>
      </c>
      <c r="I380" s="0" t="str">
        <f aca="false">INDEX(JE_Lines!$J$5:$J$1733,MATCH(A380,JE_Lines!$B$5:$B$1733,0))</f>
        <v>System</v>
      </c>
      <c r="J380" s="0" t="str">
        <f aca="false">IF(LEN(INDEX(JE_Lines!$K$5:$K$1733,MATCH(A380,JE_Lines!$B$5:$B$1733,0)))=0,"",INDEX(JE_Lines!$K$5:$K$1733,MATCH(A380,JE_Lines!$B$5:$B$1733,0)))</f>
        <v>Sales invoice batch</v>
      </c>
      <c r="K380" s="9" t="n">
        <f aca="false">F380-G380</f>
        <v>1</v>
      </c>
      <c r="L380" s="9" t="n">
        <f aca="false">COUNTIFS(JE_Lines!$B$5:$B$1733,A380,JE_Lines!$F$5:$F$1733,"Revenue")</f>
        <v>1</v>
      </c>
      <c r="M380" s="9" t="n">
        <f aca="false">COUNTIFS(JE_Lines!$B$5:$B$1733,A380,JE_Lines!$F$5:$F$1733,"Suspense")</f>
        <v>0</v>
      </c>
      <c r="N380" s="9" t="n">
        <f aca="false">IF(ABS(E380)&gt;Parameters!$B$23,1,0)</f>
        <v>0</v>
      </c>
      <c r="O380" s="9" t="n">
        <f aca="false">IF(WEEKDAY(F380,2)&gt;5,1,0)</f>
        <v>0</v>
      </c>
      <c r="P380" s="9" t="n">
        <f aca="false">IF(K380&gt;Parameters!$B$17,1,0)</f>
        <v>0</v>
      </c>
      <c r="Q380" s="9" t="n">
        <f aca="false">IF(AND(F380&lt;=Parameters!$B$6,F380&gt;Parameters!$B$6-Parameters!$B$18),1,0)</f>
        <v>0</v>
      </c>
      <c r="R380" s="9" t="n">
        <f aca="false">IF(COUNTIF(Parameters!$A$51:$A$58,H380)=0,1,0)</f>
        <v>0</v>
      </c>
      <c r="S380" s="9" t="n">
        <f aca="false">IF(AND(I380="Manual",L380&gt;0),1,0)</f>
        <v>0</v>
      </c>
      <c r="T380" s="9" t="n">
        <f aca="false">IF(AND(C380&gt;=Parameters!$B$22,ROUND(MOD(ROUND(C380,2),Parameters!$B$21),2)=0),1,0)</f>
        <v>0</v>
      </c>
      <c r="U380" s="9" t="n">
        <f aca="false">IF(LEN(TRIM(J380))=0,1,0)</f>
        <v>0</v>
      </c>
      <c r="V380" s="9" t="n">
        <f aca="false">IF(AND(I380="Manual",C380&lt;Parameters!$B$19,C380&gt;=Parameters!$B$19*(1-Parameters!$B$20)),1,0)</f>
        <v>0</v>
      </c>
      <c r="W380" s="9" t="n">
        <f aca="false">IF(AND(I380="Manual",M380&gt;0),1,0)</f>
        <v>0</v>
      </c>
      <c r="X380" s="9" t="n">
        <f aca="false">IF(A380-A379&gt;1,1,0)</f>
        <v>0</v>
      </c>
      <c r="Y380" s="9" t="n">
        <f aca="false">N380*Parameters!$B$38+O380*Parameters!$B$39+P380*Parameters!$B$40+Q380*Parameters!$B$41+R380*Parameters!$B$42+S380*Parameters!$B$43+T380*Parameters!$B$44+U380*Parameters!$B$45+V380*Parameters!$B$46+W380*Parameters!$B$47+X380*Parameters!$B$48</f>
        <v>0</v>
      </c>
      <c r="Z380" s="0" t="str">
        <f aca="false">IF(Y380&gt;=Parameters!$B$25,"High","")</f>
        <v/>
      </c>
    </row>
    <row r="381" customFormat="false" ht="15" hidden="false" customHeight="false" outlineLevel="0" collapsed="false">
      <c r="A381" s="16" t="n">
        <v>1384</v>
      </c>
      <c r="B381" s="9" t="n">
        <f aca="false">COUNTIF(JE_Lines!$B$5:$B$1733,A381)</f>
        <v>2</v>
      </c>
      <c r="C381" s="17" t="n">
        <f aca="false">SUMIFS(JE_Lines!$G$5:$G$1733,JE_Lines!$B$5:$B$1733,A381)</f>
        <v>5437.65</v>
      </c>
      <c r="D381" s="17" t="n">
        <f aca="false">SUMIFS(JE_Lines!$H$5:$H$1733,JE_Lines!$B$5:$B$1733,A381)</f>
        <v>5437.65</v>
      </c>
      <c r="E381" s="17" t="n">
        <f aca="false">C381-D381</f>
        <v>0</v>
      </c>
      <c r="F381" s="18" t="n">
        <f aca="false">INDEX(JE_Lines!$C$5:$C$1733,MATCH(A381,JE_Lines!$B$5:$B$1733,0))</f>
        <v>45826</v>
      </c>
      <c r="G381" s="18" t="n">
        <f aca="false">INDEX(JE_Lines!$D$5:$D$1733,MATCH(A381,JE_Lines!$B$5:$B$1733,0))</f>
        <v>45824</v>
      </c>
      <c r="H381" s="0" t="str">
        <f aca="false">INDEX(JE_Lines!$I$5:$I$1733,MATCH(A381,JE_Lines!$B$5:$B$1733,0))</f>
        <v>SYS_AP</v>
      </c>
      <c r="I381" s="0" t="str">
        <f aca="false">INDEX(JE_Lines!$J$5:$J$1733,MATCH(A381,JE_Lines!$B$5:$B$1733,0))</f>
        <v>System</v>
      </c>
      <c r="J381" s="0" t="str">
        <f aca="false">IF(LEN(INDEX(JE_Lines!$K$5:$K$1733,MATCH(A381,JE_Lines!$B$5:$B$1733,0)))=0,"",INDEX(JE_Lines!$K$5:$K$1733,MATCH(A381,JE_Lines!$B$5:$B$1733,0)))</f>
        <v>Utilities invoices</v>
      </c>
      <c r="K381" s="9" t="n">
        <f aca="false">F381-G381</f>
        <v>2</v>
      </c>
      <c r="L381" s="9" t="n">
        <f aca="false">COUNTIFS(JE_Lines!$B$5:$B$1733,A381,JE_Lines!$F$5:$F$1733,"Revenue")</f>
        <v>0</v>
      </c>
      <c r="M381" s="9" t="n">
        <f aca="false">COUNTIFS(JE_Lines!$B$5:$B$1733,A381,JE_Lines!$F$5:$F$1733,"Suspense")</f>
        <v>0</v>
      </c>
      <c r="N381" s="9" t="n">
        <f aca="false">IF(ABS(E381)&gt;Parameters!$B$23,1,0)</f>
        <v>0</v>
      </c>
      <c r="O381" s="9" t="n">
        <f aca="false">IF(WEEKDAY(F381,2)&gt;5,1,0)</f>
        <v>0</v>
      </c>
      <c r="P381" s="9" t="n">
        <f aca="false">IF(K381&gt;Parameters!$B$17,1,0)</f>
        <v>0</v>
      </c>
      <c r="Q381" s="9" t="n">
        <f aca="false">IF(AND(F381&lt;=Parameters!$B$6,F381&gt;Parameters!$B$6-Parameters!$B$18),1,0)</f>
        <v>0</v>
      </c>
      <c r="R381" s="9" t="n">
        <f aca="false">IF(COUNTIF(Parameters!$A$51:$A$58,H381)=0,1,0)</f>
        <v>0</v>
      </c>
      <c r="S381" s="9" t="n">
        <f aca="false">IF(AND(I381="Manual",L381&gt;0),1,0)</f>
        <v>0</v>
      </c>
      <c r="T381" s="9" t="n">
        <f aca="false">IF(AND(C381&gt;=Parameters!$B$22,ROUND(MOD(ROUND(C381,2),Parameters!$B$21),2)=0),1,0)</f>
        <v>0</v>
      </c>
      <c r="U381" s="9" t="n">
        <f aca="false">IF(LEN(TRIM(J381))=0,1,0)</f>
        <v>0</v>
      </c>
      <c r="V381" s="9" t="n">
        <f aca="false">IF(AND(I381="Manual",C381&lt;Parameters!$B$19,C381&gt;=Parameters!$B$19*(1-Parameters!$B$20)),1,0)</f>
        <v>0</v>
      </c>
      <c r="W381" s="9" t="n">
        <f aca="false">IF(AND(I381="Manual",M381&gt;0),1,0)</f>
        <v>0</v>
      </c>
      <c r="X381" s="9" t="n">
        <f aca="false">IF(A381-A380&gt;1,1,0)</f>
        <v>0</v>
      </c>
      <c r="Y381" s="9" t="n">
        <f aca="false">N381*Parameters!$B$38+O381*Parameters!$B$39+P381*Parameters!$B$40+Q381*Parameters!$B$41+R381*Parameters!$B$42+S381*Parameters!$B$43+T381*Parameters!$B$44+U381*Parameters!$B$45+V381*Parameters!$B$46+W381*Parameters!$B$47+X381*Parameters!$B$48</f>
        <v>0</v>
      </c>
      <c r="Z381" s="0" t="str">
        <f aca="false">IF(Y381&gt;=Parameters!$B$25,"High","")</f>
        <v/>
      </c>
    </row>
    <row r="382" customFormat="false" ht="15" hidden="false" customHeight="false" outlineLevel="0" collapsed="false">
      <c r="A382" s="16" t="n">
        <v>1385</v>
      </c>
      <c r="B382" s="9" t="n">
        <f aca="false">COUNTIF(JE_Lines!$B$5:$B$1733,A382)</f>
        <v>2</v>
      </c>
      <c r="C382" s="17" t="n">
        <f aca="false">SUMIFS(JE_Lines!$G$5:$G$1733,JE_Lines!$B$5:$B$1733,A382)</f>
        <v>769.83</v>
      </c>
      <c r="D382" s="17" t="n">
        <f aca="false">SUMIFS(JE_Lines!$H$5:$H$1733,JE_Lines!$B$5:$B$1733,A382)</f>
        <v>769.83</v>
      </c>
      <c r="E382" s="17" t="n">
        <f aca="false">C382-D382</f>
        <v>0</v>
      </c>
      <c r="F382" s="18" t="n">
        <f aca="false">INDEX(JE_Lines!$C$5:$C$1733,MATCH(A382,JE_Lines!$B$5:$B$1733,0))</f>
        <v>45826</v>
      </c>
      <c r="G382" s="18" t="n">
        <f aca="false">INDEX(JE_Lines!$D$5:$D$1733,MATCH(A382,JE_Lines!$B$5:$B$1733,0))</f>
        <v>45823</v>
      </c>
      <c r="H382" s="0" t="str">
        <f aca="false">INDEX(JE_Lines!$I$5:$I$1733,MATCH(A382,JE_Lines!$B$5:$B$1733,0))</f>
        <v>SYS_AR</v>
      </c>
      <c r="I382" s="0" t="str">
        <f aca="false">INDEX(JE_Lines!$J$5:$J$1733,MATCH(A382,JE_Lines!$B$5:$B$1733,0))</f>
        <v>System</v>
      </c>
      <c r="J382" s="0" t="str">
        <f aca="false">IF(LEN(INDEX(JE_Lines!$K$5:$K$1733,MATCH(A382,JE_Lines!$B$5:$B$1733,0)))=0,"",INDEX(JE_Lines!$K$5:$K$1733,MATCH(A382,JE_Lines!$B$5:$B$1733,0)))</f>
        <v>Sales invoice batch</v>
      </c>
      <c r="K382" s="9" t="n">
        <f aca="false">F382-G382</f>
        <v>3</v>
      </c>
      <c r="L382" s="9" t="n">
        <f aca="false">COUNTIFS(JE_Lines!$B$5:$B$1733,A382,JE_Lines!$F$5:$F$1733,"Revenue")</f>
        <v>1</v>
      </c>
      <c r="M382" s="9" t="n">
        <f aca="false">COUNTIFS(JE_Lines!$B$5:$B$1733,A382,JE_Lines!$F$5:$F$1733,"Suspense")</f>
        <v>0</v>
      </c>
      <c r="N382" s="9" t="n">
        <f aca="false">IF(ABS(E382)&gt;Parameters!$B$23,1,0)</f>
        <v>0</v>
      </c>
      <c r="O382" s="9" t="n">
        <f aca="false">IF(WEEKDAY(F382,2)&gt;5,1,0)</f>
        <v>0</v>
      </c>
      <c r="P382" s="9" t="n">
        <f aca="false">IF(K382&gt;Parameters!$B$17,1,0)</f>
        <v>0</v>
      </c>
      <c r="Q382" s="9" t="n">
        <f aca="false">IF(AND(F382&lt;=Parameters!$B$6,F382&gt;Parameters!$B$6-Parameters!$B$18),1,0)</f>
        <v>0</v>
      </c>
      <c r="R382" s="9" t="n">
        <f aca="false">IF(COUNTIF(Parameters!$A$51:$A$58,H382)=0,1,0)</f>
        <v>0</v>
      </c>
      <c r="S382" s="9" t="n">
        <f aca="false">IF(AND(I382="Manual",L382&gt;0),1,0)</f>
        <v>0</v>
      </c>
      <c r="T382" s="9" t="n">
        <f aca="false">IF(AND(C382&gt;=Parameters!$B$22,ROUND(MOD(ROUND(C382,2),Parameters!$B$21),2)=0),1,0)</f>
        <v>0</v>
      </c>
      <c r="U382" s="9" t="n">
        <f aca="false">IF(LEN(TRIM(J382))=0,1,0)</f>
        <v>0</v>
      </c>
      <c r="V382" s="9" t="n">
        <f aca="false">IF(AND(I382="Manual",C382&lt;Parameters!$B$19,C382&gt;=Parameters!$B$19*(1-Parameters!$B$20)),1,0)</f>
        <v>0</v>
      </c>
      <c r="W382" s="9" t="n">
        <f aca="false">IF(AND(I382="Manual",M382&gt;0),1,0)</f>
        <v>0</v>
      </c>
      <c r="X382" s="9" t="n">
        <f aca="false">IF(A382-A381&gt;1,1,0)</f>
        <v>0</v>
      </c>
      <c r="Y382" s="9" t="n">
        <f aca="false">N382*Parameters!$B$38+O382*Parameters!$B$39+P382*Parameters!$B$40+Q382*Parameters!$B$41+R382*Parameters!$B$42+S382*Parameters!$B$43+T382*Parameters!$B$44+U382*Parameters!$B$45+V382*Parameters!$B$46+W382*Parameters!$B$47+X382*Parameters!$B$48</f>
        <v>0</v>
      </c>
      <c r="Z382" s="0" t="str">
        <f aca="false">IF(Y382&gt;=Parameters!$B$25,"High","")</f>
        <v/>
      </c>
    </row>
    <row r="383" customFormat="false" ht="15" hidden="false" customHeight="false" outlineLevel="0" collapsed="false">
      <c r="A383" s="16" t="n">
        <v>1386</v>
      </c>
      <c r="B383" s="9" t="n">
        <f aca="false">COUNTIF(JE_Lines!$B$5:$B$1733,A383)</f>
        <v>2</v>
      </c>
      <c r="C383" s="17" t="n">
        <f aca="false">SUMIFS(JE_Lines!$G$5:$G$1733,JE_Lines!$B$5:$B$1733,A383)</f>
        <v>67767.85</v>
      </c>
      <c r="D383" s="17" t="n">
        <f aca="false">SUMIFS(JE_Lines!$H$5:$H$1733,JE_Lines!$B$5:$B$1733,A383)</f>
        <v>67767.85</v>
      </c>
      <c r="E383" s="17" t="n">
        <f aca="false">C383-D383</f>
        <v>0</v>
      </c>
      <c r="F383" s="18" t="n">
        <f aca="false">INDEX(JE_Lines!$C$5:$C$1733,MATCH(A383,JE_Lines!$B$5:$B$1733,0))</f>
        <v>45827</v>
      </c>
      <c r="G383" s="18" t="n">
        <f aca="false">INDEX(JE_Lines!$D$5:$D$1733,MATCH(A383,JE_Lines!$B$5:$B$1733,0))</f>
        <v>45823</v>
      </c>
      <c r="H383" s="0" t="str">
        <f aca="false">INDEX(JE_Lines!$I$5:$I$1733,MATCH(A383,JE_Lines!$B$5:$B$1733,0))</f>
        <v>SYS_AR</v>
      </c>
      <c r="I383" s="0" t="str">
        <f aca="false">INDEX(JE_Lines!$J$5:$J$1733,MATCH(A383,JE_Lines!$B$5:$B$1733,0))</f>
        <v>System</v>
      </c>
      <c r="J383" s="0" t="str">
        <f aca="false">IF(LEN(INDEX(JE_Lines!$K$5:$K$1733,MATCH(A383,JE_Lines!$B$5:$B$1733,0)))=0,"",INDEX(JE_Lines!$K$5:$K$1733,MATCH(A383,JE_Lines!$B$5:$B$1733,0)))</f>
        <v/>
      </c>
      <c r="K383" s="9" t="n">
        <f aca="false">F383-G383</f>
        <v>4</v>
      </c>
      <c r="L383" s="9" t="n">
        <f aca="false">COUNTIFS(JE_Lines!$B$5:$B$1733,A383,JE_Lines!$F$5:$F$1733,"Revenue")</f>
        <v>0</v>
      </c>
      <c r="M383" s="9" t="n">
        <f aca="false">COUNTIFS(JE_Lines!$B$5:$B$1733,A383,JE_Lines!$F$5:$F$1733,"Suspense")</f>
        <v>0</v>
      </c>
      <c r="N383" s="9" t="n">
        <f aca="false">IF(ABS(E383)&gt;Parameters!$B$23,1,0)</f>
        <v>0</v>
      </c>
      <c r="O383" s="9" t="n">
        <f aca="false">IF(WEEKDAY(F383,2)&gt;5,1,0)</f>
        <v>0</v>
      </c>
      <c r="P383" s="9" t="n">
        <f aca="false">IF(K383&gt;Parameters!$B$17,1,0)</f>
        <v>0</v>
      </c>
      <c r="Q383" s="9" t="n">
        <f aca="false">IF(AND(F383&lt;=Parameters!$B$6,F383&gt;Parameters!$B$6-Parameters!$B$18),1,0)</f>
        <v>0</v>
      </c>
      <c r="R383" s="9" t="n">
        <f aca="false">IF(COUNTIF(Parameters!$A$51:$A$58,H383)=0,1,0)</f>
        <v>0</v>
      </c>
      <c r="S383" s="9" t="n">
        <f aca="false">IF(AND(I383="Manual",L383&gt;0),1,0)</f>
        <v>0</v>
      </c>
      <c r="T383" s="9" t="n">
        <f aca="false">IF(AND(C383&gt;=Parameters!$B$22,ROUND(MOD(ROUND(C383,2),Parameters!$B$21),2)=0),1,0)</f>
        <v>0</v>
      </c>
      <c r="U383" s="9" t="n">
        <f aca="false">IF(LEN(TRIM(J383))=0,1,0)</f>
        <v>1</v>
      </c>
      <c r="V383" s="9" t="n">
        <f aca="false">IF(AND(I383="Manual",C383&lt;Parameters!$B$19,C383&gt;=Parameters!$B$19*(1-Parameters!$B$20)),1,0)</f>
        <v>0</v>
      </c>
      <c r="W383" s="9" t="n">
        <f aca="false">IF(AND(I383="Manual",M383&gt;0),1,0)</f>
        <v>0</v>
      </c>
      <c r="X383" s="9" t="n">
        <f aca="false">IF(A383-A382&gt;1,1,0)</f>
        <v>0</v>
      </c>
      <c r="Y383" s="9" t="n">
        <f aca="false">N383*Parameters!$B$38+O383*Parameters!$B$39+P383*Parameters!$B$40+Q383*Parameters!$B$41+R383*Parameters!$B$42+S383*Parameters!$B$43+T383*Parameters!$B$44+U383*Parameters!$B$45+V383*Parameters!$B$46+W383*Parameters!$B$47+X383*Parameters!$B$48</f>
        <v>2</v>
      </c>
      <c r="Z383" s="0" t="str">
        <f aca="false">IF(Y383&gt;=Parameters!$B$25,"High","")</f>
        <v/>
      </c>
    </row>
    <row r="384" customFormat="false" ht="15" hidden="false" customHeight="false" outlineLevel="0" collapsed="false">
      <c r="A384" s="16" t="n">
        <v>1387</v>
      </c>
      <c r="B384" s="9" t="n">
        <f aca="false">COUNTIF(JE_Lines!$B$5:$B$1733,A384)</f>
        <v>2</v>
      </c>
      <c r="C384" s="17" t="n">
        <f aca="false">SUMIFS(JE_Lines!$G$5:$G$1733,JE_Lines!$B$5:$B$1733,A384)</f>
        <v>226.34</v>
      </c>
      <c r="D384" s="17" t="n">
        <f aca="false">SUMIFS(JE_Lines!$H$5:$H$1733,JE_Lines!$B$5:$B$1733,A384)</f>
        <v>226.34</v>
      </c>
      <c r="E384" s="17" t="n">
        <f aca="false">C384-D384</f>
        <v>0</v>
      </c>
      <c r="F384" s="18" t="n">
        <f aca="false">INDEX(JE_Lines!$C$5:$C$1733,MATCH(A384,JE_Lines!$B$5:$B$1733,0))</f>
        <v>45827</v>
      </c>
      <c r="G384" s="18" t="n">
        <f aca="false">INDEX(JE_Lines!$D$5:$D$1733,MATCH(A384,JE_Lines!$B$5:$B$1733,0))</f>
        <v>45826</v>
      </c>
      <c r="H384" s="0" t="str">
        <f aca="false">INDEX(JE_Lines!$I$5:$I$1733,MATCH(A384,JE_Lines!$B$5:$B$1733,0))</f>
        <v>SYS_AP</v>
      </c>
      <c r="I384" s="0" t="str">
        <f aca="false">INDEX(JE_Lines!$J$5:$J$1733,MATCH(A384,JE_Lines!$B$5:$B$1733,0))</f>
        <v>System</v>
      </c>
      <c r="J384" s="0" t="str">
        <f aca="false">IF(LEN(INDEX(JE_Lines!$K$5:$K$1733,MATCH(A384,JE_Lines!$B$5:$B$1733,0)))=0,"",INDEX(JE_Lines!$K$5:$K$1733,MATCH(A384,JE_Lines!$B$5:$B$1733,0)))</f>
        <v>Fixed asset additions</v>
      </c>
      <c r="K384" s="9" t="n">
        <f aca="false">F384-G384</f>
        <v>1</v>
      </c>
      <c r="L384" s="9" t="n">
        <f aca="false">COUNTIFS(JE_Lines!$B$5:$B$1733,A384,JE_Lines!$F$5:$F$1733,"Revenue")</f>
        <v>0</v>
      </c>
      <c r="M384" s="9" t="n">
        <f aca="false">COUNTIFS(JE_Lines!$B$5:$B$1733,A384,JE_Lines!$F$5:$F$1733,"Suspense")</f>
        <v>0</v>
      </c>
      <c r="N384" s="9" t="n">
        <f aca="false">IF(ABS(E384)&gt;Parameters!$B$23,1,0)</f>
        <v>0</v>
      </c>
      <c r="O384" s="9" t="n">
        <f aca="false">IF(WEEKDAY(F384,2)&gt;5,1,0)</f>
        <v>0</v>
      </c>
      <c r="P384" s="9" t="n">
        <f aca="false">IF(K384&gt;Parameters!$B$17,1,0)</f>
        <v>0</v>
      </c>
      <c r="Q384" s="9" t="n">
        <f aca="false">IF(AND(F384&lt;=Parameters!$B$6,F384&gt;Parameters!$B$6-Parameters!$B$18),1,0)</f>
        <v>0</v>
      </c>
      <c r="R384" s="9" t="n">
        <f aca="false">IF(COUNTIF(Parameters!$A$51:$A$58,H384)=0,1,0)</f>
        <v>0</v>
      </c>
      <c r="S384" s="9" t="n">
        <f aca="false">IF(AND(I384="Manual",L384&gt;0),1,0)</f>
        <v>0</v>
      </c>
      <c r="T384" s="9" t="n">
        <f aca="false">IF(AND(C384&gt;=Parameters!$B$22,ROUND(MOD(ROUND(C384,2),Parameters!$B$21),2)=0),1,0)</f>
        <v>0</v>
      </c>
      <c r="U384" s="9" t="n">
        <f aca="false">IF(LEN(TRIM(J384))=0,1,0)</f>
        <v>0</v>
      </c>
      <c r="V384" s="9" t="n">
        <f aca="false">IF(AND(I384="Manual",C384&lt;Parameters!$B$19,C384&gt;=Parameters!$B$19*(1-Parameters!$B$20)),1,0)</f>
        <v>0</v>
      </c>
      <c r="W384" s="9" t="n">
        <f aca="false">IF(AND(I384="Manual",M384&gt;0),1,0)</f>
        <v>0</v>
      </c>
      <c r="X384" s="9" t="n">
        <f aca="false">IF(A384-A383&gt;1,1,0)</f>
        <v>0</v>
      </c>
      <c r="Y384" s="9" t="n">
        <f aca="false">N384*Parameters!$B$38+O384*Parameters!$B$39+P384*Parameters!$B$40+Q384*Parameters!$B$41+R384*Parameters!$B$42+S384*Parameters!$B$43+T384*Parameters!$B$44+U384*Parameters!$B$45+V384*Parameters!$B$46+W384*Parameters!$B$47+X384*Parameters!$B$48</f>
        <v>0</v>
      </c>
      <c r="Z384" s="0" t="str">
        <f aca="false">IF(Y384&gt;=Parameters!$B$25,"High","")</f>
        <v/>
      </c>
    </row>
    <row r="385" customFormat="false" ht="15" hidden="false" customHeight="false" outlineLevel="0" collapsed="false">
      <c r="A385" s="16" t="n">
        <v>1388</v>
      </c>
      <c r="B385" s="9" t="n">
        <f aca="false">COUNTIF(JE_Lines!$B$5:$B$1733,A385)</f>
        <v>2</v>
      </c>
      <c r="C385" s="17" t="n">
        <f aca="false">SUMIFS(JE_Lines!$G$5:$G$1733,JE_Lines!$B$5:$B$1733,A385)</f>
        <v>361.25</v>
      </c>
      <c r="D385" s="17" t="n">
        <f aca="false">SUMIFS(JE_Lines!$H$5:$H$1733,JE_Lines!$B$5:$B$1733,A385)</f>
        <v>361.25</v>
      </c>
      <c r="E385" s="17" t="n">
        <f aca="false">C385-D385</f>
        <v>0</v>
      </c>
      <c r="F385" s="18" t="n">
        <f aca="false">INDEX(JE_Lines!$C$5:$C$1733,MATCH(A385,JE_Lines!$B$5:$B$1733,0))</f>
        <v>45827</v>
      </c>
      <c r="G385" s="18" t="n">
        <f aca="false">INDEX(JE_Lines!$D$5:$D$1733,MATCH(A385,JE_Lines!$B$5:$B$1733,0))</f>
        <v>45827</v>
      </c>
      <c r="H385" s="0" t="str">
        <f aca="false">INDEX(JE_Lines!$I$5:$I$1733,MATCH(A385,JE_Lines!$B$5:$B$1733,0))</f>
        <v>SYS_AR</v>
      </c>
      <c r="I385" s="0" t="str">
        <f aca="false">INDEX(JE_Lines!$J$5:$J$1733,MATCH(A385,JE_Lines!$B$5:$B$1733,0))</f>
        <v>System</v>
      </c>
      <c r="J385" s="0" t="str">
        <f aca="false">IF(LEN(INDEX(JE_Lines!$K$5:$K$1733,MATCH(A385,JE_Lines!$B$5:$B$1733,0)))=0,"",INDEX(JE_Lines!$K$5:$K$1733,MATCH(A385,JE_Lines!$B$5:$B$1733,0)))</f>
        <v>Sales invoice batch</v>
      </c>
      <c r="K385" s="9" t="n">
        <f aca="false">F385-G385</f>
        <v>0</v>
      </c>
      <c r="L385" s="9" t="n">
        <f aca="false">COUNTIFS(JE_Lines!$B$5:$B$1733,A385,JE_Lines!$F$5:$F$1733,"Revenue")</f>
        <v>1</v>
      </c>
      <c r="M385" s="9" t="n">
        <f aca="false">COUNTIFS(JE_Lines!$B$5:$B$1733,A385,JE_Lines!$F$5:$F$1733,"Suspense")</f>
        <v>0</v>
      </c>
      <c r="N385" s="9" t="n">
        <f aca="false">IF(ABS(E385)&gt;Parameters!$B$23,1,0)</f>
        <v>0</v>
      </c>
      <c r="O385" s="9" t="n">
        <f aca="false">IF(WEEKDAY(F385,2)&gt;5,1,0)</f>
        <v>0</v>
      </c>
      <c r="P385" s="9" t="n">
        <f aca="false">IF(K385&gt;Parameters!$B$17,1,0)</f>
        <v>0</v>
      </c>
      <c r="Q385" s="9" t="n">
        <f aca="false">IF(AND(F385&lt;=Parameters!$B$6,F385&gt;Parameters!$B$6-Parameters!$B$18),1,0)</f>
        <v>0</v>
      </c>
      <c r="R385" s="9" t="n">
        <f aca="false">IF(COUNTIF(Parameters!$A$51:$A$58,H385)=0,1,0)</f>
        <v>0</v>
      </c>
      <c r="S385" s="9" t="n">
        <f aca="false">IF(AND(I385="Manual",L385&gt;0),1,0)</f>
        <v>0</v>
      </c>
      <c r="T385" s="9" t="n">
        <f aca="false">IF(AND(C385&gt;=Parameters!$B$22,ROUND(MOD(ROUND(C385,2),Parameters!$B$21),2)=0),1,0)</f>
        <v>0</v>
      </c>
      <c r="U385" s="9" t="n">
        <f aca="false">IF(LEN(TRIM(J385))=0,1,0)</f>
        <v>0</v>
      </c>
      <c r="V385" s="9" t="n">
        <f aca="false">IF(AND(I385="Manual",C385&lt;Parameters!$B$19,C385&gt;=Parameters!$B$19*(1-Parameters!$B$20)),1,0)</f>
        <v>0</v>
      </c>
      <c r="W385" s="9" t="n">
        <f aca="false">IF(AND(I385="Manual",M385&gt;0),1,0)</f>
        <v>0</v>
      </c>
      <c r="X385" s="9" t="n">
        <f aca="false">IF(A385-A384&gt;1,1,0)</f>
        <v>0</v>
      </c>
      <c r="Y385" s="9" t="n">
        <f aca="false">N385*Parameters!$B$38+O385*Parameters!$B$39+P385*Parameters!$B$40+Q385*Parameters!$B$41+R385*Parameters!$B$42+S385*Parameters!$B$43+T385*Parameters!$B$44+U385*Parameters!$B$45+V385*Parameters!$B$46+W385*Parameters!$B$47+X385*Parameters!$B$48</f>
        <v>0</v>
      </c>
      <c r="Z385" s="0" t="str">
        <f aca="false">IF(Y385&gt;=Parameters!$B$25,"High","")</f>
        <v/>
      </c>
    </row>
    <row r="386" customFormat="false" ht="15" hidden="false" customHeight="false" outlineLevel="0" collapsed="false">
      <c r="A386" s="16" t="n">
        <v>1389</v>
      </c>
      <c r="B386" s="9" t="n">
        <f aca="false">COUNTIF(JE_Lines!$B$5:$B$1733,A386)</f>
        <v>2</v>
      </c>
      <c r="C386" s="17" t="n">
        <f aca="false">SUMIFS(JE_Lines!$G$5:$G$1733,JE_Lines!$B$5:$B$1733,A386)</f>
        <v>105265.37</v>
      </c>
      <c r="D386" s="17" t="n">
        <f aca="false">SUMIFS(JE_Lines!$H$5:$H$1733,JE_Lines!$B$5:$B$1733,A386)</f>
        <v>105265.37</v>
      </c>
      <c r="E386" s="17" t="n">
        <f aca="false">C386-D386</f>
        <v>0</v>
      </c>
      <c r="F386" s="18" t="n">
        <f aca="false">INDEX(JE_Lines!$C$5:$C$1733,MATCH(A386,JE_Lines!$B$5:$B$1733,0))</f>
        <v>45827</v>
      </c>
      <c r="G386" s="18" t="n">
        <f aca="false">INDEX(JE_Lines!$D$5:$D$1733,MATCH(A386,JE_Lines!$B$5:$B$1733,0))</f>
        <v>45826</v>
      </c>
      <c r="H386" s="0" t="str">
        <f aca="false">INDEX(JE_Lines!$I$5:$I$1733,MATCH(A386,JE_Lines!$B$5:$B$1733,0))</f>
        <v>SYS_AP</v>
      </c>
      <c r="I386" s="0" t="str">
        <f aca="false">INDEX(JE_Lines!$J$5:$J$1733,MATCH(A386,JE_Lines!$B$5:$B$1733,0))</f>
        <v>System</v>
      </c>
      <c r="J386" s="0" t="str">
        <f aca="false">IF(LEN(INDEX(JE_Lines!$K$5:$K$1733,MATCH(A386,JE_Lines!$B$5:$B$1733,0)))=0,"",INDEX(JE_Lines!$K$5:$K$1733,MATCH(A386,JE_Lines!$B$5:$B$1733,0)))</f>
        <v>Supplier invoices</v>
      </c>
      <c r="K386" s="9" t="n">
        <f aca="false">F386-G386</f>
        <v>1</v>
      </c>
      <c r="L386" s="9" t="n">
        <f aca="false">COUNTIFS(JE_Lines!$B$5:$B$1733,A386,JE_Lines!$F$5:$F$1733,"Revenue")</f>
        <v>0</v>
      </c>
      <c r="M386" s="9" t="n">
        <f aca="false">COUNTIFS(JE_Lines!$B$5:$B$1733,A386,JE_Lines!$F$5:$F$1733,"Suspense")</f>
        <v>0</v>
      </c>
      <c r="N386" s="9" t="n">
        <f aca="false">IF(ABS(E386)&gt;Parameters!$B$23,1,0)</f>
        <v>0</v>
      </c>
      <c r="O386" s="9" t="n">
        <f aca="false">IF(WEEKDAY(F386,2)&gt;5,1,0)</f>
        <v>0</v>
      </c>
      <c r="P386" s="9" t="n">
        <f aca="false">IF(K386&gt;Parameters!$B$17,1,0)</f>
        <v>0</v>
      </c>
      <c r="Q386" s="9" t="n">
        <f aca="false">IF(AND(F386&lt;=Parameters!$B$6,F386&gt;Parameters!$B$6-Parameters!$B$18),1,0)</f>
        <v>0</v>
      </c>
      <c r="R386" s="9" t="n">
        <f aca="false">IF(COUNTIF(Parameters!$A$51:$A$58,H386)=0,1,0)</f>
        <v>0</v>
      </c>
      <c r="S386" s="9" t="n">
        <f aca="false">IF(AND(I386="Manual",L386&gt;0),1,0)</f>
        <v>0</v>
      </c>
      <c r="T386" s="9" t="n">
        <f aca="false">IF(AND(C386&gt;=Parameters!$B$22,ROUND(MOD(ROUND(C386,2),Parameters!$B$21),2)=0),1,0)</f>
        <v>0</v>
      </c>
      <c r="U386" s="9" t="n">
        <f aca="false">IF(LEN(TRIM(J386))=0,1,0)</f>
        <v>0</v>
      </c>
      <c r="V386" s="9" t="n">
        <f aca="false">IF(AND(I386="Manual",C386&lt;Parameters!$B$19,C386&gt;=Parameters!$B$19*(1-Parameters!$B$20)),1,0)</f>
        <v>0</v>
      </c>
      <c r="W386" s="9" t="n">
        <f aca="false">IF(AND(I386="Manual",M386&gt;0),1,0)</f>
        <v>0</v>
      </c>
      <c r="X386" s="9" t="n">
        <f aca="false">IF(A386-A385&gt;1,1,0)</f>
        <v>0</v>
      </c>
      <c r="Y386" s="9" t="n">
        <f aca="false">N386*Parameters!$B$38+O386*Parameters!$B$39+P386*Parameters!$B$40+Q386*Parameters!$B$41+R386*Parameters!$B$42+S386*Parameters!$B$43+T386*Parameters!$B$44+U386*Parameters!$B$45+V386*Parameters!$B$46+W386*Parameters!$B$47+X386*Parameters!$B$48</f>
        <v>0</v>
      </c>
      <c r="Z386" s="0" t="str">
        <f aca="false">IF(Y386&gt;=Parameters!$B$25,"High","")</f>
        <v/>
      </c>
    </row>
    <row r="387" customFormat="false" ht="15" hidden="false" customHeight="false" outlineLevel="0" collapsed="false">
      <c r="A387" s="16" t="n">
        <v>1390</v>
      </c>
      <c r="B387" s="9" t="n">
        <f aca="false">COUNTIF(JE_Lines!$B$5:$B$1733,A387)</f>
        <v>2</v>
      </c>
      <c r="C387" s="17" t="n">
        <f aca="false">SUMIFS(JE_Lines!$G$5:$G$1733,JE_Lines!$B$5:$B$1733,A387)</f>
        <v>2778.68</v>
      </c>
      <c r="D387" s="17" t="n">
        <f aca="false">SUMIFS(JE_Lines!$H$5:$H$1733,JE_Lines!$B$5:$B$1733,A387)</f>
        <v>2778.68</v>
      </c>
      <c r="E387" s="17" t="n">
        <f aca="false">C387-D387</f>
        <v>0</v>
      </c>
      <c r="F387" s="18" t="n">
        <f aca="false">INDEX(JE_Lines!$C$5:$C$1733,MATCH(A387,JE_Lines!$B$5:$B$1733,0))</f>
        <v>45827</v>
      </c>
      <c r="G387" s="18" t="n">
        <f aca="false">INDEX(JE_Lines!$D$5:$D$1733,MATCH(A387,JE_Lines!$B$5:$B$1733,0))</f>
        <v>45825</v>
      </c>
      <c r="H387" s="0" t="str">
        <f aca="false">INDEX(JE_Lines!$I$5:$I$1733,MATCH(A387,JE_Lines!$B$5:$B$1733,0))</f>
        <v>SYS_AR</v>
      </c>
      <c r="I387" s="0" t="str">
        <f aca="false">INDEX(JE_Lines!$J$5:$J$1733,MATCH(A387,JE_Lines!$B$5:$B$1733,0))</f>
        <v>System</v>
      </c>
      <c r="J387" s="0" t="str">
        <f aca="false">IF(LEN(INDEX(JE_Lines!$K$5:$K$1733,MATCH(A387,JE_Lines!$B$5:$B$1733,0)))=0,"",INDEX(JE_Lines!$K$5:$K$1733,MATCH(A387,JE_Lines!$B$5:$B$1733,0)))</f>
        <v>Customer receipts</v>
      </c>
      <c r="K387" s="9" t="n">
        <f aca="false">F387-G387</f>
        <v>2</v>
      </c>
      <c r="L387" s="9" t="n">
        <f aca="false">COUNTIFS(JE_Lines!$B$5:$B$1733,A387,JE_Lines!$F$5:$F$1733,"Revenue")</f>
        <v>0</v>
      </c>
      <c r="M387" s="9" t="n">
        <f aca="false">COUNTIFS(JE_Lines!$B$5:$B$1733,A387,JE_Lines!$F$5:$F$1733,"Suspense")</f>
        <v>0</v>
      </c>
      <c r="N387" s="9" t="n">
        <f aca="false">IF(ABS(E387)&gt;Parameters!$B$23,1,0)</f>
        <v>0</v>
      </c>
      <c r="O387" s="9" t="n">
        <f aca="false">IF(WEEKDAY(F387,2)&gt;5,1,0)</f>
        <v>0</v>
      </c>
      <c r="P387" s="9" t="n">
        <f aca="false">IF(K387&gt;Parameters!$B$17,1,0)</f>
        <v>0</v>
      </c>
      <c r="Q387" s="9" t="n">
        <f aca="false">IF(AND(F387&lt;=Parameters!$B$6,F387&gt;Parameters!$B$6-Parameters!$B$18),1,0)</f>
        <v>0</v>
      </c>
      <c r="R387" s="9" t="n">
        <f aca="false">IF(COUNTIF(Parameters!$A$51:$A$58,H387)=0,1,0)</f>
        <v>0</v>
      </c>
      <c r="S387" s="9" t="n">
        <f aca="false">IF(AND(I387="Manual",L387&gt;0),1,0)</f>
        <v>0</v>
      </c>
      <c r="T387" s="9" t="n">
        <f aca="false">IF(AND(C387&gt;=Parameters!$B$22,ROUND(MOD(ROUND(C387,2),Parameters!$B$21),2)=0),1,0)</f>
        <v>0</v>
      </c>
      <c r="U387" s="9" t="n">
        <f aca="false">IF(LEN(TRIM(J387))=0,1,0)</f>
        <v>0</v>
      </c>
      <c r="V387" s="9" t="n">
        <f aca="false">IF(AND(I387="Manual",C387&lt;Parameters!$B$19,C387&gt;=Parameters!$B$19*(1-Parameters!$B$20)),1,0)</f>
        <v>0</v>
      </c>
      <c r="W387" s="9" t="n">
        <f aca="false">IF(AND(I387="Manual",M387&gt;0),1,0)</f>
        <v>0</v>
      </c>
      <c r="X387" s="9" t="n">
        <f aca="false">IF(A387-A386&gt;1,1,0)</f>
        <v>0</v>
      </c>
      <c r="Y387" s="9" t="n">
        <f aca="false">N387*Parameters!$B$38+O387*Parameters!$B$39+P387*Parameters!$B$40+Q387*Parameters!$B$41+R387*Parameters!$B$42+S387*Parameters!$B$43+T387*Parameters!$B$44+U387*Parameters!$B$45+V387*Parameters!$B$46+W387*Parameters!$B$47+X387*Parameters!$B$48</f>
        <v>0</v>
      </c>
      <c r="Z387" s="0" t="str">
        <f aca="false">IF(Y387&gt;=Parameters!$B$25,"High","")</f>
        <v/>
      </c>
    </row>
    <row r="388" customFormat="false" ht="15" hidden="false" customHeight="false" outlineLevel="0" collapsed="false">
      <c r="A388" s="16" t="n">
        <v>1391</v>
      </c>
      <c r="B388" s="9" t="n">
        <f aca="false">COUNTIF(JE_Lines!$B$5:$B$1733,A388)</f>
        <v>2</v>
      </c>
      <c r="C388" s="17" t="n">
        <f aca="false">SUMIFS(JE_Lines!$G$5:$G$1733,JE_Lines!$B$5:$B$1733,A388)</f>
        <v>14098.15</v>
      </c>
      <c r="D388" s="17" t="n">
        <f aca="false">SUMIFS(JE_Lines!$H$5:$H$1733,JE_Lines!$B$5:$B$1733,A388)</f>
        <v>14098.15</v>
      </c>
      <c r="E388" s="17" t="n">
        <f aca="false">C388-D388</f>
        <v>0</v>
      </c>
      <c r="F388" s="18" t="n">
        <f aca="false">INDEX(JE_Lines!$C$5:$C$1733,MATCH(A388,JE_Lines!$B$5:$B$1733,0))</f>
        <v>45827</v>
      </c>
      <c r="G388" s="18" t="n">
        <f aca="false">INDEX(JE_Lines!$D$5:$D$1733,MATCH(A388,JE_Lines!$B$5:$B$1733,0))</f>
        <v>45825</v>
      </c>
      <c r="H388" s="0" t="str">
        <f aca="false">INDEX(JE_Lines!$I$5:$I$1733,MATCH(A388,JE_Lines!$B$5:$B$1733,0))</f>
        <v>SYS_PAY</v>
      </c>
      <c r="I388" s="0" t="str">
        <f aca="false">INDEX(JE_Lines!$J$5:$J$1733,MATCH(A388,JE_Lines!$B$5:$B$1733,0))</f>
        <v>System</v>
      </c>
      <c r="J388" s="0" t="str">
        <f aca="false">IF(LEN(INDEX(JE_Lines!$K$5:$K$1733,MATCH(A388,JE_Lines!$B$5:$B$1733,0)))=0,"",INDEX(JE_Lines!$K$5:$K$1733,MATCH(A388,JE_Lines!$B$5:$B$1733,0)))</f>
        <v>Supplier payments</v>
      </c>
      <c r="K388" s="9" t="n">
        <f aca="false">F388-G388</f>
        <v>2</v>
      </c>
      <c r="L388" s="9" t="n">
        <f aca="false">COUNTIFS(JE_Lines!$B$5:$B$1733,A388,JE_Lines!$F$5:$F$1733,"Revenue")</f>
        <v>0</v>
      </c>
      <c r="M388" s="9" t="n">
        <f aca="false">COUNTIFS(JE_Lines!$B$5:$B$1733,A388,JE_Lines!$F$5:$F$1733,"Suspense")</f>
        <v>0</v>
      </c>
      <c r="N388" s="9" t="n">
        <f aca="false">IF(ABS(E388)&gt;Parameters!$B$23,1,0)</f>
        <v>0</v>
      </c>
      <c r="O388" s="9" t="n">
        <f aca="false">IF(WEEKDAY(F388,2)&gt;5,1,0)</f>
        <v>0</v>
      </c>
      <c r="P388" s="9" t="n">
        <f aca="false">IF(K388&gt;Parameters!$B$17,1,0)</f>
        <v>0</v>
      </c>
      <c r="Q388" s="9" t="n">
        <f aca="false">IF(AND(F388&lt;=Parameters!$B$6,F388&gt;Parameters!$B$6-Parameters!$B$18),1,0)</f>
        <v>0</v>
      </c>
      <c r="R388" s="9" t="n">
        <f aca="false">IF(COUNTIF(Parameters!$A$51:$A$58,H388)=0,1,0)</f>
        <v>0</v>
      </c>
      <c r="S388" s="9" t="n">
        <f aca="false">IF(AND(I388="Manual",L388&gt;0),1,0)</f>
        <v>0</v>
      </c>
      <c r="T388" s="9" t="n">
        <f aca="false">IF(AND(C388&gt;=Parameters!$B$22,ROUND(MOD(ROUND(C388,2),Parameters!$B$21),2)=0),1,0)</f>
        <v>0</v>
      </c>
      <c r="U388" s="9" t="n">
        <f aca="false">IF(LEN(TRIM(J388))=0,1,0)</f>
        <v>0</v>
      </c>
      <c r="V388" s="9" t="n">
        <f aca="false">IF(AND(I388="Manual",C388&lt;Parameters!$B$19,C388&gt;=Parameters!$B$19*(1-Parameters!$B$20)),1,0)</f>
        <v>0</v>
      </c>
      <c r="W388" s="9" t="n">
        <f aca="false">IF(AND(I388="Manual",M388&gt;0),1,0)</f>
        <v>0</v>
      </c>
      <c r="X388" s="9" t="n">
        <f aca="false">IF(A388-A387&gt;1,1,0)</f>
        <v>0</v>
      </c>
      <c r="Y388" s="9" t="n">
        <f aca="false">N388*Parameters!$B$38+O388*Parameters!$B$39+P388*Parameters!$B$40+Q388*Parameters!$B$41+R388*Parameters!$B$42+S388*Parameters!$B$43+T388*Parameters!$B$44+U388*Parameters!$B$45+V388*Parameters!$B$46+W388*Parameters!$B$47+X388*Parameters!$B$48</f>
        <v>0</v>
      </c>
      <c r="Z388" s="0" t="str">
        <f aca="false">IF(Y388&gt;=Parameters!$B$25,"High","")</f>
        <v/>
      </c>
    </row>
    <row r="389" customFormat="false" ht="15" hidden="false" customHeight="false" outlineLevel="0" collapsed="false">
      <c r="A389" s="16" t="n">
        <v>1392</v>
      </c>
      <c r="B389" s="9" t="n">
        <f aca="false">COUNTIF(JE_Lines!$B$5:$B$1733,A389)</f>
        <v>2</v>
      </c>
      <c r="C389" s="17" t="n">
        <f aca="false">SUMIFS(JE_Lines!$G$5:$G$1733,JE_Lines!$B$5:$B$1733,A389)</f>
        <v>223.73</v>
      </c>
      <c r="D389" s="17" t="n">
        <f aca="false">SUMIFS(JE_Lines!$H$5:$H$1733,JE_Lines!$B$5:$B$1733,A389)</f>
        <v>223.73</v>
      </c>
      <c r="E389" s="17" t="n">
        <f aca="false">C389-D389</f>
        <v>0</v>
      </c>
      <c r="F389" s="18" t="n">
        <f aca="false">INDEX(JE_Lines!$C$5:$C$1733,MATCH(A389,JE_Lines!$B$5:$B$1733,0))</f>
        <v>45828</v>
      </c>
      <c r="G389" s="18" t="n">
        <f aca="false">INDEX(JE_Lines!$D$5:$D$1733,MATCH(A389,JE_Lines!$B$5:$B$1733,0))</f>
        <v>45826</v>
      </c>
      <c r="H389" s="0" t="str">
        <f aca="false">INDEX(JE_Lines!$I$5:$I$1733,MATCH(A389,JE_Lines!$B$5:$B$1733,0))</f>
        <v>SYS_AP</v>
      </c>
      <c r="I389" s="0" t="str">
        <f aca="false">INDEX(JE_Lines!$J$5:$J$1733,MATCH(A389,JE_Lines!$B$5:$B$1733,0))</f>
        <v>System</v>
      </c>
      <c r="J389" s="0" t="str">
        <f aca="false">IF(LEN(INDEX(JE_Lines!$K$5:$K$1733,MATCH(A389,JE_Lines!$B$5:$B$1733,0)))=0,"",INDEX(JE_Lines!$K$5:$K$1733,MATCH(A389,JE_Lines!$B$5:$B$1733,0)))</f>
        <v/>
      </c>
      <c r="K389" s="9" t="n">
        <f aca="false">F389-G389</f>
        <v>2</v>
      </c>
      <c r="L389" s="9" t="n">
        <f aca="false">COUNTIFS(JE_Lines!$B$5:$B$1733,A389,JE_Lines!$F$5:$F$1733,"Revenue")</f>
        <v>0</v>
      </c>
      <c r="M389" s="9" t="n">
        <f aca="false">COUNTIFS(JE_Lines!$B$5:$B$1733,A389,JE_Lines!$F$5:$F$1733,"Suspense")</f>
        <v>0</v>
      </c>
      <c r="N389" s="9" t="n">
        <f aca="false">IF(ABS(E389)&gt;Parameters!$B$23,1,0)</f>
        <v>0</v>
      </c>
      <c r="O389" s="9" t="n">
        <f aca="false">IF(WEEKDAY(F389,2)&gt;5,1,0)</f>
        <v>0</v>
      </c>
      <c r="P389" s="9" t="n">
        <f aca="false">IF(K389&gt;Parameters!$B$17,1,0)</f>
        <v>0</v>
      </c>
      <c r="Q389" s="9" t="n">
        <f aca="false">IF(AND(F389&lt;=Parameters!$B$6,F389&gt;Parameters!$B$6-Parameters!$B$18),1,0)</f>
        <v>0</v>
      </c>
      <c r="R389" s="9" t="n">
        <f aca="false">IF(COUNTIF(Parameters!$A$51:$A$58,H389)=0,1,0)</f>
        <v>0</v>
      </c>
      <c r="S389" s="9" t="n">
        <f aca="false">IF(AND(I389="Manual",L389&gt;0),1,0)</f>
        <v>0</v>
      </c>
      <c r="T389" s="9" t="n">
        <f aca="false">IF(AND(C389&gt;=Parameters!$B$22,ROUND(MOD(ROUND(C389,2),Parameters!$B$21),2)=0),1,0)</f>
        <v>0</v>
      </c>
      <c r="U389" s="9" t="n">
        <f aca="false">IF(LEN(TRIM(J389))=0,1,0)</f>
        <v>1</v>
      </c>
      <c r="V389" s="9" t="n">
        <f aca="false">IF(AND(I389="Manual",C389&lt;Parameters!$B$19,C389&gt;=Parameters!$B$19*(1-Parameters!$B$20)),1,0)</f>
        <v>0</v>
      </c>
      <c r="W389" s="9" t="n">
        <f aca="false">IF(AND(I389="Manual",M389&gt;0),1,0)</f>
        <v>0</v>
      </c>
      <c r="X389" s="9" t="n">
        <f aca="false">IF(A389-A388&gt;1,1,0)</f>
        <v>0</v>
      </c>
      <c r="Y389" s="9" t="n">
        <f aca="false">N389*Parameters!$B$38+O389*Parameters!$B$39+P389*Parameters!$B$40+Q389*Parameters!$B$41+R389*Parameters!$B$42+S389*Parameters!$B$43+T389*Parameters!$B$44+U389*Parameters!$B$45+V389*Parameters!$B$46+W389*Parameters!$B$47+X389*Parameters!$B$48</f>
        <v>2</v>
      </c>
      <c r="Z389" s="0" t="str">
        <f aca="false">IF(Y389&gt;=Parameters!$B$25,"High","")</f>
        <v/>
      </c>
    </row>
    <row r="390" customFormat="false" ht="15" hidden="false" customHeight="false" outlineLevel="0" collapsed="false">
      <c r="A390" s="16" t="n">
        <v>1393</v>
      </c>
      <c r="B390" s="9" t="n">
        <f aca="false">COUNTIF(JE_Lines!$B$5:$B$1733,A390)</f>
        <v>2</v>
      </c>
      <c r="C390" s="17" t="n">
        <f aca="false">SUMIFS(JE_Lines!$G$5:$G$1733,JE_Lines!$B$5:$B$1733,A390)</f>
        <v>113065.63</v>
      </c>
      <c r="D390" s="17" t="n">
        <f aca="false">SUMIFS(JE_Lines!$H$5:$H$1733,JE_Lines!$B$5:$B$1733,A390)</f>
        <v>113065.63</v>
      </c>
      <c r="E390" s="17" t="n">
        <f aca="false">C390-D390</f>
        <v>0</v>
      </c>
      <c r="F390" s="18" t="n">
        <f aca="false">INDEX(JE_Lines!$C$5:$C$1733,MATCH(A390,JE_Lines!$B$5:$B$1733,0))</f>
        <v>45828</v>
      </c>
      <c r="G390" s="18" t="n">
        <f aca="false">INDEX(JE_Lines!$D$5:$D$1733,MATCH(A390,JE_Lines!$B$5:$B$1733,0))</f>
        <v>45825</v>
      </c>
      <c r="H390" s="0" t="str">
        <f aca="false">INDEX(JE_Lines!$I$5:$I$1733,MATCH(A390,JE_Lines!$B$5:$B$1733,0))</f>
        <v>SYS_AR</v>
      </c>
      <c r="I390" s="0" t="str">
        <f aca="false">INDEX(JE_Lines!$J$5:$J$1733,MATCH(A390,JE_Lines!$B$5:$B$1733,0))</f>
        <v>System</v>
      </c>
      <c r="J390" s="0" t="str">
        <f aca="false">IF(LEN(INDEX(JE_Lines!$K$5:$K$1733,MATCH(A390,JE_Lines!$B$5:$B$1733,0)))=0,"",INDEX(JE_Lines!$K$5:$K$1733,MATCH(A390,JE_Lines!$B$5:$B$1733,0)))</f>
        <v>Customer receipts</v>
      </c>
      <c r="K390" s="9" t="n">
        <f aca="false">F390-G390</f>
        <v>3</v>
      </c>
      <c r="L390" s="9" t="n">
        <f aca="false">COUNTIFS(JE_Lines!$B$5:$B$1733,A390,JE_Lines!$F$5:$F$1733,"Revenue")</f>
        <v>0</v>
      </c>
      <c r="M390" s="9" t="n">
        <f aca="false">COUNTIFS(JE_Lines!$B$5:$B$1733,A390,JE_Lines!$F$5:$F$1733,"Suspense")</f>
        <v>0</v>
      </c>
      <c r="N390" s="9" t="n">
        <f aca="false">IF(ABS(E390)&gt;Parameters!$B$23,1,0)</f>
        <v>0</v>
      </c>
      <c r="O390" s="9" t="n">
        <f aca="false">IF(WEEKDAY(F390,2)&gt;5,1,0)</f>
        <v>0</v>
      </c>
      <c r="P390" s="9" t="n">
        <f aca="false">IF(K390&gt;Parameters!$B$17,1,0)</f>
        <v>0</v>
      </c>
      <c r="Q390" s="9" t="n">
        <f aca="false">IF(AND(F390&lt;=Parameters!$B$6,F390&gt;Parameters!$B$6-Parameters!$B$18),1,0)</f>
        <v>0</v>
      </c>
      <c r="R390" s="9" t="n">
        <f aca="false">IF(COUNTIF(Parameters!$A$51:$A$58,H390)=0,1,0)</f>
        <v>0</v>
      </c>
      <c r="S390" s="9" t="n">
        <f aca="false">IF(AND(I390="Manual",L390&gt;0),1,0)</f>
        <v>0</v>
      </c>
      <c r="T390" s="9" t="n">
        <f aca="false">IF(AND(C390&gt;=Parameters!$B$22,ROUND(MOD(ROUND(C390,2),Parameters!$B$21),2)=0),1,0)</f>
        <v>0</v>
      </c>
      <c r="U390" s="9" t="n">
        <f aca="false">IF(LEN(TRIM(J390))=0,1,0)</f>
        <v>0</v>
      </c>
      <c r="V390" s="9" t="n">
        <f aca="false">IF(AND(I390="Manual",C390&lt;Parameters!$B$19,C390&gt;=Parameters!$B$19*(1-Parameters!$B$20)),1,0)</f>
        <v>0</v>
      </c>
      <c r="W390" s="9" t="n">
        <f aca="false">IF(AND(I390="Manual",M390&gt;0),1,0)</f>
        <v>0</v>
      </c>
      <c r="X390" s="9" t="n">
        <f aca="false">IF(A390-A389&gt;1,1,0)</f>
        <v>0</v>
      </c>
      <c r="Y390" s="9" t="n">
        <f aca="false">N390*Parameters!$B$38+O390*Parameters!$B$39+P390*Parameters!$B$40+Q390*Parameters!$B$41+R390*Parameters!$B$42+S390*Parameters!$B$43+T390*Parameters!$B$44+U390*Parameters!$B$45+V390*Parameters!$B$46+W390*Parameters!$B$47+X390*Parameters!$B$48</f>
        <v>0</v>
      </c>
      <c r="Z390" s="0" t="str">
        <f aca="false">IF(Y390&gt;=Parameters!$B$25,"High","")</f>
        <v/>
      </c>
    </row>
    <row r="391" customFormat="false" ht="15" hidden="false" customHeight="false" outlineLevel="0" collapsed="false">
      <c r="A391" s="16" t="n">
        <v>1394</v>
      </c>
      <c r="B391" s="9" t="n">
        <f aca="false">COUNTIF(JE_Lines!$B$5:$B$1733,A391)</f>
        <v>2</v>
      </c>
      <c r="C391" s="17" t="n">
        <f aca="false">SUMIFS(JE_Lines!$G$5:$G$1733,JE_Lines!$B$5:$B$1733,A391)</f>
        <v>6567.39</v>
      </c>
      <c r="D391" s="17" t="n">
        <f aca="false">SUMIFS(JE_Lines!$H$5:$H$1733,JE_Lines!$B$5:$B$1733,A391)</f>
        <v>6567.39</v>
      </c>
      <c r="E391" s="17" t="n">
        <f aca="false">C391-D391</f>
        <v>0</v>
      </c>
      <c r="F391" s="18" t="n">
        <f aca="false">INDEX(JE_Lines!$C$5:$C$1733,MATCH(A391,JE_Lines!$B$5:$B$1733,0))</f>
        <v>45828</v>
      </c>
      <c r="G391" s="18" t="n">
        <f aca="false">INDEX(JE_Lines!$D$5:$D$1733,MATCH(A391,JE_Lines!$B$5:$B$1733,0))</f>
        <v>45827</v>
      </c>
      <c r="H391" s="0" t="str">
        <f aca="false">INDEX(JE_Lines!$I$5:$I$1733,MATCH(A391,JE_Lines!$B$5:$B$1733,0))</f>
        <v>SYS_AR</v>
      </c>
      <c r="I391" s="0" t="str">
        <f aca="false">INDEX(JE_Lines!$J$5:$J$1733,MATCH(A391,JE_Lines!$B$5:$B$1733,0))</f>
        <v>System</v>
      </c>
      <c r="J391" s="0" t="str">
        <f aca="false">IF(LEN(INDEX(JE_Lines!$K$5:$K$1733,MATCH(A391,JE_Lines!$B$5:$B$1733,0)))=0,"",INDEX(JE_Lines!$K$5:$K$1733,MATCH(A391,JE_Lines!$B$5:$B$1733,0)))</f>
        <v>Customer receipts</v>
      </c>
      <c r="K391" s="9" t="n">
        <f aca="false">F391-G391</f>
        <v>1</v>
      </c>
      <c r="L391" s="9" t="n">
        <f aca="false">COUNTIFS(JE_Lines!$B$5:$B$1733,A391,JE_Lines!$F$5:$F$1733,"Revenue")</f>
        <v>0</v>
      </c>
      <c r="M391" s="9" t="n">
        <f aca="false">COUNTIFS(JE_Lines!$B$5:$B$1733,A391,JE_Lines!$F$5:$F$1733,"Suspense")</f>
        <v>0</v>
      </c>
      <c r="N391" s="9" t="n">
        <f aca="false">IF(ABS(E391)&gt;Parameters!$B$23,1,0)</f>
        <v>0</v>
      </c>
      <c r="O391" s="9" t="n">
        <f aca="false">IF(WEEKDAY(F391,2)&gt;5,1,0)</f>
        <v>0</v>
      </c>
      <c r="P391" s="9" t="n">
        <f aca="false">IF(K391&gt;Parameters!$B$17,1,0)</f>
        <v>0</v>
      </c>
      <c r="Q391" s="9" t="n">
        <f aca="false">IF(AND(F391&lt;=Parameters!$B$6,F391&gt;Parameters!$B$6-Parameters!$B$18),1,0)</f>
        <v>0</v>
      </c>
      <c r="R391" s="9" t="n">
        <f aca="false">IF(COUNTIF(Parameters!$A$51:$A$58,H391)=0,1,0)</f>
        <v>0</v>
      </c>
      <c r="S391" s="9" t="n">
        <f aca="false">IF(AND(I391="Manual",L391&gt;0),1,0)</f>
        <v>0</v>
      </c>
      <c r="T391" s="9" t="n">
        <f aca="false">IF(AND(C391&gt;=Parameters!$B$22,ROUND(MOD(ROUND(C391,2),Parameters!$B$21),2)=0),1,0)</f>
        <v>0</v>
      </c>
      <c r="U391" s="9" t="n">
        <f aca="false">IF(LEN(TRIM(J391))=0,1,0)</f>
        <v>0</v>
      </c>
      <c r="V391" s="9" t="n">
        <f aca="false">IF(AND(I391="Manual",C391&lt;Parameters!$B$19,C391&gt;=Parameters!$B$19*(1-Parameters!$B$20)),1,0)</f>
        <v>0</v>
      </c>
      <c r="W391" s="9" t="n">
        <f aca="false">IF(AND(I391="Manual",M391&gt;0),1,0)</f>
        <v>0</v>
      </c>
      <c r="X391" s="9" t="n">
        <f aca="false">IF(A391-A390&gt;1,1,0)</f>
        <v>0</v>
      </c>
      <c r="Y391" s="9" t="n">
        <f aca="false">N391*Parameters!$B$38+O391*Parameters!$B$39+P391*Parameters!$B$40+Q391*Parameters!$B$41+R391*Parameters!$B$42+S391*Parameters!$B$43+T391*Parameters!$B$44+U391*Parameters!$B$45+V391*Parameters!$B$46+W391*Parameters!$B$47+X391*Parameters!$B$48</f>
        <v>0</v>
      </c>
      <c r="Z391" s="0" t="str">
        <f aca="false">IF(Y391&gt;=Parameters!$B$25,"High","")</f>
        <v/>
      </c>
    </row>
    <row r="392" customFormat="false" ht="15" hidden="false" customHeight="false" outlineLevel="0" collapsed="false">
      <c r="A392" s="16" t="n">
        <v>1395</v>
      </c>
      <c r="B392" s="9" t="n">
        <f aca="false">COUNTIF(JE_Lines!$B$5:$B$1733,A392)</f>
        <v>2</v>
      </c>
      <c r="C392" s="17" t="n">
        <f aca="false">SUMIFS(JE_Lines!$G$5:$G$1733,JE_Lines!$B$5:$B$1733,A392)</f>
        <v>481.88</v>
      </c>
      <c r="D392" s="17" t="n">
        <f aca="false">SUMIFS(JE_Lines!$H$5:$H$1733,JE_Lines!$B$5:$B$1733,A392)</f>
        <v>481.88</v>
      </c>
      <c r="E392" s="17" t="n">
        <f aca="false">C392-D392</f>
        <v>0</v>
      </c>
      <c r="F392" s="18" t="n">
        <f aca="false">INDEX(JE_Lines!$C$5:$C$1733,MATCH(A392,JE_Lines!$B$5:$B$1733,0))</f>
        <v>45830</v>
      </c>
      <c r="G392" s="18" t="n">
        <f aca="false">INDEX(JE_Lines!$D$5:$D$1733,MATCH(A392,JE_Lines!$B$5:$B$1733,0))</f>
        <v>45830</v>
      </c>
      <c r="H392" s="0" t="str">
        <f aca="false">INDEX(JE_Lines!$I$5:$I$1733,MATCH(A392,JE_Lines!$B$5:$B$1733,0))</f>
        <v>SYS_AP</v>
      </c>
      <c r="I392" s="0" t="str">
        <f aca="false">INDEX(JE_Lines!$J$5:$J$1733,MATCH(A392,JE_Lines!$B$5:$B$1733,0))</f>
        <v>System</v>
      </c>
      <c r="J392" s="0" t="str">
        <f aca="false">IF(LEN(INDEX(JE_Lines!$K$5:$K$1733,MATCH(A392,JE_Lines!$B$5:$B$1733,0)))=0,"",INDEX(JE_Lines!$K$5:$K$1733,MATCH(A392,JE_Lines!$B$5:$B$1733,0)))</f>
        <v>Supplier invoices</v>
      </c>
      <c r="K392" s="9" t="n">
        <f aca="false">F392-G392</f>
        <v>0</v>
      </c>
      <c r="L392" s="9" t="n">
        <f aca="false">COUNTIFS(JE_Lines!$B$5:$B$1733,A392,JE_Lines!$F$5:$F$1733,"Revenue")</f>
        <v>0</v>
      </c>
      <c r="M392" s="9" t="n">
        <f aca="false">COUNTIFS(JE_Lines!$B$5:$B$1733,A392,JE_Lines!$F$5:$F$1733,"Suspense")</f>
        <v>0</v>
      </c>
      <c r="N392" s="9" t="n">
        <f aca="false">IF(ABS(E392)&gt;Parameters!$B$23,1,0)</f>
        <v>0</v>
      </c>
      <c r="O392" s="9" t="n">
        <f aca="false">IF(WEEKDAY(F392,2)&gt;5,1,0)</f>
        <v>1</v>
      </c>
      <c r="P392" s="9" t="n">
        <f aca="false">IF(K392&gt;Parameters!$B$17,1,0)</f>
        <v>0</v>
      </c>
      <c r="Q392" s="9" t="n">
        <f aca="false">IF(AND(F392&lt;=Parameters!$B$6,F392&gt;Parameters!$B$6-Parameters!$B$18),1,0)</f>
        <v>0</v>
      </c>
      <c r="R392" s="9" t="n">
        <f aca="false">IF(COUNTIF(Parameters!$A$51:$A$58,H392)=0,1,0)</f>
        <v>0</v>
      </c>
      <c r="S392" s="9" t="n">
        <f aca="false">IF(AND(I392="Manual",L392&gt;0),1,0)</f>
        <v>0</v>
      </c>
      <c r="T392" s="9" t="n">
        <f aca="false">IF(AND(C392&gt;=Parameters!$B$22,ROUND(MOD(ROUND(C392,2),Parameters!$B$21),2)=0),1,0)</f>
        <v>0</v>
      </c>
      <c r="U392" s="9" t="n">
        <f aca="false">IF(LEN(TRIM(J392))=0,1,0)</f>
        <v>0</v>
      </c>
      <c r="V392" s="9" t="n">
        <f aca="false">IF(AND(I392="Manual",C392&lt;Parameters!$B$19,C392&gt;=Parameters!$B$19*(1-Parameters!$B$20)),1,0)</f>
        <v>0</v>
      </c>
      <c r="W392" s="9" t="n">
        <f aca="false">IF(AND(I392="Manual",M392&gt;0),1,0)</f>
        <v>0</v>
      </c>
      <c r="X392" s="9" t="n">
        <f aca="false">IF(A392-A391&gt;1,1,0)</f>
        <v>0</v>
      </c>
      <c r="Y392" s="9" t="n">
        <f aca="false">N392*Parameters!$B$38+O392*Parameters!$B$39+P392*Parameters!$B$40+Q392*Parameters!$B$41+R392*Parameters!$B$42+S392*Parameters!$B$43+T392*Parameters!$B$44+U392*Parameters!$B$45+V392*Parameters!$B$46+W392*Parameters!$B$47+X392*Parameters!$B$48</f>
        <v>2</v>
      </c>
      <c r="Z392" s="0" t="str">
        <f aca="false">IF(Y392&gt;=Parameters!$B$25,"High","")</f>
        <v/>
      </c>
    </row>
    <row r="393" customFormat="false" ht="15" hidden="false" customHeight="false" outlineLevel="0" collapsed="false">
      <c r="A393" s="16" t="n">
        <v>1396</v>
      </c>
      <c r="B393" s="9" t="n">
        <f aca="false">COUNTIF(JE_Lines!$B$5:$B$1733,A393)</f>
        <v>3</v>
      </c>
      <c r="C393" s="17" t="n">
        <f aca="false">SUMIFS(JE_Lines!$G$5:$G$1733,JE_Lines!$B$5:$B$1733,A393)</f>
        <v>5215.37</v>
      </c>
      <c r="D393" s="17" t="n">
        <f aca="false">SUMIFS(JE_Lines!$H$5:$H$1733,JE_Lines!$B$5:$B$1733,A393)</f>
        <v>5215.37</v>
      </c>
      <c r="E393" s="17" t="n">
        <f aca="false">C393-D393</f>
        <v>0</v>
      </c>
      <c r="F393" s="18" t="n">
        <f aca="false">INDEX(JE_Lines!$C$5:$C$1733,MATCH(A393,JE_Lines!$B$5:$B$1733,0))</f>
        <v>45831</v>
      </c>
      <c r="G393" s="18" t="n">
        <f aca="false">INDEX(JE_Lines!$D$5:$D$1733,MATCH(A393,JE_Lines!$B$5:$B$1733,0))</f>
        <v>45827</v>
      </c>
      <c r="H393" s="0" t="str">
        <f aca="false">INDEX(JE_Lines!$I$5:$I$1733,MATCH(A393,JE_Lines!$B$5:$B$1733,0))</f>
        <v>SYS_AR</v>
      </c>
      <c r="I393" s="0" t="str">
        <f aca="false">INDEX(JE_Lines!$J$5:$J$1733,MATCH(A393,JE_Lines!$B$5:$B$1733,0))</f>
        <v>System</v>
      </c>
      <c r="J393" s="0" t="str">
        <f aca="false">IF(LEN(INDEX(JE_Lines!$K$5:$K$1733,MATCH(A393,JE_Lines!$B$5:$B$1733,0)))=0,"",INDEX(JE_Lines!$K$5:$K$1733,MATCH(A393,JE_Lines!$B$5:$B$1733,0)))</f>
        <v>Sales invoice batch</v>
      </c>
      <c r="K393" s="9" t="n">
        <f aca="false">F393-G393</f>
        <v>4</v>
      </c>
      <c r="L393" s="9" t="n">
        <f aca="false">COUNTIFS(JE_Lines!$B$5:$B$1733,A393,JE_Lines!$F$5:$F$1733,"Revenue")</f>
        <v>1</v>
      </c>
      <c r="M393" s="9" t="n">
        <f aca="false">COUNTIFS(JE_Lines!$B$5:$B$1733,A393,JE_Lines!$F$5:$F$1733,"Suspense")</f>
        <v>0</v>
      </c>
      <c r="N393" s="9" t="n">
        <f aca="false">IF(ABS(E393)&gt;Parameters!$B$23,1,0)</f>
        <v>0</v>
      </c>
      <c r="O393" s="9" t="n">
        <f aca="false">IF(WEEKDAY(F393,2)&gt;5,1,0)</f>
        <v>0</v>
      </c>
      <c r="P393" s="9" t="n">
        <f aca="false">IF(K393&gt;Parameters!$B$17,1,0)</f>
        <v>0</v>
      </c>
      <c r="Q393" s="9" t="n">
        <f aca="false">IF(AND(F393&lt;=Parameters!$B$6,F393&gt;Parameters!$B$6-Parameters!$B$18),1,0)</f>
        <v>0</v>
      </c>
      <c r="R393" s="9" t="n">
        <f aca="false">IF(COUNTIF(Parameters!$A$51:$A$58,H393)=0,1,0)</f>
        <v>0</v>
      </c>
      <c r="S393" s="9" t="n">
        <f aca="false">IF(AND(I393="Manual",L393&gt;0),1,0)</f>
        <v>0</v>
      </c>
      <c r="T393" s="9" t="n">
        <f aca="false">IF(AND(C393&gt;=Parameters!$B$22,ROUND(MOD(ROUND(C393,2),Parameters!$B$21),2)=0),1,0)</f>
        <v>0</v>
      </c>
      <c r="U393" s="9" t="n">
        <f aca="false">IF(LEN(TRIM(J393))=0,1,0)</f>
        <v>0</v>
      </c>
      <c r="V393" s="9" t="n">
        <f aca="false">IF(AND(I393="Manual",C393&lt;Parameters!$B$19,C393&gt;=Parameters!$B$19*(1-Parameters!$B$20)),1,0)</f>
        <v>0</v>
      </c>
      <c r="W393" s="9" t="n">
        <f aca="false">IF(AND(I393="Manual",M393&gt;0),1,0)</f>
        <v>0</v>
      </c>
      <c r="X393" s="9" t="n">
        <f aca="false">IF(A393-A392&gt;1,1,0)</f>
        <v>0</v>
      </c>
      <c r="Y393" s="9" t="n">
        <f aca="false">N393*Parameters!$B$38+O393*Parameters!$B$39+P393*Parameters!$B$40+Q393*Parameters!$B$41+R393*Parameters!$B$42+S393*Parameters!$B$43+T393*Parameters!$B$44+U393*Parameters!$B$45+V393*Parameters!$B$46+W393*Parameters!$B$47+X393*Parameters!$B$48</f>
        <v>0</v>
      </c>
      <c r="Z393" s="0" t="str">
        <f aca="false">IF(Y393&gt;=Parameters!$B$25,"High","")</f>
        <v/>
      </c>
    </row>
    <row r="394" customFormat="false" ht="15" hidden="false" customHeight="false" outlineLevel="0" collapsed="false">
      <c r="A394" s="16" t="n">
        <v>1397</v>
      </c>
      <c r="B394" s="9" t="n">
        <f aca="false">COUNTIF(JE_Lines!$B$5:$B$1733,A394)</f>
        <v>2</v>
      </c>
      <c r="C394" s="17" t="n">
        <f aca="false">SUMIFS(JE_Lines!$G$5:$G$1733,JE_Lines!$B$5:$B$1733,A394)</f>
        <v>1321.8</v>
      </c>
      <c r="D394" s="17" t="n">
        <f aca="false">SUMIFS(JE_Lines!$H$5:$H$1733,JE_Lines!$B$5:$B$1733,A394)</f>
        <v>1321.8</v>
      </c>
      <c r="E394" s="17" t="n">
        <f aca="false">C394-D394</f>
        <v>0</v>
      </c>
      <c r="F394" s="18" t="n">
        <f aca="false">INDEX(JE_Lines!$C$5:$C$1733,MATCH(A394,JE_Lines!$B$5:$B$1733,0))</f>
        <v>45831</v>
      </c>
      <c r="G394" s="18" t="n">
        <f aca="false">INDEX(JE_Lines!$D$5:$D$1733,MATCH(A394,JE_Lines!$B$5:$B$1733,0))</f>
        <v>45829</v>
      </c>
      <c r="H394" s="0" t="str">
        <f aca="false">INDEX(JE_Lines!$I$5:$I$1733,MATCH(A394,JE_Lines!$B$5:$B$1733,0))</f>
        <v>SYS_PAY</v>
      </c>
      <c r="I394" s="0" t="str">
        <f aca="false">INDEX(JE_Lines!$J$5:$J$1733,MATCH(A394,JE_Lines!$B$5:$B$1733,0))</f>
        <v>System</v>
      </c>
      <c r="J394" s="0" t="str">
        <f aca="false">IF(LEN(INDEX(JE_Lines!$K$5:$K$1733,MATCH(A394,JE_Lines!$B$5:$B$1733,0)))=0,"",INDEX(JE_Lines!$K$5:$K$1733,MATCH(A394,JE_Lines!$B$5:$B$1733,0)))</f>
        <v>Supplier payments</v>
      </c>
      <c r="K394" s="9" t="n">
        <f aca="false">F394-G394</f>
        <v>2</v>
      </c>
      <c r="L394" s="9" t="n">
        <f aca="false">COUNTIFS(JE_Lines!$B$5:$B$1733,A394,JE_Lines!$F$5:$F$1733,"Revenue")</f>
        <v>0</v>
      </c>
      <c r="M394" s="9" t="n">
        <f aca="false">COUNTIFS(JE_Lines!$B$5:$B$1733,A394,JE_Lines!$F$5:$F$1733,"Suspense")</f>
        <v>0</v>
      </c>
      <c r="N394" s="9" t="n">
        <f aca="false">IF(ABS(E394)&gt;Parameters!$B$23,1,0)</f>
        <v>0</v>
      </c>
      <c r="O394" s="9" t="n">
        <f aca="false">IF(WEEKDAY(F394,2)&gt;5,1,0)</f>
        <v>0</v>
      </c>
      <c r="P394" s="9" t="n">
        <f aca="false">IF(K394&gt;Parameters!$B$17,1,0)</f>
        <v>0</v>
      </c>
      <c r="Q394" s="9" t="n">
        <f aca="false">IF(AND(F394&lt;=Parameters!$B$6,F394&gt;Parameters!$B$6-Parameters!$B$18),1,0)</f>
        <v>0</v>
      </c>
      <c r="R394" s="9" t="n">
        <f aca="false">IF(COUNTIF(Parameters!$A$51:$A$58,H394)=0,1,0)</f>
        <v>0</v>
      </c>
      <c r="S394" s="9" t="n">
        <f aca="false">IF(AND(I394="Manual",L394&gt;0),1,0)</f>
        <v>0</v>
      </c>
      <c r="T394" s="9" t="n">
        <f aca="false">IF(AND(C394&gt;=Parameters!$B$22,ROUND(MOD(ROUND(C394,2),Parameters!$B$21),2)=0),1,0)</f>
        <v>0</v>
      </c>
      <c r="U394" s="9" t="n">
        <f aca="false">IF(LEN(TRIM(J394))=0,1,0)</f>
        <v>0</v>
      </c>
      <c r="V394" s="9" t="n">
        <f aca="false">IF(AND(I394="Manual",C394&lt;Parameters!$B$19,C394&gt;=Parameters!$B$19*(1-Parameters!$B$20)),1,0)</f>
        <v>0</v>
      </c>
      <c r="W394" s="9" t="n">
        <f aca="false">IF(AND(I394="Manual",M394&gt;0),1,0)</f>
        <v>0</v>
      </c>
      <c r="X394" s="9" t="n">
        <f aca="false">IF(A394-A393&gt;1,1,0)</f>
        <v>0</v>
      </c>
      <c r="Y394" s="9" t="n">
        <f aca="false">N394*Parameters!$B$38+O394*Parameters!$B$39+P394*Parameters!$B$40+Q394*Parameters!$B$41+R394*Parameters!$B$42+S394*Parameters!$B$43+T394*Parameters!$B$44+U394*Parameters!$B$45+V394*Parameters!$B$46+W394*Parameters!$B$47+X394*Parameters!$B$48</f>
        <v>0</v>
      </c>
      <c r="Z394" s="0" t="str">
        <f aca="false">IF(Y394&gt;=Parameters!$B$25,"High","")</f>
        <v/>
      </c>
    </row>
    <row r="395" customFormat="false" ht="15" hidden="false" customHeight="false" outlineLevel="0" collapsed="false">
      <c r="A395" s="16" t="n">
        <v>1398</v>
      </c>
      <c r="B395" s="9" t="n">
        <f aca="false">COUNTIF(JE_Lines!$B$5:$B$1733,A395)</f>
        <v>2</v>
      </c>
      <c r="C395" s="17" t="n">
        <f aca="false">SUMIFS(JE_Lines!$G$5:$G$1733,JE_Lines!$B$5:$B$1733,A395)</f>
        <v>26040.77</v>
      </c>
      <c r="D395" s="17" t="n">
        <f aca="false">SUMIFS(JE_Lines!$H$5:$H$1733,JE_Lines!$B$5:$B$1733,A395)</f>
        <v>26040.77</v>
      </c>
      <c r="E395" s="17" t="n">
        <f aca="false">C395-D395</f>
        <v>0</v>
      </c>
      <c r="F395" s="18" t="n">
        <f aca="false">INDEX(JE_Lines!$C$5:$C$1733,MATCH(A395,JE_Lines!$B$5:$B$1733,0))</f>
        <v>45831</v>
      </c>
      <c r="G395" s="18" t="n">
        <f aca="false">INDEX(JE_Lines!$D$5:$D$1733,MATCH(A395,JE_Lines!$B$5:$B$1733,0))</f>
        <v>45828</v>
      </c>
      <c r="H395" s="0" t="str">
        <f aca="false">INDEX(JE_Lines!$I$5:$I$1733,MATCH(A395,JE_Lines!$B$5:$B$1733,0))</f>
        <v>SYS_AR</v>
      </c>
      <c r="I395" s="0" t="str">
        <f aca="false">INDEX(JE_Lines!$J$5:$J$1733,MATCH(A395,JE_Lines!$B$5:$B$1733,0))</f>
        <v>System</v>
      </c>
      <c r="J395" s="0" t="str">
        <f aca="false">IF(LEN(INDEX(JE_Lines!$K$5:$K$1733,MATCH(A395,JE_Lines!$B$5:$B$1733,0)))=0,"",INDEX(JE_Lines!$K$5:$K$1733,MATCH(A395,JE_Lines!$B$5:$B$1733,0)))</f>
        <v>Customer receipts</v>
      </c>
      <c r="K395" s="9" t="n">
        <f aca="false">F395-G395</f>
        <v>3</v>
      </c>
      <c r="L395" s="9" t="n">
        <f aca="false">COUNTIFS(JE_Lines!$B$5:$B$1733,A395,JE_Lines!$F$5:$F$1733,"Revenue")</f>
        <v>0</v>
      </c>
      <c r="M395" s="9" t="n">
        <f aca="false">COUNTIFS(JE_Lines!$B$5:$B$1733,A395,JE_Lines!$F$5:$F$1733,"Suspense")</f>
        <v>0</v>
      </c>
      <c r="N395" s="9" t="n">
        <f aca="false">IF(ABS(E395)&gt;Parameters!$B$23,1,0)</f>
        <v>0</v>
      </c>
      <c r="O395" s="9" t="n">
        <f aca="false">IF(WEEKDAY(F395,2)&gt;5,1,0)</f>
        <v>0</v>
      </c>
      <c r="P395" s="9" t="n">
        <f aca="false">IF(K395&gt;Parameters!$B$17,1,0)</f>
        <v>0</v>
      </c>
      <c r="Q395" s="9" t="n">
        <f aca="false">IF(AND(F395&lt;=Parameters!$B$6,F395&gt;Parameters!$B$6-Parameters!$B$18),1,0)</f>
        <v>0</v>
      </c>
      <c r="R395" s="9" t="n">
        <f aca="false">IF(COUNTIF(Parameters!$A$51:$A$58,H395)=0,1,0)</f>
        <v>0</v>
      </c>
      <c r="S395" s="9" t="n">
        <f aca="false">IF(AND(I395="Manual",L395&gt;0),1,0)</f>
        <v>0</v>
      </c>
      <c r="T395" s="9" t="n">
        <f aca="false">IF(AND(C395&gt;=Parameters!$B$22,ROUND(MOD(ROUND(C395,2),Parameters!$B$21),2)=0),1,0)</f>
        <v>0</v>
      </c>
      <c r="U395" s="9" t="n">
        <f aca="false">IF(LEN(TRIM(J395))=0,1,0)</f>
        <v>0</v>
      </c>
      <c r="V395" s="9" t="n">
        <f aca="false">IF(AND(I395="Manual",C395&lt;Parameters!$B$19,C395&gt;=Parameters!$B$19*(1-Parameters!$B$20)),1,0)</f>
        <v>0</v>
      </c>
      <c r="W395" s="9" t="n">
        <f aca="false">IF(AND(I395="Manual",M395&gt;0),1,0)</f>
        <v>0</v>
      </c>
      <c r="X395" s="9" t="n">
        <f aca="false">IF(A395-A394&gt;1,1,0)</f>
        <v>0</v>
      </c>
      <c r="Y395" s="9" t="n">
        <f aca="false">N395*Parameters!$B$38+O395*Parameters!$B$39+P395*Parameters!$B$40+Q395*Parameters!$B$41+R395*Parameters!$B$42+S395*Parameters!$B$43+T395*Parameters!$B$44+U395*Parameters!$B$45+V395*Parameters!$B$46+W395*Parameters!$B$47+X395*Parameters!$B$48</f>
        <v>0</v>
      </c>
      <c r="Z395" s="0" t="str">
        <f aca="false">IF(Y395&gt;=Parameters!$B$25,"High","")</f>
        <v/>
      </c>
    </row>
    <row r="396" customFormat="false" ht="15" hidden="false" customHeight="false" outlineLevel="0" collapsed="false">
      <c r="A396" s="16" t="n">
        <v>1399</v>
      </c>
      <c r="B396" s="9" t="n">
        <f aca="false">COUNTIF(JE_Lines!$B$5:$B$1733,A396)</f>
        <v>3</v>
      </c>
      <c r="C396" s="17" t="n">
        <f aca="false">SUMIFS(JE_Lines!$G$5:$G$1733,JE_Lines!$B$5:$B$1733,A396)</f>
        <v>14585.49</v>
      </c>
      <c r="D396" s="17" t="n">
        <f aca="false">SUMIFS(JE_Lines!$H$5:$H$1733,JE_Lines!$B$5:$B$1733,A396)</f>
        <v>14585.49</v>
      </c>
      <c r="E396" s="17" t="n">
        <f aca="false">C396-D396</f>
        <v>0</v>
      </c>
      <c r="F396" s="18" t="n">
        <f aca="false">INDEX(JE_Lines!$C$5:$C$1733,MATCH(A396,JE_Lines!$B$5:$B$1733,0))</f>
        <v>45832</v>
      </c>
      <c r="G396" s="18" t="n">
        <f aca="false">INDEX(JE_Lines!$D$5:$D$1733,MATCH(A396,JE_Lines!$B$5:$B$1733,0))</f>
        <v>45829</v>
      </c>
      <c r="H396" s="0" t="str">
        <f aca="false">INDEX(JE_Lines!$I$5:$I$1733,MATCH(A396,JE_Lines!$B$5:$B$1733,0))</f>
        <v>SYS_AP</v>
      </c>
      <c r="I396" s="0" t="str">
        <f aca="false">INDEX(JE_Lines!$J$5:$J$1733,MATCH(A396,JE_Lines!$B$5:$B$1733,0))</f>
        <v>System</v>
      </c>
      <c r="J396" s="0" t="str">
        <f aca="false">IF(LEN(INDEX(JE_Lines!$K$5:$K$1733,MATCH(A396,JE_Lines!$B$5:$B$1733,0)))=0,"",INDEX(JE_Lines!$K$5:$K$1733,MATCH(A396,JE_Lines!$B$5:$B$1733,0)))</f>
        <v>Utilities invoices</v>
      </c>
      <c r="K396" s="9" t="n">
        <f aca="false">F396-G396</f>
        <v>3</v>
      </c>
      <c r="L396" s="9" t="n">
        <f aca="false">COUNTIFS(JE_Lines!$B$5:$B$1733,A396,JE_Lines!$F$5:$F$1733,"Revenue")</f>
        <v>0</v>
      </c>
      <c r="M396" s="9" t="n">
        <f aca="false">COUNTIFS(JE_Lines!$B$5:$B$1733,A396,JE_Lines!$F$5:$F$1733,"Suspense")</f>
        <v>0</v>
      </c>
      <c r="N396" s="9" t="n">
        <f aca="false">IF(ABS(E396)&gt;Parameters!$B$23,1,0)</f>
        <v>0</v>
      </c>
      <c r="O396" s="9" t="n">
        <f aca="false">IF(WEEKDAY(F396,2)&gt;5,1,0)</f>
        <v>0</v>
      </c>
      <c r="P396" s="9" t="n">
        <f aca="false">IF(K396&gt;Parameters!$B$17,1,0)</f>
        <v>0</v>
      </c>
      <c r="Q396" s="9" t="n">
        <f aca="false">IF(AND(F396&lt;=Parameters!$B$6,F396&gt;Parameters!$B$6-Parameters!$B$18),1,0)</f>
        <v>0</v>
      </c>
      <c r="R396" s="9" t="n">
        <f aca="false">IF(COUNTIF(Parameters!$A$51:$A$58,H396)=0,1,0)</f>
        <v>0</v>
      </c>
      <c r="S396" s="9" t="n">
        <f aca="false">IF(AND(I396="Manual",L396&gt;0),1,0)</f>
        <v>0</v>
      </c>
      <c r="T396" s="9" t="n">
        <f aca="false">IF(AND(C396&gt;=Parameters!$B$22,ROUND(MOD(ROUND(C396,2),Parameters!$B$21),2)=0),1,0)</f>
        <v>0</v>
      </c>
      <c r="U396" s="9" t="n">
        <f aca="false">IF(LEN(TRIM(J396))=0,1,0)</f>
        <v>0</v>
      </c>
      <c r="V396" s="9" t="n">
        <f aca="false">IF(AND(I396="Manual",C396&lt;Parameters!$B$19,C396&gt;=Parameters!$B$19*(1-Parameters!$B$20)),1,0)</f>
        <v>0</v>
      </c>
      <c r="W396" s="9" t="n">
        <f aca="false">IF(AND(I396="Manual",M396&gt;0),1,0)</f>
        <v>0</v>
      </c>
      <c r="X396" s="9" t="n">
        <f aca="false">IF(A396-A395&gt;1,1,0)</f>
        <v>0</v>
      </c>
      <c r="Y396" s="9" t="n">
        <f aca="false">N396*Parameters!$B$38+O396*Parameters!$B$39+P396*Parameters!$B$40+Q396*Parameters!$B$41+R396*Parameters!$B$42+S396*Parameters!$B$43+T396*Parameters!$B$44+U396*Parameters!$B$45+V396*Parameters!$B$46+W396*Parameters!$B$47+X396*Parameters!$B$48</f>
        <v>0</v>
      </c>
      <c r="Z396" s="0" t="str">
        <f aca="false">IF(Y396&gt;=Parameters!$B$25,"High","")</f>
        <v/>
      </c>
    </row>
    <row r="397" customFormat="false" ht="15" hidden="false" customHeight="false" outlineLevel="0" collapsed="false">
      <c r="A397" s="16" t="n">
        <v>1400</v>
      </c>
      <c r="B397" s="9" t="n">
        <f aca="false">COUNTIF(JE_Lines!$B$5:$B$1733,A397)</f>
        <v>2</v>
      </c>
      <c r="C397" s="17" t="n">
        <f aca="false">SUMIFS(JE_Lines!$G$5:$G$1733,JE_Lines!$B$5:$B$1733,A397)</f>
        <v>1634.38</v>
      </c>
      <c r="D397" s="17" t="n">
        <f aca="false">SUMIFS(JE_Lines!$H$5:$H$1733,JE_Lines!$B$5:$B$1733,A397)</f>
        <v>1634.38</v>
      </c>
      <c r="E397" s="17" t="n">
        <f aca="false">C397-D397</f>
        <v>0</v>
      </c>
      <c r="F397" s="18" t="n">
        <f aca="false">INDEX(JE_Lines!$C$5:$C$1733,MATCH(A397,JE_Lines!$B$5:$B$1733,0))</f>
        <v>45832</v>
      </c>
      <c r="G397" s="18" t="n">
        <f aca="false">INDEX(JE_Lines!$D$5:$D$1733,MATCH(A397,JE_Lines!$B$5:$B$1733,0))</f>
        <v>45829</v>
      </c>
      <c r="H397" s="0" t="str">
        <f aca="false">INDEX(JE_Lines!$I$5:$I$1733,MATCH(A397,JE_Lines!$B$5:$B$1733,0))</f>
        <v>SYS_AR</v>
      </c>
      <c r="I397" s="0" t="str">
        <f aca="false">INDEX(JE_Lines!$J$5:$J$1733,MATCH(A397,JE_Lines!$B$5:$B$1733,0))</f>
        <v>System</v>
      </c>
      <c r="J397" s="0" t="str">
        <f aca="false">IF(LEN(INDEX(JE_Lines!$K$5:$K$1733,MATCH(A397,JE_Lines!$B$5:$B$1733,0)))=0,"",INDEX(JE_Lines!$K$5:$K$1733,MATCH(A397,JE_Lines!$B$5:$B$1733,0)))</f>
        <v>Customer receipts</v>
      </c>
      <c r="K397" s="9" t="n">
        <f aca="false">F397-G397</f>
        <v>3</v>
      </c>
      <c r="L397" s="9" t="n">
        <f aca="false">COUNTIFS(JE_Lines!$B$5:$B$1733,A397,JE_Lines!$F$5:$F$1733,"Revenue")</f>
        <v>0</v>
      </c>
      <c r="M397" s="9" t="n">
        <f aca="false">COUNTIFS(JE_Lines!$B$5:$B$1733,A397,JE_Lines!$F$5:$F$1733,"Suspense")</f>
        <v>0</v>
      </c>
      <c r="N397" s="9" t="n">
        <f aca="false">IF(ABS(E397)&gt;Parameters!$B$23,1,0)</f>
        <v>0</v>
      </c>
      <c r="O397" s="9" t="n">
        <f aca="false">IF(WEEKDAY(F397,2)&gt;5,1,0)</f>
        <v>0</v>
      </c>
      <c r="P397" s="9" t="n">
        <f aca="false">IF(K397&gt;Parameters!$B$17,1,0)</f>
        <v>0</v>
      </c>
      <c r="Q397" s="9" t="n">
        <f aca="false">IF(AND(F397&lt;=Parameters!$B$6,F397&gt;Parameters!$B$6-Parameters!$B$18),1,0)</f>
        <v>0</v>
      </c>
      <c r="R397" s="9" t="n">
        <f aca="false">IF(COUNTIF(Parameters!$A$51:$A$58,H397)=0,1,0)</f>
        <v>0</v>
      </c>
      <c r="S397" s="9" t="n">
        <f aca="false">IF(AND(I397="Manual",L397&gt;0),1,0)</f>
        <v>0</v>
      </c>
      <c r="T397" s="9" t="n">
        <f aca="false">IF(AND(C397&gt;=Parameters!$B$22,ROUND(MOD(ROUND(C397,2),Parameters!$B$21),2)=0),1,0)</f>
        <v>0</v>
      </c>
      <c r="U397" s="9" t="n">
        <f aca="false">IF(LEN(TRIM(J397))=0,1,0)</f>
        <v>0</v>
      </c>
      <c r="V397" s="9" t="n">
        <f aca="false">IF(AND(I397="Manual",C397&lt;Parameters!$B$19,C397&gt;=Parameters!$B$19*(1-Parameters!$B$20)),1,0)</f>
        <v>0</v>
      </c>
      <c r="W397" s="9" t="n">
        <f aca="false">IF(AND(I397="Manual",M397&gt;0),1,0)</f>
        <v>0</v>
      </c>
      <c r="X397" s="9" t="n">
        <f aca="false">IF(A397-A396&gt;1,1,0)</f>
        <v>0</v>
      </c>
      <c r="Y397" s="9" t="n">
        <f aca="false">N397*Parameters!$B$38+O397*Parameters!$B$39+P397*Parameters!$B$40+Q397*Parameters!$B$41+R397*Parameters!$B$42+S397*Parameters!$B$43+T397*Parameters!$B$44+U397*Parameters!$B$45+V397*Parameters!$B$46+W397*Parameters!$B$47+X397*Parameters!$B$48</f>
        <v>0</v>
      </c>
      <c r="Z397" s="0" t="str">
        <f aca="false">IF(Y397&gt;=Parameters!$B$25,"High","")</f>
        <v/>
      </c>
    </row>
    <row r="398" customFormat="false" ht="15" hidden="false" customHeight="false" outlineLevel="0" collapsed="false">
      <c r="A398" s="16" t="n">
        <v>1401</v>
      </c>
      <c r="B398" s="9" t="n">
        <f aca="false">COUNTIF(JE_Lines!$B$5:$B$1733,A398)</f>
        <v>2</v>
      </c>
      <c r="C398" s="17" t="n">
        <f aca="false">SUMIFS(JE_Lines!$G$5:$G$1733,JE_Lines!$B$5:$B$1733,A398)</f>
        <v>6257.47</v>
      </c>
      <c r="D398" s="17" t="n">
        <f aca="false">SUMIFS(JE_Lines!$H$5:$H$1733,JE_Lines!$B$5:$B$1733,A398)</f>
        <v>6257.47</v>
      </c>
      <c r="E398" s="17" t="n">
        <f aca="false">C398-D398</f>
        <v>0</v>
      </c>
      <c r="F398" s="18" t="n">
        <f aca="false">INDEX(JE_Lines!$C$5:$C$1733,MATCH(A398,JE_Lines!$B$5:$B$1733,0))</f>
        <v>45833</v>
      </c>
      <c r="G398" s="18" t="n">
        <f aca="false">INDEX(JE_Lines!$D$5:$D$1733,MATCH(A398,JE_Lines!$B$5:$B$1733,0))</f>
        <v>45829</v>
      </c>
      <c r="H398" s="0" t="str">
        <f aca="false">INDEX(JE_Lines!$I$5:$I$1733,MATCH(A398,JE_Lines!$B$5:$B$1733,0))</f>
        <v>SYS_AR</v>
      </c>
      <c r="I398" s="0" t="str">
        <f aca="false">INDEX(JE_Lines!$J$5:$J$1733,MATCH(A398,JE_Lines!$B$5:$B$1733,0))</f>
        <v>System</v>
      </c>
      <c r="J398" s="0" t="str">
        <f aca="false">IF(LEN(INDEX(JE_Lines!$K$5:$K$1733,MATCH(A398,JE_Lines!$B$5:$B$1733,0)))=0,"",INDEX(JE_Lines!$K$5:$K$1733,MATCH(A398,JE_Lines!$B$5:$B$1733,0)))</f>
        <v>Cost of sales posting</v>
      </c>
      <c r="K398" s="9" t="n">
        <f aca="false">F398-G398</f>
        <v>4</v>
      </c>
      <c r="L398" s="9" t="n">
        <f aca="false">COUNTIFS(JE_Lines!$B$5:$B$1733,A398,JE_Lines!$F$5:$F$1733,"Revenue")</f>
        <v>0</v>
      </c>
      <c r="M398" s="9" t="n">
        <f aca="false">COUNTIFS(JE_Lines!$B$5:$B$1733,A398,JE_Lines!$F$5:$F$1733,"Suspense")</f>
        <v>0</v>
      </c>
      <c r="N398" s="9" t="n">
        <f aca="false">IF(ABS(E398)&gt;Parameters!$B$23,1,0)</f>
        <v>0</v>
      </c>
      <c r="O398" s="9" t="n">
        <f aca="false">IF(WEEKDAY(F398,2)&gt;5,1,0)</f>
        <v>0</v>
      </c>
      <c r="P398" s="9" t="n">
        <f aca="false">IF(K398&gt;Parameters!$B$17,1,0)</f>
        <v>0</v>
      </c>
      <c r="Q398" s="9" t="n">
        <f aca="false">IF(AND(F398&lt;=Parameters!$B$6,F398&gt;Parameters!$B$6-Parameters!$B$18),1,0)</f>
        <v>0</v>
      </c>
      <c r="R398" s="9" t="n">
        <f aca="false">IF(COUNTIF(Parameters!$A$51:$A$58,H398)=0,1,0)</f>
        <v>0</v>
      </c>
      <c r="S398" s="9" t="n">
        <f aca="false">IF(AND(I398="Manual",L398&gt;0),1,0)</f>
        <v>0</v>
      </c>
      <c r="T398" s="9" t="n">
        <f aca="false">IF(AND(C398&gt;=Parameters!$B$22,ROUND(MOD(ROUND(C398,2),Parameters!$B$21),2)=0),1,0)</f>
        <v>0</v>
      </c>
      <c r="U398" s="9" t="n">
        <f aca="false">IF(LEN(TRIM(J398))=0,1,0)</f>
        <v>0</v>
      </c>
      <c r="V398" s="9" t="n">
        <f aca="false">IF(AND(I398="Manual",C398&lt;Parameters!$B$19,C398&gt;=Parameters!$B$19*(1-Parameters!$B$20)),1,0)</f>
        <v>0</v>
      </c>
      <c r="W398" s="9" t="n">
        <f aca="false">IF(AND(I398="Manual",M398&gt;0),1,0)</f>
        <v>0</v>
      </c>
      <c r="X398" s="9" t="n">
        <f aca="false">IF(A398-A397&gt;1,1,0)</f>
        <v>0</v>
      </c>
      <c r="Y398" s="9" t="n">
        <f aca="false">N398*Parameters!$B$38+O398*Parameters!$B$39+P398*Parameters!$B$40+Q398*Parameters!$B$41+R398*Parameters!$B$42+S398*Parameters!$B$43+T398*Parameters!$B$44+U398*Parameters!$B$45+V398*Parameters!$B$46+W398*Parameters!$B$47+X398*Parameters!$B$48</f>
        <v>0</v>
      </c>
      <c r="Z398" s="0" t="str">
        <f aca="false">IF(Y398&gt;=Parameters!$B$25,"High","")</f>
        <v/>
      </c>
    </row>
    <row r="399" customFormat="false" ht="15" hidden="false" customHeight="false" outlineLevel="0" collapsed="false">
      <c r="A399" s="16" t="n">
        <v>1402</v>
      </c>
      <c r="B399" s="9" t="n">
        <f aca="false">COUNTIF(JE_Lines!$B$5:$B$1733,A399)</f>
        <v>2</v>
      </c>
      <c r="C399" s="17" t="n">
        <f aca="false">SUMIFS(JE_Lines!$G$5:$G$1733,JE_Lines!$B$5:$B$1733,A399)</f>
        <v>4469.51</v>
      </c>
      <c r="D399" s="17" t="n">
        <f aca="false">SUMIFS(JE_Lines!$H$5:$H$1733,JE_Lines!$B$5:$B$1733,A399)</f>
        <v>4469.51</v>
      </c>
      <c r="E399" s="17" t="n">
        <f aca="false">C399-D399</f>
        <v>0</v>
      </c>
      <c r="F399" s="18" t="n">
        <f aca="false">INDEX(JE_Lines!$C$5:$C$1733,MATCH(A399,JE_Lines!$B$5:$B$1733,0))</f>
        <v>45833</v>
      </c>
      <c r="G399" s="18" t="n">
        <f aca="false">INDEX(JE_Lines!$D$5:$D$1733,MATCH(A399,JE_Lines!$B$5:$B$1733,0))</f>
        <v>45830</v>
      </c>
      <c r="H399" s="0" t="str">
        <f aca="false">INDEX(JE_Lines!$I$5:$I$1733,MATCH(A399,JE_Lines!$B$5:$B$1733,0))</f>
        <v>SYS_AR</v>
      </c>
      <c r="I399" s="0" t="str">
        <f aca="false">INDEX(JE_Lines!$J$5:$J$1733,MATCH(A399,JE_Lines!$B$5:$B$1733,0))</f>
        <v>System</v>
      </c>
      <c r="J399" s="0" t="str">
        <f aca="false">IF(LEN(INDEX(JE_Lines!$K$5:$K$1733,MATCH(A399,JE_Lines!$B$5:$B$1733,0)))=0,"",INDEX(JE_Lines!$K$5:$K$1733,MATCH(A399,JE_Lines!$B$5:$B$1733,0)))</f>
        <v>Customer receipts</v>
      </c>
      <c r="K399" s="9" t="n">
        <f aca="false">F399-G399</f>
        <v>3</v>
      </c>
      <c r="L399" s="9" t="n">
        <f aca="false">COUNTIFS(JE_Lines!$B$5:$B$1733,A399,JE_Lines!$F$5:$F$1733,"Revenue")</f>
        <v>0</v>
      </c>
      <c r="M399" s="9" t="n">
        <f aca="false">COUNTIFS(JE_Lines!$B$5:$B$1733,A399,JE_Lines!$F$5:$F$1733,"Suspense")</f>
        <v>0</v>
      </c>
      <c r="N399" s="9" t="n">
        <f aca="false">IF(ABS(E399)&gt;Parameters!$B$23,1,0)</f>
        <v>0</v>
      </c>
      <c r="O399" s="9" t="n">
        <f aca="false">IF(WEEKDAY(F399,2)&gt;5,1,0)</f>
        <v>0</v>
      </c>
      <c r="P399" s="9" t="n">
        <f aca="false">IF(K399&gt;Parameters!$B$17,1,0)</f>
        <v>0</v>
      </c>
      <c r="Q399" s="9" t="n">
        <f aca="false">IF(AND(F399&lt;=Parameters!$B$6,F399&gt;Parameters!$B$6-Parameters!$B$18),1,0)</f>
        <v>0</v>
      </c>
      <c r="R399" s="9" t="n">
        <f aca="false">IF(COUNTIF(Parameters!$A$51:$A$58,H399)=0,1,0)</f>
        <v>0</v>
      </c>
      <c r="S399" s="9" t="n">
        <f aca="false">IF(AND(I399="Manual",L399&gt;0),1,0)</f>
        <v>0</v>
      </c>
      <c r="T399" s="9" t="n">
        <f aca="false">IF(AND(C399&gt;=Parameters!$B$22,ROUND(MOD(ROUND(C399,2),Parameters!$B$21),2)=0),1,0)</f>
        <v>0</v>
      </c>
      <c r="U399" s="9" t="n">
        <f aca="false">IF(LEN(TRIM(J399))=0,1,0)</f>
        <v>0</v>
      </c>
      <c r="V399" s="9" t="n">
        <f aca="false">IF(AND(I399="Manual",C399&lt;Parameters!$B$19,C399&gt;=Parameters!$B$19*(1-Parameters!$B$20)),1,0)</f>
        <v>0</v>
      </c>
      <c r="W399" s="9" t="n">
        <f aca="false">IF(AND(I399="Manual",M399&gt;0),1,0)</f>
        <v>0</v>
      </c>
      <c r="X399" s="9" t="n">
        <f aca="false">IF(A399-A398&gt;1,1,0)</f>
        <v>0</v>
      </c>
      <c r="Y399" s="9" t="n">
        <f aca="false">N399*Parameters!$B$38+O399*Parameters!$B$39+P399*Parameters!$B$40+Q399*Parameters!$B$41+R399*Parameters!$B$42+S399*Parameters!$B$43+T399*Parameters!$B$44+U399*Parameters!$B$45+V399*Parameters!$B$46+W399*Parameters!$B$47+X399*Parameters!$B$48</f>
        <v>0</v>
      </c>
      <c r="Z399" s="0" t="str">
        <f aca="false">IF(Y399&gt;=Parameters!$B$25,"High","")</f>
        <v/>
      </c>
    </row>
    <row r="400" customFormat="false" ht="15" hidden="false" customHeight="false" outlineLevel="0" collapsed="false">
      <c r="A400" s="16" t="n">
        <v>1403</v>
      </c>
      <c r="B400" s="9" t="n">
        <f aca="false">COUNTIF(JE_Lines!$B$5:$B$1733,A400)</f>
        <v>2</v>
      </c>
      <c r="C400" s="17" t="n">
        <f aca="false">SUMIFS(JE_Lines!$G$5:$G$1733,JE_Lines!$B$5:$B$1733,A400)</f>
        <v>244000</v>
      </c>
      <c r="D400" s="17" t="n">
        <f aca="false">SUMIFS(JE_Lines!$H$5:$H$1733,JE_Lines!$B$5:$B$1733,A400)</f>
        <v>244000</v>
      </c>
      <c r="E400" s="17" t="n">
        <f aca="false">C400-D400</f>
        <v>0</v>
      </c>
      <c r="F400" s="18" t="n">
        <f aca="false">INDEX(JE_Lines!$C$5:$C$1733,MATCH(A400,JE_Lines!$B$5:$B$1733,0))</f>
        <v>45833</v>
      </c>
      <c r="G400" s="18" t="n">
        <f aca="false">INDEX(JE_Lines!$D$5:$D$1733,MATCH(A400,JE_Lines!$B$5:$B$1733,0))</f>
        <v>45833</v>
      </c>
      <c r="H400" s="0" t="str">
        <f aca="false">INDEX(JE_Lines!$I$5:$I$1733,MATCH(A400,JE_Lines!$B$5:$B$1733,0))</f>
        <v>SYS_PAY</v>
      </c>
      <c r="I400" s="0" t="str">
        <f aca="false">INDEX(JE_Lines!$J$5:$J$1733,MATCH(A400,JE_Lines!$B$5:$B$1733,0))</f>
        <v>System</v>
      </c>
      <c r="J400" s="0" t="str">
        <f aca="false">IF(LEN(INDEX(JE_Lines!$K$5:$K$1733,MATCH(A400,JE_Lines!$B$5:$B$1733,0)))=0,"",INDEX(JE_Lines!$K$5:$K$1733,MATCH(A400,JE_Lines!$B$5:$B$1733,0)))</f>
        <v>Monthly payroll</v>
      </c>
      <c r="K400" s="9" t="n">
        <f aca="false">F400-G400</f>
        <v>0</v>
      </c>
      <c r="L400" s="9" t="n">
        <f aca="false">COUNTIFS(JE_Lines!$B$5:$B$1733,A400,JE_Lines!$F$5:$F$1733,"Revenue")</f>
        <v>0</v>
      </c>
      <c r="M400" s="9" t="n">
        <f aca="false">COUNTIFS(JE_Lines!$B$5:$B$1733,A400,JE_Lines!$F$5:$F$1733,"Suspense")</f>
        <v>0</v>
      </c>
      <c r="N400" s="9" t="n">
        <f aca="false">IF(ABS(E400)&gt;Parameters!$B$23,1,0)</f>
        <v>0</v>
      </c>
      <c r="O400" s="9" t="n">
        <f aca="false">IF(WEEKDAY(F400,2)&gt;5,1,0)</f>
        <v>0</v>
      </c>
      <c r="P400" s="9" t="n">
        <f aca="false">IF(K400&gt;Parameters!$B$17,1,0)</f>
        <v>0</v>
      </c>
      <c r="Q400" s="9" t="n">
        <f aca="false">IF(AND(F400&lt;=Parameters!$B$6,F400&gt;Parameters!$B$6-Parameters!$B$18),1,0)</f>
        <v>0</v>
      </c>
      <c r="R400" s="9" t="n">
        <f aca="false">IF(COUNTIF(Parameters!$A$51:$A$58,H400)=0,1,0)</f>
        <v>0</v>
      </c>
      <c r="S400" s="9" t="n">
        <f aca="false">IF(AND(I400="Manual",L400&gt;0),1,0)</f>
        <v>0</v>
      </c>
      <c r="T400" s="9" t="n">
        <f aca="false">IF(AND(C400&gt;=Parameters!$B$22,ROUND(MOD(ROUND(C400,2),Parameters!$B$21),2)=0),1,0)</f>
        <v>1</v>
      </c>
      <c r="U400" s="9" t="n">
        <f aca="false">IF(LEN(TRIM(J400))=0,1,0)</f>
        <v>0</v>
      </c>
      <c r="V400" s="9" t="n">
        <f aca="false">IF(AND(I400="Manual",C400&lt;Parameters!$B$19,C400&gt;=Parameters!$B$19*(1-Parameters!$B$20)),1,0)</f>
        <v>0</v>
      </c>
      <c r="W400" s="9" t="n">
        <f aca="false">IF(AND(I400="Manual",M400&gt;0),1,0)</f>
        <v>0</v>
      </c>
      <c r="X400" s="9" t="n">
        <f aca="false">IF(A400-A399&gt;1,1,0)</f>
        <v>0</v>
      </c>
      <c r="Y400" s="9" t="n">
        <f aca="false">N400*Parameters!$B$38+O400*Parameters!$B$39+P400*Parameters!$B$40+Q400*Parameters!$B$41+R400*Parameters!$B$42+S400*Parameters!$B$43+T400*Parameters!$B$44+U400*Parameters!$B$45+V400*Parameters!$B$46+W400*Parameters!$B$47+X400*Parameters!$B$48</f>
        <v>2</v>
      </c>
      <c r="Z400" s="0" t="str">
        <f aca="false">IF(Y400&gt;=Parameters!$B$25,"High","")</f>
        <v/>
      </c>
    </row>
    <row r="401" customFormat="false" ht="15" hidden="false" customHeight="false" outlineLevel="0" collapsed="false">
      <c r="A401" s="16" t="n">
        <v>1404</v>
      </c>
      <c r="B401" s="9" t="n">
        <f aca="false">COUNTIF(JE_Lines!$B$5:$B$1733,A401)</f>
        <v>2</v>
      </c>
      <c r="C401" s="17" t="n">
        <f aca="false">SUMIFS(JE_Lines!$G$5:$G$1733,JE_Lines!$B$5:$B$1733,A401)</f>
        <v>4863.28</v>
      </c>
      <c r="D401" s="17" t="n">
        <f aca="false">SUMIFS(JE_Lines!$H$5:$H$1733,JE_Lines!$B$5:$B$1733,A401)</f>
        <v>4863.28</v>
      </c>
      <c r="E401" s="17" t="n">
        <f aca="false">C401-D401</f>
        <v>0</v>
      </c>
      <c r="F401" s="18" t="n">
        <f aca="false">INDEX(JE_Lines!$C$5:$C$1733,MATCH(A401,JE_Lines!$B$5:$B$1733,0))</f>
        <v>45833</v>
      </c>
      <c r="G401" s="18" t="n">
        <f aca="false">INDEX(JE_Lines!$D$5:$D$1733,MATCH(A401,JE_Lines!$B$5:$B$1733,0))</f>
        <v>45831</v>
      </c>
      <c r="H401" s="0" t="str">
        <f aca="false">INDEX(JE_Lines!$I$5:$I$1733,MATCH(A401,JE_Lines!$B$5:$B$1733,0))</f>
        <v>SYS_AR</v>
      </c>
      <c r="I401" s="0" t="str">
        <f aca="false">INDEX(JE_Lines!$J$5:$J$1733,MATCH(A401,JE_Lines!$B$5:$B$1733,0))</f>
        <v>System</v>
      </c>
      <c r="J401" s="0" t="str">
        <f aca="false">IF(LEN(INDEX(JE_Lines!$K$5:$K$1733,MATCH(A401,JE_Lines!$B$5:$B$1733,0)))=0,"",INDEX(JE_Lines!$K$5:$K$1733,MATCH(A401,JE_Lines!$B$5:$B$1733,0)))</f>
        <v>Customer receipts</v>
      </c>
      <c r="K401" s="9" t="n">
        <f aca="false">F401-G401</f>
        <v>2</v>
      </c>
      <c r="L401" s="9" t="n">
        <f aca="false">COUNTIFS(JE_Lines!$B$5:$B$1733,A401,JE_Lines!$F$5:$F$1733,"Revenue")</f>
        <v>0</v>
      </c>
      <c r="M401" s="9" t="n">
        <f aca="false">COUNTIFS(JE_Lines!$B$5:$B$1733,A401,JE_Lines!$F$5:$F$1733,"Suspense")</f>
        <v>0</v>
      </c>
      <c r="N401" s="9" t="n">
        <f aca="false">IF(ABS(E401)&gt;Parameters!$B$23,1,0)</f>
        <v>0</v>
      </c>
      <c r="O401" s="9" t="n">
        <f aca="false">IF(WEEKDAY(F401,2)&gt;5,1,0)</f>
        <v>0</v>
      </c>
      <c r="P401" s="9" t="n">
        <f aca="false">IF(K401&gt;Parameters!$B$17,1,0)</f>
        <v>0</v>
      </c>
      <c r="Q401" s="9" t="n">
        <f aca="false">IF(AND(F401&lt;=Parameters!$B$6,F401&gt;Parameters!$B$6-Parameters!$B$18),1,0)</f>
        <v>0</v>
      </c>
      <c r="R401" s="9" t="n">
        <f aca="false">IF(COUNTIF(Parameters!$A$51:$A$58,H401)=0,1,0)</f>
        <v>0</v>
      </c>
      <c r="S401" s="9" t="n">
        <f aca="false">IF(AND(I401="Manual",L401&gt;0),1,0)</f>
        <v>0</v>
      </c>
      <c r="T401" s="9" t="n">
        <f aca="false">IF(AND(C401&gt;=Parameters!$B$22,ROUND(MOD(ROUND(C401,2),Parameters!$B$21),2)=0),1,0)</f>
        <v>0</v>
      </c>
      <c r="U401" s="9" t="n">
        <f aca="false">IF(LEN(TRIM(J401))=0,1,0)</f>
        <v>0</v>
      </c>
      <c r="V401" s="9" t="n">
        <f aca="false">IF(AND(I401="Manual",C401&lt;Parameters!$B$19,C401&gt;=Parameters!$B$19*(1-Parameters!$B$20)),1,0)</f>
        <v>0</v>
      </c>
      <c r="W401" s="9" t="n">
        <f aca="false">IF(AND(I401="Manual",M401&gt;0),1,0)</f>
        <v>0</v>
      </c>
      <c r="X401" s="9" t="n">
        <f aca="false">IF(A401-A400&gt;1,1,0)</f>
        <v>0</v>
      </c>
      <c r="Y401" s="9" t="n">
        <f aca="false">N401*Parameters!$B$38+O401*Parameters!$B$39+P401*Parameters!$B$40+Q401*Parameters!$B$41+R401*Parameters!$B$42+S401*Parameters!$B$43+T401*Parameters!$B$44+U401*Parameters!$B$45+V401*Parameters!$B$46+W401*Parameters!$B$47+X401*Parameters!$B$48</f>
        <v>0</v>
      </c>
      <c r="Z401" s="0" t="str">
        <f aca="false">IF(Y401&gt;=Parameters!$B$25,"High","")</f>
        <v/>
      </c>
    </row>
    <row r="402" customFormat="false" ht="15" hidden="false" customHeight="false" outlineLevel="0" collapsed="false">
      <c r="A402" s="16" t="n">
        <v>1405</v>
      </c>
      <c r="B402" s="9" t="n">
        <f aca="false">COUNTIF(JE_Lines!$B$5:$B$1733,A402)</f>
        <v>3</v>
      </c>
      <c r="C402" s="17" t="n">
        <f aca="false">SUMIFS(JE_Lines!$G$5:$G$1733,JE_Lines!$B$5:$B$1733,A402)</f>
        <v>4309.57</v>
      </c>
      <c r="D402" s="17" t="n">
        <f aca="false">SUMIFS(JE_Lines!$H$5:$H$1733,JE_Lines!$B$5:$B$1733,A402)</f>
        <v>4309.57</v>
      </c>
      <c r="E402" s="17" t="n">
        <f aca="false">C402-D402</f>
        <v>0</v>
      </c>
      <c r="F402" s="18" t="n">
        <f aca="false">INDEX(JE_Lines!$C$5:$C$1733,MATCH(A402,JE_Lines!$B$5:$B$1733,0))</f>
        <v>45834</v>
      </c>
      <c r="G402" s="18" t="n">
        <f aca="false">INDEX(JE_Lines!$D$5:$D$1733,MATCH(A402,JE_Lines!$B$5:$B$1733,0))</f>
        <v>45830</v>
      </c>
      <c r="H402" s="0" t="str">
        <f aca="false">INDEX(JE_Lines!$I$5:$I$1733,MATCH(A402,JE_Lines!$B$5:$B$1733,0))</f>
        <v>SYS_AR</v>
      </c>
      <c r="I402" s="0" t="str">
        <f aca="false">INDEX(JE_Lines!$J$5:$J$1733,MATCH(A402,JE_Lines!$B$5:$B$1733,0))</f>
        <v>System</v>
      </c>
      <c r="J402" s="0" t="str">
        <f aca="false">IF(LEN(INDEX(JE_Lines!$K$5:$K$1733,MATCH(A402,JE_Lines!$B$5:$B$1733,0)))=0,"",INDEX(JE_Lines!$K$5:$K$1733,MATCH(A402,JE_Lines!$B$5:$B$1733,0)))</f>
        <v>Customer receipts</v>
      </c>
      <c r="K402" s="9" t="n">
        <f aca="false">F402-G402</f>
        <v>4</v>
      </c>
      <c r="L402" s="9" t="n">
        <f aca="false">COUNTIFS(JE_Lines!$B$5:$B$1733,A402,JE_Lines!$F$5:$F$1733,"Revenue")</f>
        <v>0</v>
      </c>
      <c r="M402" s="9" t="n">
        <f aca="false">COUNTIFS(JE_Lines!$B$5:$B$1733,A402,JE_Lines!$F$5:$F$1733,"Suspense")</f>
        <v>0</v>
      </c>
      <c r="N402" s="9" t="n">
        <f aca="false">IF(ABS(E402)&gt;Parameters!$B$23,1,0)</f>
        <v>0</v>
      </c>
      <c r="O402" s="9" t="n">
        <f aca="false">IF(WEEKDAY(F402,2)&gt;5,1,0)</f>
        <v>0</v>
      </c>
      <c r="P402" s="9" t="n">
        <f aca="false">IF(K402&gt;Parameters!$B$17,1,0)</f>
        <v>0</v>
      </c>
      <c r="Q402" s="9" t="n">
        <f aca="false">IF(AND(F402&lt;=Parameters!$B$6,F402&gt;Parameters!$B$6-Parameters!$B$18),1,0)</f>
        <v>0</v>
      </c>
      <c r="R402" s="9" t="n">
        <f aca="false">IF(COUNTIF(Parameters!$A$51:$A$58,H402)=0,1,0)</f>
        <v>0</v>
      </c>
      <c r="S402" s="9" t="n">
        <f aca="false">IF(AND(I402="Manual",L402&gt;0),1,0)</f>
        <v>0</v>
      </c>
      <c r="T402" s="9" t="n">
        <f aca="false">IF(AND(C402&gt;=Parameters!$B$22,ROUND(MOD(ROUND(C402,2),Parameters!$B$21),2)=0),1,0)</f>
        <v>0</v>
      </c>
      <c r="U402" s="9" t="n">
        <f aca="false">IF(LEN(TRIM(J402))=0,1,0)</f>
        <v>0</v>
      </c>
      <c r="V402" s="9" t="n">
        <f aca="false">IF(AND(I402="Manual",C402&lt;Parameters!$B$19,C402&gt;=Parameters!$B$19*(1-Parameters!$B$20)),1,0)</f>
        <v>0</v>
      </c>
      <c r="W402" s="9" t="n">
        <f aca="false">IF(AND(I402="Manual",M402&gt;0),1,0)</f>
        <v>0</v>
      </c>
      <c r="X402" s="9" t="n">
        <f aca="false">IF(A402-A401&gt;1,1,0)</f>
        <v>0</v>
      </c>
      <c r="Y402" s="9" t="n">
        <f aca="false">N402*Parameters!$B$38+O402*Parameters!$B$39+P402*Parameters!$B$40+Q402*Parameters!$B$41+R402*Parameters!$B$42+S402*Parameters!$B$43+T402*Parameters!$B$44+U402*Parameters!$B$45+V402*Parameters!$B$46+W402*Parameters!$B$47+X402*Parameters!$B$48</f>
        <v>0</v>
      </c>
      <c r="Z402" s="0" t="str">
        <f aca="false">IF(Y402&gt;=Parameters!$B$25,"High","")</f>
        <v/>
      </c>
    </row>
    <row r="403" customFormat="false" ht="15" hidden="false" customHeight="false" outlineLevel="0" collapsed="false">
      <c r="A403" s="16" t="n">
        <v>1406</v>
      </c>
      <c r="B403" s="9" t="n">
        <f aca="false">COUNTIF(JE_Lines!$B$5:$B$1733,A403)</f>
        <v>2</v>
      </c>
      <c r="C403" s="17" t="n">
        <f aca="false">SUMIFS(JE_Lines!$G$5:$G$1733,JE_Lines!$B$5:$B$1733,A403)</f>
        <v>12134.21</v>
      </c>
      <c r="D403" s="17" t="n">
        <f aca="false">SUMIFS(JE_Lines!$H$5:$H$1733,JE_Lines!$B$5:$B$1733,A403)</f>
        <v>12134.21</v>
      </c>
      <c r="E403" s="17" t="n">
        <f aca="false">C403-D403</f>
        <v>0</v>
      </c>
      <c r="F403" s="18" t="n">
        <f aca="false">INDEX(JE_Lines!$C$5:$C$1733,MATCH(A403,JE_Lines!$B$5:$B$1733,0))</f>
        <v>45835</v>
      </c>
      <c r="G403" s="18" t="n">
        <f aca="false">INDEX(JE_Lines!$D$5:$D$1733,MATCH(A403,JE_Lines!$B$5:$B$1733,0))</f>
        <v>45833</v>
      </c>
      <c r="H403" s="0" t="str">
        <f aca="false">INDEX(JE_Lines!$I$5:$I$1733,MATCH(A403,JE_Lines!$B$5:$B$1733,0))</f>
        <v>FIN04</v>
      </c>
      <c r="I403" s="0" t="str">
        <f aca="false">INDEX(JE_Lines!$J$5:$J$1733,MATCH(A403,JE_Lines!$B$5:$B$1733,0))</f>
        <v>Manual</v>
      </c>
      <c r="J403" s="0" t="str">
        <f aca="false">IF(LEN(INDEX(JE_Lines!$K$5:$K$1733,MATCH(A403,JE_Lines!$B$5:$B$1733,0)))=0,"",INDEX(JE_Lines!$K$5:$K$1733,MATCH(A403,JE_Lines!$B$5:$B$1733,0)))</f>
        <v>Accrual for sundry costs</v>
      </c>
      <c r="K403" s="9" t="n">
        <f aca="false">F403-G403</f>
        <v>2</v>
      </c>
      <c r="L403" s="9" t="n">
        <f aca="false">COUNTIFS(JE_Lines!$B$5:$B$1733,A403,JE_Lines!$F$5:$F$1733,"Revenue")</f>
        <v>0</v>
      </c>
      <c r="M403" s="9" t="n">
        <f aca="false">COUNTIFS(JE_Lines!$B$5:$B$1733,A403,JE_Lines!$F$5:$F$1733,"Suspense")</f>
        <v>0</v>
      </c>
      <c r="N403" s="9" t="n">
        <f aca="false">IF(ABS(E403)&gt;Parameters!$B$23,1,0)</f>
        <v>0</v>
      </c>
      <c r="O403" s="9" t="n">
        <f aca="false">IF(WEEKDAY(F403,2)&gt;5,1,0)</f>
        <v>0</v>
      </c>
      <c r="P403" s="9" t="n">
        <f aca="false">IF(K403&gt;Parameters!$B$17,1,0)</f>
        <v>0</v>
      </c>
      <c r="Q403" s="9" t="n">
        <f aca="false">IF(AND(F403&lt;=Parameters!$B$6,F403&gt;Parameters!$B$6-Parameters!$B$18),1,0)</f>
        <v>0</v>
      </c>
      <c r="R403" s="9" t="n">
        <f aca="false">IF(COUNTIF(Parameters!$A$51:$A$58,H403)=0,1,0)</f>
        <v>0</v>
      </c>
      <c r="S403" s="9" t="n">
        <f aca="false">IF(AND(I403="Manual",L403&gt;0),1,0)</f>
        <v>0</v>
      </c>
      <c r="T403" s="9" t="n">
        <f aca="false">IF(AND(C403&gt;=Parameters!$B$22,ROUND(MOD(ROUND(C403,2),Parameters!$B$21),2)=0),1,0)</f>
        <v>0</v>
      </c>
      <c r="U403" s="9" t="n">
        <f aca="false">IF(LEN(TRIM(J403))=0,1,0)</f>
        <v>0</v>
      </c>
      <c r="V403" s="9" t="n">
        <f aca="false">IF(AND(I403="Manual",C403&lt;Parameters!$B$19,C403&gt;=Parameters!$B$19*(1-Parameters!$B$20)),1,0)</f>
        <v>0</v>
      </c>
      <c r="W403" s="9" t="n">
        <f aca="false">IF(AND(I403="Manual",M403&gt;0),1,0)</f>
        <v>0</v>
      </c>
      <c r="X403" s="9" t="n">
        <f aca="false">IF(A403-A402&gt;1,1,0)</f>
        <v>0</v>
      </c>
      <c r="Y403" s="9" t="n">
        <f aca="false">N403*Parameters!$B$38+O403*Parameters!$B$39+P403*Parameters!$B$40+Q403*Parameters!$B$41+R403*Parameters!$B$42+S403*Parameters!$B$43+T403*Parameters!$B$44+U403*Parameters!$B$45+V403*Parameters!$B$46+W403*Parameters!$B$47+X403*Parameters!$B$48</f>
        <v>0</v>
      </c>
      <c r="Z403" s="0" t="str">
        <f aca="false">IF(Y403&gt;=Parameters!$B$25,"High","")</f>
        <v/>
      </c>
    </row>
    <row r="404" customFormat="false" ht="15" hidden="false" customHeight="false" outlineLevel="0" collapsed="false">
      <c r="A404" s="16" t="n">
        <v>1407</v>
      </c>
      <c r="B404" s="9" t="n">
        <f aca="false">COUNTIF(JE_Lines!$B$5:$B$1733,A404)</f>
        <v>3</v>
      </c>
      <c r="C404" s="17" t="n">
        <f aca="false">SUMIFS(JE_Lines!$G$5:$G$1733,JE_Lines!$B$5:$B$1733,A404)</f>
        <v>1935.03</v>
      </c>
      <c r="D404" s="17" t="n">
        <f aca="false">SUMIFS(JE_Lines!$H$5:$H$1733,JE_Lines!$B$5:$B$1733,A404)</f>
        <v>1935.03</v>
      </c>
      <c r="E404" s="17" t="n">
        <f aca="false">C404-D404</f>
        <v>0</v>
      </c>
      <c r="F404" s="18" t="n">
        <f aca="false">INDEX(JE_Lines!$C$5:$C$1733,MATCH(A404,JE_Lines!$B$5:$B$1733,0))</f>
        <v>45835</v>
      </c>
      <c r="G404" s="18" t="n">
        <f aca="false">INDEX(JE_Lines!$D$5:$D$1733,MATCH(A404,JE_Lines!$B$5:$B$1733,0))</f>
        <v>45832</v>
      </c>
      <c r="H404" s="0" t="str">
        <f aca="false">INDEX(JE_Lines!$I$5:$I$1733,MATCH(A404,JE_Lines!$B$5:$B$1733,0))</f>
        <v>SYS_PAY</v>
      </c>
      <c r="I404" s="0" t="str">
        <f aca="false">INDEX(JE_Lines!$J$5:$J$1733,MATCH(A404,JE_Lines!$B$5:$B$1733,0))</f>
        <v>System</v>
      </c>
      <c r="J404" s="0" t="str">
        <f aca="false">IF(LEN(INDEX(JE_Lines!$K$5:$K$1733,MATCH(A404,JE_Lines!$B$5:$B$1733,0)))=0,"",INDEX(JE_Lines!$K$5:$K$1733,MATCH(A404,JE_Lines!$B$5:$B$1733,0)))</f>
        <v>Supplier payments</v>
      </c>
      <c r="K404" s="9" t="n">
        <f aca="false">F404-G404</f>
        <v>3</v>
      </c>
      <c r="L404" s="9" t="n">
        <f aca="false">COUNTIFS(JE_Lines!$B$5:$B$1733,A404,JE_Lines!$F$5:$F$1733,"Revenue")</f>
        <v>0</v>
      </c>
      <c r="M404" s="9" t="n">
        <f aca="false">COUNTIFS(JE_Lines!$B$5:$B$1733,A404,JE_Lines!$F$5:$F$1733,"Suspense")</f>
        <v>0</v>
      </c>
      <c r="N404" s="9" t="n">
        <f aca="false">IF(ABS(E404)&gt;Parameters!$B$23,1,0)</f>
        <v>0</v>
      </c>
      <c r="O404" s="9" t="n">
        <f aca="false">IF(WEEKDAY(F404,2)&gt;5,1,0)</f>
        <v>0</v>
      </c>
      <c r="P404" s="9" t="n">
        <f aca="false">IF(K404&gt;Parameters!$B$17,1,0)</f>
        <v>0</v>
      </c>
      <c r="Q404" s="9" t="n">
        <f aca="false">IF(AND(F404&lt;=Parameters!$B$6,F404&gt;Parameters!$B$6-Parameters!$B$18),1,0)</f>
        <v>0</v>
      </c>
      <c r="R404" s="9" t="n">
        <f aca="false">IF(COUNTIF(Parameters!$A$51:$A$58,H404)=0,1,0)</f>
        <v>0</v>
      </c>
      <c r="S404" s="9" t="n">
        <f aca="false">IF(AND(I404="Manual",L404&gt;0),1,0)</f>
        <v>0</v>
      </c>
      <c r="T404" s="9" t="n">
        <f aca="false">IF(AND(C404&gt;=Parameters!$B$22,ROUND(MOD(ROUND(C404,2),Parameters!$B$21),2)=0),1,0)</f>
        <v>0</v>
      </c>
      <c r="U404" s="9" t="n">
        <f aca="false">IF(LEN(TRIM(J404))=0,1,0)</f>
        <v>0</v>
      </c>
      <c r="V404" s="9" t="n">
        <f aca="false">IF(AND(I404="Manual",C404&lt;Parameters!$B$19,C404&gt;=Parameters!$B$19*(1-Parameters!$B$20)),1,0)</f>
        <v>0</v>
      </c>
      <c r="W404" s="9" t="n">
        <f aca="false">IF(AND(I404="Manual",M404&gt;0),1,0)</f>
        <v>0</v>
      </c>
      <c r="X404" s="9" t="n">
        <f aca="false">IF(A404-A403&gt;1,1,0)</f>
        <v>0</v>
      </c>
      <c r="Y404" s="9" t="n">
        <f aca="false">N404*Parameters!$B$38+O404*Parameters!$B$39+P404*Parameters!$B$40+Q404*Parameters!$B$41+R404*Parameters!$B$42+S404*Parameters!$B$43+T404*Parameters!$B$44+U404*Parameters!$B$45+V404*Parameters!$B$46+W404*Parameters!$B$47+X404*Parameters!$B$48</f>
        <v>0</v>
      </c>
      <c r="Z404" s="0" t="str">
        <f aca="false">IF(Y404&gt;=Parameters!$B$25,"High","")</f>
        <v/>
      </c>
    </row>
    <row r="405" customFormat="false" ht="15" hidden="false" customHeight="false" outlineLevel="0" collapsed="false">
      <c r="A405" s="16" t="n">
        <v>1408</v>
      </c>
      <c r="B405" s="9" t="n">
        <f aca="false">COUNTIF(JE_Lines!$B$5:$B$1733,A405)</f>
        <v>2</v>
      </c>
      <c r="C405" s="17" t="n">
        <f aca="false">SUMIFS(JE_Lines!$G$5:$G$1733,JE_Lines!$B$5:$B$1733,A405)</f>
        <v>7659.9</v>
      </c>
      <c r="D405" s="17" t="n">
        <f aca="false">SUMIFS(JE_Lines!$H$5:$H$1733,JE_Lines!$B$5:$B$1733,A405)</f>
        <v>7659.9</v>
      </c>
      <c r="E405" s="17" t="n">
        <f aca="false">C405-D405</f>
        <v>0</v>
      </c>
      <c r="F405" s="18" t="n">
        <f aca="false">INDEX(JE_Lines!$C$5:$C$1733,MATCH(A405,JE_Lines!$B$5:$B$1733,0))</f>
        <v>45835</v>
      </c>
      <c r="G405" s="18" t="n">
        <f aca="false">INDEX(JE_Lines!$D$5:$D$1733,MATCH(A405,JE_Lines!$B$5:$B$1733,0))</f>
        <v>45832</v>
      </c>
      <c r="H405" s="0" t="str">
        <f aca="false">INDEX(JE_Lines!$I$5:$I$1733,MATCH(A405,JE_Lines!$B$5:$B$1733,0))</f>
        <v>SYS_AR</v>
      </c>
      <c r="I405" s="0" t="str">
        <f aca="false">INDEX(JE_Lines!$J$5:$J$1733,MATCH(A405,JE_Lines!$B$5:$B$1733,0))</f>
        <v>System</v>
      </c>
      <c r="J405" s="0" t="str">
        <f aca="false">IF(LEN(INDEX(JE_Lines!$K$5:$K$1733,MATCH(A405,JE_Lines!$B$5:$B$1733,0)))=0,"",INDEX(JE_Lines!$K$5:$K$1733,MATCH(A405,JE_Lines!$B$5:$B$1733,0)))</f>
        <v>Cost of sales posting</v>
      </c>
      <c r="K405" s="9" t="n">
        <f aca="false">F405-G405</f>
        <v>3</v>
      </c>
      <c r="L405" s="9" t="n">
        <f aca="false">COUNTIFS(JE_Lines!$B$5:$B$1733,A405,JE_Lines!$F$5:$F$1733,"Revenue")</f>
        <v>0</v>
      </c>
      <c r="M405" s="9" t="n">
        <f aca="false">COUNTIFS(JE_Lines!$B$5:$B$1733,A405,JE_Lines!$F$5:$F$1733,"Suspense")</f>
        <v>0</v>
      </c>
      <c r="N405" s="9" t="n">
        <f aca="false">IF(ABS(E405)&gt;Parameters!$B$23,1,0)</f>
        <v>0</v>
      </c>
      <c r="O405" s="9" t="n">
        <f aca="false">IF(WEEKDAY(F405,2)&gt;5,1,0)</f>
        <v>0</v>
      </c>
      <c r="P405" s="9" t="n">
        <f aca="false">IF(K405&gt;Parameters!$B$17,1,0)</f>
        <v>0</v>
      </c>
      <c r="Q405" s="9" t="n">
        <f aca="false">IF(AND(F405&lt;=Parameters!$B$6,F405&gt;Parameters!$B$6-Parameters!$B$18),1,0)</f>
        <v>0</v>
      </c>
      <c r="R405" s="9" t="n">
        <f aca="false">IF(COUNTIF(Parameters!$A$51:$A$58,H405)=0,1,0)</f>
        <v>0</v>
      </c>
      <c r="S405" s="9" t="n">
        <f aca="false">IF(AND(I405="Manual",L405&gt;0),1,0)</f>
        <v>0</v>
      </c>
      <c r="T405" s="9" t="n">
        <f aca="false">IF(AND(C405&gt;=Parameters!$B$22,ROUND(MOD(ROUND(C405,2),Parameters!$B$21),2)=0),1,0)</f>
        <v>0</v>
      </c>
      <c r="U405" s="9" t="n">
        <f aca="false">IF(LEN(TRIM(J405))=0,1,0)</f>
        <v>0</v>
      </c>
      <c r="V405" s="9" t="n">
        <f aca="false">IF(AND(I405="Manual",C405&lt;Parameters!$B$19,C405&gt;=Parameters!$B$19*(1-Parameters!$B$20)),1,0)</f>
        <v>0</v>
      </c>
      <c r="W405" s="9" t="n">
        <f aca="false">IF(AND(I405="Manual",M405&gt;0),1,0)</f>
        <v>0</v>
      </c>
      <c r="X405" s="9" t="n">
        <f aca="false">IF(A405-A404&gt;1,1,0)</f>
        <v>0</v>
      </c>
      <c r="Y405" s="9" t="n">
        <f aca="false">N405*Parameters!$B$38+O405*Parameters!$B$39+P405*Parameters!$B$40+Q405*Parameters!$B$41+R405*Parameters!$B$42+S405*Parameters!$B$43+T405*Parameters!$B$44+U405*Parameters!$B$45+V405*Parameters!$B$46+W405*Parameters!$B$47+X405*Parameters!$B$48</f>
        <v>0</v>
      </c>
      <c r="Z405" s="0" t="str">
        <f aca="false">IF(Y405&gt;=Parameters!$B$25,"High","")</f>
        <v/>
      </c>
    </row>
    <row r="406" customFormat="false" ht="15" hidden="false" customHeight="false" outlineLevel="0" collapsed="false">
      <c r="A406" s="16" t="n">
        <v>1409</v>
      </c>
      <c r="B406" s="9" t="n">
        <f aca="false">COUNTIF(JE_Lines!$B$5:$B$1733,A406)</f>
        <v>2</v>
      </c>
      <c r="C406" s="17" t="n">
        <f aca="false">SUMIFS(JE_Lines!$G$5:$G$1733,JE_Lines!$B$5:$B$1733,A406)</f>
        <v>10089.05</v>
      </c>
      <c r="D406" s="17" t="n">
        <f aca="false">SUMIFS(JE_Lines!$H$5:$H$1733,JE_Lines!$B$5:$B$1733,A406)</f>
        <v>10089.05</v>
      </c>
      <c r="E406" s="17" t="n">
        <f aca="false">C406-D406</f>
        <v>0</v>
      </c>
      <c r="F406" s="18" t="n">
        <f aca="false">INDEX(JE_Lines!$C$5:$C$1733,MATCH(A406,JE_Lines!$B$5:$B$1733,0))</f>
        <v>45835</v>
      </c>
      <c r="G406" s="18" t="n">
        <f aca="false">INDEX(JE_Lines!$D$5:$D$1733,MATCH(A406,JE_Lines!$B$5:$B$1733,0))</f>
        <v>45833</v>
      </c>
      <c r="H406" s="0" t="str">
        <f aca="false">INDEX(JE_Lines!$I$5:$I$1733,MATCH(A406,JE_Lines!$B$5:$B$1733,0))</f>
        <v>SYS_PAY</v>
      </c>
      <c r="I406" s="0" t="str">
        <f aca="false">INDEX(JE_Lines!$J$5:$J$1733,MATCH(A406,JE_Lines!$B$5:$B$1733,0))</f>
        <v>System</v>
      </c>
      <c r="J406" s="0" t="str">
        <f aca="false">IF(LEN(INDEX(JE_Lines!$K$5:$K$1733,MATCH(A406,JE_Lines!$B$5:$B$1733,0)))=0,"",INDEX(JE_Lines!$K$5:$K$1733,MATCH(A406,JE_Lines!$B$5:$B$1733,0)))</f>
        <v>Supplier payments</v>
      </c>
      <c r="K406" s="9" t="n">
        <f aca="false">F406-G406</f>
        <v>2</v>
      </c>
      <c r="L406" s="9" t="n">
        <f aca="false">COUNTIFS(JE_Lines!$B$5:$B$1733,A406,JE_Lines!$F$5:$F$1733,"Revenue")</f>
        <v>0</v>
      </c>
      <c r="M406" s="9" t="n">
        <f aca="false">COUNTIFS(JE_Lines!$B$5:$B$1733,A406,JE_Lines!$F$5:$F$1733,"Suspense")</f>
        <v>0</v>
      </c>
      <c r="N406" s="9" t="n">
        <f aca="false">IF(ABS(E406)&gt;Parameters!$B$23,1,0)</f>
        <v>0</v>
      </c>
      <c r="O406" s="9" t="n">
        <f aca="false">IF(WEEKDAY(F406,2)&gt;5,1,0)</f>
        <v>0</v>
      </c>
      <c r="P406" s="9" t="n">
        <f aca="false">IF(K406&gt;Parameters!$B$17,1,0)</f>
        <v>0</v>
      </c>
      <c r="Q406" s="9" t="n">
        <f aca="false">IF(AND(F406&lt;=Parameters!$B$6,F406&gt;Parameters!$B$6-Parameters!$B$18),1,0)</f>
        <v>0</v>
      </c>
      <c r="R406" s="9" t="n">
        <f aca="false">IF(COUNTIF(Parameters!$A$51:$A$58,H406)=0,1,0)</f>
        <v>0</v>
      </c>
      <c r="S406" s="9" t="n">
        <f aca="false">IF(AND(I406="Manual",L406&gt;0),1,0)</f>
        <v>0</v>
      </c>
      <c r="T406" s="9" t="n">
        <f aca="false">IF(AND(C406&gt;=Parameters!$B$22,ROUND(MOD(ROUND(C406,2),Parameters!$B$21),2)=0),1,0)</f>
        <v>0</v>
      </c>
      <c r="U406" s="9" t="n">
        <f aca="false">IF(LEN(TRIM(J406))=0,1,0)</f>
        <v>0</v>
      </c>
      <c r="V406" s="9" t="n">
        <f aca="false">IF(AND(I406="Manual",C406&lt;Parameters!$B$19,C406&gt;=Parameters!$B$19*(1-Parameters!$B$20)),1,0)</f>
        <v>0</v>
      </c>
      <c r="W406" s="9" t="n">
        <f aca="false">IF(AND(I406="Manual",M406&gt;0),1,0)</f>
        <v>0</v>
      </c>
      <c r="X406" s="9" t="n">
        <f aca="false">IF(A406-A405&gt;1,1,0)</f>
        <v>0</v>
      </c>
      <c r="Y406" s="9" t="n">
        <f aca="false">N406*Parameters!$B$38+O406*Parameters!$B$39+P406*Parameters!$B$40+Q406*Parameters!$B$41+R406*Parameters!$B$42+S406*Parameters!$B$43+T406*Parameters!$B$44+U406*Parameters!$B$45+V406*Parameters!$B$46+W406*Parameters!$B$47+X406*Parameters!$B$48</f>
        <v>0</v>
      </c>
      <c r="Z406" s="0" t="str">
        <f aca="false">IF(Y406&gt;=Parameters!$B$25,"High","")</f>
        <v/>
      </c>
    </row>
    <row r="407" customFormat="false" ht="15" hidden="false" customHeight="false" outlineLevel="0" collapsed="false">
      <c r="A407" s="16" t="n">
        <v>1410</v>
      </c>
      <c r="B407" s="9" t="n">
        <f aca="false">COUNTIF(JE_Lines!$B$5:$B$1733,A407)</f>
        <v>2</v>
      </c>
      <c r="C407" s="17" t="n">
        <f aca="false">SUMIFS(JE_Lines!$G$5:$G$1733,JE_Lines!$B$5:$B$1733,A407)</f>
        <v>207.5</v>
      </c>
      <c r="D407" s="17" t="n">
        <f aca="false">SUMIFS(JE_Lines!$H$5:$H$1733,JE_Lines!$B$5:$B$1733,A407)</f>
        <v>207.5</v>
      </c>
      <c r="E407" s="17" t="n">
        <f aca="false">C407-D407</f>
        <v>0</v>
      </c>
      <c r="F407" s="18" t="n">
        <f aca="false">INDEX(JE_Lines!$C$5:$C$1733,MATCH(A407,JE_Lines!$B$5:$B$1733,0))</f>
        <v>45835</v>
      </c>
      <c r="G407" s="18" t="n">
        <f aca="false">INDEX(JE_Lines!$D$5:$D$1733,MATCH(A407,JE_Lines!$B$5:$B$1733,0))</f>
        <v>45832</v>
      </c>
      <c r="H407" s="0" t="str">
        <f aca="false">INDEX(JE_Lines!$I$5:$I$1733,MATCH(A407,JE_Lines!$B$5:$B$1733,0))</f>
        <v>SYS_AR</v>
      </c>
      <c r="I407" s="0" t="str">
        <f aca="false">INDEX(JE_Lines!$J$5:$J$1733,MATCH(A407,JE_Lines!$B$5:$B$1733,0))</f>
        <v>System</v>
      </c>
      <c r="J407" s="0" t="str">
        <f aca="false">IF(LEN(INDEX(JE_Lines!$K$5:$K$1733,MATCH(A407,JE_Lines!$B$5:$B$1733,0)))=0,"",INDEX(JE_Lines!$K$5:$K$1733,MATCH(A407,JE_Lines!$B$5:$B$1733,0)))</f>
        <v>Customer receipts</v>
      </c>
      <c r="K407" s="9" t="n">
        <f aca="false">F407-G407</f>
        <v>3</v>
      </c>
      <c r="L407" s="9" t="n">
        <f aca="false">COUNTIFS(JE_Lines!$B$5:$B$1733,A407,JE_Lines!$F$5:$F$1733,"Revenue")</f>
        <v>0</v>
      </c>
      <c r="M407" s="9" t="n">
        <f aca="false">COUNTIFS(JE_Lines!$B$5:$B$1733,A407,JE_Lines!$F$5:$F$1733,"Suspense")</f>
        <v>0</v>
      </c>
      <c r="N407" s="9" t="n">
        <f aca="false">IF(ABS(E407)&gt;Parameters!$B$23,1,0)</f>
        <v>0</v>
      </c>
      <c r="O407" s="9" t="n">
        <f aca="false">IF(WEEKDAY(F407,2)&gt;5,1,0)</f>
        <v>0</v>
      </c>
      <c r="P407" s="9" t="n">
        <f aca="false">IF(K407&gt;Parameters!$B$17,1,0)</f>
        <v>0</v>
      </c>
      <c r="Q407" s="9" t="n">
        <f aca="false">IF(AND(F407&lt;=Parameters!$B$6,F407&gt;Parameters!$B$6-Parameters!$B$18),1,0)</f>
        <v>0</v>
      </c>
      <c r="R407" s="9" t="n">
        <f aca="false">IF(COUNTIF(Parameters!$A$51:$A$58,H407)=0,1,0)</f>
        <v>0</v>
      </c>
      <c r="S407" s="9" t="n">
        <f aca="false">IF(AND(I407="Manual",L407&gt;0),1,0)</f>
        <v>0</v>
      </c>
      <c r="T407" s="9" t="n">
        <f aca="false">IF(AND(C407&gt;=Parameters!$B$22,ROUND(MOD(ROUND(C407,2),Parameters!$B$21),2)=0),1,0)</f>
        <v>0</v>
      </c>
      <c r="U407" s="9" t="n">
        <f aca="false">IF(LEN(TRIM(J407))=0,1,0)</f>
        <v>0</v>
      </c>
      <c r="V407" s="9" t="n">
        <f aca="false">IF(AND(I407="Manual",C407&lt;Parameters!$B$19,C407&gt;=Parameters!$B$19*(1-Parameters!$B$20)),1,0)</f>
        <v>0</v>
      </c>
      <c r="W407" s="9" t="n">
        <f aca="false">IF(AND(I407="Manual",M407&gt;0),1,0)</f>
        <v>0</v>
      </c>
      <c r="X407" s="9" t="n">
        <f aca="false">IF(A407-A406&gt;1,1,0)</f>
        <v>0</v>
      </c>
      <c r="Y407" s="9" t="n">
        <f aca="false">N407*Parameters!$B$38+O407*Parameters!$B$39+P407*Parameters!$B$40+Q407*Parameters!$B$41+R407*Parameters!$B$42+S407*Parameters!$B$43+T407*Parameters!$B$44+U407*Parameters!$B$45+V407*Parameters!$B$46+W407*Parameters!$B$47+X407*Parameters!$B$48</f>
        <v>0</v>
      </c>
      <c r="Z407" s="0" t="str">
        <f aca="false">IF(Y407&gt;=Parameters!$B$25,"High","")</f>
        <v/>
      </c>
    </row>
    <row r="408" customFormat="false" ht="15" hidden="false" customHeight="false" outlineLevel="0" collapsed="false">
      <c r="A408" s="16" t="n">
        <v>1411</v>
      </c>
      <c r="B408" s="9" t="n">
        <f aca="false">COUNTIF(JE_Lines!$B$5:$B$1733,A408)</f>
        <v>3</v>
      </c>
      <c r="C408" s="17" t="n">
        <f aca="false">SUMIFS(JE_Lines!$G$5:$G$1733,JE_Lines!$B$5:$B$1733,A408)</f>
        <v>133418.43</v>
      </c>
      <c r="D408" s="17" t="n">
        <f aca="false">SUMIFS(JE_Lines!$H$5:$H$1733,JE_Lines!$B$5:$B$1733,A408)</f>
        <v>133418.43</v>
      </c>
      <c r="E408" s="17" t="n">
        <f aca="false">C408-D408</f>
        <v>0</v>
      </c>
      <c r="F408" s="18" t="n">
        <f aca="false">INDEX(JE_Lines!$C$5:$C$1733,MATCH(A408,JE_Lines!$B$5:$B$1733,0))</f>
        <v>45838</v>
      </c>
      <c r="G408" s="18" t="n">
        <f aca="false">INDEX(JE_Lines!$D$5:$D$1733,MATCH(A408,JE_Lines!$B$5:$B$1733,0))</f>
        <v>45834</v>
      </c>
      <c r="H408" s="0" t="str">
        <f aca="false">INDEX(JE_Lines!$I$5:$I$1733,MATCH(A408,JE_Lines!$B$5:$B$1733,0))</f>
        <v>SYS_AP</v>
      </c>
      <c r="I408" s="0" t="str">
        <f aca="false">INDEX(JE_Lines!$J$5:$J$1733,MATCH(A408,JE_Lines!$B$5:$B$1733,0))</f>
        <v>System</v>
      </c>
      <c r="J408" s="0" t="str">
        <f aca="false">IF(LEN(INDEX(JE_Lines!$K$5:$K$1733,MATCH(A408,JE_Lines!$B$5:$B$1733,0)))=0,"",INDEX(JE_Lines!$K$5:$K$1733,MATCH(A408,JE_Lines!$B$5:$B$1733,0)))</f>
        <v>Fixed asset additions</v>
      </c>
      <c r="K408" s="9" t="n">
        <f aca="false">F408-G408</f>
        <v>4</v>
      </c>
      <c r="L408" s="9" t="n">
        <f aca="false">COUNTIFS(JE_Lines!$B$5:$B$1733,A408,JE_Lines!$F$5:$F$1733,"Revenue")</f>
        <v>0</v>
      </c>
      <c r="M408" s="9" t="n">
        <f aca="false">COUNTIFS(JE_Lines!$B$5:$B$1733,A408,JE_Lines!$F$5:$F$1733,"Suspense")</f>
        <v>0</v>
      </c>
      <c r="N408" s="9" t="n">
        <f aca="false">IF(ABS(E408)&gt;Parameters!$B$23,1,0)</f>
        <v>0</v>
      </c>
      <c r="O408" s="9" t="n">
        <f aca="false">IF(WEEKDAY(F408,2)&gt;5,1,0)</f>
        <v>0</v>
      </c>
      <c r="P408" s="9" t="n">
        <f aca="false">IF(K408&gt;Parameters!$B$17,1,0)</f>
        <v>0</v>
      </c>
      <c r="Q408" s="9" t="n">
        <f aca="false">IF(AND(F408&lt;=Parameters!$B$6,F408&gt;Parameters!$B$6-Parameters!$B$18),1,0)</f>
        <v>0</v>
      </c>
      <c r="R408" s="9" t="n">
        <f aca="false">IF(COUNTIF(Parameters!$A$51:$A$58,H408)=0,1,0)</f>
        <v>0</v>
      </c>
      <c r="S408" s="9" t="n">
        <f aca="false">IF(AND(I408="Manual",L408&gt;0),1,0)</f>
        <v>0</v>
      </c>
      <c r="T408" s="9" t="n">
        <f aca="false">IF(AND(C408&gt;=Parameters!$B$22,ROUND(MOD(ROUND(C408,2),Parameters!$B$21),2)=0),1,0)</f>
        <v>0</v>
      </c>
      <c r="U408" s="9" t="n">
        <f aca="false">IF(LEN(TRIM(J408))=0,1,0)</f>
        <v>0</v>
      </c>
      <c r="V408" s="9" t="n">
        <f aca="false">IF(AND(I408="Manual",C408&lt;Parameters!$B$19,C408&gt;=Parameters!$B$19*(1-Parameters!$B$20)),1,0)</f>
        <v>0</v>
      </c>
      <c r="W408" s="9" t="n">
        <f aca="false">IF(AND(I408="Manual",M408&gt;0),1,0)</f>
        <v>0</v>
      </c>
      <c r="X408" s="9" t="n">
        <f aca="false">IF(A408-A407&gt;1,1,0)</f>
        <v>0</v>
      </c>
      <c r="Y408" s="9" t="n">
        <f aca="false">N408*Parameters!$B$38+O408*Parameters!$B$39+P408*Parameters!$B$40+Q408*Parameters!$B$41+R408*Parameters!$B$42+S408*Parameters!$B$43+T408*Parameters!$B$44+U408*Parameters!$B$45+V408*Parameters!$B$46+W408*Parameters!$B$47+X408*Parameters!$B$48</f>
        <v>0</v>
      </c>
      <c r="Z408" s="0" t="str">
        <f aca="false">IF(Y408&gt;=Parameters!$B$25,"High","")</f>
        <v/>
      </c>
    </row>
    <row r="409" customFormat="false" ht="15" hidden="false" customHeight="false" outlineLevel="0" collapsed="false">
      <c r="A409" s="16" t="n">
        <v>1412</v>
      </c>
      <c r="B409" s="9" t="n">
        <f aca="false">COUNTIF(JE_Lines!$B$5:$B$1733,A409)</f>
        <v>2</v>
      </c>
      <c r="C409" s="17" t="n">
        <f aca="false">SUMIFS(JE_Lines!$G$5:$G$1733,JE_Lines!$B$5:$B$1733,A409)</f>
        <v>298.66</v>
      </c>
      <c r="D409" s="17" t="n">
        <f aca="false">SUMIFS(JE_Lines!$H$5:$H$1733,JE_Lines!$B$5:$B$1733,A409)</f>
        <v>298.66</v>
      </c>
      <c r="E409" s="17" t="n">
        <f aca="false">C409-D409</f>
        <v>0</v>
      </c>
      <c r="F409" s="18" t="n">
        <f aca="false">INDEX(JE_Lines!$C$5:$C$1733,MATCH(A409,JE_Lines!$B$5:$B$1733,0))</f>
        <v>45838</v>
      </c>
      <c r="G409" s="18" t="n">
        <f aca="false">INDEX(JE_Lines!$D$5:$D$1733,MATCH(A409,JE_Lines!$B$5:$B$1733,0))</f>
        <v>45838</v>
      </c>
      <c r="H409" s="0" t="str">
        <f aca="false">INDEX(JE_Lines!$I$5:$I$1733,MATCH(A409,JE_Lines!$B$5:$B$1733,0))</f>
        <v>SYS_PAY</v>
      </c>
      <c r="I409" s="0" t="str">
        <f aca="false">INDEX(JE_Lines!$J$5:$J$1733,MATCH(A409,JE_Lines!$B$5:$B$1733,0))</f>
        <v>System</v>
      </c>
      <c r="J409" s="0" t="str">
        <f aca="false">IF(LEN(INDEX(JE_Lines!$K$5:$K$1733,MATCH(A409,JE_Lines!$B$5:$B$1733,0)))=0,"",INDEX(JE_Lines!$K$5:$K$1733,MATCH(A409,JE_Lines!$B$5:$B$1733,0)))</f>
        <v>Supplier payments</v>
      </c>
      <c r="K409" s="9" t="n">
        <f aca="false">F409-G409</f>
        <v>0</v>
      </c>
      <c r="L409" s="9" t="n">
        <f aca="false">COUNTIFS(JE_Lines!$B$5:$B$1733,A409,JE_Lines!$F$5:$F$1733,"Revenue")</f>
        <v>0</v>
      </c>
      <c r="M409" s="9" t="n">
        <f aca="false">COUNTIFS(JE_Lines!$B$5:$B$1733,A409,JE_Lines!$F$5:$F$1733,"Suspense")</f>
        <v>0</v>
      </c>
      <c r="N409" s="9" t="n">
        <f aca="false">IF(ABS(E409)&gt;Parameters!$B$23,1,0)</f>
        <v>0</v>
      </c>
      <c r="O409" s="9" t="n">
        <f aca="false">IF(WEEKDAY(F409,2)&gt;5,1,0)</f>
        <v>0</v>
      </c>
      <c r="P409" s="9" t="n">
        <f aca="false">IF(K409&gt;Parameters!$B$17,1,0)</f>
        <v>0</v>
      </c>
      <c r="Q409" s="9" t="n">
        <f aca="false">IF(AND(F409&lt;=Parameters!$B$6,F409&gt;Parameters!$B$6-Parameters!$B$18),1,0)</f>
        <v>0</v>
      </c>
      <c r="R409" s="9" t="n">
        <f aca="false">IF(COUNTIF(Parameters!$A$51:$A$58,H409)=0,1,0)</f>
        <v>0</v>
      </c>
      <c r="S409" s="9" t="n">
        <f aca="false">IF(AND(I409="Manual",L409&gt;0),1,0)</f>
        <v>0</v>
      </c>
      <c r="T409" s="9" t="n">
        <f aca="false">IF(AND(C409&gt;=Parameters!$B$22,ROUND(MOD(ROUND(C409,2),Parameters!$B$21),2)=0),1,0)</f>
        <v>0</v>
      </c>
      <c r="U409" s="9" t="n">
        <f aca="false">IF(LEN(TRIM(J409))=0,1,0)</f>
        <v>0</v>
      </c>
      <c r="V409" s="9" t="n">
        <f aca="false">IF(AND(I409="Manual",C409&lt;Parameters!$B$19,C409&gt;=Parameters!$B$19*(1-Parameters!$B$20)),1,0)</f>
        <v>0</v>
      </c>
      <c r="W409" s="9" t="n">
        <f aca="false">IF(AND(I409="Manual",M409&gt;0),1,0)</f>
        <v>0</v>
      </c>
      <c r="X409" s="9" t="n">
        <f aca="false">IF(A409-A408&gt;1,1,0)</f>
        <v>0</v>
      </c>
      <c r="Y409" s="9" t="n">
        <f aca="false">N409*Parameters!$B$38+O409*Parameters!$B$39+P409*Parameters!$B$40+Q409*Parameters!$B$41+R409*Parameters!$B$42+S409*Parameters!$B$43+T409*Parameters!$B$44+U409*Parameters!$B$45+V409*Parameters!$B$46+W409*Parameters!$B$47+X409*Parameters!$B$48</f>
        <v>0</v>
      </c>
      <c r="Z409" s="0" t="str">
        <f aca="false">IF(Y409&gt;=Parameters!$B$25,"High","")</f>
        <v/>
      </c>
    </row>
    <row r="410" customFormat="false" ht="15" hidden="false" customHeight="false" outlineLevel="0" collapsed="false">
      <c r="A410" s="16" t="n">
        <v>1413</v>
      </c>
      <c r="B410" s="9" t="n">
        <f aca="false">COUNTIF(JE_Lines!$B$5:$B$1733,A410)</f>
        <v>2</v>
      </c>
      <c r="C410" s="17" t="n">
        <f aca="false">SUMIFS(JE_Lines!$G$5:$G$1733,JE_Lines!$B$5:$B$1733,A410)</f>
        <v>2539.87</v>
      </c>
      <c r="D410" s="17" t="n">
        <f aca="false">SUMIFS(JE_Lines!$H$5:$H$1733,JE_Lines!$B$5:$B$1733,A410)</f>
        <v>2539.87</v>
      </c>
      <c r="E410" s="17" t="n">
        <f aca="false">C410-D410</f>
        <v>0</v>
      </c>
      <c r="F410" s="18" t="n">
        <f aca="false">INDEX(JE_Lines!$C$5:$C$1733,MATCH(A410,JE_Lines!$B$5:$B$1733,0))</f>
        <v>45838</v>
      </c>
      <c r="G410" s="18" t="n">
        <f aca="false">INDEX(JE_Lines!$D$5:$D$1733,MATCH(A410,JE_Lines!$B$5:$B$1733,0))</f>
        <v>45835</v>
      </c>
      <c r="H410" s="0" t="str">
        <f aca="false">INDEX(JE_Lines!$I$5:$I$1733,MATCH(A410,JE_Lines!$B$5:$B$1733,0))</f>
        <v>SYS_AP</v>
      </c>
      <c r="I410" s="0" t="str">
        <f aca="false">INDEX(JE_Lines!$J$5:$J$1733,MATCH(A410,JE_Lines!$B$5:$B$1733,0))</f>
        <v>System</v>
      </c>
      <c r="J410" s="0" t="str">
        <f aca="false">IF(LEN(INDEX(JE_Lines!$K$5:$K$1733,MATCH(A410,JE_Lines!$B$5:$B$1733,0)))=0,"",INDEX(JE_Lines!$K$5:$K$1733,MATCH(A410,JE_Lines!$B$5:$B$1733,0)))</f>
        <v>Supplier invoices</v>
      </c>
      <c r="K410" s="9" t="n">
        <f aca="false">F410-G410</f>
        <v>3</v>
      </c>
      <c r="L410" s="9" t="n">
        <f aca="false">COUNTIFS(JE_Lines!$B$5:$B$1733,A410,JE_Lines!$F$5:$F$1733,"Revenue")</f>
        <v>0</v>
      </c>
      <c r="M410" s="9" t="n">
        <f aca="false">COUNTIFS(JE_Lines!$B$5:$B$1733,A410,JE_Lines!$F$5:$F$1733,"Suspense")</f>
        <v>0</v>
      </c>
      <c r="N410" s="9" t="n">
        <f aca="false">IF(ABS(E410)&gt;Parameters!$B$23,1,0)</f>
        <v>0</v>
      </c>
      <c r="O410" s="9" t="n">
        <f aca="false">IF(WEEKDAY(F410,2)&gt;5,1,0)</f>
        <v>0</v>
      </c>
      <c r="P410" s="9" t="n">
        <f aca="false">IF(K410&gt;Parameters!$B$17,1,0)</f>
        <v>0</v>
      </c>
      <c r="Q410" s="9" t="n">
        <f aca="false">IF(AND(F410&lt;=Parameters!$B$6,F410&gt;Parameters!$B$6-Parameters!$B$18),1,0)</f>
        <v>0</v>
      </c>
      <c r="R410" s="9" t="n">
        <f aca="false">IF(COUNTIF(Parameters!$A$51:$A$58,H410)=0,1,0)</f>
        <v>0</v>
      </c>
      <c r="S410" s="9" t="n">
        <f aca="false">IF(AND(I410="Manual",L410&gt;0),1,0)</f>
        <v>0</v>
      </c>
      <c r="T410" s="9" t="n">
        <f aca="false">IF(AND(C410&gt;=Parameters!$B$22,ROUND(MOD(ROUND(C410,2),Parameters!$B$21),2)=0),1,0)</f>
        <v>0</v>
      </c>
      <c r="U410" s="9" t="n">
        <f aca="false">IF(LEN(TRIM(J410))=0,1,0)</f>
        <v>0</v>
      </c>
      <c r="V410" s="9" t="n">
        <f aca="false">IF(AND(I410="Manual",C410&lt;Parameters!$B$19,C410&gt;=Parameters!$B$19*(1-Parameters!$B$20)),1,0)</f>
        <v>0</v>
      </c>
      <c r="W410" s="9" t="n">
        <f aca="false">IF(AND(I410="Manual",M410&gt;0),1,0)</f>
        <v>0</v>
      </c>
      <c r="X410" s="9" t="n">
        <f aca="false">IF(A410-A409&gt;1,1,0)</f>
        <v>0</v>
      </c>
      <c r="Y410" s="9" t="n">
        <f aca="false">N410*Parameters!$B$38+O410*Parameters!$B$39+P410*Parameters!$B$40+Q410*Parameters!$B$41+R410*Parameters!$B$42+S410*Parameters!$B$43+T410*Parameters!$B$44+U410*Parameters!$B$45+V410*Parameters!$B$46+W410*Parameters!$B$47+X410*Parameters!$B$48</f>
        <v>0</v>
      </c>
      <c r="Z410" s="0" t="str">
        <f aca="false">IF(Y410&gt;=Parameters!$B$25,"High","")</f>
        <v/>
      </c>
    </row>
    <row r="411" customFormat="false" ht="15" hidden="false" customHeight="false" outlineLevel="0" collapsed="false">
      <c r="A411" s="16" t="n">
        <v>1414</v>
      </c>
      <c r="B411" s="9" t="n">
        <f aca="false">COUNTIF(JE_Lines!$B$5:$B$1733,A411)</f>
        <v>3</v>
      </c>
      <c r="C411" s="17" t="n">
        <f aca="false">SUMIFS(JE_Lines!$G$5:$G$1733,JE_Lines!$B$5:$B$1733,A411)</f>
        <v>1322.35</v>
      </c>
      <c r="D411" s="17" t="n">
        <f aca="false">SUMIFS(JE_Lines!$H$5:$H$1733,JE_Lines!$B$5:$B$1733,A411)</f>
        <v>1322.35</v>
      </c>
      <c r="E411" s="17" t="n">
        <f aca="false">C411-D411</f>
        <v>0</v>
      </c>
      <c r="F411" s="18" t="n">
        <f aca="false">INDEX(JE_Lines!$C$5:$C$1733,MATCH(A411,JE_Lines!$B$5:$B$1733,0))</f>
        <v>45838</v>
      </c>
      <c r="G411" s="18" t="n">
        <f aca="false">INDEX(JE_Lines!$D$5:$D$1733,MATCH(A411,JE_Lines!$B$5:$B$1733,0))</f>
        <v>45836</v>
      </c>
      <c r="H411" s="0" t="str">
        <f aca="false">INDEX(JE_Lines!$I$5:$I$1733,MATCH(A411,JE_Lines!$B$5:$B$1733,0))</f>
        <v>SYS_AR</v>
      </c>
      <c r="I411" s="0" t="str">
        <f aca="false">INDEX(JE_Lines!$J$5:$J$1733,MATCH(A411,JE_Lines!$B$5:$B$1733,0))</f>
        <v>System</v>
      </c>
      <c r="J411" s="0" t="str">
        <f aca="false">IF(LEN(INDEX(JE_Lines!$K$5:$K$1733,MATCH(A411,JE_Lines!$B$5:$B$1733,0)))=0,"",INDEX(JE_Lines!$K$5:$K$1733,MATCH(A411,JE_Lines!$B$5:$B$1733,0)))</f>
        <v>Sales invoice batch</v>
      </c>
      <c r="K411" s="9" t="n">
        <f aca="false">F411-G411</f>
        <v>2</v>
      </c>
      <c r="L411" s="9" t="n">
        <f aca="false">COUNTIFS(JE_Lines!$B$5:$B$1733,A411,JE_Lines!$F$5:$F$1733,"Revenue")</f>
        <v>1</v>
      </c>
      <c r="M411" s="9" t="n">
        <f aca="false">COUNTIFS(JE_Lines!$B$5:$B$1733,A411,JE_Lines!$F$5:$F$1733,"Suspense")</f>
        <v>0</v>
      </c>
      <c r="N411" s="9" t="n">
        <f aca="false">IF(ABS(E411)&gt;Parameters!$B$23,1,0)</f>
        <v>0</v>
      </c>
      <c r="O411" s="9" t="n">
        <f aca="false">IF(WEEKDAY(F411,2)&gt;5,1,0)</f>
        <v>0</v>
      </c>
      <c r="P411" s="9" t="n">
        <f aca="false">IF(K411&gt;Parameters!$B$17,1,0)</f>
        <v>0</v>
      </c>
      <c r="Q411" s="9" t="n">
        <f aca="false">IF(AND(F411&lt;=Parameters!$B$6,F411&gt;Parameters!$B$6-Parameters!$B$18),1,0)</f>
        <v>0</v>
      </c>
      <c r="R411" s="9" t="n">
        <f aca="false">IF(COUNTIF(Parameters!$A$51:$A$58,H411)=0,1,0)</f>
        <v>0</v>
      </c>
      <c r="S411" s="9" t="n">
        <f aca="false">IF(AND(I411="Manual",L411&gt;0),1,0)</f>
        <v>0</v>
      </c>
      <c r="T411" s="9" t="n">
        <f aca="false">IF(AND(C411&gt;=Parameters!$B$22,ROUND(MOD(ROUND(C411,2),Parameters!$B$21),2)=0),1,0)</f>
        <v>0</v>
      </c>
      <c r="U411" s="9" t="n">
        <f aca="false">IF(LEN(TRIM(J411))=0,1,0)</f>
        <v>0</v>
      </c>
      <c r="V411" s="9" t="n">
        <f aca="false">IF(AND(I411="Manual",C411&lt;Parameters!$B$19,C411&gt;=Parameters!$B$19*(1-Parameters!$B$20)),1,0)</f>
        <v>0</v>
      </c>
      <c r="W411" s="9" t="n">
        <f aca="false">IF(AND(I411="Manual",M411&gt;0),1,0)</f>
        <v>0</v>
      </c>
      <c r="X411" s="9" t="n">
        <f aca="false">IF(A411-A410&gt;1,1,0)</f>
        <v>0</v>
      </c>
      <c r="Y411" s="9" t="n">
        <f aca="false">N411*Parameters!$B$38+O411*Parameters!$B$39+P411*Parameters!$B$40+Q411*Parameters!$B$41+R411*Parameters!$B$42+S411*Parameters!$B$43+T411*Parameters!$B$44+U411*Parameters!$B$45+V411*Parameters!$B$46+W411*Parameters!$B$47+X411*Parameters!$B$48</f>
        <v>0</v>
      </c>
      <c r="Z411" s="0" t="str">
        <f aca="false">IF(Y411&gt;=Parameters!$B$25,"High","")</f>
        <v/>
      </c>
    </row>
    <row r="412" customFormat="false" ht="15" hidden="false" customHeight="false" outlineLevel="0" collapsed="false">
      <c r="A412" s="16" t="n">
        <v>1415</v>
      </c>
      <c r="B412" s="9" t="n">
        <f aca="false">COUNTIF(JE_Lines!$B$5:$B$1733,A412)</f>
        <v>2</v>
      </c>
      <c r="C412" s="17" t="n">
        <f aca="false">SUMIFS(JE_Lines!$G$5:$G$1733,JE_Lines!$B$5:$B$1733,A412)</f>
        <v>7771.33</v>
      </c>
      <c r="D412" s="17" t="n">
        <f aca="false">SUMIFS(JE_Lines!$H$5:$H$1733,JE_Lines!$B$5:$B$1733,A412)</f>
        <v>7771.33</v>
      </c>
      <c r="E412" s="17" t="n">
        <f aca="false">C412-D412</f>
        <v>0</v>
      </c>
      <c r="F412" s="18" t="n">
        <f aca="false">INDEX(JE_Lines!$C$5:$C$1733,MATCH(A412,JE_Lines!$B$5:$B$1733,0))</f>
        <v>45838</v>
      </c>
      <c r="G412" s="18" t="n">
        <f aca="false">INDEX(JE_Lines!$D$5:$D$1733,MATCH(A412,JE_Lines!$B$5:$B$1733,0))</f>
        <v>45834</v>
      </c>
      <c r="H412" s="0" t="str">
        <f aca="false">INDEX(JE_Lines!$I$5:$I$1733,MATCH(A412,JE_Lines!$B$5:$B$1733,0))</f>
        <v>SYS_AR</v>
      </c>
      <c r="I412" s="0" t="str">
        <f aca="false">INDEX(JE_Lines!$J$5:$J$1733,MATCH(A412,JE_Lines!$B$5:$B$1733,0))</f>
        <v>System</v>
      </c>
      <c r="J412" s="0" t="str">
        <f aca="false">IF(LEN(INDEX(JE_Lines!$K$5:$K$1733,MATCH(A412,JE_Lines!$B$5:$B$1733,0)))=0,"",INDEX(JE_Lines!$K$5:$K$1733,MATCH(A412,JE_Lines!$B$5:$B$1733,0)))</f>
        <v>Customer receipts</v>
      </c>
      <c r="K412" s="9" t="n">
        <f aca="false">F412-G412</f>
        <v>4</v>
      </c>
      <c r="L412" s="9" t="n">
        <f aca="false">COUNTIFS(JE_Lines!$B$5:$B$1733,A412,JE_Lines!$F$5:$F$1733,"Revenue")</f>
        <v>0</v>
      </c>
      <c r="M412" s="9" t="n">
        <f aca="false">COUNTIFS(JE_Lines!$B$5:$B$1733,A412,JE_Lines!$F$5:$F$1733,"Suspense")</f>
        <v>0</v>
      </c>
      <c r="N412" s="9" t="n">
        <f aca="false">IF(ABS(E412)&gt;Parameters!$B$23,1,0)</f>
        <v>0</v>
      </c>
      <c r="O412" s="9" t="n">
        <f aca="false">IF(WEEKDAY(F412,2)&gt;5,1,0)</f>
        <v>0</v>
      </c>
      <c r="P412" s="9" t="n">
        <f aca="false">IF(K412&gt;Parameters!$B$17,1,0)</f>
        <v>0</v>
      </c>
      <c r="Q412" s="9" t="n">
        <f aca="false">IF(AND(F412&lt;=Parameters!$B$6,F412&gt;Parameters!$B$6-Parameters!$B$18),1,0)</f>
        <v>0</v>
      </c>
      <c r="R412" s="9" t="n">
        <f aca="false">IF(COUNTIF(Parameters!$A$51:$A$58,H412)=0,1,0)</f>
        <v>0</v>
      </c>
      <c r="S412" s="9" t="n">
        <f aca="false">IF(AND(I412="Manual",L412&gt;0),1,0)</f>
        <v>0</v>
      </c>
      <c r="T412" s="9" t="n">
        <f aca="false">IF(AND(C412&gt;=Parameters!$B$22,ROUND(MOD(ROUND(C412,2),Parameters!$B$21),2)=0),1,0)</f>
        <v>0</v>
      </c>
      <c r="U412" s="9" t="n">
        <f aca="false">IF(LEN(TRIM(J412))=0,1,0)</f>
        <v>0</v>
      </c>
      <c r="V412" s="9" t="n">
        <f aca="false">IF(AND(I412="Manual",C412&lt;Parameters!$B$19,C412&gt;=Parameters!$B$19*(1-Parameters!$B$20)),1,0)</f>
        <v>0</v>
      </c>
      <c r="W412" s="9" t="n">
        <f aca="false">IF(AND(I412="Manual",M412&gt;0),1,0)</f>
        <v>0</v>
      </c>
      <c r="X412" s="9" t="n">
        <f aca="false">IF(A412-A411&gt;1,1,0)</f>
        <v>0</v>
      </c>
      <c r="Y412" s="9" t="n">
        <f aca="false">N412*Parameters!$B$38+O412*Parameters!$B$39+P412*Parameters!$B$40+Q412*Parameters!$B$41+R412*Parameters!$B$42+S412*Parameters!$B$43+T412*Parameters!$B$44+U412*Parameters!$B$45+V412*Parameters!$B$46+W412*Parameters!$B$47+X412*Parameters!$B$48</f>
        <v>0</v>
      </c>
      <c r="Z412" s="0" t="str">
        <f aca="false">IF(Y412&gt;=Parameters!$B$25,"High","")</f>
        <v/>
      </c>
    </row>
    <row r="413" customFormat="false" ht="15" hidden="false" customHeight="false" outlineLevel="0" collapsed="false">
      <c r="A413" s="16" t="n">
        <v>1416</v>
      </c>
      <c r="B413" s="9" t="n">
        <f aca="false">COUNTIF(JE_Lines!$B$5:$B$1733,A413)</f>
        <v>3</v>
      </c>
      <c r="C413" s="17" t="n">
        <f aca="false">SUMIFS(JE_Lines!$G$5:$G$1733,JE_Lines!$B$5:$B$1733,A413)</f>
        <v>68204.55</v>
      </c>
      <c r="D413" s="17" t="n">
        <f aca="false">SUMIFS(JE_Lines!$H$5:$H$1733,JE_Lines!$B$5:$B$1733,A413)</f>
        <v>68204.55</v>
      </c>
      <c r="E413" s="17" t="n">
        <f aca="false">C413-D413</f>
        <v>0</v>
      </c>
      <c r="F413" s="18" t="n">
        <f aca="false">INDEX(JE_Lines!$C$5:$C$1733,MATCH(A413,JE_Lines!$B$5:$B$1733,0))</f>
        <v>45839</v>
      </c>
      <c r="G413" s="18" t="n">
        <f aca="false">INDEX(JE_Lines!$D$5:$D$1733,MATCH(A413,JE_Lines!$B$5:$B$1733,0))</f>
        <v>45838</v>
      </c>
      <c r="H413" s="0" t="str">
        <f aca="false">INDEX(JE_Lines!$I$5:$I$1733,MATCH(A413,JE_Lines!$B$5:$B$1733,0))</f>
        <v>SYS_AR</v>
      </c>
      <c r="I413" s="0" t="str">
        <f aca="false">INDEX(JE_Lines!$J$5:$J$1733,MATCH(A413,JE_Lines!$B$5:$B$1733,0))</f>
        <v>System</v>
      </c>
      <c r="J413" s="0" t="str">
        <f aca="false">IF(LEN(INDEX(JE_Lines!$K$5:$K$1733,MATCH(A413,JE_Lines!$B$5:$B$1733,0)))=0,"",INDEX(JE_Lines!$K$5:$K$1733,MATCH(A413,JE_Lines!$B$5:$B$1733,0)))</f>
        <v>Sales invoice batch</v>
      </c>
      <c r="K413" s="9" t="n">
        <f aca="false">F413-G413</f>
        <v>1</v>
      </c>
      <c r="L413" s="9" t="n">
        <f aca="false">COUNTIFS(JE_Lines!$B$5:$B$1733,A413,JE_Lines!$F$5:$F$1733,"Revenue")</f>
        <v>1</v>
      </c>
      <c r="M413" s="9" t="n">
        <f aca="false">COUNTIFS(JE_Lines!$B$5:$B$1733,A413,JE_Lines!$F$5:$F$1733,"Suspense")</f>
        <v>0</v>
      </c>
      <c r="N413" s="9" t="n">
        <f aca="false">IF(ABS(E413)&gt;Parameters!$B$23,1,0)</f>
        <v>0</v>
      </c>
      <c r="O413" s="9" t="n">
        <f aca="false">IF(WEEKDAY(F413,2)&gt;5,1,0)</f>
        <v>0</v>
      </c>
      <c r="P413" s="9" t="n">
        <f aca="false">IF(K413&gt;Parameters!$B$17,1,0)</f>
        <v>0</v>
      </c>
      <c r="Q413" s="9" t="n">
        <f aca="false">IF(AND(F413&lt;=Parameters!$B$6,F413&gt;Parameters!$B$6-Parameters!$B$18),1,0)</f>
        <v>0</v>
      </c>
      <c r="R413" s="9" t="n">
        <f aca="false">IF(COUNTIF(Parameters!$A$51:$A$58,H413)=0,1,0)</f>
        <v>0</v>
      </c>
      <c r="S413" s="9" t="n">
        <f aca="false">IF(AND(I413="Manual",L413&gt;0),1,0)</f>
        <v>0</v>
      </c>
      <c r="T413" s="9" t="n">
        <f aca="false">IF(AND(C413&gt;=Parameters!$B$22,ROUND(MOD(ROUND(C413,2),Parameters!$B$21),2)=0),1,0)</f>
        <v>0</v>
      </c>
      <c r="U413" s="9" t="n">
        <f aca="false">IF(LEN(TRIM(J413))=0,1,0)</f>
        <v>0</v>
      </c>
      <c r="V413" s="9" t="n">
        <f aca="false">IF(AND(I413="Manual",C413&lt;Parameters!$B$19,C413&gt;=Parameters!$B$19*(1-Parameters!$B$20)),1,0)</f>
        <v>0</v>
      </c>
      <c r="W413" s="9" t="n">
        <f aca="false">IF(AND(I413="Manual",M413&gt;0),1,0)</f>
        <v>0</v>
      </c>
      <c r="X413" s="9" t="n">
        <f aca="false">IF(A413-A412&gt;1,1,0)</f>
        <v>0</v>
      </c>
      <c r="Y413" s="9" t="n">
        <f aca="false">N413*Parameters!$B$38+O413*Parameters!$B$39+P413*Parameters!$B$40+Q413*Parameters!$B$41+R413*Parameters!$B$42+S413*Parameters!$B$43+T413*Parameters!$B$44+U413*Parameters!$B$45+V413*Parameters!$B$46+W413*Parameters!$B$47+X413*Parameters!$B$48</f>
        <v>0</v>
      </c>
      <c r="Z413" s="0" t="str">
        <f aca="false">IF(Y413&gt;=Parameters!$B$25,"High","")</f>
        <v/>
      </c>
    </row>
    <row r="414" customFormat="false" ht="15" hidden="false" customHeight="false" outlineLevel="0" collapsed="false">
      <c r="A414" s="16" t="n">
        <v>1417</v>
      </c>
      <c r="B414" s="9" t="n">
        <f aca="false">COUNTIF(JE_Lines!$B$5:$B$1733,A414)</f>
        <v>3</v>
      </c>
      <c r="C414" s="17" t="n">
        <f aca="false">SUMIFS(JE_Lines!$G$5:$G$1733,JE_Lines!$B$5:$B$1733,A414)</f>
        <v>25418.76</v>
      </c>
      <c r="D414" s="17" t="n">
        <f aca="false">SUMIFS(JE_Lines!$H$5:$H$1733,JE_Lines!$B$5:$B$1733,A414)</f>
        <v>25418.76</v>
      </c>
      <c r="E414" s="17" t="n">
        <f aca="false">C414-D414</f>
        <v>0</v>
      </c>
      <c r="F414" s="18" t="n">
        <f aca="false">INDEX(JE_Lines!$C$5:$C$1733,MATCH(A414,JE_Lines!$B$5:$B$1733,0))</f>
        <v>45839</v>
      </c>
      <c r="G414" s="18" t="n">
        <f aca="false">INDEX(JE_Lines!$D$5:$D$1733,MATCH(A414,JE_Lines!$B$5:$B$1733,0))</f>
        <v>45839</v>
      </c>
      <c r="H414" s="0" t="str">
        <f aca="false">INDEX(JE_Lines!$I$5:$I$1733,MATCH(A414,JE_Lines!$B$5:$B$1733,0))</f>
        <v>SYS_PAY</v>
      </c>
      <c r="I414" s="0" t="str">
        <f aca="false">INDEX(JE_Lines!$J$5:$J$1733,MATCH(A414,JE_Lines!$B$5:$B$1733,0))</f>
        <v>System</v>
      </c>
      <c r="J414" s="0" t="str">
        <f aca="false">IF(LEN(INDEX(JE_Lines!$K$5:$K$1733,MATCH(A414,JE_Lines!$B$5:$B$1733,0)))=0,"",INDEX(JE_Lines!$K$5:$K$1733,MATCH(A414,JE_Lines!$B$5:$B$1733,0)))</f>
        <v>Supplier payments</v>
      </c>
      <c r="K414" s="9" t="n">
        <f aca="false">F414-G414</f>
        <v>0</v>
      </c>
      <c r="L414" s="9" t="n">
        <f aca="false">COUNTIFS(JE_Lines!$B$5:$B$1733,A414,JE_Lines!$F$5:$F$1733,"Revenue")</f>
        <v>0</v>
      </c>
      <c r="M414" s="9" t="n">
        <f aca="false">COUNTIFS(JE_Lines!$B$5:$B$1733,A414,JE_Lines!$F$5:$F$1733,"Suspense")</f>
        <v>0</v>
      </c>
      <c r="N414" s="9" t="n">
        <f aca="false">IF(ABS(E414)&gt;Parameters!$B$23,1,0)</f>
        <v>0</v>
      </c>
      <c r="O414" s="9" t="n">
        <f aca="false">IF(WEEKDAY(F414,2)&gt;5,1,0)</f>
        <v>0</v>
      </c>
      <c r="P414" s="9" t="n">
        <f aca="false">IF(K414&gt;Parameters!$B$17,1,0)</f>
        <v>0</v>
      </c>
      <c r="Q414" s="9" t="n">
        <f aca="false">IF(AND(F414&lt;=Parameters!$B$6,F414&gt;Parameters!$B$6-Parameters!$B$18),1,0)</f>
        <v>0</v>
      </c>
      <c r="R414" s="9" t="n">
        <f aca="false">IF(COUNTIF(Parameters!$A$51:$A$58,H414)=0,1,0)</f>
        <v>0</v>
      </c>
      <c r="S414" s="9" t="n">
        <f aca="false">IF(AND(I414="Manual",L414&gt;0),1,0)</f>
        <v>0</v>
      </c>
      <c r="T414" s="9" t="n">
        <f aca="false">IF(AND(C414&gt;=Parameters!$B$22,ROUND(MOD(ROUND(C414,2),Parameters!$B$21),2)=0),1,0)</f>
        <v>0</v>
      </c>
      <c r="U414" s="9" t="n">
        <f aca="false">IF(LEN(TRIM(J414))=0,1,0)</f>
        <v>0</v>
      </c>
      <c r="V414" s="9" t="n">
        <f aca="false">IF(AND(I414="Manual",C414&lt;Parameters!$B$19,C414&gt;=Parameters!$B$19*(1-Parameters!$B$20)),1,0)</f>
        <v>0</v>
      </c>
      <c r="W414" s="9" t="n">
        <f aca="false">IF(AND(I414="Manual",M414&gt;0),1,0)</f>
        <v>0</v>
      </c>
      <c r="X414" s="9" t="n">
        <f aca="false">IF(A414-A413&gt;1,1,0)</f>
        <v>0</v>
      </c>
      <c r="Y414" s="9" t="n">
        <f aca="false">N414*Parameters!$B$38+O414*Parameters!$B$39+P414*Parameters!$B$40+Q414*Parameters!$B$41+R414*Parameters!$B$42+S414*Parameters!$B$43+T414*Parameters!$B$44+U414*Parameters!$B$45+V414*Parameters!$B$46+W414*Parameters!$B$47+X414*Parameters!$B$48</f>
        <v>0</v>
      </c>
      <c r="Z414" s="0" t="str">
        <f aca="false">IF(Y414&gt;=Parameters!$B$25,"High","")</f>
        <v/>
      </c>
    </row>
    <row r="415" customFormat="false" ht="15" hidden="false" customHeight="false" outlineLevel="0" collapsed="false">
      <c r="A415" s="16" t="n">
        <v>1418</v>
      </c>
      <c r="B415" s="9" t="n">
        <f aca="false">COUNTIF(JE_Lines!$B$5:$B$1733,A415)</f>
        <v>3</v>
      </c>
      <c r="C415" s="17" t="n">
        <f aca="false">SUMIFS(JE_Lines!$G$5:$G$1733,JE_Lines!$B$5:$B$1733,A415)</f>
        <v>4293.07</v>
      </c>
      <c r="D415" s="17" t="n">
        <f aca="false">SUMIFS(JE_Lines!$H$5:$H$1733,JE_Lines!$B$5:$B$1733,A415)</f>
        <v>4293.07</v>
      </c>
      <c r="E415" s="17" t="n">
        <f aca="false">C415-D415</f>
        <v>0</v>
      </c>
      <c r="F415" s="18" t="n">
        <f aca="false">INDEX(JE_Lines!$C$5:$C$1733,MATCH(A415,JE_Lines!$B$5:$B$1733,0))</f>
        <v>45839</v>
      </c>
      <c r="G415" s="18" t="n">
        <f aca="false">INDEX(JE_Lines!$D$5:$D$1733,MATCH(A415,JE_Lines!$B$5:$B$1733,0))</f>
        <v>45837</v>
      </c>
      <c r="H415" s="0" t="str">
        <f aca="false">INDEX(JE_Lines!$I$5:$I$1733,MATCH(A415,JE_Lines!$B$5:$B$1733,0))</f>
        <v>SYS_AR</v>
      </c>
      <c r="I415" s="0" t="str">
        <f aca="false">INDEX(JE_Lines!$J$5:$J$1733,MATCH(A415,JE_Lines!$B$5:$B$1733,0))</f>
        <v>System</v>
      </c>
      <c r="J415" s="0" t="str">
        <f aca="false">IF(LEN(INDEX(JE_Lines!$K$5:$K$1733,MATCH(A415,JE_Lines!$B$5:$B$1733,0)))=0,"",INDEX(JE_Lines!$K$5:$K$1733,MATCH(A415,JE_Lines!$B$5:$B$1733,0)))</f>
        <v>Customer receipts</v>
      </c>
      <c r="K415" s="9" t="n">
        <f aca="false">F415-G415</f>
        <v>2</v>
      </c>
      <c r="L415" s="9" t="n">
        <f aca="false">COUNTIFS(JE_Lines!$B$5:$B$1733,A415,JE_Lines!$F$5:$F$1733,"Revenue")</f>
        <v>0</v>
      </c>
      <c r="M415" s="9" t="n">
        <f aca="false">COUNTIFS(JE_Lines!$B$5:$B$1733,A415,JE_Lines!$F$5:$F$1733,"Suspense")</f>
        <v>0</v>
      </c>
      <c r="N415" s="9" t="n">
        <f aca="false">IF(ABS(E415)&gt;Parameters!$B$23,1,0)</f>
        <v>0</v>
      </c>
      <c r="O415" s="9" t="n">
        <f aca="false">IF(WEEKDAY(F415,2)&gt;5,1,0)</f>
        <v>0</v>
      </c>
      <c r="P415" s="9" t="n">
        <f aca="false">IF(K415&gt;Parameters!$B$17,1,0)</f>
        <v>0</v>
      </c>
      <c r="Q415" s="9" t="n">
        <f aca="false">IF(AND(F415&lt;=Parameters!$B$6,F415&gt;Parameters!$B$6-Parameters!$B$18),1,0)</f>
        <v>0</v>
      </c>
      <c r="R415" s="9" t="n">
        <f aca="false">IF(COUNTIF(Parameters!$A$51:$A$58,H415)=0,1,0)</f>
        <v>0</v>
      </c>
      <c r="S415" s="9" t="n">
        <f aca="false">IF(AND(I415="Manual",L415&gt;0),1,0)</f>
        <v>0</v>
      </c>
      <c r="T415" s="9" t="n">
        <f aca="false">IF(AND(C415&gt;=Parameters!$B$22,ROUND(MOD(ROUND(C415,2),Parameters!$B$21),2)=0),1,0)</f>
        <v>0</v>
      </c>
      <c r="U415" s="9" t="n">
        <f aca="false">IF(LEN(TRIM(J415))=0,1,0)</f>
        <v>0</v>
      </c>
      <c r="V415" s="9" t="n">
        <f aca="false">IF(AND(I415="Manual",C415&lt;Parameters!$B$19,C415&gt;=Parameters!$B$19*(1-Parameters!$B$20)),1,0)</f>
        <v>0</v>
      </c>
      <c r="W415" s="9" t="n">
        <f aca="false">IF(AND(I415="Manual",M415&gt;0),1,0)</f>
        <v>0</v>
      </c>
      <c r="X415" s="9" t="n">
        <f aca="false">IF(A415-A414&gt;1,1,0)</f>
        <v>0</v>
      </c>
      <c r="Y415" s="9" t="n">
        <f aca="false">N415*Parameters!$B$38+O415*Parameters!$B$39+P415*Parameters!$B$40+Q415*Parameters!$B$41+R415*Parameters!$B$42+S415*Parameters!$B$43+T415*Parameters!$B$44+U415*Parameters!$B$45+V415*Parameters!$B$46+W415*Parameters!$B$47+X415*Parameters!$B$48</f>
        <v>0</v>
      </c>
      <c r="Z415" s="0" t="str">
        <f aca="false">IF(Y415&gt;=Parameters!$B$25,"High","")</f>
        <v/>
      </c>
    </row>
    <row r="416" customFormat="false" ht="15" hidden="false" customHeight="false" outlineLevel="0" collapsed="false">
      <c r="A416" s="16" t="n">
        <v>1419</v>
      </c>
      <c r="B416" s="9" t="n">
        <f aca="false">COUNTIF(JE_Lines!$B$5:$B$1733,A416)</f>
        <v>2</v>
      </c>
      <c r="C416" s="17" t="n">
        <f aca="false">SUMIFS(JE_Lines!$G$5:$G$1733,JE_Lines!$B$5:$B$1733,A416)</f>
        <v>38042.6</v>
      </c>
      <c r="D416" s="17" t="n">
        <f aca="false">SUMIFS(JE_Lines!$H$5:$H$1733,JE_Lines!$B$5:$B$1733,A416)</f>
        <v>38042.6</v>
      </c>
      <c r="E416" s="17" t="n">
        <f aca="false">C416-D416</f>
        <v>0</v>
      </c>
      <c r="F416" s="18" t="n">
        <f aca="false">INDEX(JE_Lines!$C$5:$C$1733,MATCH(A416,JE_Lines!$B$5:$B$1733,0))</f>
        <v>45839</v>
      </c>
      <c r="G416" s="18" t="n">
        <f aca="false">INDEX(JE_Lines!$D$5:$D$1733,MATCH(A416,JE_Lines!$B$5:$B$1733,0))</f>
        <v>45839</v>
      </c>
      <c r="H416" s="0" t="str">
        <f aca="false">INDEX(JE_Lines!$I$5:$I$1733,MATCH(A416,JE_Lines!$B$5:$B$1733,0))</f>
        <v>FIN05</v>
      </c>
      <c r="I416" s="0" t="str">
        <f aca="false">INDEX(JE_Lines!$J$5:$J$1733,MATCH(A416,JE_Lines!$B$5:$B$1733,0))</f>
        <v>Manual</v>
      </c>
      <c r="J416" s="0" t="str">
        <f aca="false">IF(LEN(INDEX(JE_Lines!$K$5:$K$1733,MATCH(A416,JE_Lines!$B$5:$B$1733,0)))=0,"",INDEX(JE_Lines!$K$5:$K$1733,MATCH(A416,JE_Lines!$B$5:$B$1733,0)))</f>
        <v/>
      </c>
      <c r="K416" s="9" t="n">
        <f aca="false">F416-G416</f>
        <v>0</v>
      </c>
      <c r="L416" s="9" t="n">
        <f aca="false">COUNTIFS(JE_Lines!$B$5:$B$1733,A416,JE_Lines!$F$5:$F$1733,"Revenue")</f>
        <v>0</v>
      </c>
      <c r="M416" s="9" t="n">
        <f aca="false">COUNTIFS(JE_Lines!$B$5:$B$1733,A416,JE_Lines!$F$5:$F$1733,"Suspense")</f>
        <v>0</v>
      </c>
      <c r="N416" s="9" t="n">
        <f aca="false">IF(ABS(E416)&gt;Parameters!$B$23,1,0)</f>
        <v>0</v>
      </c>
      <c r="O416" s="9" t="n">
        <f aca="false">IF(WEEKDAY(F416,2)&gt;5,1,0)</f>
        <v>0</v>
      </c>
      <c r="P416" s="9" t="n">
        <f aca="false">IF(K416&gt;Parameters!$B$17,1,0)</f>
        <v>0</v>
      </c>
      <c r="Q416" s="9" t="n">
        <f aca="false">IF(AND(F416&lt;=Parameters!$B$6,F416&gt;Parameters!$B$6-Parameters!$B$18),1,0)</f>
        <v>0</v>
      </c>
      <c r="R416" s="9" t="n">
        <f aca="false">IF(COUNTIF(Parameters!$A$51:$A$58,H416)=0,1,0)</f>
        <v>0</v>
      </c>
      <c r="S416" s="9" t="n">
        <f aca="false">IF(AND(I416="Manual",L416&gt;0),1,0)</f>
        <v>0</v>
      </c>
      <c r="T416" s="9" t="n">
        <f aca="false">IF(AND(C416&gt;=Parameters!$B$22,ROUND(MOD(ROUND(C416,2),Parameters!$B$21),2)=0),1,0)</f>
        <v>0</v>
      </c>
      <c r="U416" s="9" t="n">
        <f aca="false">IF(LEN(TRIM(J416))=0,1,0)</f>
        <v>1</v>
      </c>
      <c r="V416" s="9" t="n">
        <f aca="false">IF(AND(I416="Manual",C416&lt;Parameters!$B$19,C416&gt;=Parameters!$B$19*(1-Parameters!$B$20)),1,0)</f>
        <v>0</v>
      </c>
      <c r="W416" s="9" t="n">
        <f aca="false">IF(AND(I416="Manual",M416&gt;0),1,0)</f>
        <v>0</v>
      </c>
      <c r="X416" s="9" t="n">
        <f aca="false">IF(A416-A415&gt;1,1,0)</f>
        <v>0</v>
      </c>
      <c r="Y416" s="9" t="n">
        <f aca="false">N416*Parameters!$B$38+O416*Parameters!$B$39+P416*Parameters!$B$40+Q416*Parameters!$B$41+R416*Parameters!$B$42+S416*Parameters!$B$43+T416*Parameters!$B$44+U416*Parameters!$B$45+V416*Parameters!$B$46+W416*Parameters!$B$47+X416*Parameters!$B$48</f>
        <v>2</v>
      </c>
      <c r="Z416" s="0" t="str">
        <f aca="false">IF(Y416&gt;=Parameters!$B$25,"High","")</f>
        <v/>
      </c>
    </row>
    <row r="417" customFormat="false" ht="15" hidden="false" customHeight="false" outlineLevel="0" collapsed="false">
      <c r="A417" s="16" t="n">
        <v>1421</v>
      </c>
      <c r="B417" s="9" t="n">
        <f aca="false">COUNTIF(JE_Lines!$B$5:$B$1733,A417)</f>
        <v>2</v>
      </c>
      <c r="C417" s="17" t="n">
        <f aca="false">SUMIFS(JE_Lines!$G$5:$G$1733,JE_Lines!$B$5:$B$1733,A417)</f>
        <v>142235.65</v>
      </c>
      <c r="D417" s="17" t="n">
        <f aca="false">SUMIFS(JE_Lines!$H$5:$H$1733,JE_Lines!$B$5:$B$1733,A417)</f>
        <v>142235.65</v>
      </c>
      <c r="E417" s="17" t="n">
        <f aca="false">C417-D417</f>
        <v>0</v>
      </c>
      <c r="F417" s="18" t="n">
        <f aca="false">INDEX(JE_Lines!$C$5:$C$1733,MATCH(A417,JE_Lines!$B$5:$B$1733,0))</f>
        <v>45840</v>
      </c>
      <c r="G417" s="18" t="n">
        <f aca="false">INDEX(JE_Lines!$D$5:$D$1733,MATCH(A417,JE_Lines!$B$5:$B$1733,0))</f>
        <v>45836</v>
      </c>
      <c r="H417" s="0" t="str">
        <f aca="false">INDEX(JE_Lines!$I$5:$I$1733,MATCH(A417,JE_Lines!$B$5:$B$1733,0))</f>
        <v>SYS_AR</v>
      </c>
      <c r="I417" s="0" t="str">
        <f aca="false">INDEX(JE_Lines!$J$5:$J$1733,MATCH(A417,JE_Lines!$B$5:$B$1733,0))</f>
        <v>System</v>
      </c>
      <c r="J417" s="0" t="str">
        <f aca="false">IF(LEN(INDEX(JE_Lines!$K$5:$K$1733,MATCH(A417,JE_Lines!$B$5:$B$1733,0)))=0,"",INDEX(JE_Lines!$K$5:$K$1733,MATCH(A417,JE_Lines!$B$5:$B$1733,0)))</f>
        <v>Sales invoice batch</v>
      </c>
      <c r="K417" s="9" t="n">
        <f aca="false">F417-G417</f>
        <v>4</v>
      </c>
      <c r="L417" s="9" t="n">
        <f aca="false">COUNTIFS(JE_Lines!$B$5:$B$1733,A417,JE_Lines!$F$5:$F$1733,"Revenue")</f>
        <v>1</v>
      </c>
      <c r="M417" s="9" t="n">
        <f aca="false">COUNTIFS(JE_Lines!$B$5:$B$1733,A417,JE_Lines!$F$5:$F$1733,"Suspense")</f>
        <v>0</v>
      </c>
      <c r="N417" s="9" t="n">
        <f aca="false">IF(ABS(E417)&gt;Parameters!$B$23,1,0)</f>
        <v>0</v>
      </c>
      <c r="O417" s="9" t="n">
        <f aca="false">IF(WEEKDAY(F417,2)&gt;5,1,0)</f>
        <v>0</v>
      </c>
      <c r="P417" s="9" t="n">
        <f aca="false">IF(K417&gt;Parameters!$B$17,1,0)</f>
        <v>0</v>
      </c>
      <c r="Q417" s="9" t="n">
        <f aca="false">IF(AND(F417&lt;=Parameters!$B$6,F417&gt;Parameters!$B$6-Parameters!$B$18),1,0)</f>
        <v>0</v>
      </c>
      <c r="R417" s="9" t="n">
        <f aca="false">IF(COUNTIF(Parameters!$A$51:$A$58,H417)=0,1,0)</f>
        <v>0</v>
      </c>
      <c r="S417" s="9" t="n">
        <f aca="false">IF(AND(I417="Manual",L417&gt;0),1,0)</f>
        <v>0</v>
      </c>
      <c r="T417" s="9" t="n">
        <f aca="false">IF(AND(C417&gt;=Parameters!$B$22,ROUND(MOD(ROUND(C417,2),Parameters!$B$21),2)=0),1,0)</f>
        <v>0</v>
      </c>
      <c r="U417" s="9" t="n">
        <f aca="false">IF(LEN(TRIM(J417))=0,1,0)</f>
        <v>0</v>
      </c>
      <c r="V417" s="9" t="n">
        <f aca="false">IF(AND(I417="Manual",C417&lt;Parameters!$B$19,C417&gt;=Parameters!$B$19*(1-Parameters!$B$20)),1,0)</f>
        <v>0</v>
      </c>
      <c r="W417" s="9" t="n">
        <f aca="false">IF(AND(I417="Manual",M417&gt;0),1,0)</f>
        <v>0</v>
      </c>
      <c r="X417" s="9" t="n">
        <f aca="false">IF(A417-A416&gt;1,1,0)</f>
        <v>1</v>
      </c>
      <c r="Y417" s="9" t="n">
        <f aca="false">N417*Parameters!$B$38+O417*Parameters!$B$39+P417*Parameters!$B$40+Q417*Parameters!$B$41+R417*Parameters!$B$42+S417*Parameters!$B$43+T417*Parameters!$B$44+U417*Parameters!$B$45+V417*Parameters!$B$46+W417*Parameters!$B$47+X417*Parameters!$B$48</f>
        <v>1</v>
      </c>
      <c r="Z417" s="0" t="str">
        <f aca="false">IF(Y417&gt;=Parameters!$B$25,"High","")</f>
        <v/>
      </c>
    </row>
    <row r="418" customFormat="false" ht="15" hidden="false" customHeight="false" outlineLevel="0" collapsed="false">
      <c r="A418" s="16" t="n">
        <v>1422</v>
      </c>
      <c r="B418" s="9" t="n">
        <f aca="false">COUNTIF(JE_Lines!$B$5:$B$1733,A418)</f>
        <v>2</v>
      </c>
      <c r="C418" s="17" t="n">
        <f aca="false">SUMIFS(JE_Lines!$G$5:$G$1733,JE_Lines!$B$5:$B$1733,A418)</f>
        <v>1196.23</v>
      </c>
      <c r="D418" s="17" t="n">
        <f aca="false">SUMIFS(JE_Lines!$H$5:$H$1733,JE_Lines!$B$5:$B$1733,A418)</f>
        <v>1196.23</v>
      </c>
      <c r="E418" s="17" t="n">
        <f aca="false">C418-D418</f>
        <v>0</v>
      </c>
      <c r="F418" s="18" t="n">
        <f aca="false">INDEX(JE_Lines!$C$5:$C$1733,MATCH(A418,JE_Lines!$B$5:$B$1733,0))</f>
        <v>45840</v>
      </c>
      <c r="G418" s="18" t="n">
        <f aca="false">INDEX(JE_Lines!$D$5:$D$1733,MATCH(A418,JE_Lines!$B$5:$B$1733,0))</f>
        <v>45836</v>
      </c>
      <c r="H418" s="0" t="str">
        <f aca="false">INDEX(JE_Lines!$I$5:$I$1733,MATCH(A418,JE_Lines!$B$5:$B$1733,0))</f>
        <v>SYS_AR</v>
      </c>
      <c r="I418" s="0" t="str">
        <f aca="false">INDEX(JE_Lines!$J$5:$J$1733,MATCH(A418,JE_Lines!$B$5:$B$1733,0))</f>
        <v>System</v>
      </c>
      <c r="J418" s="0" t="str">
        <f aca="false">IF(LEN(INDEX(JE_Lines!$K$5:$K$1733,MATCH(A418,JE_Lines!$B$5:$B$1733,0)))=0,"",INDEX(JE_Lines!$K$5:$K$1733,MATCH(A418,JE_Lines!$B$5:$B$1733,0)))</f>
        <v>Customer receipts</v>
      </c>
      <c r="K418" s="9" t="n">
        <f aca="false">F418-G418</f>
        <v>4</v>
      </c>
      <c r="L418" s="9" t="n">
        <f aca="false">COUNTIFS(JE_Lines!$B$5:$B$1733,A418,JE_Lines!$F$5:$F$1733,"Revenue")</f>
        <v>0</v>
      </c>
      <c r="M418" s="9" t="n">
        <f aca="false">COUNTIFS(JE_Lines!$B$5:$B$1733,A418,JE_Lines!$F$5:$F$1733,"Suspense")</f>
        <v>0</v>
      </c>
      <c r="N418" s="9" t="n">
        <f aca="false">IF(ABS(E418)&gt;Parameters!$B$23,1,0)</f>
        <v>0</v>
      </c>
      <c r="O418" s="9" t="n">
        <f aca="false">IF(WEEKDAY(F418,2)&gt;5,1,0)</f>
        <v>0</v>
      </c>
      <c r="P418" s="9" t="n">
        <f aca="false">IF(K418&gt;Parameters!$B$17,1,0)</f>
        <v>0</v>
      </c>
      <c r="Q418" s="9" t="n">
        <f aca="false">IF(AND(F418&lt;=Parameters!$B$6,F418&gt;Parameters!$B$6-Parameters!$B$18),1,0)</f>
        <v>0</v>
      </c>
      <c r="R418" s="9" t="n">
        <f aca="false">IF(COUNTIF(Parameters!$A$51:$A$58,H418)=0,1,0)</f>
        <v>0</v>
      </c>
      <c r="S418" s="9" t="n">
        <f aca="false">IF(AND(I418="Manual",L418&gt;0),1,0)</f>
        <v>0</v>
      </c>
      <c r="T418" s="9" t="n">
        <f aca="false">IF(AND(C418&gt;=Parameters!$B$22,ROUND(MOD(ROUND(C418,2),Parameters!$B$21),2)=0),1,0)</f>
        <v>0</v>
      </c>
      <c r="U418" s="9" t="n">
        <f aca="false">IF(LEN(TRIM(J418))=0,1,0)</f>
        <v>0</v>
      </c>
      <c r="V418" s="9" t="n">
        <f aca="false">IF(AND(I418="Manual",C418&lt;Parameters!$B$19,C418&gt;=Parameters!$B$19*(1-Parameters!$B$20)),1,0)</f>
        <v>0</v>
      </c>
      <c r="W418" s="9" t="n">
        <f aca="false">IF(AND(I418="Manual",M418&gt;0),1,0)</f>
        <v>0</v>
      </c>
      <c r="X418" s="9" t="n">
        <f aca="false">IF(A418-A417&gt;1,1,0)</f>
        <v>0</v>
      </c>
      <c r="Y418" s="9" t="n">
        <f aca="false">N418*Parameters!$B$38+O418*Parameters!$B$39+P418*Parameters!$B$40+Q418*Parameters!$B$41+R418*Parameters!$B$42+S418*Parameters!$B$43+T418*Parameters!$B$44+U418*Parameters!$B$45+V418*Parameters!$B$46+W418*Parameters!$B$47+X418*Parameters!$B$48</f>
        <v>0</v>
      </c>
      <c r="Z418" s="0" t="str">
        <f aca="false">IF(Y418&gt;=Parameters!$B$25,"High","")</f>
        <v/>
      </c>
    </row>
    <row r="419" customFormat="false" ht="15" hidden="false" customHeight="false" outlineLevel="0" collapsed="false">
      <c r="A419" s="16" t="n">
        <v>1423</v>
      </c>
      <c r="B419" s="9" t="n">
        <f aca="false">COUNTIF(JE_Lines!$B$5:$B$1733,A419)</f>
        <v>2</v>
      </c>
      <c r="C419" s="17" t="n">
        <f aca="false">SUMIFS(JE_Lines!$G$5:$G$1733,JE_Lines!$B$5:$B$1733,A419)</f>
        <v>410.86</v>
      </c>
      <c r="D419" s="17" t="n">
        <f aca="false">SUMIFS(JE_Lines!$H$5:$H$1733,JE_Lines!$B$5:$B$1733,A419)</f>
        <v>410.86</v>
      </c>
      <c r="E419" s="17" t="n">
        <f aca="false">C419-D419</f>
        <v>0</v>
      </c>
      <c r="F419" s="18" t="n">
        <f aca="false">INDEX(JE_Lines!$C$5:$C$1733,MATCH(A419,JE_Lines!$B$5:$B$1733,0))</f>
        <v>45840</v>
      </c>
      <c r="G419" s="18" t="n">
        <f aca="false">INDEX(JE_Lines!$D$5:$D$1733,MATCH(A419,JE_Lines!$B$5:$B$1733,0))</f>
        <v>45838</v>
      </c>
      <c r="H419" s="0" t="str">
        <f aca="false">INDEX(JE_Lines!$I$5:$I$1733,MATCH(A419,JE_Lines!$B$5:$B$1733,0))</f>
        <v>FIN05</v>
      </c>
      <c r="I419" s="0" t="str">
        <f aca="false">INDEX(JE_Lines!$J$5:$J$1733,MATCH(A419,JE_Lines!$B$5:$B$1733,0))</f>
        <v>Manual</v>
      </c>
      <c r="J419" s="0" t="str">
        <f aca="false">IF(LEN(INDEX(JE_Lines!$K$5:$K$1733,MATCH(A419,JE_Lines!$B$5:$B$1733,0)))=0,"",INDEX(JE_Lines!$K$5:$K$1733,MATCH(A419,JE_Lines!$B$5:$B$1733,0)))</f>
        <v>Accrual reversal</v>
      </c>
      <c r="K419" s="9" t="n">
        <f aca="false">F419-G419</f>
        <v>2</v>
      </c>
      <c r="L419" s="9" t="n">
        <f aca="false">COUNTIFS(JE_Lines!$B$5:$B$1733,A419,JE_Lines!$F$5:$F$1733,"Revenue")</f>
        <v>0</v>
      </c>
      <c r="M419" s="9" t="n">
        <f aca="false">COUNTIFS(JE_Lines!$B$5:$B$1733,A419,JE_Lines!$F$5:$F$1733,"Suspense")</f>
        <v>0</v>
      </c>
      <c r="N419" s="9" t="n">
        <f aca="false">IF(ABS(E419)&gt;Parameters!$B$23,1,0)</f>
        <v>0</v>
      </c>
      <c r="O419" s="9" t="n">
        <f aca="false">IF(WEEKDAY(F419,2)&gt;5,1,0)</f>
        <v>0</v>
      </c>
      <c r="P419" s="9" t="n">
        <f aca="false">IF(K419&gt;Parameters!$B$17,1,0)</f>
        <v>0</v>
      </c>
      <c r="Q419" s="9" t="n">
        <f aca="false">IF(AND(F419&lt;=Parameters!$B$6,F419&gt;Parameters!$B$6-Parameters!$B$18),1,0)</f>
        <v>0</v>
      </c>
      <c r="R419" s="9" t="n">
        <f aca="false">IF(COUNTIF(Parameters!$A$51:$A$58,H419)=0,1,0)</f>
        <v>0</v>
      </c>
      <c r="S419" s="9" t="n">
        <f aca="false">IF(AND(I419="Manual",L419&gt;0),1,0)</f>
        <v>0</v>
      </c>
      <c r="T419" s="9" t="n">
        <f aca="false">IF(AND(C419&gt;=Parameters!$B$22,ROUND(MOD(ROUND(C419,2),Parameters!$B$21),2)=0),1,0)</f>
        <v>0</v>
      </c>
      <c r="U419" s="9" t="n">
        <f aca="false">IF(LEN(TRIM(J419))=0,1,0)</f>
        <v>0</v>
      </c>
      <c r="V419" s="9" t="n">
        <f aca="false">IF(AND(I419="Manual",C419&lt;Parameters!$B$19,C419&gt;=Parameters!$B$19*(1-Parameters!$B$20)),1,0)</f>
        <v>0</v>
      </c>
      <c r="W419" s="9" t="n">
        <f aca="false">IF(AND(I419="Manual",M419&gt;0),1,0)</f>
        <v>0</v>
      </c>
      <c r="X419" s="9" t="n">
        <f aca="false">IF(A419-A418&gt;1,1,0)</f>
        <v>0</v>
      </c>
      <c r="Y419" s="9" t="n">
        <f aca="false">N419*Parameters!$B$38+O419*Parameters!$B$39+P419*Parameters!$B$40+Q419*Parameters!$B$41+R419*Parameters!$B$42+S419*Parameters!$B$43+T419*Parameters!$B$44+U419*Parameters!$B$45+V419*Parameters!$B$46+W419*Parameters!$B$47+X419*Parameters!$B$48</f>
        <v>0</v>
      </c>
      <c r="Z419" s="0" t="str">
        <f aca="false">IF(Y419&gt;=Parameters!$B$25,"High","")</f>
        <v/>
      </c>
    </row>
    <row r="420" customFormat="false" ht="15" hidden="false" customHeight="false" outlineLevel="0" collapsed="false">
      <c r="A420" s="16" t="n">
        <v>1424</v>
      </c>
      <c r="B420" s="9" t="n">
        <f aca="false">COUNTIF(JE_Lines!$B$5:$B$1733,A420)</f>
        <v>2</v>
      </c>
      <c r="C420" s="17" t="n">
        <f aca="false">SUMIFS(JE_Lines!$G$5:$G$1733,JE_Lines!$B$5:$B$1733,A420)</f>
        <v>1519.65</v>
      </c>
      <c r="D420" s="17" t="n">
        <f aca="false">SUMIFS(JE_Lines!$H$5:$H$1733,JE_Lines!$B$5:$B$1733,A420)</f>
        <v>1519.65</v>
      </c>
      <c r="E420" s="17" t="n">
        <f aca="false">C420-D420</f>
        <v>0</v>
      </c>
      <c r="F420" s="18" t="n">
        <f aca="false">INDEX(JE_Lines!$C$5:$C$1733,MATCH(A420,JE_Lines!$B$5:$B$1733,0))</f>
        <v>45840</v>
      </c>
      <c r="G420" s="18" t="n">
        <f aca="false">INDEX(JE_Lines!$D$5:$D$1733,MATCH(A420,JE_Lines!$B$5:$B$1733,0))</f>
        <v>45836</v>
      </c>
      <c r="H420" s="0" t="str">
        <f aca="false">INDEX(JE_Lines!$I$5:$I$1733,MATCH(A420,JE_Lines!$B$5:$B$1733,0))</f>
        <v>FIN03</v>
      </c>
      <c r="I420" s="0" t="str">
        <f aca="false">INDEX(JE_Lines!$J$5:$J$1733,MATCH(A420,JE_Lines!$B$5:$B$1733,0))</f>
        <v>Manual</v>
      </c>
      <c r="J420" s="0" t="str">
        <f aca="false">IF(LEN(INDEX(JE_Lines!$K$5:$K$1733,MATCH(A420,JE_Lines!$B$5:$B$1733,0)))=0,"",INDEX(JE_Lines!$K$5:$K$1733,MATCH(A420,JE_Lines!$B$5:$B$1733,0)))</f>
        <v>Accrual for sundry costs</v>
      </c>
      <c r="K420" s="9" t="n">
        <f aca="false">F420-G420</f>
        <v>4</v>
      </c>
      <c r="L420" s="9" t="n">
        <f aca="false">COUNTIFS(JE_Lines!$B$5:$B$1733,A420,JE_Lines!$F$5:$F$1733,"Revenue")</f>
        <v>0</v>
      </c>
      <c r="M420" s="9" t="n">
        <f aca="false">COUNTIFS(JE_Lines!$B$5:$B$1733,A420,JE_Lines!$F$5:$F$1733,"Suspense")</f>
        <v>0</v>
      </c>
      <c r="N420" s="9" t="n">
        <f aca="false">IF(ABS(E420)&gt;Parameters!$B$23,1,0)</f>
        <v>0</v>
      </c>
      <c r="O420" s="9" t="n">
        <f aca="false">IF(WEEKDAY(F420,2)&gt;5,1,0)</f>
        <v>0</v>
      </c>
      <c r="P420" s="9" t="n">
        <f aca="false">IF(K420&gt;Parameters!$B$17,1,0)</f>
        <v>0</v>
      </c>
      <c r="Q420" s="9" t="n">
        <f aca="false">IF(AND(F420&lt;=Parameters!$B$6,F420&gt;Parameters!$B$6-Parameters!$B$18),1,0)</f>
        <v>0</v>
      </c>
      <c r="R420" s="9" t="n">
        <f aca="false">IF(COUNTIF(Parameters!$A$51:$A$58,H420)=0,1,0)</f>
        <v>0</v>
      </c>
      <c r="S420" s="9" t="n">
        <f aca="false">IF(AND(I420="Manual",L420&gt;0),1,0)</f>
        <v>0</v>
      </c>
      <c r="T420" s="9" t="n">
        <f aca="false">IF(AND(C420&gt;=Parameters!$B$22,ROUND(MOD(ROUND(C420,2),Parameters!$B$21),2)=0),1,0)</f>
        <v>0</v>
      </c>
      <c r="U420" s="9" t="n">
        <f aca="false">IF(LEN(TRIM(J420))=0,1,0)</f>
        <v>0</v>
      </c>
      <c r="V420" s="9" t="n">
        <f aca="false">IF(AND(I420="Manual",C420&lt;Parameters!$B$19,C420&gt;=Parameters!$B$19*(1-Parameters!$B$20)),1,0)</f>
        <v>0</v>
      </c>
      <c r="W420" s="9" t="n">
        <f aca="false">IF(AND(I420="Manual",M420&gt;0),1,0)</f>
        <v>0</v>
      </c>
      <c r="X420" s="9" t="n">
        <f aca="false">IF(A420-A419&gt;1,1,0)</f>
        <v>0</v>
      </c>
      <c r="Y420" s="9" t="n">
        <f aca="false">N420*Parameters!$B$38+O420*Parameters!$B$39+P420*Parameters!$B$40+Q420*Parameters!$B$41+R420*Parameters!$B$42+S420*Parameters!$B$43+T420*Parameters!$B$44+U420*Parameters!$B$45+V420*Parameters!$B$46+W420*Parameters!$B$47+X420*Parameters!$B$48</f>
        <v>0</v>
      </c>
      <c r="Z420" s="0" t="str">
        <f aca="false">IF(Y420&gt;=Parameters!$B$25,"High","")</f>
        <v/>
      </c>
    </row>
    <row r="421" customFormat="false" ht="15" hidden="false" customHeight="false" outlineLevel="0" collapsed="false">
      <c r="A421" s="16" t="n">
        <v>1425</v>
      </c>
      <c r="B421" s="9" t="n">
        <f aca="false">COUNTIF(JE_Lines!$B$5:$B$1733,A421)</f>
        <v>2</v>
      </c>
      <c r="C421" s="17" t="n">
        <f aca="false">SUMIFS(JE_Lines!$G$5:$G$1733,JE_Lines!$B$5:$B$1733,A421)</f>
        <v>3361.2</v>
      </c>
      <c r="D421" s="17" t="n">
        <f aca="false">SUMIFS(JE_Lines!$H$5:$H$1733,JE_Lines!$B$5:$B$1733,A421)</f>
        <v>3361.2</v>
      </c>
      <c r="E421" s="17" t="n">
        <f aca="false">C421-D421</f>
        <v>0</v>
      </c>
      <c r="F421" s="18" t="n">
        <f aca="false">INDEX(JE_Lines!$C$5:$C$1733,MATCH(A421,JE_Lines!$B$5:$B$1733,0))</f>
        <v>45841</v>
      </c>
      <c r="G421" s="18" t="n">
        <f aca="false">INDEX(JE_Lines!$D$5:$D$1733,MATCH(A421,JE_Lines!$B$5:$B$1733,0))</f>
        <v>45839</v>
      </c>
      <c r="H421" s="0" t="str">
        <f aca="false">INDEX(JE_Lines!$I$5:$I$1733,MATCH(A421,JE_Lines!$B$5:$B$1733,0))</f>
        <v>SYS_PAY</v>
      </c>
      <c r="I421" s="0" t="str">
        <f aca="false">INDEX(JE_Lines!$J$5:$J$1733,MATCH(A421,JE_Lines!$B$5:$B$1733,0))</f>
        <v>System</v>
      </c>
      <c r="J421" s="0" t="str">
        <f aca="false">IF(LEN(INDEX(JE_Lines!$K$5:$K$1733,MATCH(A421,JE_Lines!$B$5:$B$1733,0)))=0,"",INDEX(JE_Lines!$K$5:$K$1733,MATCH(A421,JE_Lines!$B$5:$B$1733,0)))</f>
        <v>Supplier payments</v>
      </c>
      <c r="K421" s="9" t="n">
        <f aca="false">F421-G421</f>
        <v>2</v>
      </c>
      <c r="L421" s="9" t="n">
        <f aca="false">COUNTIFS(JE_Lines!$B$5:$B$1733,A421,JE_Lines!$F$5:$F$1733,"Revenue")</f>
        <v>0</v>
      </c>
      <c r="M421" s="9" t="n">
        <f aca="false">COUNTIFS(JE_Lines!$B$5:$B$1733,A421,JE_Lines!$F$5:$F$1733,"Suspense")</f>
        <v>0</v>
      </c>
      <c r="N421" s="9" t="n">
        <f aca="false">IF(ABS(E421)&gt;Parameters!$B$23,1,0)</f>
        <v>0</v>
      </c>
      <c r="O421" s="9" t="n">
        <f aca="false">IF(WEEKDAY(F421,2)&gt;5,1,0)</f>
        <v>0</v>
      </c>
      <c r="P421" s="9" t="n">
        <f aca="false">IF(K421&gt;Parameters!$B$17,1,0)</f>
        <v>0</v>
      </c>
      <c r="Q421" s="9" t="n">
        <f aca="false">IF(AND(F421&lt;=Parameters!$B$6,F421&gt;Parameters!$B$6-Parameters!$B$18),1,0)</f>
        <v>0</v>
      </c>
      <c r="R421" s="9" t="n">
        <f aca="false">IF(COUNTIF(Parameters!$A$51:$A$58,H421)=0,1,0)</f>
        <v>0</v>
      </c>
      <c r="S421" s="9" t="n">
        <f aca="false">IF(AND(I421="Manual",L421&gt;0),1,0)</f>
        <v>0</v>
      </c>
      <c r="T421" s="9" t="n">
        <f aca="false">IF(AND(C421&gt;=Parameters!$B$22,ROUND(MOD(ROUND(C421,2),Parameters!$B$21),2)=0),1,0)</f>
        <v>0</v>
      </c>
      <c r="U421" s="9" t="n">
        <f aca="false">IF(LEN(TRIM(J421))=0,1,0)</f>
        <v>0</v>
      </c>
      <c r="V421" s="9" t="n">
        <f aca="false">IF(AND(I421="Manual",C421&lt;Parameters!$B$19,C421&gt;=Parameters!$B$19*(1-Parameters!$B$20)),1,0)</f>
        <v>0</v>
      </c>
      <c r="W421" s="9" t="n">
        <f aca="false">IF(AND(I421="Manual",M421&gt;0),1,0)</f>
        <v>0</v>
      </c>
      <c r="X421" s="9" t="n">
        <f aca="false">IF(A421-A420&gt;1,1,0)</f>
        <v>0</v>
      </c>
      <c r="Y421" s="9" t="n">
        <f aca="false">N421*Parameters!$B$38+O421*Parameters!$B$39+P421*Parameters!$B$40+Q421*Parameters!$B$41+R421*Parameters!$B$42+S421*Parameters!$B$43+T421*Parameters!$B$44+U421*Parameters!$B$45+V421*Parameters!$B$46+W421*Parameters!$B$47+X421*Parameters!$B$48</f>
        <v>0</v>
      </c>
      <c r="Z421" s="0" t="str">
        <f aca="false">IF(Y421&gt;=Parameters!$B$25,"High","")</f>
        <v/>
      </c>
    </row>
    <row r="422" customFormat="false" ht="15" hidden="false" customHeight="false" outlineLevel="0" collapsed="false">
      <c r="A422" s="16" t="n">
        <v>1426</v>
      </c>
      <c r="B422" s="9" t="n">
        <f aca="false">COUNTIF(JE_Lines!$B$5:$B$1733,A422)</f>
        <v>3</v>
      </c>
      <c r="C422" s="17" t="n">
        <f aca="false">SUMIFS(JE_Lines!$G$5:$G$1733,JE_Lines!$B$5:$B$1733,A422)</f>
        <v>6595.44</v>
      </c>
      <c r="D422" s="17" t="n">
        <f aca="false">SUMIFS(JE_Lines!$H$5:$H$1733,JE_Lines!$B$5:$B$1733,A422)</f>
        <v>6595.44</v>
      </c>
      <c r="E422" s="17" t="n">
        <f aca="false">C422-D422</f>
        <v>0</v>
      </c>
      <c r="F422" s="18" t="n">
        <f aca="false">INDEX(JE_Lines!$C$5:$C$1733,MATCH(A422,JE_Lines!$B$5:$B$1733,0))</f>
        <v>45841</v>
      </c>
      <c r="G422" s="18" t="n">
        <f aca="false">INDEX(JE_Lines!$D$5:$D$1733,MATCH(A422,JE_Lines!$B$5:$B$1733,0))</f>
        <v>45840</v>
      </c>
      <c r="H422" s="0" t="str">
        <f aca="false">INDEX(JE_Lines!$I$5:$I$1733,MATCH(A422,JE_Lines!$B$5:$B$1733,0))</f>
        <v>SYS_AR</v>
      </c>
      <c r="I422" s="0" t="str">
        <f aca="false">INDEX(JE_Lines!$J$5:$J$1733,MATCH(A422,JE_Lines!$B$5:$B$1733,0))</f>
        <v>System</v>
      </c>
      <c r="J422" s="0" t="str">
        <f aca="false">IF(LEN(INDEX(JE_Lines!$K$5:$K$1733,MATCH(A422,JE_Lines!$B$5:$B$1733,0)))=0,"",INDEX(JE_Lines!$K$5:$K$1733,MATCH(A422,JE_Lines!$B$5:$B$1733,0)))</f>
        <v>Cost of sales posting</v>
      </c>
      <c r="K422" s="9" t="n">
        <f aca="false">F422-G422</f>
        <v>1</v>
      </c>
      <c r="L422" s="9" t="n">
        <f aca="false">COUNTIFS(JE_Lines!$B$5:$B$1733,A422,JE_Lines!$F$5:$F$1733,"Revenue")</f>
        <v>0</v>
      </c>
      <c r="M422" s="9" t="n">
        <f aca="false">COUNTIFS(JE_Lines!$B$5:$B$1733,A422,JE_Lines!$F$5:$F$1733,"Suspense")</f>
        <v>0</v>
      </c>
      <c r="N422" s="9" t="n">
        <f aca="false">IF(ABS(E422)&gt;Parameters!$B$23,1,0)</f>
        <v>0</v>
      </c>
      <c r="O422" s="9" t="n">
        <f aca="false">IF(WEEKDAY(F422,2)&gt;5,1,0)</f>
        <v>0</v>
      </c>
      <c r="P422" s="9" t="n">
        <f aca="false">IF(K422&gt;Parameters!$B$17,1,0)</f>
        <v>0</v>
      </c>
      <c r="Q422" s="9" t="n">
        <f aca="false">IF(AND(F422&lt;=Parameters!$B$6,F422&gt;Parameters!$B$6-Parameters!$B$18),1,0)</f>
        <v>0</v>
      </c>
      <c r="R422" s="9" t="n">
        <f aca="false">IF(COUNTIF(Parameters!$A$51:$A$58,H422)=0,1,0)</f>
        <v>0</v>
      </c>
      <c r="S422" s="9" t="n">
        <f aca="false">IF(AND(I422="Manual",L422&gt;0),1,0)</f>
        <v>0</v>
      </c>
      <c r="T422" s="9" t="n">
        <f aca="false">IF(AND(C422&gt;=Parameters!$B$22,ROUND(MOD(ROUND(C422,2),Parameters!$B$21),2)=0),1,0)</f>
        <v>0</v>
      </c>
      <c r="U422" s="9" t="n">
        <f aca="false">IF(LEN(TRIM(J422))=0,1,0)</f>
        <v>0</v>
      </c>
      <c r="V422" s="9" t="n">
        <f aca="false">IF(AND(I422="Manual",C422&lt;Parameters!$B$19,C422&gt;=Parameters!$B$19*(1-Parameters!$B$20)),1,0)</f>
        <v>0</v>
      </c>
      <c r="W422" s="9" t="n">
        <f aca="false">IF(AND(I422="Manual",M422&gt;0),1,0)</f>
        <v>0</v>
      </c>
      <c r="X422" s="9" t="n">
        <f aca="false">IF(A422-A421&gt;1,1,0)</f>
        <v>0</v>
      </c>
      <c r="Y422" s="9" t="n">
        <f aca="false">N422*Parameters!$B$38+O422*Parameters!$B$39+P422*Parameters!$B$40+Q422*Parameters!$B$41+R422*Parameters!$B$42+S422*Parameters!$B$43+T422*Parameters!$B$44+U422*Parameters!$B$45+V422*Parameters!$B$46+W422*Parameters!$B$47+X422*Parameters!$B$48</f>
        <v>0</v>
      </c>
      <c r="Z422" s="0" t="str">
        <f aca="false">IF(Y422&gt;=Parameters!$B$25,"High","")</f>
        <v/>
      </c>
    </row>
    <row r="423" customFormat="false" ht="15" hidden="false" customHeight="false" outlineLevel="0" collapsed="false">
      <c r="A423" s="16" t="n">
        <v>1427</v>
      </c>
      <c r="B423" s="9" t="n">
        <f aca="false">COUNTIF(JE_Lines!$B$5:$B$1733,A423)</f>
        <v>2</v>
      </c>
      <c r="C423" s="17" t="n">
        <f aca="false">SUMIFS(JE_Lines!$G$5:$G$1733,JE_Lines!$B$5:$B$1733,A423)</f>
        <v>49593.61</v>
      </c>
      <c r="D423" s="17" t="n">
        <f aca="false">SUMIFS(JE_Lines!$H$5:$H$1733,JE_Lines!$B$5:$B$1733,A423)</f>
        <v>49593.61</v>
      </c>
      <c r="E423" s="17" t="n">
        <f aca="false">C423-D423</f>
        <v>0</v>
      </c>
      <c r="F423" s="18" t="n">
        <f aca="false">INDEX(JE_Lines!$C$5:$C$1733,MATCH(A423,JE_Lines!$B$5:$B$1733,0))</f>
        <v>45842</v>
      </c>
      <c r="G423" s="18" t="n">
        <f aca="false">INDEX(JE_Lines!$D$5:$D$1733,MATCH(A423,JE_Lines!$B$5:$B$1733,0))</f>
        <v>45842</v>
      </c>
      <c r="H423" s="0" t="str">
        <f aca="false">INDEX(JE_Lines!$I$5:$I$1733,MATCH(A423,JE_Lines!$B$5:$B$1733,0))</f>
        <v>SYS_AR</v>
      </c>
      <c r="I423" s="0" t="str">
        <f aca="false">INDEX(JE_Lines!$J$5:$J$1733,MATCH(A423,JE_Lines!$B$5:$B$1733,0))</f>
        <v>System</v>
      </c>
      <c r="J423" s="0" t="str">
        <f aca="false">IF(LEN(INDEX(JE_Lines!$K$5:$K$1733,MATCH(A423,JE_Lines!$B$5:$B$1733,0)))=0,"",INDEX(JE_Lines!$K$5:$K$1733,MATCH(A423,JE_Lines!$B$5:$B$1733,0)))</f>
        <v>Cost of sales posting</v>
      </c>
      <c r="K423" s="9" t="n">
        <f aca="false">F423-G423</f>
        <v>0</v>
      </c>
      <c r="L423" s="9" t="n">
        <f aca="false">COUNTIFS(JE_Lines!$B$5:$B$1733,A423,JE_Lines!$F$5:$F$1733,"Revenue")</f>
        <v>0</v>
      </c>
      <c r="M423" s="9" t="n">
        <f aca="false">COUNTIFS(JE_Lines!$B$5:$B$1733,A423,JE_Lines!$F$5:$F$1733,"Suspense")</f>
        <v>0</v>
      </c>
      <c r="N423" s="9" t="n">
        <f aca="false">IF(ABS(E423)&gt;Parameters!$B$23,1,0)</f>
        <v>0</v>
      </c>
      <c r="O423" s="9" t="n">
        <f aca="false">IF(WEEKDAY(F423,2)&gt;5,1,0)</f>
        <v>0</v>
      </c>
      <c r="P423" s="9" t="n">
        <f aca="false">IF(K423&gt;Parameters!$B$17,1,0)</f>
        <v>0</v>
      </c>
      <c r="Q423" s="9" t="n">
        <f aca="false">IF(AND(F423&lt;=Parameters!$B$6,F423&gt;Parameters!$B$6-Parameters!$B$18),1,0)</f>
        <v>0</v>
      </c>
      <c r="R423" s="9" t="n">
        <f aca="false">IF(COUNTIF(Parameters!$A$51:$A$58,H423)=0,1,0)</f>
        <v>0</v>
      </c>
      <c r="S423" s="9" t="n">
        <f aca="false">IF(AND(I423="Manual",L423&gt;0),1,0)</f>
        <v>0</v>
      </c>
      <c r="T423" s="9" t="n">
        <f aca="false">IF(AND(C423&gt;=Parameters!$B$22,ROUND(MOD(ROUND(C423,2),Parameters!$B$21),2)=0),1,0)</f>
        <v>0</v>
      </c>
      <c r="U423" s="9" t="n">
        <f aca="false">IF(LEN(TRIM(J423))=0,1,0)</f>
        <v>0</v>
      </c>
      <c r="V423" s="9" t="n">
        <f aca="false">IF(AND(I423="Manual",C423&lt;Parameters!$B$19,C423&gt;=Parameters!$B$19*(1-Parameters!$B$20)),1,0)</f>
        <v>0</v>
      </c>
      <c r="W423" s="9" t="n">
        <f aca="false">IF(AND(I423="Manual",M423&gt;0),1,0)</f>
        <v>0</v>
      </c>
      <c r="X423" s="9" t="n">
        <f aca="false">IF(A423-A422&gt;1,1,0)</f>
        <v>0</v>
      </c>
      <c r="Y423" s="9" t="n">
        <f aca="false">N423*Parameters!$B$38+O423*Parameters!$B$39+P423*Parameters!$B$40+Q423*Parameters!$B$41+R423*Parameters!$B$42+S423*Parameters!$B$43+T423*Parameters!$B$44+U423*Parameters!$B$45+V423*Parameters!$B$46+W423*Parameters!$B$47+X423*Parameters!$B$48</f>
        <v>0</v>
      </c>
      <c r="Z423" s="0" t="str">
        <f aca="false">IF(Y423&gt;=Parameters!$B$25,"High","")</f>
        <v/>
      </c>
    </row>
    <row r="424" customFormat="false" ht="15" hidden="false" customHeight="false" outlineLevel="0" collapsed="false">
      <c r="A424" s="16" t="n">
        <v>1428</v>
      </c>
      <c r="B424" s="9" t="n">
        <f aca="false">COUNTIF(JE_Lines!$B$5:$B$1733,A424)</f>
        <v>2</v>
      </c>
      <c r="C424" s="17" t="n">
        <f aca="false">SUMIFS(JE_Lines!$G$5:$G$1733,JE_Lines!$B$5:$B$1733,A424)</f>
        <v>13351.66</v>
      </c>
      <c r="D424" s="17" t="n">
        <f aca="false">SUMIFS(JE_Lines!$H$5:$H$1733,JE_Lines!$B$5:$B$1733,A424)</f>
        <v>13351.66</v>
      </c>
      <c r="E424" s="17" t="n">
        <f aca="false">C424-D424</f>
        <v>0</v>
      </c>
      <c r="F424" s="18" t="n">
        <f aca="false">INDEX(JE_Lines!$C$5:$C$1733,MATCH(A424,JE_Lines!$B$5:$B$1733,0))</f>
        <v>45842</v>
      </c>
      <c r="G424" s="18" t="n">
        <f aca="false">INDEX(JE_Lines!$D$5:$D$1733,MATCH(A424,JE_Lines!$B$5:$B$1733,0))</f>
        <v>45841</v>
      </c>
      <c r="H424" s="0" t="str">
        <f aca="false">INDEX(JE_Lines!$I$5:$I$1733,MATCH(A424,JE_Lines!$B$5:$B$1733,0))</f>
        <v>SYS_AP</v>
      </c>
      <c r="I424" s="0" t="str">
        <f aca="false">INDEX(JE_Lines!$J$5:$J$1733,MATCH(A424,JE_Lines!$B$5:$B$1733,0))</f>
        <v>System</v>
      </c>
      <c r="J424" s="0" t="str">
        <f aca="false">IF(LEN(INDEX(JE_Lines!$K$5:$K$1733,MATCH(A424,JE_Lines!$B$5:$B$1733,0)))=0,"",INDEX(JE_Lines!$K$5:$K$1733,MATCH(A424,JE_Lines!$B$5:$B$1733,0)))</f>
        <v>Supplier invoices</v>
      </c>
      <c r="K424" s="9" t="n">
        <f aca="false">F424-G424</f>
        <v>1</v>
      </c>
      <c r="L424" s="9" t="n">
        <f aca="false">COUNTIFS(JE_Lines!$B$5:$B$1733,A424,JE_Lines!$F$5:$F$1733,"Revenue")</f>
        <v>0</v>
      </c>
      <c r="M424" s="9" t="n">
        <f aca="false">COUNTIFS(JE_Lines!$B$5:$B$1733,A424,JE_Lines!$F$5:$F$1733,"Suspense")</f>
        <v>0</v>
      </c>
      <c r="N424" s="9" t="n">
        <f aca="false">IF(ABS(E424)&gt;Parameters!$B$23,1,0)</f>
        <v>0</v>
      </c>
      <c r="O424" s="9" t="n">
        <f aca="false">IF(WEEKDAY(F424,2)&gt;5,1,0)</f>
        <v>0</v>
      </c>
      <c r="P424" s="9" t="n">
        <f aca="false">IF(K424&gt;Parameters!$B$17,1,0)</f>
        <v>0</v>
      </c>
      <c r="Q424" s="9" t="n">
        <f aca="false">IF(AND(F424&lt;=Parameters!$B$6,F424&gt;Parameters!$B$6-Parameters!$B$18),1,0)</f>
        <v>0</v>
      </c>
      <c r="R424" s="9" t="n">
        <f aca="false">IF(COUNTIF(Parameters!$A$51:$A$58,H424)=0,1,0)</f>
        <v>0</v>
      </c>
      <c r="S424" s="9" t="n">
        <f aca="false">IF(AND(I424="Manual",L424&gt;0),1,0)</f>
        <v>0</v>
      </c>
      <c r="T424" s="9" t="n">
        <f aca="false">IF(AND(C424&gt;=Parameters!$B$22,ROUND(MOD(ROUND(C424,2),Parameters!$B$21),2)=0),1,0)</f>
        <v>0</v>
      </c>
      <c r="U424" s="9" t="n">
        <f aca="false">IF(LEN(TRIM(J424))=0,1,0)</f>
        <v>0</v>
      </c>
      <c r="V424" s="9" t="n">
        <f aca="false">IF(AND(I424="Manual",C424&lt;Parameters!$B$19,C424&gt;=Parameters!$B$19*(1-Parameters!$B$20)),1,0)</f>
        <v>0</v>
      </c>
      <c r="W424" s="9" t="n">
        <f aca="false">IF(AND(I424="Manual",M424&gt;0),1,0)</f>
        <v>0</v>
      </c>
      <c r="X424" s="9" t="n">
        <f aca="false">IF(A424-A423&gt;1,1,0)</f>
        <v>0</v>
      </c>
      <c r="Y424" s="9" t="n">
        <f aca="false">N424*Parameters!$B$38+O424*Parameters!$B$39+P424*Parameters!$B$40+Q424*Parameters!$B$41+R424*Parameters!$B$42+S424*Parameters!$B$43+T424*Parameters!$B$44+U424*Parameters!$B$45+V424*Parameters!$B$46+W424*Parameters!$B$47+X424*Parameters!$B$48</f>
        <v>0</v>
      </c>
      <c r="Z424" s="0" t="str">
        <f aca="false">IF(Y424&gt;=Parameters!$B$25,"High","")</f>
        <v/>
      </c>
    </row>
    <row r="425" customFormat="false" ht="15" hidden="false" customHeight="false" outlineLevel="0" collapsed="false">
      <c r="A425" s="16" t="n">
        <v>1429</v>
      </c>
      <c r="B425" s="9" t="n">
        <f aca="false">COUNTIF(JE_Lines!$B$5:$B$1733,A425)</f>
        <v>2</v>
      </c>
      <c r="C425" s="17" t="n">
        <f aca="false">SUMIFS(JE_Lines!$G$5:$G$1733,JE_Lines!$B$5:$B$1733,A425)</f>
        <v>274.96</v>
      </c>
      <c r="D425" s="17" t="n">
        <f aca="false">SUMIFS(JE_Lines!$H$5:$H$1733,JE_Lines!$B$5:$B$1733,A425)</f>
        <v>274.96</v>
      </c>
      <c r="E425" s="17" t="n">
        <f aca="false">C425-D425</f>
        <v>0</v>
      </c>
      <c r="F425" s="18" t="n">
        <f aca="false">INDEX(JE_Lines!$C$5:$C$1733,MATCH(A425,JE_Lines!$B$5:$B$1733,0))</f>
        <v>45842</v>
      </c>
      <c r="G425" s="18" t="n">
        <f aca="false">INDEX(JE_Lines!$D$5:$D$1733,MATCH(A425,JE_Lines!$B$5:$B$1733,0))</f>
        <v>45842</v>
      </c>
      <c r="H425" s="0" t="str">
        <f aca="false">INDEX(JE_Lines!$I$5:$I$1733,MATCH(A425,JE_Lines!$B$5:$B$1733,0))</f>
        <v>SYS_AP</v>
      </c>
      <c r="I425" s="0" t="str">
        <f aca="false">INDEX(JE_Lines!$J$5:$J$1733,MATCH(A425,JE_Lines!$B$5:$B$1733,0))</f>
        <v>System</v>
      </c>
      <c r="J425" s="0" t="str">
        <f aca="false">IF(LEN(INDEX(JE_Lines!$K$5:$K$1733,MATCH(A425,JE_Lines!$B$5:$B$1733,0)))=0,"",INDEX(JE_Lines!$K$5:$K$1733,MATCH(A425,JE_Lines!$B$5:$B$1733,0)))</f>
        <v>Supplier invoices</v>
      </c>
      <c r="K425" s="9" t="n">
        <f aca="false">F425-G425</f>
        <v>0</v>
      </c>
      <c r="L425" s="9" t="n">
        <f aca="false">COUNTIFS(JE_Lines!$B$5:$B$1733,A425,JE_Lines!$F$5:$F$1733,"Revenue")</f>
        <v>0</v>
      </c>
      <c r="M425" s="9" t="n">
        <f aca="false">COUNTIFS(JE_Lines!$B$5:$B$1733,A425,JE_Lines!$F$5:$F$1733,"Suspense")</f>
        <v>0</v>
      </c>
      <c r="N425" s="9" t="n">
        <f aca="false">IF(ABS(E425)&gt;Parameters!$B$23,1,0)</f>
        <v>0</v>
      </c>
      <c r="O425" s="9" t="n">
        <f aca="false">IF(WEEKDAY(F425,2)&gt;5,1,0)</f>
        <v>0</v>
      </c>
      <c r="P425" s="9" t="n">
        <f aca="false">IF(K425&gt;Parameters!$B$17,1,0)</f>
        <v>0</v>
      </c>
      <c r="Q425" s="9" t="n">
        <f aca="false">IF(AND(F425&lt;=Parameters!$B$6,F425&gt;Parameters!$B$6-Parameters!$B$18),1,0)</f>
        <v>0</v>
      </c>
      <c r="R425" s="9" t="n">
        <f aca="false">IF(COUNTIF(Parameters!$A$51:$A$58,H425)=0,1,0)</f>
        <v>0</v>
      </c>
      <c r="S425" s="9" t="n">
        <f aca="false">IF(AND(I425="Manual",L425&gt;0),1,0)</f>
        <v>0</v>
      </c>
      <c r="T425" s="9" t="n">
        <f aca="false">IF(AND(C425&gt;=Parameters!$B$22,ROUND(MOD(ROUND(C425,2),Parameters!$B$21),2)=0),1,0)</f>
        <v>0</v>
      </c>
      <c r="U425" s="9" t="n">
        <f aca="false">IF(LEN(TRIM(J425))=0,1,0)</f>
        <v>0</v>
      </c>
      <c r="V425" s="9" t="n">
        <f aca="false">IF(AND(I425="Manual",C425&lt;Parameters!$B$19,C425&gt;=Parameters!$B$19*(1-Parameters!$B$20)),1,0)</f>
        <v>0</v>
      </c>
      <c r="W425" s="9" t="n">
        <f aca="false">IF(AND(I425="Manual",M425&gt;0),1,0)</f>
        <v>0</v>
      </c>
      <c r="X425" s="9" t="n">
        <f aca="false">IF(A425-A424&gt;1,1,0)</f>
        <v>0</v>
      </c>
      <c r="Y425" s="9" t="n">
        <f aca="false">N425*Parameters!$B$38+O425*Parameters!$B$39+P425*Parameters!$B$40+Q425*Parameters!$B$41+R425*Parameters!$B$42+S425*Parameters!$B$43+T425*Parameters!$B$44+U425*Parameters!$B$45+V425*Parameters!$B$46+W425*Parameters!$B$47+X425*Parameters!$B$48</f>
        <v>0</v>
      </c>
      <c r="Z425" s="0" t="str">
        <f aca="false">IF(Y425&gt;=Parameters!$B$25,"High","")</f>
        <v/>
      </c>
    </row>
    <row r="426" customFormat="false" ht="15" hidden="false" customHeight="false" outlineLevel="0" collapsed="false">
      <c r="A426" s="16" t="n">
        <v>1430</v>
      </c>
      <c r="B426" s="9" t="n">
        <f aca="false">COUNTIF(JE_Lines!$B$5:$B$1733,A426)</f>
        <v>2</v>
      </c>
      <c r="C426" s="17" t="n">
        <f aca="false">SUMIFS(JE_Lines!$G$5:$G$1733,JE_Lines!$B$5:$B$1733,A426)</f>
        <v>4701.96</v>
      </c>
      <c r="D426" s="17" t="n">
        <f aca="false">SUMIFS(JE_Lines!$H$5:$H$1733,JE_Lines!$B$5:$B$1733,A426)</f>
        <v>4701.96</v>
      </c>
      <c r="E426" s="17" t="n">
        <f aca="false">C426-D426</f>
        <v>0</v>
      </c>
      <c r="F426" s="18" t="n">
        <f aca="false">INDEX(JE_Lines!$C$5:$C$1733,MATCH(A426,JE_Lines!$B$5:$B$1733,0))</f>
        <v>45842</v>
      </c>
      <c r="G426" s="18" t="n">
        <f aca="false">INDEX(JE_Lines!$D$5:$D$1733,MATCH(A426,JE_Lines!$B$5:$B$1733,0))</f>
        <v>45840</v>
      </c>
      <c r="H426" s="0" t="str">
        <f aca="false">INDEX(JE_Lines!$I$5:$I$1733,MATCH(A426,JE_Lines!$B$5:$B$1733,0))</f>
        <v>SYS_AR</v>
      </c>
      <c r="I426" s="0" t="str">
        <f aca="false">INDEX(JE_Lines!$J$5:$J$1733,MATCH(A426,JE_Lines!$B$5:$B$1733,0))</f>
        <v>System</v>
      </c>
      <c r="J426" s="0" t="str">
        <f aca="false">IF(LEN(INDEX(JE_Lines!$K$5:$K$1733,MATCH(A426,JE_Lines!$B$5:$B$1733,0)))=0,"",INDEX(JE_Lines!$K$5:$K$1733,MATCH(A426,JE_Lines!$B$5:$B$1733,0)))</f>
        <v>Cost of sales posting</v>
      </c>
      <c r="K426" s="9" t="n">
        <f aca="false">F426-G426</f>
        <v>2</v>
      </c>
      <c r="L426" s="9" t="n">
        <f aca="false">COUNTIFS(JE_Lines!$B$5:$B$1733,A426,JE_Lines!$F$5:$F$1733,"Revenue")</f>
        <v>0</v>
      </c>
      <c r="M426" s="9" t="n">
        <f aca="false">COUNTIFS(JE_Lines!$B$5:$B$1733,A426,JE_Lines!$F$5:$F$1733,"Suspense")</f>
        <v>0</v>
      </c>
      <c r="N426" s="9" t="n">
        <f aca="false">IF(ABS(E426)&gt;Parameters!$B$23,1,0)</f>
        <v>0</v>
      </c>
      <c r="O426" s="9" t="n">
        <f aca="false">IF(WEEKDAY(F426,2)&gt;5,1,0)</f>
        <v>0</v>
      </c>
      <c r="P426" s="9" t="n">
        <f aca="false">IF(K426&gt;Parameters!$B$17,1,0)</f>
        <v>0</v>
      </c>
      <c r="Q426" s="9" t="n">
        <f aca="false">IF(AND(F426&lt;=Parameters!$B$6,F426&gt;Parameters!$B$6-Parameters!$B$18),1,0)</f>
        <v>0</v>
      </c>
      <c r="R426" s="9" t="n">
        <f aca="false">IF(COUNTIF(Parameters!$A$51:$A$58,H426)=0,1,0)</f>
        <v>0</v>
      </c>
      <c r="S426" s="9" t="n">
        <f aca="false">IF(AND(I426="Manual",L426&gt;0),1,0)</f>
        <v>0</v>
      </c>
      <c r="T426" s="9" t="n">
        <f aca="false">IF(AND(C426&gt;=Parameters!$B$22,ROUND(MOD(ROUND(C426,2),Parameters!$B$21),2)=0),1,0)</f>
        <v>0</v>
      </c>
      <c r="U426" s="9" t="n">
        <f aca="false">IF(LEN(TRIM(J426))=0,1,0)</f>
        <v>0</v>
      </c>
      <c r="V426" s="9" t="n">
        <f aca="false">IF(AND(I426="Manual",C426&lt;Parameters!$B$19,C426&gt;=Parameters!$B$19*(1-Parameters!$B$20)),1,0)</f>
        <v>0</v>
      </c>
      <c r="W426" s="9" t="n">
        <f aca="false">IF(AND(I426="Manual",M426&gt;0),1,0)</f>
        <v>0</v>
      </c>
      <c r="X426" s="9" t="n">
        <f aca="false">IF(A426-A425&gt;1,1,0)</f>
        <v>0</v>
      </c>
      <c r="Y426" s="9" t="n">
        <f aca="false">N426*Parameters!$B$38+O426*Parameters!$B$39+P426*Parameters!$B$40+Q426*Parameters!$B$41+R426*Parameters!$B$42+S426*Parameters!$B$43+T426*Parameters!$B$44+U426*Parameters!$B$45+V426*Parameters!$B$46+W426*Parameters!$B$47+X426*Parameters!$B$48</f>
        <v>0</v>
      </c>
      <c r="Z426" s="0" t="str">
        <f aca="false">IF(Y426&gt;=Parameters!$B$25,"High","")</f>
        <v/>
      </c>
    </row>
    <row r="427" customFormat="false" ht="15" hidden="false" customHeight="false" outlineLevel="0" collapsed="false">
      <c r="A427" s="16" t="n">
        <v>1431</v>
      </c>
      <c r="B427" s="9" t="n">
        <f aca="false">COUNTIF(JE_Lines!$B$5:$B$1733,A427)</f>
        <v>2</v>
      </c>
      <c r="C427" s="17" t="n">
        <f aca="false">SUMIFS(JE_Lines!$G$5:$G$1733,JE_Lines!$B$5:$B$1733,A427)</f>
        <v>14878.01</v>
      </c>
      <c r="D427" s="17" t="n">
        <f aca="false">SUMIFS(JE_Lines!$H$5:$H$1733,JE_Lines!$B$5:$B$1733,A427)</f>
        <v>14878.01</v>
      </c>
      <c r="E427" s="17" t="n">
        <f aca="false">C427-D427</f>
        <v>0</v>
      </c>
      <c r="F427" s="18" t="n">
        <f aca="false">INDEX(JE_Lines!$C$5:$C$1733,MATCH(A427,JE_Lines!$B$5:$B$1733,0))</f>
        <v>45842</v>
      </c>
      <c r="G427" s="18" t="n">
        <f aca="false">INDEX(JE_Lines!$D$5:$D$1733,MATCH(A427,JE_Lines!$B$5:$B$1733,0))</f>
        <v>45838</v>
      </c>
      <c r="H427" s="0" t="str">
        <f aca="false">INDEX(JE_Lines!$I$5:$I$1733,MATCH(A427,JE_Lines!$B$5:$B$1733,0))</f>
        <v>SYS_PAY</v>
      </c>
      <c r="I427" s="0" t="str">
        <f aca="false">INDEX(JE_Lines!$J$5:$J$1733,MATCH(A427,JE_Lines!$B$5:$B$1733,0))</f>
        <v>System</v>
      </c>
      <c r="J427" s="0" t="str">
        <f aca="false">IF(LEN(INDEX(JE_Lines!$K$5:$K$1733,MATCH(A427,JE_Lines!$B$5:$B$1733,0)))=0,"",INDEX(JE_Lines!$K$5:$K$1733,MATCH(A427,JE_Lines!$B$5:$B$1733,0)))</f>
        <v>Supplier payments</v>
      </c>
      <c r="K427" s="9" t="n">
        <f aca="false">F427-G427</f>
        <v>4</v>
      </c>
      <c r="L427" s="9" t="n">
        <f aca="false">COUNTIFS(JE_Lines!$B$5:$B$1733,A427,JE_Lines!$F$5:$F$1733,"Revenue")</f>
        <v>0</v>
      </c>
      <c r="M427" s="9" t="n">
        <f aca="false">COUNTIFS(JE_Lines!$B$5:$B$1733,A427,JE_Lines!$F$5:$F$1733,"Suspense")</f>
        <v>0</v>
      </c>
      <c r="N427" s="9" t="n">
        <f aca="false">IF(ABS(E427)&gt;Parameters!$B$23,1,0)</f>
        <v>0</v>
      </c>
      <c r="O427" s="9" t="n">
        <f aca="false">IF(WEEKDAY(F427,2)&gt;5,1,0)</f>
        <v>0</v>
      </c>
      <c r="P427" s="9" t="n">
        <f aca="false">IF(K427&gt;Parameters!$B$17,1,0)</f>
        <v>0</v>
      </c>
      <c r="Q427" s="9" t="n">
        <f aca="false">IF(AND(F427&lt;=Parameters!$B$6,F427&gt;Parameters!$B$6-Parameters!$B$18),1,0)</f>
        <v>0</v>
      </c>
      <c r="R427" s="9" t="n">
        <f aca="false">IF(COUNTIF(Parameters!$A$51:$A$58,H427)=0,1,0)</f>
        <v>0</v>
      </c>
      <c r="S427" s="9" t="n">
        <f aca="false">IF(AND(I427="Manual",L427&gt;0),1,0)</f>
        <v>0</v>
      </c>
      <c r="T427" s="9" t="n">
        <f aca="false">IF(AND(C427&gt;=Parameters!$B$22,ROUND(MOD(ROUND(C427,2),Parameters!$B$21),2)=0),1,0)</f>
        <v>0</v>
      </c>
      <c r="U427" s="9" t="n">
        <f aca="false">IF(LEN(TRIM(J427))=0,1,0)</f>
        <v>0</v>
      </c>
      <c r="V427" s="9" t="n">
        <f aca="false">IF(AND(I427="Manual",C427&lt;Parameters!$B$19,C427&gt;=Parameters!$B$19*(1-Parameters!$B$20)),1,0)</f>
        <v>0</v>
      </c>
      <c r="W427" s="9" t="n">
        <f aca="false">IF(AND(I427="Manual",M427&gt;0),1,0)</f>
        <v>0</v>
      </c>
      <c r="X427" s="9" t="n">
        <f aca="false">IF(A427-A426&gt;1,1,0)</f>
        <v>0</v>
      </c>
      <c r="Y427" s="9" t="n">
        <f aca="false">N427*Parameters!$B$38+O427*Parameters!$B$39+P427*Parameters!$B$40+Q427*Parameters!$B$41+R427*Parameters!$B$42+S427*Parameters!$B$43+T427*Parameters!$B$44+U427*Parameters!$B$45+V427*Parameters!$B$46+W427*Parameters!$B$47+X427*Parameters!$B$48</f>
        <v>0</v>
      </c>
      <c r="Z427" s="0" t="str">
        <f aca="false">IF(Y427&gt;=Parameters!$B$25,"High","")</f>
        <v/>
      </c>
    </row>
    <row r="428" customFormat="false" ht="15" hidden="false" customHeight="false" outlineLevel="0" collapsed="false">
      <c r="A428" s="16" t="n">
        <v>1432</v>
      </c>
      <c r="B428" s="9" t="n">
        <f aca="false">COUNTIF(JE_Lines!$B$5:$B$1733,A428)</f>
        <v>2</v>
      </c>
      <c r="C428" s="17" t="n">
        <f aca="false">SUMIFS(JE_Lines!$G$5:$G$1733,JE_Lines!$B$5:$B$1733,A428)</f>
        <v>660.82</v>
      </c>
      <c r="D428" s="17" t="n">
        <f aca="false">SUMIFS(JE_Lines!$H$5:$H$1733,JE_Lines!$B$5:$B$1733,A428)</f>
        <v>660.82</v>
      </c>
      <c r="E428" s="17" t="n">
        <f aca="false">C428-D428</f>
        <v>0</v>
      </c>
      <c r="F428" s="18" t="n">
        <f aca="false">INDEX(JE_Lines!$C$5:$C$1733,MATCH(A428,JE_Lines!$B$5:$B$1733,0))</f>
        <v>45844</v>
      </c>
      <c r="G428" s="18" t="n">
        <f aca="false">INDEX(JE_Lines!$D$5:$D$1733,MATCH(A428,JE_Lines!$B$5:$B$1733,0))</f>
        <v>45843</v>
      </c>
      <c r="H428" s="0" t="str">
        <f aca="false">INDEX(JE_Lines!$I$5:$I$1733,MATCH(A428,JE_Lines!$B$5:$B$1733,0))</f>
        <v>SYS_AP</v>
      </c>
      <c r="I428" s="0" t="str">
        <f aca="false">INDEX(JE_Lines!$J$5:$J$1733,MATCH(A428,JE_Lines!$B$5:$B$1733,0))</f>
        <v>System</v>
      </c>
      <c r="J428" s="0" t="str">
        <f aca="false">IF(LEN(INDEX(JE_Lines!$K$5:$K$1733,MATCH(A428,JE_Lines!$B$5:$B$1733,0)))=0,"",INDEX(JE_Lines!$K$5:$K$1733,MATCH(A428,JE_Lines!$B$5:$B$1733,0)))</f>
        <v>Supplier invoices</v>
      </c>
      <c r="K428" s="9" t="n">
        <f aca="false">F428-G428</f>
        <v>1</v>
      </c>
      <c r="L428" s="9" t="n">
        <f aca="false">COUNTIFS(JE_Lines!$B$5:$B$1733,A428,JE_Lines!$F$5:$F$1733,"Revenue")</f>
        <v>0</v>
      </c>
      <c r="M428" s="9" t="n">
        <f aca="false">COUNTIFS(JE_Lines!$B$5:$B$1733,A428,JE_Lines!$F$5:$F$1733,"Suspense")</f>
        <v>0</v>
      </c>
      <c r="N428" s="9" t="n">
        <f aca="false">IF(ABS(E428)&gt;Parameters!$B$23,1,0)</f>
        <v>0</v>
      </c>
      <c r="O428" s="9" t="n">
        <f aca="false">IF(WEEKDAY(F428,2)&gt;5,1,0)</f>
        <v>1</v>
      </c>
      <c r="P428" s="9" t="n">
        <f aca="false">IF(K428&gt;Parameters!$B$17,1,0)</f>
        <v>0</v>
      </c>
      <c r="Q428" s="9" t="n">
        <f aca="false">IF(AND(F428&lt;=Parameters!$B$6,F428&gt;Parameters!$B$6-Parameters!$B$18),1,0)</f>
        <v>0</v>
      </c>
      <c r="R428" s="9" t="n">
        <f aca="false">IF(COUNTIF(Parameters!$A$51:$A$58,H428)=0,1,0)</f>
        <v>0</v>
      </c>
      <c r="S428" s="9" t="n">
        <f aca="false">IF(AND(I428="Manual",L428&gt;0),1,0)</f>
        <v>0</v>
      </c>
      <c r="T428" s="9" t="n">
        <f aca="false">IF(AND(C428&gt;=Parameters!$B$22,ROUND(MOD(ROUND(C428,2),Parameters!$B$21),2)=0),1,0)</f>
        <v>0</v>
      </c>
      <c r="U428" s="9" t="n">
        <f aca="false">IF(LEN(TRIM(J428))=0,1,0)</f>
        <v>0</v>
      </c>
      <c r="V428" s="9" t="n">
        <f aca="false">IF(AND(I428="Manual",C428&lt;Parameters!$B$19,C428&gt;=Parameters!$B$19*(1-Parameters!$B$20)),1,0)</f>
        <v>0</v>
      </c>
      <c r="W428" s="9" t="n">
        <f aca="false">IF(AND(I428="Manual",M428&gt;0),1,0)</f>
        <v>0</v>
      </c>
      <c r="X428" s="9" t="n">
        <f aca="false">IF(A428-A427&gt;1,1,0)</f>
        <v>0</v>
      </c>
      <c r="Y428" s="9" t="n">
        <f aca="false">N428*Parameters!$B$38+O428*Parameters!$B$39+P428*Parameters!$B$40+Q428*Parameters!$B$41+R428*Parameters!$B$42+S428*Parameters!$B$43+T428*Parameters!$B$44+U428*Parameters!$B$45+V428*Parameters!$B$46+W428*Parameters!$B$47+X428*Parameters!$B$48</f>
        <v>2</v>
      </c>
      <c r="Z428" s="0" t="str">
        <f aca="false">IF(Y428&gt;=Parameters!$B$25,"High","")</f>
        <v/>
      </c>
    </row>
    <row r="429" customFormat="false" ht="15" hidden="false" customHeight="false" outlineLevel="0" collapsed="false">
      <c r="A429" s="16" t="n">
        <v>1433</v>
      </c>
      <c r="B429" s="9" t="n">
        <f aca="false">COUNTIF(JE_Lines!$B$5:$B$1733,A429)</f>
        <v>2</v>
      </c>
      <c r="C429" s="17" t="n">
        <f aca="false">SUMIFS(JE_Lines!$G$5:$G$1733,JE_Lines!$B$5:$B$1733,A429)</f>
        <v>6622.04</v>
      </c>
      <c r="D429" s="17" t="n">
        <f aca="false">SUMIFS(JE_Lines!$H$5:$H$1733,JE_Lines!$B$5:$B$1733,A429)</f>
        <v>6622.04</v>
      </c>
      <c r="E429" s="17" t="n">
        <f aca="false">C429-D429</f>
        <v>0</v>
      </c>
      <c r="F429" s="18" t="n">
        <f aca="false">INDEX(JE_Lines!$C$5:$C$1733,MATCH(A429,JE_Lines!$B$5:$B$1733,0))</f>
        <v>45845</v>
      </c>
      <c r="G429" s="18" t="n">
        <f aca="false">INDEX(JE_Lines!$D$5:$D$1733,MATCH(A429,JE_Lines!$B$5:$B$1733,0))</f>
        <v>45844</v>
      </c>
      <c r="H429" s="0" t="str">
        <f aca="false">INDEX(JE_Lines!$I$5:$I$1733,MATCH(A429,JE_Lines!$B$5:$B$1733,0))</f>
        <v>SYS_AR</v>
      </c>
      <c r="I429" s="0" t="str">
        <f aca="false">INDEX(JE_Lines!$J$5:$J$1733,MATCH(A429,JE_Lines!$B$5:$B$1733,0))</f>
        <v>System</v>
      </c>
      <c r="J429" s="0" t="str">
        <f aca="false">IF(LEN(INDEX(JE_Lines!$K$5:$K$1733,MATCH(A429,JE_Lines!$B$5:$B$1733,0)))=0,"",INDEX(JE_Lines!$K$5:$K$1733,MATCH(A429,JE_Lines!$B$5:$B$1733,0)))</f>
        <v>Customer receipts</v>
      </c>
      <c r="K429" s="9" t="n">
        <f aca="false">F429-G429</f>
        <v>1</v>
      </c>
      <c r="L429" s="9" t="n">
        <f aca="false">COUNTIFS(JE_Lines!$B$5:$B$1733,A429,JE_Lines!$F$5:$F$1733,"Revenue")</f>
        <v>0</v>
      </c>
      <c r="M429" s="9" t="n">
        <f aca="false">COUNTIFS(JE_Lines!$B$5:$B$1733,A429,JE_Lines!$F$5:$F$1733,"Suspense")</f>
        <v>0</v>
      </c>
      <c r="N429" s="9" t="n">
        <f aca="false">IF(ABS(E429)&gt;Parameters!$B$23,1,0)</f>
        <v>0</v>
      </c>
      <c r="O429" s="9" t="n">
        <f aca="false">IF(WEEKDAY(F429,2)&gt;5,1,0)</f>
        <v>0</v>
      </c>
      <c r="P429" s="9" t="n">
        <f aca="false">IF(K429&gt;Parameters!$B$17,1,0)</f>
        <v>0</v>
      </c>
      <c r="Q429" s="9" t="n">
        <f aca="false">IF(AND(F429&lt;=Parameters!$B$6,F429&gt;Parameters!$B$6-Parameters!$B$18),1,0)</f>
        <v>0</v>
      </c>
      <c r="R429" s="9" t="n">
        <f aca="false">IF(COUNTIF(Parameters!$A$51:$A$58,H429)=0,1,0)</f>
        <v>0</v>
      </c>
      <c r="S429" s="9" t="n">
        <f aca="false">IF(AND(I429="Manual",L429&gt;0),1,0)</f>
        <v>0</v>
      </c>
      <c r="T429" s="9" t="n">
        <f aca="false">IF(AND(C429&gt;=Parameters!$B$22,ROUND(MOD(ROUND(C429,2),Parameters!$B$21),2)=0),1,0)</f>
        <v>0</v>
      </c>
      <c r="U429" s="9" t="n">
        <f aca="false">IF(LEN(TRIM(J429))=0,1,0)</f>
        <v>0</v>
      </c>
      <c r="V429" s="9" t="n">
        <f aca="false">IF(AND(I429="Manual",C429&lt;Parameters!$B$19,C429&gt;=Parameters!$B$19*(1-Parameters!$B$20)),1,0)</f>
        <v>0</v>
      </c>
      <c r="W429" s="9" t="n">
        <f aca="false">IF(AND(I429="Manual",M429&gt;0),1,0)</f>
        <v>0</v>
      </c>
      <c r="X429" s="9" t="n">
        <f aca="false">IF(A429-A428&gt;1,1,0)</f>
        <v>0</v>
      </c>
      <c r="Y429" s="9" t="n">
        <f aca="false">N429*Parameters!$B$38+O429*Parameters!$B$39+P429*Parameters!$B$40+Q429*Parameters!$B$41+R429*Parameters!$B$42+S429*Parameters!$B$43+T429*Parameters!$B$44+U429*Parameters!$B$45+V429*Parameters!$B$46+W429*Parameters!$B$47+X429*Parameters!$B$48</f>
        <v>0</v>
      </c>
      <c r="Z429" s="0" t="str">
        <f aca="false">IF(Y429&gt;=Parameters!$B$25,"High","")</f>
        <v/>
      </c>
    </row>
    <row r="430" customFormat="false" ht="15" hidden="false" customHeight="false" outlineLevel="0" collapsed="false">
      <c r="A430" s="16" t="n">
        <v>1434</v>
      </c>
      <c r="B430" s="9" t="n">
        <f aca="false">COUNTIF(JE_Lines!$B$5:$B$1733,A430)</f>
        <v>2</v>
      </c>
      <c r="C430" s="17" t="n">
        <f aca="false">SUMIFS(JE_Lines!$G$5:$G$1733,JE_Lines!$B$5:$B$1733,A430)</f>
        <v>103892.83</v>
      </c>
      <c r="D430" s="17" t="n">
        <f aca="false">SUMIFS(JE_Lines!$H$5:$H$1733,JE_Lines!$B$5:$B$1733,A430)</f>
        <v>103892.83</v>
      </c>
      <c r="E430" s="17" t="n">
        <f aca="false">C430-D430</f>
        <v>0</v>
      </c>
      <c r="F430" s="18" t="n">
        <f aca="false">INDEX(JE_Lines!$C$5:$C$1733,MATCH(A430,JE_Lines!$B$5:$B$1733,0))</f>
        <v>45845</v>
      </c>
      <c r="G430" s="18" t="n">
        <f aca="false">INDEX(JE_Lines!$D$5:$D$1733,MATCH(A430,JE_Lines!$B$5:$B$1733,0))</f>
        <v>45842</v>
      </c>
      <c r="H430" s="0" t="str">
        <f aca="false">INDEX(JE_Lines!$I$5:$I$1733,MATCH(A430,JE_Lines!$B$5:$B$1733,0))</f>
        <v>SYS_AR</v>
      </c>
      <c r="I430" s="0" t="str">
        <f aca="false">INDEX(JE_Lines!$J$5:$J$1733,MATCH(A430,JE_Lines!$B$5:$B$1733,0))</f>
        <v>System</v>
      </c>
      <c r="J430" s="0" t="str">
        <f aca="false">IF(LEN(INDEX(JE_Lines!$K$5:$K$1733,MATCH(A430,JE_Lines!$B$5:$B$1733,0)))=0,"",INDEX(JE_Lines!$K$5:$K$1733,MATCH(A430,JE_Lines!$B$5:$B$1733,0)))</f>
        <v>Customer receipts</v>
      </c>
      <c r="K430" s="9" t="n">
        <f aca="false">F430-G430</f>
        <v>3</v>
      </c>
      <c r="L430" s="9" t="n">
        <f aca="false">COUNTIFS(JE_Lines!$B$5:$B$1733,A430,JE_Lines!$F$5:$F$1733,"Revenue")</f>
        <v>0</v>
      </c>
      <c r="M430" s="9" t="n">
        <f aca="false">COUNTIFS(JE_Lines!$B$5:$B$1733,A430,JE_Lines!$F$5:$F$1733,"Suspense")</f>
        <v>0</v>
      </c>
      <c r="N430" s="9" t="n">
        <f aca="false">IF(ABS(E430)&gt;Parameters!$B$23,1,0)</f>
        <v>0</v>
      </c>
      <c r="O430" s="9" t="n">
        <f aca="false">IF(WEEKDAY(F430,2)&gt;5,1,0)</f>
        <v>0</v>
      </c>
      <c r="P430" s="9" t="n">
        <f aca="false">IF(K430&gt;Parameters!$B$17,1,0)</f>
        <v>0</v>
      </c>
      <c r="Q430" s="9" t="n">
        <f aca="false">IF(AND(F430&lt;=Parameters!$B$6,F430&gt;Parameters!$B$6-Parameters!$B$18),1,0)</f>
        <v>0</v>
      </c>
      <c r="R430" s="9" t="n">
        <f aca="false">IF(COUNTIF(Parameters!$A$51:$A$58,H430)=0,1,0)</f>
        <v>0</v>
      </c>
      <c r="S430" s="9" t="n">
        <f aca="false">IF(AND(I430="Manual",L430&gt;0),1,0)</f>
        <v>0</v>
      </c>
      <c r="T430" s="9" t="n">
        <f aca="false">IF(AND(C430&gt;=Parameters!$B$22,ROUND(MOD(ROUND(C430,2),Parameters!$B$21),2)=0),1,0)</f>
        <v>0</v>
      </c>
      <c r="U430" s="9" t="n">
        <f aca="false">IF(LEN(TRIM(J430))=0,1,0)</f>
        <v>0</v>
      </c>
      <c r="V430" s="9" t="n">
        <f aca="false">IF(AND(I430="Manual",C430&lt;Parameters!$B$19,C430&gt;=Parameters!$B$19*(1-Parameters!$B$20)),1,0)</f>
        <v>0</v>
      </c>
      <c r="W430" s="9" t="n">
        <f aca="false">IF(AND(I430="Manual",M430&gt;0),1,0)</f>
        <v>0</v>
      </c>
      <c r="X430" s="9" t="n">
        <f aca="false">IF(A430-A429&gt;1,1,0)</f>
        <v>0</v>
      </c>
      <c r="Y430" s="9" t="n">
        <f aca="false">N430*Parameters!$B$38+O430*Parameters!$B$39+P430*Parameters!$B$40+Q430*Parameters!$B$41+R430*Parameters!$B$42+S430*Parameters!$B$43+T430*Parameters!$B$44+U430*Parameters!$B$45+V430*Parameters!$B$46+W430*Parameters!$B$47+X430*Parameters!$B$48</f>
        <v>0</v>
      </c>
      <c r="Z430" s="0" t="str">
        <f aca="false">IF(Y430&gt;=Parameters!$B$25,"High","")</f>
        <v/>
      </c>
    </row>
    <row r="431" customFormat="false" ht="15" hidden="false" customHeight="false" outlineLevel="0" collapsed="false">
      <c r="A431" s="16" t="n">
        <v>1435</v>
      </c>
      <c r="B431" s="9" t="n">
        <f aca="false">COUNTIF(JE_Lines!$B$5:$B$1733,A431)</f>
        <v>3</v>
      </c>
      <c r="C431" s="17" t="n">
        <f aca="false">SUMIFS(JE_Lines!$G$5:$G$1733,JE_Lines!$B$5:$B$1733,A431)</f>
        <v>6217.26</v>
      </c>
      <c r="D431" s="17" t="n">
        <f aca="false">SUMIFS(JE_Lines!$H$5:$H$1733,JE_Lines!$B$5:$B$1733,A431)</f>
        <v>6217.26</v>
      </c>
      <c r="E431" s="17" t="n">
        <f aca="false">C431-D431</f>
        <v>0</v>
      </c>
      <c r="F431" s="18" t="n">
        <f aca="false">INDEX(JE_Lines!$C$5:$C$1733,MATCH(A431,JE_Lines!$B$5:$B$1733,0))</f>
        <v>45846</v>
      </c>
      <c r="G431" s="18" t="n">
        <f aca="false">INDEX(JE_Lines!$D$5:$D$1733,MATCH(A431,JE_Lines!$B$5:$B$1733,0))</f>
        <v>45846</v>
      </c>
      <c r="H431" s="0" t="str">
        <f aca="false">INDEX(JE_Lines!$I$5:$I$1733,MATCH(A431,JE_Lines!$B$5:$B$1733,0))</f>
        <v>SYS_AP</v>
      </c>
      <c r="I431" s="0" t="str">
        <f aca="false">INDEX(JE_Lines!$J$5:$J$1733,MATCH(A431,JE_Lines!$B$5:$B$1733,0))</f>
        <v>System</v>
      </c>
      <c r="J431" s="0" t="str">
        <f aca="false">IF(LEN(INDEX(JE_Lines!$K$5:$K$1733,MATCH(A431,JE_Lines!$B$5:$B$1733,0)))=0,"",INDEX(JE_Lines!$K$5:$K$1733,MATCH(A431,JE_Lines!$B$5:$B$1733,0)))</f>
        <v>Supplier invoices</v>
      </c>
      <c r="K431" s="9" t="n">
        <f aca="false">F431-G431</f>
        <v>0</v>
      </c>
      <c r="L431" s="9" t="n">
        <f aca="false">COUNTIFS(JE_Lines!$B$5:$B$1733,A431,JE_Lines!$F$5:$F$1733,"Revenue")</f>
        <v>0</v>
      </c>
      <c r="M431" s="9" t="n">
        <f aca="false">COUNTIFS(JE_Lines!$B$5:$B$1733,A431,JE_Lines!$F$5:$F$1733,"Suspense")</f>
        <v>0</v>
      </c>
      <c r="N431" s="9" t="n">
        <f aca="false">IF(ABS(E431)&gt;Parameters!$B$23,1,0)</f>
        <v>0</v>
      </c>
      <c r="O431" s="9" t="n">
        <f aca="false">IF(WEEKDAY(F431,2)&gt;5,1,0)</f>
        <v>0</v>
      </c>
      <c r="P431" s="9" t="n">
        <f aca="false">IF(K431&gt;Parameters!$B$17,1,0)</f>
        <v>0</v>
      </c>
      <c r="Q431" s="9" t="n">
        <f aca="false">IF(AND(F431&lt;=Parameters!$B$6,F431&gt;Parameters!$B$6-Parameters!$B$18),1,0)</f>
        <v>0</v>
      </c>
      <c r="R431" s="9" t="n">
        <f aca="false">IF(COUNTIF(Parameters!$A$51:$A$58,H431)=0,1,0)</f>
        <v>0</v>
      </c>
      <c r="S431" s="9" t="n">
        <f aca="false">IF(AND(I431="Manual",L431&gt;0),1,0)</f>
        <v>0</v>
      </c>
      <c r="T431" s="9" t="n">
        <f aca="false">IF(AND(C431&gt;=Parameters!$B$22,ROUND(MOD(ROUND(C431,2),Parameters!$B$21),2)=0),1,0)</f>
        <v>0</v>
      </c>
      <c r="U431" s="9" t="n">
        <f aca="false">IF(LEN(TRIM(J431))=0,1,0)</f>
        <v>0</v>
      </c>
      <c r="V431" s="9" t="n">
        <f aca="false">IF(AND(I431="Manual",C431&lt;Parameters!$B$19,C431&gt;=Parameters!$B$19*(1-Parameters!$B$20)),1,0)</f>
        <v>0</v>
      </c>
      <c r="W431" s="9" t="n">
        <f aca="false">IF(AND(I431="Manual",M431&gt;0),1,0)</f>
        <v>0</v>
      </c>
      <c r="X431" s="9" t="n">
        <f aca="false">IF(A431-A430&gt;1,1,0)</f>
        <v>0</v>
      </c>
      <c r="Y431" s="9" t="n">
        <f aca="false">N431*Parameters!$B$38+O431*Parameters!$B$39+P431*Parameters!$B$40+Q431*Parameters!$B$41+R431*Parameters!$B$42+S431*Parameters!$B$43+T431*Parameters!$B$44+U431*Parameters!$B$45+V431*Parameters!$B$46+W431*Parameters!$B$47+X431*Parameters!$B$48</f>
        <v>0</v>
      </c>
      <c r="Z431" s="0" t="str">
        <f aca="false">IF(Y431&gt;=Parameters!$B$25,"High","")</f>
        <v/>
      </c>
    </row>
    <row r="432" customFormat="false" ht="15" hidden="false" customHeight="false" outlineLevel="0" collapsed="false">
      <c r="A432" s="16" t="n">
        <v>1436</v>
      </c>
      <c r="B432" s="9" t="n">
        <f aca="false">COUNTIF(JE_Lines!$B$5:$B$1733,A432)</f>
        <v>2</v>
      </c>
      <c r="C432" s="17" t="n">
        <f aca="false">SUMIFS(JE_Lines!$G$5:$G$1733,JE_Lines!$B$5:$B$1733,A432)</f>
        <v>135589.03</v>
      </c>
      <c r="D432" s="17" t="n">
        <f aca="false">SUMIFS(JE_Lines!$H$5:$H$1733,JE_Lines!$B$5:$B$1733,A432)</f>
        <v>135589.03</v>
      </c>
      <c r="E432" s="17" t="n">
        <f aca="false">C432-D432</f>
        <v>0</v>
      </c>
      <c r="F432" s="18" t="n">
        <f aca="false">INDEX(JE_Lines!$C$5:$C$1733,MATCH(A432,JE_Lines!$B$5:$B$1733,0))</f>
        <v>45846</v>
      </c>
      <c r="G432" s="18" t="n">
        <f aca="false">INDEX(JE_Lines!$D$5:$D$1733,MATCH(A432,JE_Lines!$B$5:$B$1733,0))</f>
        <v>45843</v>
      </c>
      <c r="H432" s="0" t="str">
        <f aca="false">INDEX(JE_Lines!$I$5:$I$1733,MATCH(A432,JE_Lines!$B$5:$B$1733,0))</f>
        <v>SYS_PAY</v>
      </c>
      <c r="I432" s="0" t="str">
        <f aca="false">INDEX(JE_Lines!$J$5:$J$1733,MATCH(A432,JE_Lines!$B$5:$B$1733,0))</f>
        <v>System</v>
      </c>
      <c r="J432" s="0" t="str">
        <f aca="false">IF(LEN(INDEX(JE_Lines!$K$5:$K$1733,MATCH(A432,JE_Lines!$B$5:$B$1733,0)))=0,"",INDEX(JE_Lines!$K$5:$K$1733,MATCH(A432,JE_Lines!$B$5:$B$1733,0)))</f>
        <v>Supplier payments</v>
      </c>
      <c r="K432" s="9" t="n">
        <f aca="false">F432-G432</f>
        <v>3</v>
      </c>
      <c r="L432" s="9" t="n">
        <f aca="false">COUNTIFS(JE_Lines!$B$5:$B$1733,A432,JE_Lines!$F$5:$F$1733,"Revenue")</f>
        <v>0</v>
      </c>
      <c r="M432" s="9" t="n">
        <f aca="false">COUNTIFS(JE_Lines!$B$5:$B$1733,A432,JE_Lines!$F$5:$F$1733,"Suspense")</f>
        <v>0</v>
      </c>
      <c r="N432" s="9" t="n">
        <f aca="false">IF(ABS(E432)&gt;Parameters!$B$23,1,0)</f>
        <v>0</v>
      </c>
      <c r="O432" s="9" t="n">
        <f aca="false">IF(WEEKDAY(F432,2)&gt;5,1,0)</f>
        <v>0</v>
      </c>
      <c r="P432" s="9" t="n">
        <f aca="false">IF(K432&gt;Parameters!$B$17,1,0)</f>
        <v>0</v>
      </c>
      <c r="Q432" s="9" t="n">
        <f aca="false">IF(AND(F432&lt;=Parameters!$B$6,F432&gt;Parameters!$B$6-Parameters!$B$18),1,0)</f>
        <v>0</v>
      </c>
      <c r="R432" s="9" t="n">
        <f aca="false">IF(COUNTIF(Parameters!$A$51:$A$58,H432)=0,1,0)</f>
        <v>0</v>
      </c>
      <c r="S432" s="9" t="n">
        <f aca="false">IF(AND(I432="Manual",L432&gt;0),1,0)</f>
        <v>0</v>
      </c>
      <c r="T432" s="9" t="n">
        <f aca="false">IF(AND(C432&gt;=Parameters!$B$22,ROUND(MOD(ROUND(C432,2),Parameters!$B$21),2)=0),1,0)</f>
        <v>0</v>
      </c>
      <c r="U432" s="9" t="n">
        <f aca="false">IF(LEN(TRIM(J432))=0,1,0)</f>
        <v>0</v>
      </c>
      <c r="V432" s="9" t="n">
        <f aca="false">IF(AND(I432="Manual",C432&lt;Parameters!$B$19,C432&gt;=Parameters!$B$19*(1-Parameters!$B$20)),1,0)</f>
        <v>0</v>
      </c>
      <c r="W432" s="9" t="n">
        <f aca="false">IF(AND(I432="Manual",M432&gt;0),1,0)</f>
        <v>0</v>
      </c>
      <c r="X432" s="9" t="n">
        <f aca="false">IF(A432-A431&gt;1,1,0)</f>
        <v>0</v>
      </c>
      <c r="Y432" s="9" t="n">
        <f aca="false">N432*Parameters!$B$38+O432*Parameters!$B$39+P432*Parameters!$B$40+Q432*Parameters!$B$41+R432*Parameters!$B$42+S432*Parameters!$B$43+T432*Parameters!$B$44+U432*Parameters!$B$45+V432*Parameters!$B$46+W432*Parameters!$B$47+X432*Parameters!$B$48</f>
        <v>0</v>
      </c>
      <c r="Z432" s="0" t="str">
        <f aca="false">IF(Y432&gt;=Parameters!$B$25,"High","")</f>
        <v/>
      </c>
    </row>
    <row r="433" customFormat="false" ht="15" hidden="false" customHeight="false" outlineLevel="0" collapsed="false">
      <c r="A433" s="16" t="n">
        <v>1437</v>
      </c>
      <c r="B433" s="9" t="n">
        <f aca="false">COUNTIF(JE_Lines!$B$5:$B$1733,A433)</f>
        <v>2</v>
      </c>
      <c r="C433" s="17" t="n">
        <f aca="false">SUMIFS(JE_Lines!$G$5:$G$1733,JE_Lines!$B$5:$B$1733,A433)</f>
        <v>55949.21</v>
      </c>
      <c r="D433" s="17" t="n">
        <f aca="false">SUMIFS(JE_Lines!$H$5:$H$1733,JE_Lines!$B$5:$B$1733,A433)</f>
        <v>55949.21</v>
      </c>
      <c r="E433" s="17" t="n">
        <f aca="false">C433-D433</f>
        <v>0</v>
      </c>
      <c r="F433" s="18" t="n">
        <f aca="false">INDEX(JE_Lines!$C$5:$C$1733,MATCH(A433,JE_Lines!$B$5:$B$1733,0))</f>
        <v>45847</v>
      </c>
      <c r="G433" s="18" t="n">
        <f aca="false">INDEX(JE_Lines!$D$5:$D$1733,MATCH(A433,JE_Lines!$B$5:$B$1733,0))</f>
        <v>45846</v>
      </c>
      <c r="H433" s="0" t="str">
        <f aca="false">INDEX(JE_Lines!$I$5:$I$1733,MATCH(A433,JE_Lines!$B$5:$B$1733,0))</f>
        <v>SYS_PAY</v>
      </c>
      <c r="I433" s="0" t="str">
        <f aca="false">INDEX(JE_Lines!$J$5:$J$1733,MATCH(A433,JE_Lines!$B$5:$B$1733,0))</f>
        <v>System</v>
      </c>
      <c r="J433" s="0" t="str">
        <f aca="false">IF(LEN(INDEX(JE_Lines!$K$5:$K$1733,MATCH(A433,JE_Lines!$B$5:$B$1733,0)))=0,"",INDEX(JE_Lines!$K$5:$K$1733,MATCH(A433,JE_Lines!$B$5:$B$1733,0)))</f>
        <v>Supplier payments</v>
      </c>
      <c r="K433" s="9" t="n">
        <f aca="false">F433-G433</f>
        <v>1</v>
      </c>
      <c r="L433" s="9" t="n">
        <f aca="false">COUNTIFS(JE_Lines!$B$5:$B$1733,A433,JE_Lines!$F$5:$F$1733,"Revenue")</f>
        <v>0</v>
      </c>
      <c r="M433" s="9" t="n">
        <f aca="false">COUNTIFS(JE_Lines!$B$5:$B$1733,A433,JE_Lines!$F$5:$F$1733,"Suspense")</f>
        <v>0</v>
      </c>
      <c r="N433" s="9" t="n">
        <f aca="false">IF(ABS(E433)&gt;Parameters!$B$23,1,0)</f>
        <v>0</v>
      </c>
      <c r="O433" s="9" t="n">
        <f aca="false">IF(WEEKDAY(F433,2)&gt;5,1,0)</f>
        <v>0</v>
      </c>
      <c r="P433" s="9" t="n">
        <f aca="false">IF(K433&gt;Parameters!$B$17,1,0)</f>
        <v>0</v>
      </c>
      <c r="Q433" s="9" t="n">
        <f aca="false">IF(AND(F433&lt;=Parameters!$B$6,F433&gt;Parameters!$B$6-Parameters!$B$18),1,0)</f>
        <v>0</v>
      </c>
      <c r="R433" s="9" t="n">
        <f aca="false">IF(COUNTIF(Parameters!$A$51:$A$58,H433)=0,1,0)</f>
        <v>0</v>
      </c>
      <c r="S433" s="9" t="n">
        <f aca="false">IF(AND(I433="Manual",L433&gt;0),1,0)</f>
        <v>0</v>
      </c>
      <c r="T433" s="9" t="n">
        <f aca="false">IF(AND(C433&gt;=Parameters!$B$22,ROUND(MOD(ROUND(C433,2),Parameters!$B$21),2)=0),1,0)</f>
        <v>0</v>
      </c>
      <c r="U433" s="9" t="n">
        <f aca="false">IF(LEN(TRIM(J433))=0,1,0)</f>
        <v>0</v>
      </c>
      <c r="V433" s="9" t="n">
        <f aca="false">IF(AND(I433="Manual",C433&lt;Parameters!$B$19,C433&gt;=Parameters!$B$19*(1-Parameters!$B$20)),1,0)</f>
        <v>0</v>
      </c>
      <c r="W433" s="9" t="n">
        <f aca="false">IF(AND(I433="Manual",M433&gt;0),1,0)</f>
        <v>0</v>
      </c>
      <c r="X433" s="9" t="n">
        <f aca="false">IF(A433-A432&gt;1,1,0)</f>
        <v>0</v>
      </c>
      <c r="Y433" s="9" t="n">
        <f aca="false">N433*Parameters!$B$38+O433*Parameters!$B$39+P433*Parameters!$B$40+Q433*Parameters!$B$41+R433*Parameters!$B$42+S433*Parameters!$B$43+T433*Parameters!$B$44+U433*Parameters!$B$45+V433*Parameters!$B$46+W433*Parameters!$B$47+X433*Parameters!$B$48</f>
        <v>0</v>
      </c>
      <c r="Z433" s="0" t="str">
        <f aca="false">IF(Y433&gt;=Parameters!$B$25,"High","")</f>
        <v/>
      </c>
    </row>
    <row r="434" customFormat="false" ht="15" hidden="false" customHeight="false" outlineLevel="0" collapsed="false">
      <c r="A434" s="16" t="n">
        <v>1438</v>
      </c>
      <c r="B434" s="9" t="n">
        <f aca="false">COUNTIF(JE_Lines!$B$5:$B$1733,A434)</f>
        <v>3</v>
      </c>
      <c r="C434" s="17" t="n">
        <f aca="false">SUMIFS(JE_Lines!$G$5:$G$1733,JE_Lines!$B$5:$B$1733,A434)</f>
        <v>45935.52</v>
      </c>
      <c r="D434" s="17" t="n">
        <f aca="false">SUMIFS(JE_Lines!$H$5:$H$1733,JE_Lines!$B$5:$B$1733,A434)</f>
        <v>45935.52</v>
      </c>
      <c r="E434" s="17" t="n">
        <f aca="false">C434-D434</f>
        <v>0</v>
      </c>
      <c r="F434" s="18" t="n">
        <f aca="false">INDEX(JE_Lines!$C$5:$C$1733,MATCH(A434,JE_Lines!$B$5:$B$1733,0))</f>
        <v>45847</v>
      </c>
      <c r="G434" s="18" t="n">
        <f aca="false">INDEX(JE_Lines!$D$5:$D$1733,MATCH(A434,JE_Lines!$B$5:$B$1733,0))</f>
        <v>45844</v>
      </c>
      <c r="H434" s="0" t="str">
        <f aca="false">INDEX(JE_Lines!$I$5:$I$1733,MATCH(A434,JE_Lines!$B$5:$B$1733,0))</f>
        <v>FIN03</v>
      </c>
      <c r="I434" s="0" t="str">
        <f aca="false">INDEX(JE_Lines!$J$5:$J$1733,MATCH(A434,JE_Lines!$B$5:$B$1733,0))</f>
        <v>Manual</v>
      </c>
      <c r="J434" s="0" t="str">
        <f aca="false">IF(LEN(INDEX(JE_Lines!$K$5:$K$1733,MATCH(A434,JE_Lines!$B$5:$B$1733,0)))=0,"",INDEX(JE_Lines!$K$5:$K$1733,MATCH(A434,JE_Lines!$B$5:$B$1733,0)))</f>
        <v>Accrual reversal</v>
      </c>
      <c r="K434" s="9" t="n">
        <f aca="false">F434-G434</f>
        <v>3</v>
      </c>
      <c r="L434" s="9" t="n">
        <f aca="false">COUNTIFS(JE_Lines!$B$5:$B$1733,A434,JE_Lines!$F$5:$F$1733,"Revenue")</f>
        <v>0</v>
      </c>
      <c r="M434" s="9" t="n">
        <f aca="false">COUNTIFS(JE_Lines!$B$5:$B$1733,A434,JE_Lines!$F$5:$F$1733,"Suspense")</f>
        <v>0</v>
      </c>
      <c r="N434" s="9" t="n">
        <f aca="false">IF(ABS(E434)&gt;Parameters!$B$23,1,0)</f>
        <v>0</v>
      </c>
      <c r="O434" s="9" t="n">
        <f aca="false">IF(WEEKDAY(F434,2)&gt;5,1,0)</f>
        <v>0</v>
      </c>
      <c r="P434" s="9" t="n">
        <f aca="false">IF(K434&gt;Parameters!$B$17,1,0)</f>
        <v>0</v>
      </c>
      <c r="Q434" s="9" t="n">
        <f aca="false">IF(AND(F434&lt;=Parameters!$B$6,F434&gt;Parameters!$B$6-Parameters!$B$18),1,0)</f>
        <v>0</v>
      </c>
      <c r="R434" s="9" t="n">
        <f aca="false">IF(COUNTIF(Parameters!$A$51:$A$58,H434)=0,1,0)</f>
        <v>0</v>
      </c>
      <c r="S434" s="9" t="n">
        <f aca="false">IF(AND(I434="Manual",L434&gt;0),1,0)</f>
        <v>0</v>
      </c>
      <c r="T434" s="9" t="n">
        <f aca="false">IF(AND(C434&gt;=Parameters!$B$22,ROUND(MOD(ROUND(C434,2),Parameters!$B$21),2)=0),1,0)</f>
        <v>0</v>
      </c>
      <c r="U434" s="9" t="n">
        <f aca="false">IF(LEN(TRIM(J434))=0,1,0)</f>
        <v>0</v>
      </c>
      <c r="V434" s="9" t="n">
        <f aca="false">IF(AND(I434="Manual",C434&lt;Parameters!$B$19,C434&gt;=Parameters!$B$19*(1-Parameters!$B$20)),1,0)</f>
        <v>0</v>
      </c>
      <c r="W434" s="9" t="n">
        <f aca="false">IF(AND(I434="Manual",M434&gt;0),1,0)</f>
        <v>0</v>
      </c>
      <c r="X434" s="9" t="n">
        <f aca="false">IF(A434-A433&gt;1,1,0)</f>
        <v>0</v>
      </c>
      <c r="Y434" s="9" t="n">
        <f aca="false">N434*Parameters!$B$38+O434*Parameters!$B$39+P434*Parameters!$B$40+Q434*Parameters!$B$41+R434*Parameters!$B$42+S434*Parameters!$B$43+T434*Parameters!$B$44+U434*Parameters!$B$45+V434*Parameters!$B$46+W434*Parameters!$B$47+X434*Parameters!$B$48</f>
        <v>0</v>
      </c>
      <c r="Z434" s="0" t="str">
        <f aca="false">IF(Y434&gt;=Parameters!$B$25,"High","")</f>
        <v/>
      </c>
    </row>
    <row r="435" customFormat="false" ht="15" hidden="false" customHeight="false" outlineLevel="0" collapsed="false">
      <c r="A435" s="16" t="n">
        <v>1439</v>
      </c>
      <c r="B435" s="9" t="n">
        <f aca="false">COUNTIF(JE_Lines!$B$5:$B$1733,A435)</f>
        <v>2</v>
      </c>
      <c r="C435" s="17" t="n">
        <f aca="false">SUMIFS(JE_Lines!$G$5:$G$1733,JE_Lines!$B$5:$B$1733,A435)</f>
        <v>64873.21</v>
      </c>
      <c r="D435" s="17" t="n">
        <f aca="false">SUMIFS(JE_Lines!$H$5:$H$1733,JE_Lines!$B$5:$B$1733,A435)</f>
        <v>64873.21</v>
      </c>
      <c r="E435" s="17" t="n">
        <f aca="false">C435-D435</f>
        <v>0</v>
      </c>
      <c r="F435" s="18" t="n">
        <f aca="false">INDEX(JE_Lines!$C$5:$C$1733,MATCH(A435,JE_Lines!$B$5:$B$1733,0))</f>
        <v>45847</v>
      </c>
      <c r="G435" s="18" t="n">
        <f aca="false">INDEX(JE_Lines!$D$5:$D$1733,MATCH(A435,JE_Lines!$B$5:$B$1733,0))</f>
        <v>45845</v>
      </c>
      <c r="H435" s="0" t="str">
        <f aca="false">INDEX(JE_Lines!$I$5:$I$1733,MATCH(A435,JE_Lines!$B$5:$B$1733,0))</f>
        <v>SYS_AR</v>
      </c>
      <c r="I435" s="0" t="str">
        <f aca="false">INDEX(JE_Lines!$J$5:$J$1733,MATCH(A435,JE_Lines!$B$5:$B$1733,0))</f>
        <v>System</v>
      </c>
      <c r="J435" s="0" t="str">
        <f aca="false">IF(LEN(INDEX(JE_Lines!$K$5:$K$1733,MATCH(A435,JE_Lines!$B$5:$B$1733,0)))=0,"",INDEX(JE_Lines!$K$5:$K$1733,MATCH(A435,JE_Lines!$B$5:$B$1733,0)))</f>
        <v>Customer receipts</v>
      </c>
      <c r="K435" s="9" t="n">
        <f aca="false">F435-G435</f>
        <v>2</v>
      </c>
      <c r="L435" s="9" t="n">
        <f aca="false">COUNTIFS(JE_Lines!$B$5:$B$1733,A435,JE_Lines!$F$5:$F$1733,"Revenue")</f>
        <v>0</v>
      </c>
      <c r="M435" s="9" t="n">
        <f aca="false">COUNTIFS(JE_Lines!$B$5:$B$1733,A435,JE_Lines!$F$5:$F$1733,"Suspense")</f>
        <v>0</v>
      </c>
      <c r="N435" s="9" t="n">
        <f aca="false">IF(ABS(E435)&gt;Parameters!$B$23,1,0)</f>
        <v>0</v>
      </c>
      <c r="O435" s="9" t="n">
        <f aca="false">IF(WEEKDAY(F435,2)&gt;5,1,0)</f>
        <v>0</v>
      </c>
      <c r="P435" s="9" t="n">
        <f aca="false">IF(K435&gt;Parameters!$B$17,1,0)</f>
        <v>0</v>
      </c>
      <c r="Q435" s="9" t="n">
        <f aca="false">IF(AND(F435&lt;=Parameters!$B$6,F435&gt;Parameters!$B$6-Parameters!$B$18),1,0)</f>
        <v>0</v>
      </c>
      <c r="R435" s="9" t="n">
        <f aca="false">IF(COUNTIF(Parameters!$A$51:$A$58,H435)=0,1,0)</f>
        <v>0</v>
      </c>
      <c r="S435" s="9" t="n">
        <f aca="false">IF(AND(I435="Manual",L435&gt;0),1,0)</f>
        <v>0</v>
      </c>
      <c r="T435" s="9" t="n">
        <f aca="false">IF(AND(C435&gt;=Parameters!$B$22,ROUND(MOD(ROUND(C435,2),Parameters!$B$21),2)=0),1,0)</f>
        <v>0</v>
      </c>
      <c r="U435" s="9" t="n">
        <f aca="false">IF(LEN(TRIM(J435))=0,1,0)</f>
        <v>0</v>
      </c>
      <c r="V435" s="9" t="n">
        <f aca="false">IF(AND(I435="Manual",C435&lt;Parameters!$B$19,C435&gt;=Parameters!$B$19*(1-Parameters!$B$20)),1,0)</f>
        <v>0</v>
      </c>
      <c r="W435" s="9" t="n">
        <f aca="false">IF(AND(I435="Manual",M435&gt;0),1,0)</f>
        <v>0</v>
      </c>
      <c r="X435" s="9" t="n">
        <f aca="false">IF(A435-A434&gt;1,1,0)</f>
        <v>0</v>
      </c>
      <c r="Y435" s="9" t="n">
        <f aca="false">N435*Parameters!$B$38+O435*Parameters!$B$39+P435*Parameters!$B$40+Q435*Parameters!$B$41+R435*Parameters!$B$42+S435*Parameters!$B$43+T435*Parameters!$B$44+U435*Parameters!$B$45+V435*Parameters!$B$46+W435*Parameters!$B$47+X435*Parameters!$B$48</f>
        <v>0</v>
      </c>
      <c r="Z435" s="0" t="str">
        <f aca="false">IF(Y435&gt;=Parameters!$B$25,"High","")</f>
        <v/>
      </c>
    </row>
    <row r="436" customFormat="false" ht="15" hidden="false" customHeight="false" outlineLevel="0" collapsed="false">
      <c r="A436" s="16" t="n">
        <v>1440</v>
      </c>
      <c r="B436" s="9" t="n">
        <f aca="false">COUNTIF(JE_Lines!$B$5:$B$1733,A436)</f>
        <v>3</v>
      </c>
      <c r="C436" s="17" t="n">
        <f aca="false">SUMIFS(JE_Lines!$G$5:$G$1733,JE_Lines!$B$5:$B$1733,A436)</f>
        <v>2429.23</v>
      </c>
      <c r="D436" s="17" t="n">
        <f aca="false">SUMIFS(JE_Lines!$H$5:$H$1733,JE_Lines!$B$5:$B$1733,A436)</f>
        <v>2429.23</v>
      </c>
      <c r="E436" s="17" t="n">
        <f aca="false">C436-D436</f>
        <v>0</v>
      </c>
      <c r="F436" s="18" t="n">
        <f aca="false">INDEX(JE_Lines!$C$5:$C$1733,MATCH(A436,JE_Lines!$B$5:$B$1733,0))</f>
        <v>45847</v>
      </c>
      <c r="G436" s="18" t="n">
        <f aca="false">INDEX(JE_Lines!$D$5:$D$1733,MATCH(A436,JE_Lines!$B$5:$B$1733,0))</f>
        <v>45845</v>
      </c>
      <c r="H436" s="0" t="str">
        <f aca="false">INDEX(JE_Lines!$I$5:$I$1733,MATCH(A436,JE_Lines!$B$5:$B$1733,0))</f>
        <v>FIN05</v>
      </c>
      <c r="I436" s="0" t="str">
        <f aca="false">INDEX(JE_Lines!$J$5:$J$1733,MATCH(A436,JE_Lines!$B$5:$B$1733,0))</f>
        <v>Manual</v>
      </c>
      <c r="J436" s="0" t="str">
        <f aca="false">IF(LEN(INDEX(JE_Lines!$K$5:$K$1733,MATCH(A436,JE_Lines!$B$5:$B$1733,0)))=0,"",INDEX(JE_Lines!$K$5:$K$1733,MATCH(A436,JE_Lines!$B$5:$B$1733,0)))</f>
        <v>Accrual for sundry costs</v>
      </c>
      <c r="K436" s="9" t="n">
        <f aca="false">F436-G436</f>
        <v>2</v>
      </c>
      <c r="L436" s="9" t="n">
        <f aca="false">COUNTIFS(JE_Lines!$B$5:$B$1733,A436,JE_Lines!$F$5:$F$1733,"Revenue")</f>
        <v>0</v>
      </c>
      <c r="M436" s="9" t="n">
        <f aca="false">COUNTIFS(JE_Lines!$B$5:$B$1733,A436,JE_Lines!$F$5:$F$1733,"Suspense")</f>
        <v>0</v>
      </c>
      <c r="N436" s="9" t="n">
        <f aca="false">IF(ABS(E436)&gt;Parameters!$B$23,1,0)</f>
        <v>0</v>
      </c>
      <c r="O436" s="9" t="n">
        <f aca="false">IF(WEEKDAY(F436,2)&gt;5,1,0)</f>
        <v>0</v>
      </c>
      <c r="P436" s="9" t="n">
        <f aca="false">IF(K436&gt;Parameters!$B$17,1,0)</f>
        <v>0</v>
      </c>
      <c r="Q436" s="9" t="n">
        <f aca="false">IF(AND(F436&lt;=Parameters!$B$6,F436&gt;Parameters!$B$6-Parameters!$B$18),1,0)</f>
        <v>0</v>
      </c>
      <c r="R436" s="9" t="n">
        <f aca="false">IF(COUNTIF(Parameters!$A$51:$A$58,H436)=0,1,0)</f>
        <v>0</v>
      </c>
      <c r="S436" s="9" t="n">
        <f aca="false">IF(AND(I436="Manual",L436&gt;0),1,0)</f>
        <v>0</v>
      </c>
      <c r="T436" s="9" t="n">
        <f aca="false">IF(AND(C436&gt;=Parameters!$B$22,ROUND(MOD(ROUND(C436,2),Parameters!$B$21),2)=0),1,0)</f>
        <v>0</v>
      </c>
      <c r="U436" s="9" t="n">
        <f aca="false">IF(LEN(TRIM(J436))=0,1,0)</f>
        <v>0</v>
      </c>
      <c r="V436" s="9" t="n">
        <f aca="false">IF(AND(I436="Manual",C436&lt;Parameters!$B$19,C436&gt;=Parameters!$B$19*(1-Parameters!$B$20)),1,0)</f>
        <v>0</v>
      </c>
      <c r="W436" s="9" t="n">
        <f aca="false">IF(AND(I436="Manual",M436&gt;0),1,0)</f>
        <v>0</v>
      </c>
      <c r="X436" s="9" t="n">
        <f aca="false">IF(A436-A435&gt;1,1,0)</f>
        <v>0</v>
      </c>
      <c r="Y436" s="9" t="n">
        <f aca="false">N436*Parameters!$B$38+O436*Parameters!$B$39+P436*Parameters!$B$40+Q436*Parameters!$B$41+R436*Parameters!$B$42+S436*Parameters!$B$43+T436*Parameters!$B$44+U436*Parameters!$B$45+V436*Parameters!$B$46+W436*Parameters!$B$47+X436*Parameters!$B$48</f>
        <v>0</v>
      </c>
      <c r="Z436" s="0" t="str">
        <f aca="false">IF(Y436&gt;=Parameters!$B$25,"High","")</f>
        <v/>
      </c>
    </row>
    <row r="437" customFormat="false" ht="15" hidden="false" customHeight="false" outlineLevel="0" collapsed="false">
      <c r="A437" s="16" t="n">
        <v>1441</v>
      </c>
      <c r="B437" s="9" t="n">
        <f aca="false">COUNTIF(JE_Lines!$B$5:$B$1733,A437)</f>
        <v>2</v>
      </c>
      <c r="C437" s="17" t="n">
        <f aca="false">SUMIFS(JE_Lines!$G$5:$G$1733,JE_Lines!$B$5:$B$1733,A437)</f>
        <v>1238.87</v>
      </c>
      <c r="D437" s="17" t="n">
        <f aca="false">SUMIFS(JE_Lines!$H$5:$H$1733,JE_Lines!$B$5:$B$1733,A437)</f>
        <v>1238.87</v>
      </c>
      <c r="E437" s="17" t="n">
        <f aca="false">C437-D437</f>
        <v>0</v>
      </c>
      <c r="F437" s="18" t="n">
        <f aca="false">INDEX(JE_Lines!$C$5:$C$1733,MATCH(A437,JE_Lines!$B$5:$B$1733,0))</f>
        <v>45847</v>
      </c>
      <c r="G437" s="18" t="n">
        <f aca="false">INDEX(JE_Lines!$D$5:$D$1733,MATCH(A437,JE_Lines!$B$5:$B$1733,0))</f>
        <v>45843</v>
      </c>
      <c r="H437" s="0" t="str">
        <f aca="false">INDEX(JE_Lines!$I$5:$I$1733,MATCH(A437,JE_Lines!$B$5:$B$1733,0))</f>
        <v>SYS_AP</v>
      </c>
      <c r="I437" s="0" t="str">
        <f aca="false">INDEX(JE_Lines!$J$5:$J$1733,MATCH(A437,JE_Lines!$B$5:$B$1733,0))</f>
        <v>System</v>
      </c>
      <c r="J437" s="0" t="str">
        <f aca="false">IF(LEN(INDEX(JE_Lines!$K$5:$K$1733,MATCH(A437,JE_Lines!$B$5:$B$1733,0)))=0,"",INDEX(JE_Lines!$K$5:$K$1733,MATCH(A437,JE_Lines!$B$5:$B$1733,0)))</f>
        <v>Utilities invoices</v>
      </c>
      <c r="K437" s="9" t="n">
        <f aca="false">F437-G437</f>
        <v>4</v>
      </c>
      <c r="L437" s="9" t="n">
        <f aca="false">COUNTIFS(JE_Lines!$B$5:$B$1733,A437,JE_Lines!$F$5:$F$1733,"Revenue")</f>
        <v>0</v>
      </c>
      <c r="M437" s="9" t="n">
        <f aca="false">COUNTIFS(JE_Lines!$B$5:$B$1733,A437,JE_Lines!$F$5:$F$1733,"Suspense")</f>
        <v>0</v>
      </c>
      <c r="N437" s="9" t="n">
        <f aca="false">IF(ABS(E437)&gt;Parameters!$B$23,1,0)</f>
        <v>0</v>
      </c>
      <c r="O437" s="9" t="n">
        <f aca="false">IF(WEEKDAY(F437,2)&gt;5,1,0)</f>
        <v>0</v>
      </c>
      <c r="P437" s="9" t="n">
        <f aca="false">IF(K437&gt;Parameters!$B$17,1,0)</f>
        <v>0</v>
      </c>
      <c r="Q437" s="9" t="n">
        <f aca="false">IF(AND(F437&lt;=Parameters!$B$6,F437&gt;Parameters!$B$6-Parameters!$B$18),1,0)</f>
        <v>0</v>
      </c>
      <c r="R437" s="9" t="n">
        <f aca="false">IF(COUNTIF(Parameters!$A$51:$A$58,H437)=0,1,0)</f>
        <v>0</v>
      </c>
      <c r="S437" s="9" t="n">
        <f aca="false">IF(AND(I437="Manual",L437&gt;0),1,0)</f>
        <v>0</v>
      </c>
      <c r="T437" s="9" t="n">
        <f aca="false">IF(AND(C437&gt;=Parameters!$B$22,ROUND(MOD(ROUND(C437,2),Parameters!$B$21),2)=0),1,0)</f>
        <v>0</v>
      </c>
      <c r="U437" s="9" t="n">
        <f aca="false">IF(LEN(TRIM(J437))=0,1,0)</f>
        <v>0</v>
      </c>
      <c r="V437" s="9" t="n">
        <f aca="false">IF(AND(I437="Manual",C437&lt;Parameters!$B$19,C437&gt;=Parameters!$B$19*(1-Parameters!$B$20)),1,0)</f>
        <v>0</v>
      </c>
      <c r="W437" s="9" t="n">
        <f aca="false">IF(AND(I437="Manual",M437&gt;0),1,0)</f>
        <v>0</v>
      </c>
      <c r="X437" s="9" t="n">
        <f aca="false">IF(A437-A436&gt;1,1,0)</f>
        <v>0</v>
      </c>
      <c r="Y437" s="9" t="n">
        <f aca="false">N437*Parameters!$B$38+O437*Parameters!$B$39+P437*Parameters!$B$40+Q437*Parameters!$B$41+R437*Parameters!$B$42+S437*Parameters!$B$43+T437*Parameters!$B$44+U437*Parameters!$B$45+V437*Parameters!$B$46+W437*Parameters!$B$47+X437*Parameters!$B$48</f>
        <v>0</v>
      </c>
      <c r="Z437" s="0" t="str">
        <f aca="false">IF(Y437&gt;=Parameters!$B$25,"High","")</f>
        <v/>
      </c>
    </row>
    <row r="438" customFormat="false" ht="15" hidden="false" customHeight="false" outlineLevel="0" collapsed="false">
      <c r="A438" s="16" t="n">
        <v>1442</v>
      </c>
      <c r="B438" s="9" t="n">
        <f aca="false">COUNTIF(JE_Lines!$B$5:$B$1733,A438)</f>
        <v>2</v>
      </c>
      <c r="C438" s="17" t="n">
        <f aca="false">SUMIFS(JE_Lines!$G$5:$G$1733,JE_Lines!$B$5:$B$1733,A438)</f>
        <v>34000</v>
      </c>
      <c r="D438" s="17" t="n">
        <f aca="false">SUMIFS(JE_Lines!$H$5:$H$1733,JE_Lines!$B$5:$B$1733,A438)</f>
        <v>34000</v>
      </c>
      <c r="E438" s="17" t="n">
        <f aca="false">C438-D438</f>
        <v>0</v>
      </c>
      <c r="F438" s="18" t="n">
        <f aca="false">INDEX(JE_Lines!$C$5:$C$1733,MATCH(A438,JE_Lines!$B$5:$B$1733,0))</f>
        <v>45847</v>
      </c>
      <c r="G438" s="18" t="n">
        <f aca="false">INDEX(JE_Lines!$D$5:$D$1733,MATCH(A438,JE_Lines!$B$5:$B$1733,0))</f>
        <v>45847</v>
      </c>
      <c r="H438" s="0" t="str">
        <f aca="false">INDEX(JE_Lines!$I$5:$I$1733,MATCH(A438,JE_Lines!$B$5:$B$1733,0))</f>
        <v>FIN04</v>
      </c>
      <c r="I438" s="0" t="str">
        <f aca="false">INDEX(JE_Lines!$J$5:$J$1733,MATCH(A438,JE_Lines!$B$5:$B$1733,0))</f>
        <v>Manual</v>
      </c>
      <c r="J438" s="0" t="str">
        <f aca="false">IF(LEN(INDEX(JE_Lines!$K$5:$K$1733,MATCH(A438,JE_Lines!$B$5:$B$1733,0)))=0,"",INDEX(JE_Lines!$K$5:$K$1733,MATCH(A438,JE_Lines!$B$5:$B$1733,0)))</f>
        <v>Round accrual 5</v>
      </c>
      <c r="K438" s="9" t="n">
        <f aca="false">F438-G438</f>
        <v>0</v>
      </c>
      <c r="L438" s="9" t="n">
        <f aca="false">COUNTIFS(JE_Lines!$B$5:$B$1733,A438,JE_Lines!$F$5:$F$1733,"Revenue")</f>
        <v>0</v>
      </c>
      <c r="M438" s="9" t="n">
        <f aca="false">COUNTIFS(JE_Lines!$B$5:$B$1733,A438,JE_Lines!$F$5:$F$1733,"Suspense")</f>
        <v>0</v>
      </c>
      <c r="N438" s="9" t="n">
        <f aca="false">IF(ABS(E438)&gt;Parameters!$B$23,1,0)</f>
        <v>0</v>
      </c>
      <c r="O438" s="9" t="n">
        <f aca="false">IF(WEEKDAY(F438,2)&gt;5,1,0)</f>
        <v>0</v>
      </c>
      <c r="P438" s="9" t="n">
        <f aca="false">IF(K438&gt;Parameters!$B$17,1,0)</f>
        <v>0</v>
      </c>
      <c r="Q438" s="9" t="n">
        <f aca="false">IF(AND(F438&lt;=Parameters!$B$6,F438&gt;Parameters!$B$6-Parameters!$B$18),1,0)</f>
        <v>0</v>
      </c>
      <c r="R438" s="9" t="n">
        <f aca="false">IF(COUNTIF(Parameters!$A$51:$A$58,H438)=0,1,0)</f>
        <v>0</v>
      </c>
      <c r="S438" s="9" t="n">
        <f aca="false">IF(AND(I438="Manual",L438&gt;0),1,0)</f>
        <v>0</v>
      </c>
      <c r="T438" s="9" t="n">
        <f aca="false">IF(AND(C438&gt;=Parameters!$B$22,ROUND(MOD(ROUND(C438,2),Parameters!$B$21),2)=0),1,0)</f>
        <v>1</v>
      </c>
      <c r="U438" s="9" t="n">
        <f aca="false">IF(LEN(TRIM(J438))=0,1,0)</f>
        <v>0</v>
      </c>
      <c r="V438" s="9" t="n">
        <f aca="false">IF(AND(I438="Manual",C438&lt;Parameters!$B$19,C438&gt;=Parameters!$B$19*(1-Parameters!$B$20)),1,0)</f>
        <v>0</v>
      </c>
      <c r="W438" s="9" t="n">
        <f aca="false">IF(AND(I438="Manual",M438&gt;0),1,0)</f>
        <v>0</v>
      </c>
      <c r="X438" s="9" t="n">
        <f aca="false">IF(A438-A437&gt;1,1,0)</f>
        <v>0</v>
      </c>
      <c r="Y438" s="9" t="n">
        <f aca="false">N438*Parameters!$B$38+O438*Parameters!$B$39+P438*Parameters!$B$40+Q438*Parameters!$B$41+R438*Parameters!$B$42+S438*Parameters!$B$43+T438*Parameters!$B$44+U438*Parameters!$B$45+V438*Parameters!$B$46+W438*Parameters!$B$47+X438*Parameters!$B$48</f>
        <v>2</v>
      </c>
      <c r="Z438" s="0" t="str">
        <f aca="false">IF(Y438&gt;=Parameters!$B$25,"High","")</f>
        <v/>
      </c>
    </row>
    <row r="439" customFormat="false" ht="15" hidden="false" customHeight="false" outlineLevel="0" collapsed="false">
      <c r="A439" s="16" t="n">
        <v>1443</v>
      </c>
      <c r="B439" s="9" t="n">
        <f aca="false">COUNTIF(JE_Lines!$B$5:$B$1733,A439)</f>
        <v>2</v>
      </c>
      <c r="C439" s="17" t="n">
        <f aca="false">SUMIFS(JE_Lines!$G$5:$G$1733,JE_Lines!$B$5:$B$1733,A439)</f>
        <v>73390.76</v>
      </c>
      <c r="D439" s="17" t="n">
        <f aca="false">SUMIFS(JE_Lines!$H$5:$H$1733,JE_Lines!$B$5:$B$1733,A439)</f>
        <v>73390.76</v>
      </c>
      <c r="E439" s="17" t="n">
        <f aca="false">C439-D439</f>
        <v>0</v>
      </c>
      <c r="F439" s="18" t="n">
        <f aca="false">INDEX(JE_Lines!$C$5:$C$1733,MATCH(A439,JE_Lines!$B$5:$B$1733,0))</f>
        <v>45848</v>
      </c>
      <c r="G439" s="18" t="n">
        <f aca="false">INDEX(JE_Lines!$D$5:$D$1733,MATCH(A439,JE_Lines!$B$5:$B$1733,0))</f>
        <v>45847</v>
      </c>
      <c r="H439" s="0" t="str">
        <f aca="false">INDEX(JE_Lines!$I$5:$I$1733,MATCH(A439,JE_Lines!$B$5:$B$1733,0))</f>
        <v>SYS_AR</v>
      </c>
      <c r="I439" s="0" t="str">
        <f aca="false">INDEX(JE_Lines!$J$5:$J$1733,MATCH(A439,JE_Lines!$B$5:$B$1733,0))</f>
        <v>System</v>
      </c>
      <c r="J439" s="0" t="str">
        <f aca="false">IF(LEN(INDEX(JE_Lines!$K$5:$K$1733,MATCH(A439,JE_Lines!$B$5:$B$1733,0)))=0,"",INDEX(JE_Lines!$K$5:$K$1733,MATCH(A439,JE_Lines!$B$5:$B$1733,0)))</f>
        <v>Sales invoice batch</v>
      </c>
      <c r="K439" s="9" t="n">
        <f aca="false">F439-G439</f>
        <v>1</v>
      </c>
      <c r="L439" s="9" t="n">
        <f aca="false">COUNTIFS(JE_Lines!$B$5:$B$1733,A439,JE_Lines!$F$5:$F$1733,"Revenue")</f>
        <v>1</v>
      </c>
      <c r="M439" s="9" t="n">
        <f aca="false">COUNTIFS(JE_Lines!$B$5:$B$1733,A439,JE_Lines!$F$5:$F$1733,"Suspense")</f>
        <v>0</v>
      </c>
      <c r="N439" s="9" t="n">
        <f aca="false">IF(ABS(E439)&gt;Parameters!$B$23,1,0)</f>
        <v>0</v>
      </c>
      <c r="O439" s="9" t="n">
        <f aca="false">IF(WEEKDAY(F439,2)&gt;5,1,0)</f>
        <v>0</v>
      </c>
      <c r="P439" s="9" t="n">
        <f aca="false">IF(K439&gt;Parameters!$B$17,1,0)</f>
        <v>0</v>
      </c>
      <c r="Q439" s="9" t="n">
        <f aca="false">IF(AND(F439&lt;=Parameters!$B$6,F439&gt;Parameters!$B$6-Parameters!$B$18),1,0)</f>
        <v>0</v>
      </c>
      <c r="R439" s="9" t="n">
        <f aca="false">IF(COUNTIF(Parameters!$A$51:$A$58,H439)=0,1,0)</f>
        <v>0</v>
      </c>
      <c r="S439" s="9" t="n">
        <f aca="false">IF(AND(I439="Manual",L439&gt;0),1,0)</f>
        <v>0</v>
      </c>
      <c r="T439" s="9" t="n">
        <f aca="false">IF(AND(C439&gt;=Parameters!$B$22,ROUND(MOD(ROUND(C439,2),Parameters!$B$21),2)=0),1,0)</f>
        <v>0</v>
      </c>
      <c r="U439" s="9" t="n">
        <f aca="false">IF(LEN(TRIM(J439))=0,1,0)</f>
        <v>0</v>
      </c>
      <c r="V439" s="9" t="n">
        <f aca="false">IF(AND(I439="Manual",C439&lt;Parameters!$B$19,C439&gt;=Parameters!$B$19*(1-Parameters!$B$20)),1,0)</f>
        <v>0</v>
      </c>
      <c r="W439" s="9" t="n">
        <f aca="false">IF(AND(I439="Manual",M439&gt;0),1,0)</f>
        <v>0</v>
      </c>
      <c r="X439" s="9" t="n">
        <f aca="false">IF(A439-A438&gt;1,1,0)</f>
        <v>0</v>
      </c>
      <c r="Y439" s="9" t="n">
        <f aca="false">N439*Parameters!$B$38+O439*Parameters!$B$39+P439*Parameters!$B$40+Q439*Parameters!$B$41+R439*Parameters!$B$42+S439*Parameters!$B$43+T439*Parameters!$B$44+U439*Parameters!$B$45+V439*Parameters!$B$46+W439*Parameters!$B$47+X439*Parameters!$B$48</f>
        <v>0</v>
      </c>
      <c r="Z439" s="0" t="str">
        <f aca="false">IF(Y439&gt;=Parameters!$B$25,"High","")</f>
        <v/>
      </c>
    </row>
    <row r="440" customFormat="false" ht="15" hidden="false" customHeight="false" outlineLevel="0" collapsed="false">
      <c r="A440" s="16" t="n">
        <v>1444</v>
      </c>
      <c r="B440" s="9" t="n">
        <f aca="false">COUNTIF(JE_Lines!$B$5:$B$1733,A440)</f>
        <v>3</v>
      </c>
      <c r="C440" s="17" t="n">
        <f aca="false">SUMIFS(JE_Lines!$G$5:$G$1733,JE_Lines!$B$5:$B$1733,A440)</f>
        <v>2959.46</v>
      </c>
      <c r="D440" s="17" t="n">
        <f aca="false">SUMIFS(JE_Lines!$H$5:$H$1733,JE_Lines!$B$5:$B$1733,A440)</f>
        <v>2959.46</v>
      </c>
      <c r="E440" s="17" t="n">
        <f aca="false">C440-D440</f>
        <v>0</v>
      </c>
      <c r="F440" s="18" t="n">
        <f aca="false">INDEX(JE_Lines!$C$5:$C$1733,MATCH(A440,JE_Lines!$B$5:$B$1733,0))</f>
        <v>45848</v>
      </c>
      <c r="G440" s="18" t="n">
        <f aca="false">INDEX(JE_Lines!$D$5:$D$1733,MATCH(A440,JE_Lines!$B$5:$B$1733,0))</f>
        <v>45846</v>
      </c>
      <c r="H440" s="0" t="str">
        <f aca="false">INDEX(JE_Lines!$I$5:$I$1733,MATCH(A440,JE_Lines!$B$5:$B$1733,0))</f>
        <v>FIN01</v>
      </c>
      <c r="I440" s="0" t="str">
        <f aca="false">INDEX(JE_Lines!$J$5:$J$1733,MATCH(A440,JE_Lines!$B$5:$B$1733,0))</f>
        <v>Manual</v>
      </c>
      <c r="J440" s="0" t="str">
        <f aca="false">IF(LEN(INDEX(JE_Lines!$K$5:$K$1733,MATCH(A440,JE_Lines!$B$5:$B$1733,0)))=0,"",INDEX(JE_Lines!$K$5:$K$1733,MATCH(A440,JE_Lines!$B$5:$B$1733,0)))</f>
        <v>Accrual for sundry costs</v>
      </c>
      <c r="K440" s="9" t="n">
        <f aca="false">F440-G440</f>
        <v>2</v>
      </c>
      <c r="L440" s="9" t="n">
        <f aca="false">COUNTIFS(JE_Lines!$B$5:$B$1733,A440,JE_Lines!$F$5:$F$1733,"Revenue")</f>
        <v>0</v>
      </c>
      <c r="M440" s="9" t="n">
        <f aca="false">COUNTIFS(JE_Lines!$B$5:$B$1733,A440,JE_Lines!$F$5:$F$1733,"Suspense")</f>
        <v>0</v>
      </c>
      <c r="N440" s="9" t="n">
        <f aca="false">IF(ABS(E440)&gt;Parameters!$B$23,1,0)</f>
        <v>0</v>
      </c>
      <c r="O440" s="9" t="n">
        <f aca="false">IF(WEEKDAY(F440,2)&gt;5,1,0)</f>
        <v>0</v>
      </c>
      <c r="P440" s="9" t="n">
        <f aca="false">IF(K440&gt;Parameters!$B$17,1,0)</f>
        <v>0</v>
      </c>
      <c r="Q440" s="9" t="n">
        <f aca="false">IF(AND(F440&lt;=Parameters!$B$6,F440&gt;Parameters!$B$6-Parameters!$B$18),1,0)</f>
        <v>0</v>
      </c>
      <c r="R440" s="9" t="n">
        <f aca="false">IF(COUNTIF(Parameters!$A$51:$A$58,H440)=0,1,0)</f>
        <v>0</v>
      </c>
      <c r="S440" s="9" t="n">
        <f aca="false">IF(AND(I440="Manual",L440&gt;0),1,0)</f>
        <v>0</v>
      </c>
      <c r="T440" s="9" t="n">
        <f aca="false">IF(AND(C440&gt;=Parameters!$B$22,ROUND(MOD(ROUND(C440,2),Parameters!$B$21),2)=0),1,0)</f>
        <v>0</v>
      </c>
      <c r="U440" s="9" t="n">
        <f aca="false">IF(LEN(TRIM(J440))=0,1,0)</f>
        <v>0</v>
      </c>
      <c r="V440" s="9" t="n">
        <f aca="false">IF(AND(I440="Manual",C440&lt;Parameters!$B$19,C440&gt;=Parameters!$B$19*(1-Parameters!$B$20)),1,0)</f>
        <v>0</v>
      </c>
      <c r="W440" s="9" t="n">
        <f aca="false">IF(AND(I440="Manual",M440&gt;0),1,0)</f>
        <v>0</v>
      </c>
      <c r="X440" s="9" t="n">
        <f aca="false">IF(A440-A439&gt;1,1,0)</f>
        <v>0</v>
      </c>
      <c r="Y440" s="9" t="n">
        <f aca="false">N440*Parameters!$B$38+O440*Parameters!$B$39+P440*Parameters!$B$40+Q440*Parameters!$B$41+R440*Parameters!$B$42+S440*Parameters!$B$43+T440*Parameters!$B$44+U440*Parameters!$B$45+V440*Parameters!$B$46+W440*Parameters!$B$47+X440*Parameters!$B$48</f>
        <v>0</v>
      </c>
      <c r="Z440" s="0" t="str">
        <f aca="false">IF(Y440&gt;=Parameters!$B$25,"High","")</f>
        <v/>
      </c>
    </row>
    <row r="441" customFormat="false" ht="15" hidden="false" customHeight="false" outlineLevel="0" collapsed="false">
      <c r="A441" s="16" t="n">
        <v>1445</v>
      </c>
      <c r="B441" s="9" t="n">
        <f aca="false">COUNTIF(JE_Lines!$B$5:$B$1733,A441)</f>
        <v>2</v>
      </c>
      <c r="C441" s="17" t="n">
        <f aca="false">SUMIFS(JE_Lines!$G$5:$G$1733,JE_Lines!$B$5:$B$1733,A441)</f>
        <v>1579.57</v>
      </c>
      <c r="D441" s="17" t="n">
        <f aca="false">SUMIFS(JE_Lines!$H$5:$H$1733,JE_Lines!$B$5:$B$1733,A441)</f>
        <v>1579.57</v>
      </c>
      <c r="E441" s="17" t="n">
        <f aca="false">C441-D441</f>
        <v>0</v>
      </c>
      <c r="F441" s="18" t="n">
        <f aca="false">INDEX(JE_Lines!$C$5:$C$1733,MATCH(A441,JE_Lines!$B$5:$B$1733,0))</f>
        <v>45848</v>
      </c>
      <c r="G441" s="18" t="n">
        <f aca="false">INDEX(JE_Lines!$D$5:$D$1733,MATCH(A441,JE_Lines!$B$5:$B$1733,0))</f>
        <v>45846</v>
      </c>
      <c r="H441" s="0" t="str">
        <f aca="false">INDEX(JE_Lines!$I$5:$I$1733,MATCH(A441,JE_Lines!$B$5:$B$1733,0))</f>
        <v>FIN04</v>
      </c>
      <c r="I441" s="0" t="str">
        <f aca="false">INDEX(JE_Lines!$J$5:$J$1733,MATCH(A441,JE_Lines!$B$5:$B$1733,0))</f>
        <v>Manual</v>
      </c>
      <c r="J441" s="0" t="str">
        <f aca="false">IF(LEN(INDEX(JE_Lines!$K$5:$K$1733,MATCH(A441,JE_Lines!$B$5:$B$1733,0)))=0,"",INDEX(JE_Lines!$K$5:$K$1733,MATCH(A441,JE_Lines!$B$5:$B$1733,0)))</f>
        <v>Accrual for sundry costs</v>
      </c>
      <c r="K441" s="9" t="n">
        <f aca="false">F441-G441</f>
        <v>2</v>
      </c>
      <c r="L441" s="9" t="n">
        <f aca="false">COUNTIFS(JE_Lines!$B$5:$B$1733,A441,JE_Lines!$F$5:$F$1733,"Revenue")</f>
        <v>0</v>
      </c>
      <c r="M441" s="9" t="n">
        <f aca="false">COUNTIFS(JE_Lines!$B$5:$B$1733,A441,JE_Lines!$F$5:$F$1733,"Suspense")</f>
        <v>0</v>
      </c>
      <c r="N441" s="9" t="n">
        <f aca="false">IF(ABS(E441)&gt;Parameters!$B$23,1,0)</f>
        <v>0</v>
      </c>
      <c r="O441" s="9" t="n">
        <f aca="false">IF(WEEKDAY(F441,2)&gt;5,1,0)</f>
        <v>0</v>
      </c>
      <c r="P441" s="9" t="n">
        <f aca="false">IF(K441&gt;Parameters!$B$17,1,0)</f>
        <v>0</v>
      </c>
      <c r="Q441" s="9" t="n">
        <f aca="false">IF(AND(F441&lt;=Parameters!$B$6,F441&gt;Parameters!$B$6-Parameters!$B$18),1,0)</f>
        <v>0</v>
      </c>
      <c r="R441" s="9" t="n">
        <f aca="false">IF(COUNTIF(Parameters!$A$51:$A$58,H441)=0,1,0)</f>
        <v>0</v>
      </c>
      <c r="S441" s="9" t="n">
        <f aca="false">IF(AND(I441="Manual",L441&gt;0),1,0)</f>
        <v>0</v>
      </c>
      <c r="T441" s="9" t="n">
        <f aca="false">IF(AND(C441&gt;=Parameters!$B$22,ROUND(MOD(ROUND(C441,2),Parameters!$B$21),2)=0),1,0)</f>
        <v>0</v>
      </c>
      <c r="U441" s="9" t="n">
        <f aca="false">IF(LEN(TRIM(J441))=0,1,0)</f>
        <v>0</v>
      </c>
      <c r="V441" s="9" t="n">
        <f aca="false">IF(AND(I441="Manual",C441&lt;Parameters!$B$19,C441&gt;=Parameters!$B$19*(1-Parameters!$B$20)),1,0)</f>
        <v>0</v>
      </c>
      <c r="W441" s="9" t="n">
        <f aca="false">IF(AND(I441="Manual",M441&gt;0),1,0)</f>
        <v>0</v>
      </c>
      <c r="X441" s="9" t="n">
        <f aca="false">IF(A441-A440&gt;1,1,0)</f>
        <v>0</v>
      </c>
      <c r="Y441" s="9" t="n">
        <f aca="false">N441*Parameters!$B$38+O441*Parameters!$B$39+P441*Parameters!$B$40+Q441*Parameters!$B$41+R441*Parameters!$B$42+S441*Parameters!$B$43+T441*Parameters!$B$44+U441*Parameters!$B$45+V441*Parameters!$B$46+W441*Parameters!$B$47+X441*Parameters!$B$48</f>
        <v>0</v>
      </c>
      <c r="Z441" s="0" t="str">
        <f aca="false">IF(Y441&gt;=Parameters!$B$25,"High","")</f>
        <v/>
      </c>
    </row>
    <row r="442" customFormat="false" ht="15" hidden="false" customHeight="false" outlineLevel="0" collapsed="false">
      <c r="A442" s="16" t="n">
        <v>1446</v>
      </c>
      <c r="B442" s="9" t="n">
        <f aca="false">COUNTIF(JE_Lines!$B$5:$B$1733,A442)</f>
        <v>3</v>
      </c>
      <c r="C442" s="17" t="n">
        <f aca="false">SUMIFS(JE_Lines!$G$5:$G$1733,JE_Lines!$B$5:$B$1733,A442)</f>
        <v>11983.78</v>
      </c>
      <c r="D442" s="17" t="n">
        <f aca="false">SUMIFS(JE_Lines!$H$5:$H$1733,JE_Lines!$B$5:$B$1733,A442)</f>
        <v>11983.78</v>
      </c>
      <c r="E442" s="17" t="n">
        <f aca="false">C442-D442</f>
        <v>0</v>
      </c>
      <c r="F442" s="18" t="n">
        <f aca="false">INDEX(JE_Lines!$C$5:$C$1733,MATCH(A442,JE_Lines!$B$5:$B$1733,0))</f>
        <v>45848</v>
      </c>
      <c r="G442" s="18" t="n">
        <f aca="false">INDEX(JE_Lines!$D$5:$D$1733,MATCH(A442,JE_Lines!$B$5:$B$1733,0))</f>
        <v>45848</v>
      </c>
      <c r="H442" s="0" t="str">
        <f aca="false">INDEX(JE_Lines!$I$5:$I$1733,MATCH(A442,JE_Lines!$B$5:$B$1733,0))</f>
        <v>SYS_AP</v>
      </c>
      <c r="I442" s="0" t="str">
        <f aca="false">INDEX(JE_Lines!$J$5:$J$1733,MATCH(A442,JE_Lines!$B$5:$B$1733,0))</f>
        <v>System</v>
      </c>
      <c r="J442" s="0" t="str">
        <f aca="false">IF(LEN(INDEX(JE_Lines!$K$5:$K$1733,MATCH(A442,JE_Lines!$B$5:$B$1733,0)))=0,"",INDEX(JE_Lines!$K$5:$K$1733,MATCH(A442,JE_Lines!$B$5:$B$1733,0)))</f>
        <v>Supplier invoices</v>
      </c>
      <c r="K442" s="9" t="n">
        <f aca="false">F442-G442</f>
        <v>0</v>
      </c>
      <c r="L442" s="9" t="n">
        <f aca="false">COUNTIFS(JE_Lines!$B$5:$B$1733,A442,JE_Lines!$F$5:$F$1733,"Revenue")</f>
        <v>0</v>
      </c>
      <c r="M442" s="9" t="n">
        <f aca="false">COUNTIFS(JE_Lines!$B$5:$B$1733,A442,JE_Lines!$F$5:$F$1733,"Suspense")</f>
        <v>0</v>
      </c>
      <c r="N442" s="9" t="n">
        <f aca="false">IF(ABS(E442)&gt;Parameters!$B$23,1,0)</f>
        <v>0</v>
      </c>
      <c r="O442" s="9" t="n">
        <f aca="false">IF(WEEKDAY(F442,2)&gt;5,1,0)</f>
        <v>0</v>
      </c>
      <c r="P442" s="9" t="n">
        <f aca="false">IF(K442&gt;Parameters!$B$17,1,0)</f>
        <v>0</v>
      </c>
      <c r="Q442" s="9" t="n">
        <f aca="false">IF(AND(F442&lt;=Parameters!$B$6,F442&gt;Parameters!$B$6-Parameters!$B$18),1,0)</f>
        <v>0</v>
      </c>
      <c r="R442" s="9" t="n">
        <f aca="false">IF(COUNTIF(Parameters!$A$51:$A$58,H442)=0,1,0)</f>
        <v>0</v>
      </c>
      <c r="S442" s="9" t="n">
        <f aca="false">IF(AND(I442="Manual",L442&gt;0),1,0)</f>
        <v>0</v>
      </c>
      <c r="T442" s="9" t="n">
        <f aca="false">IF(AND(C442&gt;=Parameters!$B$22,ROUND(MOD(ROUND(C442,2),Parameters!$B$21),2)=0),1,0)</f>
        <v>0</v>
      </c>
      <c r="U442" s="9" t="n">
        <f aca="false">IF(LEN(TRIM(J442))=0,1,0)</f>
        <v>0</v>
      </c>
      <c r="V442" s="9" t="n">
        <f aca="false">IF(AND(I442="Manual",C442&lt;Parameters!$B$19,C442&gt;=Parameters!$B$19*(1-Parameters!$B$20)),1,0)</f>
        <v>0</v>
      </c>
      <c r="W442" s="9" t="n">
        <f aca="false">IF(AND(I442="Manual",M442&gt;0),1,0)</f>
        <v>0</v>
      </c>
      <c r="X442" s="9" t="n">
        <f aca="false">IF(A442-A441&gt;1,1,0)</f>
        <v>0</v>
      </c>
      <c r="Y442" s="9" t="n">
        <f aca="false">N442*Parameters!$B$38+O442*Parameters!$B$39+P442*Parameters!$B$40+Q442*Parameters!$B$41+R442*Parameters!$B$42+S442*Parameters!$B$43+T442*Parameters!$B$44+U442*Parameters!$B$45+V442*Parameters!$B$46+W442*Parameters!$B$47+X442*Parameters!$B$48</f>
        <v>0</v>
      </c>
      <c r="Z442" s="0" t="str">
        <f aca="false">IF(Y442&gt;=Parameters!$B$25,"High","")</f>
        <v/>
      </c>
    </row>
    <row r="443" customFormat="false" ht="15" hidden="false" customHeight="false" outlineLevel="0" collapsed="false">
      <c r="A443" s="16" t="n">
        <v>1447</v>
      </c>
      <c r="B443" s="9" t="n">
        <f aca="false">COUNTIF(JE_Lines!$B$5:$B$1733,A443)</f>
        <v>2</v>
      </c>
      <c r="C443" s="17" t="n">
        <f aca="false">SUMIFS(JE_Lines!$G$5:$G$1733,JE_Lines!$B$5:$B$1733,A443)</f>
        <v>80729.07</v>
      </c>
      <c r="D443" s="17" t="n">
        <f aca="false">SUMIFS(JE_Lines!$H$5:$H$1733,JE_Lines!$B$5:$B$1733,A443)</f>
        <v>80729.07</v>
      </c>
      <c r="E443" s="17" t="n">
        <f aca="false">C443-D443</f>
        <v>0</v>
      </c>
      <c r="F443" s="18" t="n">
        <f aca="false">INDEX(JE_Lines!$C$5:$C$1733,MATCH(A443,JE_Lines!$B$5:$B$1733,0))</f>
        <v>45849</v>
      </c>
      <c r="G443" s="18" t="n">
        <f aca="false">INDEX(JE_Lines!$D$5:$D$1733,MATCH(A443,JE_Lines!$B$5:$B$1733,0))</f>
        <v>45846</v>
      </c>
      <c r="H443" s="0" t="str">
        <f aca="false">INDEX(JE_Lines!$I$5:$I$1733,MATCH(A443,JE_Lines!$B$5:$B$1733,0))</f>
        <v>SYS_AR</v>
      </c>
      <c r="I443" s="0" t="str">
        <f aca="false">INDEX(JE_Lines!$J$5:$J$1733,MATCH(A443,JE_Lines!$B$5:$B$1733,0))</f>
        <v>System</v>
      </c>
      <c r="J443" s="0" t="str">
        <f aca="false">IF(LEN(INDEX(JE_Lines!$K$5:$K$1733,MATCH(A443,JE_Lines!$B$5:$B$1733,0)))=0,"",INDEX(JE_Lines!$K$5:$K$1733,MATCH(A443,JE_Lines!$B$5:$B$1733,0)))</f>
        <v>Sales invoice batch</v>
      </c>
      <c r="K443" s="9" t="n">
        <f aca="false">F443-G443</f>
        <v>3</v>
      </c>
      <c r="L443" s="9" t="n">
        <f aca="false">COUNTIFS(JE_Lines!$B$5:$B$1733,A443,JE_Lines!$F$5:$F$1733,"Revenue")</f>
        <v>1</v>
      </c>
      <c r="M443" s="9" t="n">
        <f aca="false">COUNTIFS(JE_Lines!$B$5:$B$1733,A443,JE_Lines!$F$5:$F$1733,"Suspense")</f>
        <v>0</v>
      </c>
      <c r="N443" s="9" t="n">
        <f aca="false">IF(ABS(E443)&gt;Parameters!$B$23,1,0)</f>
        <v>0</v>
      </c>
      <c r="O443" s="9" t="n">
        <f aca="false">IF(WEEKDAY(F443,2)&gt;5,1,0)</f>
        <v>0</v>
      </c>
      <c r="P443" s="9" t="n">
        <f aca="false">IF(K443&gt;Parameters!$B$17,1,0)</f>
        <v>0</v>
      </c>
      <c r="Q443" s="9" t="n">
        <f aca="false">IF(AND(F443&lt;=Parameters!$B$6,F443&gt;Parameters!$B$6-Parameters!$B$18),1,0)</f>
        <v>0</v>
      </c>
      <c r="R443" s="9" t="n">
        <f aca="false">IF(COUNTIF(Parameters!$A$51:$A$58,H443)=0,1,0)</f>
        <v>0</v>
      </c>
      <c r="S443" s="9" t="n">
        <f aca="false">IF(AND(I443="Manual",L443&gt;0),1,0)</f>
        <v>0</v>
      </c>
      <c r="T443" s="9" t="n">
        <f aca="false">IF(AND(C443&gt;=Parameters!$B$22,ROUND(MOD(ROUND(C443,2),Parameters!$B$21),2)=0),1,0)</f>
        <v>0</v>
      </c>
      <c r="U443" s="9" t="n">
        <f aca="false">IF(LEN(TRIM(J443))=0,1,0)</f>
        <v>0</v>
      </c>
      <c r="V443" s="9" t="n">
        <f aca="false">IF(AND(I443="Manual",C443&lt;Parameters!$B$19,C443&gt;=Parameters!$B$19*(1-Parameters!$B$20)),1,0)</f>
        <v>0</v>
      </c>
      <c r="W443" s="9" t="n">
        <f aca="false">IF(AND(I443="Manual",M443&gt;0),1,0)</f>
        <v>0</v>
      </c>
      <c r="X443" s="9" t="n">
        <f aca="false">IF(A443-A442&gt;1,1,0)</f>
        <v>0</v>
      </c>
      <c r="Y443" s="9" t="n">
        <f aca="false">N443*Parameters!$B$38+O443*Parameters!$B$39+P443*Parameters!$B$40+Q443*Parameters!$B$41+R443*Parameters!$B$42+S443*Parameters!$B$43+T443*Parameters!$B$44+U443*Parameters!$B$45+V443*Parameters!$B$46+W443*Parameters!$B$47+X443*Parameters!$B$48</f>
        <v>0</v>
      </c>
      <c r="Z443" s="0" t="str">
        <f aca="false">IF(Y443&gt;=Parameters!$B$25,"High","")</f>
        <v/>
      </c>
    </row>
    <row r="444" customFormat="false" ht="15" hidden="false" customHeight="false" outlineLevel="0" collapsed="false">
      <c r="A444" s="16" t="n">
        <v>1448</v>
      </c>
      <c r="B444" s="9" t="n">
        <f aca="false">COUNTIF(JE_Lines!$B$5:$B$1733,A444)</f>
        <v>2</v>
      </c>
      <c r="C444" s="17" t="n">
        <f aca="false">SUMIFS(JE_Lines!$G$5:$G$1733,JE_Lines!$B$5:$B$1733,A444)</f>
        <v>34023.5</v>
      </c>
      <c r="D444" s="17" t="n">
        <f aca="false">SUMIFS(JE_Lines!$H$5:$H$1733,JE_Lines!$B$5:$B$1733,A444)</f>
        <v>34023.5</v>
      </c>
      <c r="E444" s="17" t="n">
        <f aca="false">C444-D444</f>
        <v>0</v>
      </c>
      <c r="F444" s="18" t="n">
        <f aca="false">INDEX(JE_Lines!$C$5:$C$1733,MATCH(A444,JE_Lines!$B$5:$B$1733,0))</f>
        <v>45849</v>
      </c>
      <c r="G444" s="18" t="n">
        <f aca="false">INDEX(JE_Lines!$D$5:$D$1733,MATCH(A444,JE_Lines!$B$5:$B$1733,0))</f>
        <v>45847</v>
      </c>
      <c r="H444" s="0" t="str">
        <f aca="false">INDEX(JE_Lines!$I$5:$I$1733,MATCH(A444,JE_Lines!$B$5:$B$1733,0))</f>
        <v>SYS_PAY</v>
      </c>
      <c r="I444" s="0" t="str">
        <f aca="false">INDEX(JE_Lines!$J$5:$J$1733,MATCH(A444,JE_Lines!$B$5:$B$1733,0))</f>
        <v>System</v>
      </c>
      <c r="J444" s="0" t="str">
        <f aca="false">IF(LEN(INDEX(JE_Lines!$K$5:$K$1733,MATCH(A444,JE_Lines!$B$5:$B$1733,0)))=0,"",INDEX(JE_Lines!$K$5:$K$1733,MATCH(A444,JE_Lines!$B$5:$B$1733,0)))</f>
        <v>Supplier payments</v>
      </c>
      <c r="K444" s="9" t="n">
        <f aca="false">F444-G444</f>
        <v>2</v>
      </c>
      <c r="L444" s="9" t="n">
        <f aca="false">COUNTIFS(JE_Lines!$B$5:$B$1733,A444,JE_Lines!$F$5:$F$1733,"Revenue")</f>
        <v>0</v>
      </c>
      <c r="M444" s="9" t="n">
        <f aca="false">COUNTIFS(JE_Lines!$B$5:$B$1733,A444,JE_Lines!$F$5:$F$1733,"Suspense")</f>
        <v>0</v>
      </c>
      <c r="N444" s="9" t="n">
        <f aca="false">IF(ABS(E444)&gt;Parameters!$B$23,1,0)</f>
        <v>0</v>
      </c>
      <c r="O444" s="9" t="n">
        <f aca="false">IF(WEEKDAY(F444,2)&gt;5,1,0)</f>
        <v>0</v>
      </c>
      <c r="P444" s="9" t="n">
        <f aca="false">IF(K444&gt;Parameters!$B$17,1,0)</f>
        <v>0</v>
      </c>
      <c r="Q444" s="9" t="n">
        <f aca="false">IF(AND(F444&lt;=Parameters!$B$6,F444&gt;Parameters!$B$6-Parameters!$B$18),1,0)</f>
        <v>0</v>
      </c>
      <c r="R444" s="9" t="n">
        <f aca="false">IF(COUNTIF(Parameters!$A$51:$A$58,H444)=0,1,0)</f>
        <v>0</v>
      </c>
      <c r="S444" s="9" t="n">
        <f aca="false">IF(AND(I444="Manual",L444&gt;0),1,0)</f>
        <v>0</v>
      </c>
      <c r="T444" s="9" t="n">
        <f aca="false">IF(AND(C444&gt;=Parameters!$B$22,ROUND(MOD(ROUND(C444,2),Parameters!$B$21),2)=0),1,0)</f>
        <v>0</v>
      </c>
      <c r="U444" s="9" t="n">
        <f aca="false">IF(LEN(TRIM(J444))=0,1,0)</f>
        <v>0</v>
      </c>
      <c r="V444" s="9" t="n">
        <f aca="false">IF(AND(I444="Manual",C444&lt;Parameters!$B$19,C444&gt;=Parameters!$B$19*(1-Parameters!$B$20)),1,0)</f>
        <v>0</v>
      </c>
      <c r="W444" s="9" t="n">
        <f aca="false">IF(AND(I444="Manual",M444&gt;0),1,0)</f>
        <v>0</v>
      </c>
      <c r="X444" s="9" t="n">
        <f aca="false">IF(A444-A443&gt;1,1,0)</f>
        <v>0</v>
      </c>
      <c r="Y444" s="9" t="n">
        <f aca="false">N444*Parameters!$B$38+O444*Parameters!$B$39+P444*Parameters!$B$40+Q444*Parameters!$B$41+R444*Parameters!$B$42+S444*Parameters!$B$43+T444*Parameters!$B$44+U444*Parameters!$B$45+V444*Parameters!$B$46+W444*Parameters!$B$47+X444*Parameters!$B$48</f>
        <v>0</v>
      </c>
      <c r="Z444" s="0" t="str">
        <f aca="false">IF(Y444&gt;=Parameters!$B$25,"High","")</f>
        <v/>
      </c>
    </row>
    <row r="445" customFormat="false" ht="15" hidden="false" customHeight="false" outlineLevel="0" collapsed="false">
      <c r="A445" s="16" t="n">
        <v>1449</v>
      </c>
      <c r="B445" s="9" t="n">
        <f aca="false">COUNTIF(JE_Lines!$B$5:$B$1733,A445)</f>
        <v>2</v>
      </c>
      <c r="C445" s="17" t="n">
        <f aca="false">SUMIFS(JE_Lines!$G$5:$G$1733,JE_Lines!$B$5:$B$1733,A445)</f>
        <v>7263.97</v>
      </c>
      <c r="D445" s="17" t="n">
        <f aca="false">SUMIFS(JE_Lines!$H$5:$H$1733,JE_Lines!$B$5:$B$1733,A445)</f>
        <v>7263.97</v>
      </c>
      <c r="E445" s="17" t="n">
        <f aca="false">C445-D445</f>
        <v>0</v>
      </c>
      <c r="F445" s="18" t="n">
        <f aca="false">INDEX(JE_Lines!$C$5:$C$1733,MATCH(A445,JE_Lines!$B$5:$B$1733,0))</f>
        <v>45852</v>
      </c>
      <c r="G445" s="18" t="n">
        <f aca="false">INDEX(JE_Lines!$D$5:$D$1733,MATCH(A445,JE_Lines!$B$5:$B$1733,0))</f>
        <v>45848</v>
      </c>
      <c r="H445" s="0" t="str">
        <f aca="false">INDEX(JE_Lines!$I$5:$I$1733,MATCH(A445,JE_Lines!$B$5:$B$1733,0))</f>
        <v>SYS_AR</v>
      </c>
      <c r="I445" s="0" t="str">
        <f aca="false">INDEX(JE_Lines!$J$5:$J$1733,MATCH(A445,JE_Lines!$B$5:$B$1733,0))</f>
        <v>System</v>
      </c>
      <c r="J445" s="0" t="str">
        <f aca="false">IF(LEN(INDEX(JE_Lines!$K$5:$K$1733,MATCH(A445,JE_Lines!$B$5:$B$1733,0)))=0,"",INDEX(JE_Lines!$K$5:$K$1733,MATCH(A445,JE_Lines!$B$5:$B$1733,0)))</f>
        <v>Cost of sales posting</v>
      </c>
      <c r="K445" s="9" t="n">
        <f aca="false">F445-G445</f>
        <v>4</v>
      </c>
      <c r="L445" s="9" t="n">
        <f aca="false">COUNTIFS(JE_Lines!$B$5:$B$1733,A445,JE_Lines!$F$5:$F$1733,"Revenue")</f>
        <v>0</v>
      </c>
      <c r="M445" s="9" t="n">
        <f aca="false">COUNTIFS(JE_Lines!$B$5:$B$1733,A445,JE_Lines!$F$5:$F$1733,"Suspense")</f>
        <v>0</v>
      </c>
      <c r="N445" s="9" t="n">
        <f aca="false">IF(ABS(E445)&gt;Parameters!$B$23,1,0)</f>
        <v>0</v>
      </c>
      <c r="O445" s="9" t="n">
        <f aca="false">IF(WEEKDAY(F445,2)&gt;5,1,0)</f>
        <v>0</v>
      </c>
      <c r="P445" s="9" t="n">
        <f aca="false">IF(K445&gt;Parameters!$B$17,1,0)</f>
        <v>0</v>
      </c>
      <c r="Q445" s="9" t="n">
        <f aca="false">IF(AND(F445&lt;=Parameters!$B$6,F445&gt;Parameters!$B$6-Parameters!$B$18),1,0)</f>
        <v>0</v>
      </c>
      <c r="R445" s="9" t="n">
        <f aca="false">IF(COUNTIF(Parameters!$A$51:$A$58,H445)=0,1,0)</f>
        <v>0</v>
      </c>
      <c r="S445" s="9" t="n">
        <f aca="false">IF(AND(I445="Manual",L445&gt;0),1,0)</f>
        <v>0</v>
      </c>
      <c r="T445" s="9" t="n">
        <f aca="false">IF(AND(C445&gt;=Parameters!$B$22,ROUND(MOD(ROUND(C445,2),Parameters!$B$21),2)=0),1,0)</f>
        <v>0</v>
      </c>
      <c r="U445" s="9" t="n">
        <f aca="false">IF(LEN(TRIM(J445))=0,1,0)</f>
        <v>0</v>
      </c>
      <c r="V445" s="9" t="n">
        <f aca="false">IF(AND(I445="Manual",C445&lt;Parameters!$B$19,C445&gt;=Parameters!$B$19*(1-Parameters!$B$20)),1,0)</f>
        <v>0</v>
      </c>
      <c r="W445" s="9" t="n">
        <f aca="false">IF(AND(I445="Manual",M445&gt;0),1,0)</f>
        <v>0</v>
      </c>
      <c r="X445" s="9" t="n">
        <f aca="false">IF(A445-A444&gt;1,1,0)</f>
        <v>0</v>
      </c>
      <c r="Y445" s="9" t="n">
        <f aca="false">N445*Parameters!$B$38+O445*Parameters!$B$39+P445*Parameters!$B$40+Q445*Parameters!$B$41+R445*Parameters!$B$42+S445*Parameters!$B$43+T445*Parameters!$B$44+U445*Parameters!$B$45+V445*Parameters!$B$46+W445*Parameters!$B$47+X445*Parameters!$B$48</f>
        <v>0</v>
      </c>
      <c r="Z445" s="0" t="str">
        <f aca="false">IF(Y445&gt;=Parameters!$B$25,"High","")</f>
        <v/>
      </c>
    </row>
    <row r="446" customFormat="false" ht="15" hidden="false" customHeight="false" outlineLevel="0" collapsed="false">
      <c r="A446" s="16" t="n">
        <v>1450</v>
      </c>
      <c r="B446" s="9" t="n">
        <f aca="false">COUNTIF(JE_Lines!$B$5:$B$1733,A446)</f>
        <v>2</v>
      </c>
      <c r="C446" s="17" t="n">
        <f aca="false">SUMIFS(JE_Lines!$G$5:$G$1733,JE_Lines!$B$5:$B$1733,A446)</f>
        <v>631.96</v>
      </c>
      <c r="D446" s="17" t="n">
        <f aca="false">SUMIFS(JE_Lines!$H$5:$H$1733,JE_Lines!$B$5:$B$1733,A446)</f>
        <v>631.96</v>
      </c>
      <c r="E446" s="17" t="n">
        <f aca="false">C446-D446</f>
        <v>0</v>
      </c>
      <c r="F446" s="18" t="n">
        <f aca="false">INDEX(JE_Lines!$C$5:$C$1733,MATCH(A446,JE_Lines!$B$5:$B$1733,0))</f>
        <v>45852</v>
      </c>
      <c r="G446" s="18" t="n">
        <f aca="false">INDEX(JE_Lines!$D$5:$D$1733,MATCH(A446,JE_Lines!$B$5:$B$1733,0))</f>
        <v>45850</v>
      </c>
      <c r="H446" s="0" t="str">
        <f aca="false">INDEX(JE_Lines!$I$5:$I$1733,MATCH(A446,JE_Lines!$B$5:$B$1733,0))</f>
        <v>SYS_AR</v>
      </c>
      <c r="I446" s="0" t="str">
        <f aca="false">INDEX(JE_Lines!$J$5:$J$1733,MATCH(A446,JE_Lines!$B$5:$B$1733,0))</f>
        <v>System</v>
      </c>
      <c r="J446" s="0" t="str">
        <f aca="false">IF(LEN(INDEX(JE_Lines!$K$5:$K$1733,MATCH(A446,JE_Lines!$B$5:$B$1733,0)))=0,"",INDEX(JE_Lines!$K$5:$K$1733,MATCH(A446,JE_Lines!$B$5:$B$1733,0)))</f>
        <v>Cost of sales posting</v>
      </c>
      <c r="K446" s="9" t="n">
        <f aca="false">F446-G446</f>
        <v>2</v>
      </c>
      <c r="L446" s="9" t="n">
        <f aca="false">COUNTIFS(JE_Lines!$B$5:$B$1733,A446,JE_Lines!$F$5:$F$1733,"Revenue")</f>
        <v>0</v>
      </c>
      <c r="M446" s="9" t="n">
        <f aca="false">COUNTIFS(JE_Lines!$B$5:$B$1733,A446,JE_Lines!$F$5:$F$1733,"Suspense")</f>
        <v>0</v>
      </c>
      <c r="N446" s="9" t="n">
        <f aca="false">IF(ABS(E446)&gt;Parameters!$B$23,1,0)</f>
        <v>0</v>
      </c>
      <c r="O446" s="9" t="n">
        <f aca="false">IF(WEEKDAY(F446,2)&gt;5,1,0)</f>
        <v>0</v>
      </c>
      <c r="P446" s="9" t="n">
        <f aca="false">IF(K446&gt;Parameters!$B$17,1,0)</f>
        <v>0</v>
      </c>
      <c r="Q446" s="9" t="n">
        <f aca="false">IF(AND(F446&lt;=Parameters!$B$6,F446&gt;Parameters!$B$6-Parameters!$B$18),1,0)</f>
        <v>0</v>
      </c>
      <c r="R446" s="9" t="n">
        <f aca="false">IF(COUNTIF(Parameters!$A$51:$A$58,H446)=0,1,0)</f>
        <v>0</v>
      </c>
      <c r="S446" s="9" t="n">
        <f aca="false">IF(AND(I446="Manual",L446&gt;0),1,0)</f>
        <v>0</v>
      </c>
      <c r="T446" s="9" t="n">
        <f aca="false">IF(AND(C446&gt;=Parameters!$B$22,ROUND(MOD(ROUND(C446,2),Parameters!$B$21),2)=0),1,0)</f>
        <v>0</v>
      </c>
      <c r="U446" s="9" t="n">
        <f aca="false">IF(LEN(TRIM(J446))=0,1,0)</f>
        <v>0</v>
      </c>
      <c r="V446" s="9" t="n">
        <f aca="false">IF(AND(I446="Manual",C446&lt;Parameters!$B$19,C446&gt;=Parameters!$B$19*(1-Parameters!$B$20)),1,0)</f>
        <v>0</v>
      </c>
      <c r="W446" s="9" t="n">
        <f aca="false">IF(AND(I446="Manual",M446&gt;0),1,0)</f>
        <v>0</v>
      </c>
      <c r="X446" s="9" t="n">
        <f aca="false">IF(A446-A445&gt;1,1,0)</f>
        <v>0</v>
      </c>
      <c r="Y446" s="9" t="n">
        <f aca="false">N446*Parameters!$B$38+O446*Parameters!$B$39+P446*Parameters!$B$40+Q446*Parameters!$B$41+R446*Parameters!$B$42+S446*Parameters!$B$43+T446*Parameters!$B$44+U446*Parameters!$B$45+V446*Parameters!$B$46+W446*Parameters!$B$47+X446*Parameters!$B$48</f>
        <v>0</v>
      </c>
      <c r="Z446" s="0" t="str">
        <f aca="false">IF(Y446&gt;=Parameters!$B$25,"High","")</f>
        <v/>
      </c>
    </row>
    <row r="447" customFormat="false" ht="15" hidden="false" customHeight="false" outlineLevel="0" collapsed="false">
      <c r="A447" s="16" t="n">
        <v>1451</v>
      </c>
      <c r="B447" s="9" t="n">
        <f aca="false">COUNTIF(JE_Lines!$B$5:$B$1733,A447)</f>
        <v>3</v>
      </c>
      <c r="C447" s="17" t="n">
        <f aca="false">SUMIFS(JE_Lines!$G$5:$G$1733,JE_Lines!$B$5:$B$1733,A447)</f>
        <v>1808.74</v>
      </c>
      <c r="D447" s="17" t="n">
        <f aca="false">SUMIFS(JE_Lines!$H$5:$H$1733,JE_Lines!$B$5:$B$1733,A447)</f>
        <v>1808.74</v>
      </c>
      <c r="E447" s="17" t="n">
        <f aca="false">C447-D447</f>
        <v>0</v>
      </c>
      <c r="F447" s="18" t="n">
        <f aca="false">INDEX(JE_Lines!$C$5:$C$1733,MATCH(A447,JE_Lines!$B$5:$B$1733,0))</f>
        <v>45852</v>
      </c>
      <c r="G447" s="18" t="n">
        <f aca="false">INDEX(JE_Lines!$D$5:$D$1733,MATCH(A447,JE_Lines!$B$5:$B$1733,0))</f>
        <v>45849</v>
      </c>
      <c r="H447" s="0" t="str">
        <f aca="false">INDEX(JE_Lines!$I$5:$I$1733,MATCH(A447,JE_Lines!$B$5:$B$1733,0))</f>
        <v>SYS_AR</v>
      </c>
      <c r="I447" s="0" t="str">
        <f aca="false">INDEX(JE_Lines!$J$5:$J$1733,MATCH(A447,JE_Lines!$B$5:$B$1733,0))</f>
        <v>System</v>
      </c>
      <c r="J447" s="0" t="str">
        <f aca="false">IF(LEN(INDEX(JE_Lines!$K$5:$K$1733,MATCH(A447,JE_Lines!$B$5:$B$1733,0)))=0,"",INDEX(JE_Lines!$K$5:$K$1733,MATCH(A447,JE_Lines!$B$5:$B$1733,0)))</f>
        <v>Cost of sales posting</v>
      </c>
      <c r="K447" s="9" t="n">
        <f aca="false">F447-G447</f>
        <v>3</v>
      </c>
      <c r="L447" s="9" t="n">
        <f aca="false">COUNTIFS(JE_Lines!$B$5:$B$1733,A447,JE_Lines!$F$5:$F$1733,"Revenue")</f>
        <v>0</v>
      </c>
      <c r="M447" s="9" t="n">
        <f aca="false">COUNTIFS(JE_Lines!$B$5:$B$1733,A447,JE_Lines!$F$5:$F$1733,"Suspense")</f>
        <v>0</v>
      </c>
      <c r="N447" s="9" t="n">
        <f aca="false">IF(ABS(E447)&gt;Parameters!$B$23,1,0)</f>
        <v>0</v>
      </c>
      <c r="O447" s="9" t="n">
        <f aca="false">IF(WEEKDAY(F447,2)&gt;5,1,0)</f>
        <v>0</v>
      </c>
      <c r="P447" s="9" t="n">
        <f aca="false">IF(K447&gt;Parameters!$B$17,1,0)</f>
        <v>0</v>
      </c>
      <c r="Q447" s="9" t="n">
        <f aca="false">IF(AND(F447&lt;=Parameters!$B$6,F447&gt;Parameters!$B$6-Parameters!$B$18),1,0)</f>
        <v>0</v>
      </c>
      <c r="R447" s="9" t="n">
        <f aca="false">IF(COUNTIF(Parameters!$A$51:$A$58,H447)=0,1,0)</f>
        <v>0</v>
      </c>
      <c r="S447" s="9" t="n">
        <f aca="false">IF(AND(I447="Manual",L447&gt;0),1,0)</f>
        <v>0</v>
      </c>
      <c r="T447" s="9" t="n">
        <f aca="false">IF(AND(C447&gt;=Parameters!$B$22,ROUND(MOD(ROUND(C447,2),Parameters!$B$21),2)=0),1,0)</f>
        <v>0</v>
      </c>
      <c r="U447" s="9" t="n">
        <f aca="false">IF(LEN(TRIM(J447))=0,1,0)</f>
        <v>0</v>
      </c>
      <c r="V447" s="9" t="n">
        <f aca="false">IF(AND(I447="Manual",C447&lt;Parameters!$B$19,C447&gt;=Parameters!$B$19*(1-Parameters!$B$20)),1,0)</f>
        <v>0</v>
      </c>
      <c r="W447" s="9" t="n">
        <f aca="false">IF(AND(I447="Manual",M447&gt;0),1,0)</f>
        <v>0</v>
      </c>
      <c r="X447" s="9" t="n">
        <f aca="false">IF(A447-A446&gt;1,1,0)</f>
        <v>0</v>
      </c>
      <c r="Y447" s="9" t="n">
        <f aca="false">N447*Parameters!$B$38+O447*Parameters!$B$39+P447*Parameters!$B$40+Q447*Parameters!$B$41+R447*Parameters!$B$42+S447*Parameters!$B$43+T447*Parameters!$B$44+U447*Parameters!$B$45+V447*Parameters!$B$46+W447*Parameters!$B$47+X447*Parameters!$B$48</f>
        <v>0</v>
      </c>
      <c r="Z447" s="0" t="str">
        <f aca="false">IF(Y447&gt;=Parameters!$B$25,"High","")</f>
        <v/>
      </c>
    </row>
    <row r="448" customFormat="false" ht="15" hidden="false" customHeight="false" outlineLevel="0" collapsed="false">
      <c r="A448" s="16" t="n">
        <v>1452</v>
      </c>
      <c r="B448" s="9" t="n">
        <f aca="false">COUNTIF(JE_Lines!$B$5:$B$1733,A448)</f>
        <v>2</v>
      </c>
      <c r="C448" s="17" t="n">
        <f aca="false">SUMIFS(JE_Lines!$G$5:$G$1733,JE_Lines!$B$5:$B$1733,A448)</f>
        <v>1861.75</v>
      </c>
      <c r="D448" s="17" t="n">
        <f aca="false">SUMIFS(JE_Lines!$H$5:$H$1733,JE_Lines!$B$5:$B$1733,A448)</f>
        <v>1861.75</v>
      </c>
      <c r="E448" s="17" t="n">
        <f aca="false">C448-D448</f>
        <v>0</v>
      </c>
      <c r="F448" s="18" t="n">
        <f aca="false">INDEX(JE_Lines!$C$5:$C$1733,MATCH(A448,JE_Lines!$B$5:$B$1733,0))</f>
        <v>45852</v>
      </c>
      <c r="G448" s="18" t="n">
        <f aca="false">INDEX(JE_Lines!$D$5:$D$1733,MATCH(A448,JE_Lines!$B$5:$B$1733,0))</f>
        <v>45851</v>
      </c>
      <c r="H448" s="0" t="str">
        <f aca="false">INDEX(JE_Lines!$I$5:$I$1733,MATCH(A448,JE_Lines!$B$5:$B$1733,0))</f>
        <v>FIN04</v>
      </c>
      <c r="I448" s="0" t="str">
        <f aca="false">INDEX(JE_Lines!$J$5:$J$1733,MATCH(A448,JE_Lines!$B$5:$B$1733,0))</f>
        <v>Manual</v>
      </c>
      <c r="J448" s="0" t="str">
        <f aca="false">IF(LEN(INDEX(JE_Lines!$K$5:$K$1733,MATCH(A448,JE_Lines!$B$5:$B$1733,0)))=0,"",INDEX(JE_Lines!$K$5:$K$1733,MATCH(A448,JE_Lines!$B$5:$B$1733,0)))</f>
        <v>Accrual for sundry costs</v>
      </c>
      <c r="K448" s="9" t="n">
        <f aca="false">F448-G448</f>
        <v>1</v>
      </c>
      <c r="L448" s="9" t="n">
        <f aca="false">COUNTIFS(JE_Lines!$B$5:$B$1733,A448,JE_Lines!$F$5:$F$1733,"Revenue")</f>
        <v>0</v>
      </c>
      <c r="M448" s="9" t="n">
        <f aca="false">COUNTIFS(JE_Lines!$B$5:$B$1733,A448,JE_Lines!$F$5:$F$1733,"Suspense")</f>
        <v>0</v>
      </c>
      <c r="N448" s="9" t="n">
        <f aca="false">IF(ABS(E448)&gt;Parameters!$B$23,1,0)</f>
        <v>0</v>
      </c>
      <c r="O448" s="9" t="n">
        <f aca="false">IF(WEEKDAY(F448,2)&gt;5,1,0)</f>
        <v>0</v>
      </c>
      <c r="P448" s="9" t="n">
        <f aca="false">IF(K448&gt;Parameters!$B$17,1,0)</f>
        <v>0</v>
      </c>
      <c r="Q448" s="9" t="n">
        <f aca="false">IF(AND(F448&lt;=Parameters!$B$6,F448&gt;Parameters!$B$6-Parameters!$B$18),1,0)</f>
        <v>0</v>
      </c>
      <c r="R448" s="9" t="n">
        <f aca="false">IF(COUNTIF(Parameters!$A$51:$A$58,H448)=0,1,0)</f>
        <v>0</v>
      </c>
      <c r="S448" s="9" t="n">
        <f aca="false">IF(AND(I448="Manual",L448&gt;0),1,0)</f>
        <v>0</v>
      </c>
      <c r="T448" s="9" t="n">
        <f aca="false">IF(AND(C448&gt;=Parameters!$B$22,ROUND(MOD(ROUND(C448,2),Parameters!$B$21),2)=0),1,0)</f>
        <v>0</v>
      </c>
      <c r="U448" s="9" t="n">
        <f aca="false">IF(LEN(TRIM(J448))=0,1,0)</f>
        <v>0</v>
      </c>
      <c r="V448" s="9" t="n">
        <f aca="false">IF(AND(I448="Manual",C448&lt;Parameters!$B$19,C448&gt;=Parameters!$B$19*(1-Parameters!$B$20)),1,0)</f>
        <v>0</v>
      </c>
      <c r="W448" s="9" t="n">
        <f aca="false">IF(AND(I448="Manual",M448&gt;0),1,0)</f>
        <v>0</v>
      </c>
      <c r="X448" s="9" t="n">
        <f aca="false">IF(A448-A447&gt;1,1,0)</f>
        <v>0</v>
      </c>
      <c r="Y448" s="9" t="n">
        <f aca="false">N448*Parameters!$B$38+O448*Parameters!$B$39+P448*Parameters!$B$40+Q448*Parameters!$B$41+R448*Parameters!$B$42+S448*Parameters!$B$43+T448*Parameters!$B$44+U448*Parameters!$B$45+V448*Parameters!$B$46+W448*Parameters!$B$47+X448*Parameters!$B$48</f>
        <v>0</v>
      </c>
      <c r="Z448" s="0" t="str">
        <f aca="false">IF(Y448&gt;=Parameters!$B$25,"High","")</f>
        <v/>
      </c>
    </row>
    <row r="449" customFormat="false" ht="15" hidden="false" customHeight="false" outlineLevel="0" collapsed="false">
      <c r="A449" s="16" t="n">
        <v>1453</v>
      </c>
      <c r="B449" s="9" t="n">
        <f aca="false">COUNTIF(JE_Lines!$B$5:$B$1733,A449)</f>
        <v>2</v>
      </c>
      <c r="C449" s="17" t="n">
        <f aca="false">SUMIFS(JE_Lines!$G$5:$G$1733,JE_Lines!$B$5:$B$1733,A449)</f>
        <v>4587.11</v>
      </c>
      <c r="D449" s="17" t="n">
        <f aca="false">SUMIFS(JE_Lines!$H$5:$H$1733,JE_Lines!$B$5:$B$1733,A449)</f>
        <v>4587.11</v>
      </c>
      <c r="E449" s="17" t="n">
        <f aca="false">C449-D449</f>
        <v>0</v>
      </c>
      <c r="F449" s="18" t="n">
        <f aca="false">INDEX(JE_Lines!$C$5:$C$1733,MATCH(A449,JE_Lines!$B$5:$B$1733,0))</f>
        <v>45852</v>
      </c>
      <c r="G449" s="18" t="n">
        <f aca="false">INDEX(JE_Lines!$D$5:$D$1733,MATCH(A449,JE_Lines!$B$5:$B$1733,0))</f>
        <v>45852</v>
      </c>
      <c r="H449" s="0" t="str">
        <f aca="false">INDEX(JE_Lines!$I$5:$I$1733,MATCH(A449,JE_Lines!$B$5:$B$1733,0))</f>
        <v>FIN01</v>
      </c>
      <c r="I449" s="0" t="str">
        <f aca="false">INDEX(JE_Lines!$J$5:$J$1733,MATCH(A449,JE_Lines!$B$5:$B$1733,0))</f>
        <v>Manual</v>
      </c>
      <c r="J449" s="0" t="str">
        <f aca="false">IF(LEN(INDEX(JE_Lines!$K$5:$K$1733,MATCH(A449,JE_Lines!$B$5:$B$1733,0)))=0,"",INDEX(JE_Lines!$K$5:$K$1733,MATCH(A449,JE_Lines!$B$5:$B$1733,0)))</f>
        <v>Accrual reversal</v>
      </c>
      <c r="K449" s="9" t="n">
        <f aca="false">F449-G449</f>
        <v>0</v>
      </c>
      <c r="L449" s="9" t="n">
        <f aca="false">COUNTIFS(JE_Lines!$B$5:$B$1733,A449,JE_Lines!$F$5:$F$1733,"Revenue")</f>
        <v>0</v>
      </c>
      <c r="M449" s="9" t="n">
        <f aca="false">COUNTIFS(JE_Lines!$B$5:$B$1733,A449,JE_Lines!$F$5:$F$1733,"Suspense")</f>
        <v>0</v>
      </c>
      <c r="N449" s="9" t="n">
        <f aca="false">IF(ABS(E449)&gt;Parameters!$B$23,1,0)</f>
        <v>0</v>
      </c>
      <c r="O449" s="9" t="n">
        <f aca="false">IF(WEEKDAY(F449,2)&gt;5,1,0)</f>
        <v>0</v>
      </c>
      <c r="P449" s="9" t="n">
        <f aca="false">IF(K449&gt;Parameters!$B$17,1,0)</f>
        <v>0</v>
      </c>
      <c r="Q449" s="9" t="n">
        <f aca="false">IF(AND(F449&lt;=Parameters!$B$6,F449&gt;Parameters!$B$6-Parameters!$B$18),1,0)</f>
        <v>0</v>
      </c>
      <c r="R449" s="9" t="n">
        <f aca="false">IF(COUNTIF(Parameters!$A$51:$A$58,H449)=0,1,0)</f>
        <v>0</v>
      </c>
      <c r="S449" s="9" t="n">
        <f aca="false">IF(AND(I449="Manual",L449&gt;0),1,0)</f>
        <v>0</v>
      </c>
      <c r="T449" s="9" t="n">
        <f aca="false">IF(AND(C449&gt;=Parameters!$B$22,ROUND(MOD(ROUND(C449,2),Parameters!$B$21),2)=0),1,0)</f>
        <v>0</v>
      </c>
      <c r="U449" s="9" t="n">
        <f aca="false">IF(LEN(TRIM(J449))=0,1,0)</f>
        <v>0</v>
      </c>
      <c r="V449" s="9" t="n">
        <f aca="false">IF(AND(I449="Manual",C449&lt;Parameters!$B$19,C449&gt;=Parameters!$B$19*(1-Parameters!$B$20)),1,0)</f>
        <v>0</v>
      </c>
      <c r="W449" s="9" t="n">
        <f aca="false">IF(AND(I449="Manual",M449&gt;0),1,0)</f>
        <v>0</v>
      </c>
      <c r="X449" s="9" t="n">
        <f aca="false">IF(A449-A448&gt;1,1,0)</f>
        <v>0</v>
      </c>
      <c r="Y449" s="9" t="n">
        <f aca="false">N449*Parameters!$B$38+O449*Parameters!$B$39+P449*Parameters!$B$40+Q449*Parameters!$B$41+R449*Parameters!$B$42+S449*Parameters!$B$43+T449*Parameters!$B$44+U449*Parameters!$B$45+V449*Parameters!$B$46+W449*Parameters!$B$47+X449*Parameters!$B$48</f>
        <v>0</v>
      </c>
      <c r="Z449" s="0" t="str">
        <f aca="false">IF(Y449&gt;=Parameters!$B$25,"High","")</f>
        <v/>
      </c>
    </row>
    <row r="450" customFormat="false" ht="15" hidden="false" customHeight="false" outlineLevel="0" collapsed="false">
      <c r="A450" s="16" t="n">
        <v>1454</v>
      </c>
      <c r="B450" s="9" t="n">
        <f aca="false">COUNTIF(JE_Lines!$B$5:$B$1733,A450)</f>
        <v>2</v>
      </c>
      <c r="C450" s="17" t="n">
        <f aca="false">SUMIFS(JE_Lines!$G$5:$G$1733,JE_Lines!$B$5:$B$1733,A450)</f>
        <v>44808.26</v>
      </c>
      <c r="D450" s="17" t="n">
        <f aca="false">SUMIFS(JE_Lines!$H$5:$H$1733,JE_Lines!$B$5:$B$1733,A450)</f>
        <v>44808.26</v>
      </c>
      <c r="E450" s="17" t="n">
        <f aca="false">C450-D450</f>
        <v>0</v>
      </c>
      <c r="F450" s="18" t="n">
        <f aca="false">INDEX(JE_Lines!$C$5:$C$1733,MATCH(A450,JE_Lines!$B$5:$B$1733,0))</f>
        <v>45853</v>
      </c>
      <c r="G450" s="18" t="n">
        <f aca="false">INDEX(JE_Lines!$D$5:$D$1733,MATCH(A450,JE_Lines!$B$5:$B$1733,0))</f>
        <v>45851</v>
      </c>
      <c r="H450" s="0" t="str">
        <f aca="false">INDEX(JE_Lines!$I$5:$I$1733,MATCH(A450,JE_Lines!$B$5:$B$1733,0))</f>
        <v>FIN04</v>
      </c>
      <c r="I450" s="0" t="str">
        <f aca="false">INDEX(JE_Lines!$J$5:$J$1733,MATCH(A450,JE_Lines!$B$5:$B$1733,0))</f>
        <v>Manual</v>
      </c>
      <c r="J450" s="0" t="str">
        <f aca="false">IF(LEN(INDEX(JE_Lines!$K$5:$K$1733,MATCH(A450,JE_Lines!$B$5:$B$1733,0)))=0,"",INDEX(JE_Lines!$K$5:$K$1733,MATCH(A450,JE_Lines!$B$5:$B$1733,0)))</f>
        <v>Accrual for sundry costs</v>
      </c>
      <c r="K450" s="9" t="n">
        <f aca="false">F450-G450</f>
        <v>2</v>
      </c>
      <c r="L450" s="9" t="n">
        <f aca="false">COUNTIFS(JE_Lines!$B$5:$B$1733,A450,JE_Lines!$F$5:$F$1733,"Revenue")</f>
        <v>0</v>
      </c>
      <c r="M450" s="9" t="n">
        <f aca="false">COUNTIFS(JE_Lines!$B$5:$B$1733,A450,JE_Lines!$F$5:$F$1733,"Suspense")</f>
        <v>0</v>
      </c>
      <c r="N450" s="9" t="n">
        <f aca="false">IF(ABS(E450)&gt;Parameters!$B$23,1,0)</f>
        <v>0</v>
      </c>
      <c r="O450" s="9" t="n">
        <f aca="false">IF(WEEKDAY(F450,2)&gt;5,1,0)</f>
        <v>0</v>
      </c>
      <c r="P450" s="9" t="n">
        <f aca="false">IF(K450&gt;Parameters!$B$17,1,0)</f>
        <v>0</v>
      </c>
      <c r="Q450" s="9" t="n">
        <f aca="false">IF(AND(F450&lt;=Parameters!$B$6,F450&gt;Parameters!$B$6-Parameters!$B$18),1,0)</f>
        <v>0</v>
      </c>
      <c r="R450" s="9" t="n">
        <f aca="false">IF(COUNTIF(Parameters!$A$51:$A$58,H450)=0,1,0)</f>
        <v>0</v>
      </c>
      <c r="S450" s="9" t="n">
        <f aca="false">IF(AND(I450="Manual",L450&gt;0),1,0)</f>
        <v>0</v>
      </c>
      <c r="T450" s="9" t="n">
        <f aca="false">IF(AND(C450&gt;=Parameters!$B$22,ROUND(MOD(ROUND(C450,2),Parameters!$B$21),2)=0),1,0)</f>
        <v>0</v>
      </c>
      <c r="U450" s="9" t="n">
        <f aca="false">IF(LEN(TRIM(J450))=0,1,0)</f>
        <v>0</v>
      </c>
      <c r="V450" s="9" t="n">
        <f aca="false">IF(AND(I450="Manual",C450&lt;Parameters!$B$19,C450&gt;=Parameters!$B$19*(1-Parameters!$B$20)),1,0)</f>
        <v>0</v>
      </c>
      <c r="W450" s="9" t="n">
        <f aca="false">IF(AND(I450="Manual",M450&gt;0),1,0)</f>
        <v>0</v>
      </c>
      <c r="X450" s="9" t="n">
        <f aca="false">IF(A450-A449&gt;1,1,0)</f>
        <v>0</v>
      </c>
      <c r="Y450" s="9" t="n">
        <f aca="false">N450*Parameters!$B$38+O450*Parameters!$B$39+P450*Parameters!$B$40+Q450*Parameters!$B$41+R450*Parameters!$B$42+S450*Parameters!$B$43+T450*Parameters!$B$44+U450*Parameters!$B$45+V450*Parameters!$B$46+W450*Parameters!$B$47+X450*Parameters!$B$48</f>
        <v>0</v>
      </c>
      <c r="Z450" s="0" t="str">
        <f aca="false">IF(Y450&gt;=Parameters!$B$25,"High","")</f>
        <v/>
      </c>
    </row>
    <row r="451" customFormat="false" ht="15" hidden="false" customHeight="false" outlineLevel="0" collapsed="false">
      <c r="A451" s="16" t="n">
        <v>1455</v>
      </c>
      <c r="B451" s="9" t="n">
        <f aca="false">COUNTIF(JE_Lines!$B$5:$B$1733,A451)</f>
        <v>2</v>
      </c>
      <c r="C451" s="17" t="n">
        <f aca="false">SUMIFS(JE_Lines!$G$5:$G$1733,JE_Lines!$B$5:$B$1733,A451)</f>
        <v>2578.22</v>
      </c>
      <c r="D451" s="17" t="n">
        <f aca="false">SUMIFS(JE_Lines!$H$5:$H$1733,JE_Lines!$B$5:$B$1733,A451)</f>
        <v>2578.22</v>
      </c>
      <c r="E451" s="17" t="n">
        <f aca="false">C451-D451</f>
        <v>0</v>
      </c>
      <c r="F451" s="18" t="n">
        <f aca="false">INDEX(JE_Lines!$C$5:$C$1733,MATCH(A451,JE_Lines!$B$5:$B$1733,0))</f>
        <v>45854</v>
      </c>
      <c r="G451" s="18" t="n">
        <f aca="false">INDEX(JE_Lines!$D$5:$D$1733,MATCH(A451,JE_Lines!$B$5:$B$1733,0))</f>
        <v>45851</v>
      </c>
      <c r="H451" s="0" t="str">
        <f aca="false">INDEX(JE_Lines!$I$5:$I$1733,MATCH(A451,JE_Lines!$B$5:$B$1733,0))</f>
        <v>SYS_AP</v>
      </c>
      <c r="I451" s="0" t="str">
        <f aca="false">INDEX(JE_Lines!$J$5:$J$1733,MATCH(A451,JE_Lines!$B$5:$B$1733,0))</f>
        <v>System</v>
      </c>
      <c r="J451" s="0" t="str">
        <f aca="false">IF(LEN(INDEX(JE_Lines!$K$5:$K$1733,MATCH(A451,JE_Lines!$B$5:$B$1733,0)))=0,"",INDEX(JE_Lines!$K$5:$K$1733,MATCH(A451,JE_Lines!$B$5:$B$1733,0)))</f>
        <v>Supplier invoices</v>
      </c>
      <c r="K451" s="9" t="n">
        <f aca="false">F451-G451</f>
        <v>3</v>
      </c>
      <c r="L451" s="9" t="n">
        <f aca="false">COUNTIFS(JE_Lines!$B$5:$B$1733,A451,JE_Lines!$F$5:$F$1733,"Revenue")</f>
        <v>0</v>
      </c>
      <c r="M451" s="9" t="n">
        <f aca="false">COUNTIFS(JE_Lines!$B$5:$B$1733,A451,JE_Lines!$F$5:$F$1733,"Suspense")</f>
        <v>0</v>
      </c>
      <c r="N451" s="9" t="n">
        <f aca="false">IF(ABS(E451)&gt;Parameters!$B$23,1,0)</f>
        <v>0</v>
      </c>
      <c r="O451" s="9" t="n">
        <f aca="false">IF(WEEKDAY(F451,2)&gt;5,1,0)</f>
        <v>0</v>
      </c>
      <c r="P451" s="9" t="n">
        <f aca="false">IF(K451&gt;Parameters!$B$17,1,0)</f>
        <v>0</v>
      </c>
      <c r="Q451" s="9" t="n">
        <f aca="false">IF(AND(F451&lt;=Parameters!$B$6,F451&gt;Parameters!$B$6-Parameters!$B$18),1,0)</f>
        <v>0</v>
      </c>
      <c r="R451" s="9" t="n">
        <f aca="false">IF(COUNTIF(Parameters!$A$51:$A$58,H451)=0,1,0)</f>
        <v>0</v>
      </c>
      <c r="S451" s="9" t="n">
        <f aca="false">IF(AND(I451="Manual",L451&gt;0),1,0)</f>
        <v>0</v>
      </c>
      <c r="T451" s="9" t="n">
        <f aca="false">IF(AND(C451&gt;=Parameters!$B$22,ROUND(MOD(ROUND(C451,2),Parameters!$B$21),2)=0),1,0)</f>
        <v>0</v>
      </c>
      <c r="U451" s="9" t="n">
        <f aca="false">IF(LEN(TRIM(J451))=0,1,0)</f>
        <v>0</v>
      </c>
      <c r="V451" s="9" t="n">
        <f aca="false">IF(AND(I451="Manual",C451&lt;Parameters!$B$19,C451&gt;=Parameters!$B$19*(1-Parameters!$B$20)),1,0)</f>
        <v>0</v>
      </c>
      <c r="W451" s="9" t="n">
        <f aca="false">IF(AND(I451="Manual",M451&gt;0),1,0)</f>
        <v>0</v>
      </c>
      <c r="X451" s="9" t="n">
        <f aca="false">IF(A451-A450&gt;1,1,0)</f>
        <v>0</v>
      </c>
      <c r="Y451" s="9" t="n">
        <f aca="false">N451*Parameters!$B$38+O451*Parameters!$B$39+P451*Parameters!$B$40+Q451*Parameters!$B$41+R451*Parameters!$B$42+S451*Parameters!$B$43+T451*Parameters!$B$44+U451*Parameters!$B$45+V451*Parameters!$B$46+W451*Parameters!$B$47+X451*Parameters!$B$48</f>
        <v>0</v>
      </c>
      <c r="Z451" s="0" t="str">
        <f aca="false">IF(Y451&gt;=Parameters!$B$25,"High","")</f>
        <v/>
      </c>
    </row>
    <row r="452" customFormat="false" ht="15" hidden="false" customHeight="false" outlineLevel="0" collapsed="false">
      <c r="A452" s="16" t="n">
        <v>1456</v>
      </c>
      <c r="B452" s="9" t="n">
        <f aca="false">COUNTIF(JE_Lines!$B$5:$B$1733,A452)</f>
        <v>2</v>
      </c>
      <c r="C452" s="17" t="n">
        <f aca="false">SUMIFS(JE_Lines!$G$5:$G$1733,JE_Lines!$B$5:$B$1733,A452)</f>
        <v>1390.23</v>
      </c>
      <c r="D452" s="17" t="n">
        <f aca="false">SUMIFS(JE_Lines!$H$5:$H$1733,JE_Lines!$B$5:$B$1733,A452)</f>
        <v>1390.23</v>
      </c>
      <c r="E452" s="17" t="n">
        <f aca="false">C452-D452</f>
        <v>0</v>
      </c>
      <c r="F452" s="18" t="n">
        <f aca="false">INDEX(JE_Lines!$C$5:$C$1733,MATCH(A452,JE_Lines!$B$5:$B$1733,0))</f>
        <v>45855</v>
      </c>
      <c r="G452" s="18" t="n">
        <f aca="false">INDEX(JE_Lines!$D$5:$D$1733,MATCH(A452,JE_Lines!$B$5:$B$1733,0))</f>
        <v>45852</v>
      </c>
      <c r="H452" s="0" t="str">
        <f aca="false">INDEX(JE_Lines!$I$5:$I$1733,MATCH(A452,JE_Lines!$B$5:$B$1733,0))</f>
        <v>SYS_AR</v>
      </c>
      <c r="I452" s="0" t="str">
        <f aca="false">INDEX(JE_Lines!$J$5:$J$1733,MATCH(A452,JE_Lines!$B$5:$B$1733,0))</f>
        <v>System</v>
      </c>
      <c r="J452" s="0" t="str">
        <f aca="false">IF(LEN(INDEX(JE_Lines!$K$5:$K$1733,MATCH(A452,JE_Lines!$B$5:$B$1733,0)))=0,"",INDEX(JE_Lines!$K$5:$K$1733,MATCH(A452,JE_Lines!$B$5:$B$1733,0)))</f>
        <v>Customer receipts</v>
      </c>
      <c r="K452" s="9" t="n">
        <f aca="false">F452-G452</f>
        <v>3</v>
      </c>
      <c r="L452" s="9" t="n">
        <f aca="false">COUNTIFS(JE_Lines!$B$5:$B$1733,A452,JE_Lines!$F$5:$F$1733,"Revenue")</f>
        <v>0</v>
      </c>
      <c r="M452" s="9" t="n">
        <f aca="false">COUNTIFS(JE_Lines!$B$5:$B$1733,A452,JE_Lines!$F$5:$F$1733,"Suspense")</f>
        <v>0</v>
      </c>
      <c r="N452" s="9" t="n">
        <f aca="false">IF(ABS(E452)&gt;Parameters!$B$23,1,0)</f>
        <v>0</v>
      </c>
      <c r="O452" s="9" t="n">
        <f aca="false">IF(WEEKDAY(F452,2)&gt;5,1,0)</f>
        <v>0</v>
      </c>
      <c r="P452" s="9" t="n">
        <f aca="false">IF(K452&gt;Parameters!$B$17,1,0)</f>
        <v>0</v>
      </c>
      <c r="Q452" s="9" t="n">
        <f aca="false">IF(AND(F452&lt;=Parameters!$B$6,F452&gt;Parameters!$B$6-Parameters!$B$18),1,0)</f>
        <v>0</v>
      </c>
      <c r="R452" s="9" t="n">
        <f aca="false">IF(COUNTIF(Parameters!$A$51:$A$58,H452)=0,1,0)</f>
        <v>0</v>
      </c>
      <c r="S452" s="9" t="n">
        <f aca="false">IF(AND(I452="Manual",L452&gt;0),1,0)</f>
        <v>0</v>
      </c>
      <c r="T452" s="9" t="n">
        <f aca="false">IF(AND(C452&gt;=Parameters!$B$22,ROUND(MOD(ROUND(C452,2),Parameters!$B$21),2)=0),1,0)</f>
        <v>0</v>
      </c>
      <c r="U452" s="9" t="n">
        <f aca="false">IF(LEN(TRIM(J452))=0,1,0)</f>
        <v>0</v>
      </c>
      <c r="V452" s="9" t="n">
        <f aca="false">IF(AND(I452="Manual",C452&lt;Parameters!$B$19,C452&gt;=Parameters!$B$19*(1-Parameters!$B$20)),1,0)</f>
        <v>0</v>
      </c>
      <c r="W452" s="9" t="n">
        <f aca="false">IF(AND(I452="Manual",M452&gt;0),1,0)</f>
        <v>0</v>
      </c>
      <c r="X452" s="9" t="n">
        <f aca="false">IF(A452-A451&gt;1,1,0)</f>
        <v>0</v>
      </c>
      <c r="Y452" s="9" t="n">
        <f aca="false">N452*Parameters!$B$38+O452*Parameters!$B$39+P452*Parameters!$B$40+Q452*Parameters!$B$41+R452*Parameters!$B$42+S452*Parameters!$B$43+T452*Parameters!$B$44+U452*Parameters!$B$45+V452*Parameters!$B$46+W452*Parameters!$B$47+X452*Parameters!$B$48</f>
        <v>0</v>
      </c>
      <c r="Z452" s="0" t="str">
        <f aca="false">IF(Y452&gt;=Parameters!$B$25,"High","")</f>
        <v/>
      </c>
    </row>
    <row r="453" customFormat="false" ht="15" hidden="false" customHeight="false" outlineLevel="0" collapsed="false">
      <c r="A453" s="16" t="n">
        <v>1457</v>
      </c>
      <c r="B453" s="9" t="n">
        <f aca="false">COUNTIF(JE_Lines!$B$5:$B$1733,A453)</f>
        <v>2</v>
      </c>
      <c r="C453" s="17" t="n">
        <f aca="false">SUMIFS(JE_Lines!$G$5:$G$1733,JE_Lines!$B$5:$B$1733,A453)</f>
        <v>15034.41</v>
      </c>
      <c r="D453" s="17" t="n">
        <f aca="false">SUMIFS(JE_Lines!$H$5:$H$1733,JE_Lines!$B$5:$B$1733,A453)</f>
        <v>15034.41</v>
      </c>
      <c r="E453" s="17" t="n">
        <f aca="false">C453-D453</f>
        <v>0</v>
      </c>
      <c r="F453" s="18" t="n">
        <f aca="false">INDEX(JE_Lines!$C$5:$C$1733,MATCH(A453,JE_Lines!$B$5:$B$1733,0))</f>
        <v>45855</v>
      </c>
      <c r="G453" s="18" t="n">
        <f aca="false">INDEX(JE_Lines!$D$5:$D$1733,MATCH(A453,JE_Lines!$B$5:$B$1733,0))</f>
        <v>45854</v>
      </c>
      <c r="H453" s="0" t="str">
        <f aca="false">INDEX(JE_Lines!$I$5:$I$1733,MATCH(A453,JE_Lines!$B$5:$B$1733,0))</f>
        <v>SYS_AP</v>
      </c>
      <c r="I453" s="0" t="str">
        <f aca="false">INDEX(JE_Lines!$J$5:$J$1733,MATCH(A453,JE_Lines!$B$5:$B$1733,0))</f>
        <v>System</v>
      </c>
      <c r="J453" s="0" t="str">
        <f aca="false">IF(LEN(INDEX(JE_Lines!$K$5:$K$1733,MATCH(A453,JE_Lines!$B$5:$B$1733,0)))=0,"",INDEX(JE_Lines!$K$5:$K$1733,MATCH(A453,JE_Lines!$B$5:$B$1733,0)))</f>
        <v>Utilities invoices</v>
      </c>
      <c r="K453" s="9" t="n">
        <f aca="false">F453-G453</f>
        <v>1</v>
      </c>
      <c r="L453" s="9" t="n">
        <f aca="false">COUNTIFS(JE_Lines!$B$5:$B$1733,A453,JE_Lines!$F$5:$F$1733,"Revenue")</f>
        <v>0</v>
      </c>
      <c r="M453" s="9" t="n">
        <f aca="false">COUNTIFS(JE_Lines!$B$5:$B$1733,A453,JE_Lines!$F$5:$F$1733,"Suspense")</f>
        <v>0</v>
      </c>
      <c r="N453" s="9" t="n">
        <f aca="false">IF(ABS(E453)&gt;Parameters!$B$23,1,0)</f>
        <v>0</v>
      </c>
      <c r="O453" s="9" t="n">
        <f aca="false">IF(WEEKDAY(F453,2)&gt;5,1,0)</f>
        <v>0</v>
      </c>
      <c r="P453" s="9" t="n">
        <f aca="false">IF(K453&gt;Parameters!$B$17,1,0)</f>
        <v>0</v>
      </c>
      <c r="Q453" s="9" t="n">
        <f aca="false">IF(AND(F453&lt;=Parameters!$B$6,F453&gt;Parameters!$B$6-Parameters!$B$18),1,0)</f>
        <v>0</v>
      </c>
      <c r="R453" s="9" t="n">
        <f aca="false">IF(COUNTIF(Parameters!$A$51:$A$58,H453)=0,1,0)</f>
        <v>0</v>
      </c>
      <c r="S453" s="9" t="n">
        <f aca="false">IF(AND(I453="Manual",L453&gt;0),1,0)</f>
        <v>0</v>
      </c>
      <c r="T453" s="9" t="n">
        <f aca="false">IF(AND(C453&gt;=Parameters!$B$22,ROUND(MOD(ROUND(C453,2),Parameters!$B$21),2)=0),1,0)</f>
        <v>0</v>
      </c>
      <c r="U453" s="9" t="n">
        <f aca="false">IF(LEN(TRIM(J453))=0,1,0)</f>
        <v>0</v>
      </c>
      <c r="V453" s="9" t="n">
        <f aca="false">IF(AND(I453="Manual",C453&lt;Parameters!$B$19,C453&gt;=Parameters!$B$19*(1-Parameters!$B$20)),1,0)</f>
        <v>0</v>
      </c>
      <c r="W453" s="9" t="n">
        <f aca="false">IF(AND(I453="Manual",M453&gt;0),1,0)</f>
        <v>0</v>
      </c>
      <c r="X453" s="9" t="n">
        <f aca="false">IF(A453-A452&gt;1,1,0)</f>
        <v>0</v>
      </c>
      <c r="Y453" s="9" t="n">
        <f aca="false">N453*Parameters!$B$38+O453*Parameters!$B$39+P453*Parameters!$B$40+Q453*Parameters!$B$41+R453*Parameters!$B$42+S453*Parameters!$B$43+T453*Parameters!$B$44+U453*Parameters!$B$45+V453*Parameters!$B$46+W453*Parameters!$B$47+X453*Parameters!$B$48</f>
        <v>0</v>
      </c>
      <c r="Z453" s="0" t="str">
        <f aca="false">IF(Y453&gt;=Parameters!$B$25,"High","")</f>
        <v/>
      </c>
    </row>
    <row r="454" customFormat="false" ht="15" hidden="false" customHeight="false" outlineLevel="0" collapsed="false">
      <c r="A454" s="16" t="n">
        <v>1458</v>
      </c>
      <c r="B454" s="9" t="n">
        <f aca="false">COUNTIF(JE_Lines!$B$5:$B$1733,A454)</f>
        <v>3</v>
      </c>
      <c r="C454" s="17" t="n">
        <f aca="false">SUMIFS(JE_Lines!$G$5:$G$1733,JE_Lines!$B$5:$B$1733,A454)</f>
        <v>45472.56</v>
      </c>
      <c r="D454" s="17" t="n">
        <f aca="false">SUMIFS(JE_Lines!$H$5:$H$1733,JE_Lines!$B$5:$B$1733,A454)</f>
        <v>45472.56</v>
      </c>
      <c r="E454" s="17" t="n">
        <f aca="false">C454-D454</f>
        <v>0</v>
      </c>
      <c r="F454" s="18" t="n">
        <f aca="false">INDEX(JE_Lines!$C$5:$C$1733,MATCH(A454,JE_Lines!$B$5:$B$1733,0))</f>
        <v>45856</v>
      </c>
      <c r="G454" s="18" t="n">
        <f aca="false">INDEX(JE_Lines!$D$5:$D$1733,MATCH(A454,JE_Lines!$B$5:$B$1733,0))</f>
        <v>45853</v>
      </c>
      <c r="H454" s="0" t="str">
        <f aca="false">INDEX(JE_Lines!$I$5:$I$1733,MATCH(A454,JE_Lines!$B$5:$B$1733,0))</f>
        <v>SYS_AP</v>
      </c>
      <c r="I454" s="0" t="str">
        <f aca="false">INDEX(JE_Lines!$J$5:$J$1733,MATCH(A454,JE_Lines!$B$5:$B$1733,0))</f>
        <v>System</v>
      </c>
      <c r="J454" s="0" t="str">
        <f aca="false">IF(LEN(INDEX(JE_Lines!$K$5:$K$1733,MATCH(A454,JE_Lines!$B$5:$B$1733,0)))=0,"",INDEX(JE_Lines!$K$5:$K$1733,MATCH(A454,JE_Lines!$B$5:$B$1733,0)))</f>
        <v>Supplier invoices</v>
      </c>
      <c r="K454" s="9" t="n">
        <f aca="false">F454-G454</f>
        <v>3</v>
      </c>
      <c r="L454" s="9" t="n">
        <f aca="false">COUNTIFS(JE_Lines!$B$5:$B$1733,A454,JE_Lines!$F$5:$F$1733,"Revenue")</f>
        <v>0</v>
      </c>
      <c r="M454" s="9" t="n">
        <f aca="false">COUNTIFS(JE_Lines!$B$5:$B$1733,A454,JE_Lines!$F$5:$F$1733,"Suspense")</f>
        <v>0</v>
      </c>
      <c r="N454" s="9" t="n">
        <f aca="false">IF(ABS(E454)&gt;Parameters!$B$23,1,0)</f>
        <v>0</v>
      </c>
      <c r="O454" s="9" t="n">
        <f aca="false">IF(WEEKDAY(F454,2)&gt;5,1,0)</f>
        <v>0</v>
      </c>
      <c r="P454" s="9" t="n">
        <f aca="false">IF(K454&gt;Parameters!$B$17,1,0)</f>
        <v>0</v>
      </c>
      <c r="Q454" s="9" t="n">
        <f aca="false">IF(AND(F454&lt;=Parameters!$B$6,F454&gt;Parameters!$B$6-Parameters!$B$18),1,0)</f>
        <v>0</v>
      </c>
      <c r="R454" s="9" t="n">
        <f aca="false">IF(COUNTIF(Parameters!$A$51:$A$58,H454)=0,1,0)</f>
        <v>0</v>
      </c>
      <c r="S454" s="9" t="n">
        <f aca="false">IF(AND(I454="Manual",L454&gt;0),1,0)</f>
        <v>0</v>
      </c>
      <c r="T454" s="9" t="n">
        <f aca="false">IF(AND(C454&gt;=Parameters!$B$22,ROUND(MOD(ROUND(C454,2),Parameters!$B$21),2)=0),1,0)</f>
        <v>0</v>
      </c>
      <c r="U454" s="9" t="n">
        <f aca="false">IF(LEN(TRIM(J454))=0,1,0)</f>
        <v>0</v>
      </c>
      <c r="V454" s="9" t="n">
        <f aca="false">IF(AND(I454="Manual",C454&lt;Parameters!$B$19,C454&gt;=Parameters!$B$19*(1-Parameters!$B$20)),1,0)</f>
        <v>0</v>
      </c>
      <c r="W454" s="9" t="n">
        <f aca="false">IF(AND(I454="Manual",M454&gt;0),1,0)</f>
        <v>0</v>
      </c>
      <c r="X454" s="9" t="n">
        <f aca="false">IF(A454-A453&gt;1,1,0)</f>
        <v>0</v>
      </c>
      <c r="Y454" s="9" t="n">
        <f aca="false">N454*Parameters!$B$38+O454*Parameters!$B$39+P454*Parameters!$B$40+Q454*Parameters!$B$41+R454*Parameters!$B$42+S454*Parameters!$B$43+T454*Parameters!$B$44+U454*Parameters!$B$45+V454*Parameters!$B$46+W454*Parameters!$B$47+X454*Parameters!$B$48</f>
        <v>0</v>
      </c>
      <c r="Z454" s="0" t="str">
        <f aca="false">IF(Y454&gt;=Parameters!$B$25,"High","")</f>
        <v/>
      </c>
    </row>
    <row r="455" customFormat="false" ht="15" hidden="false" customHeight="false" outlineLevel="0" collapsed="false">
      <c r="A455" s="16" t="n">
        <v>1459</v>
      </c>
      <c r="B455" s="9" t="n">
        <f aca="false">COUNTIF(JE_Lines!$B$5:$B$1733,A455)</f>
        <v>2</v>
      </c>
      <c r="C455" s="17" t="n">
        <f aca="false">SUMIFS(JE_Lines!$G$5:$G$1733,JE_Lines!$B$5:$B$1733,A455)</f>
        <v>216.96</v>
      </c>
      <c r="D455" s="17" t="n">
        <f aca="false">SUMIFS(JE_Lines!$H$5:$H$1733,JE_Lines!$B$5:$B$1733,A455)</f>
        <v>216.96</v>
      </c>
      <c r="E455" s="17" t="n">
        <f aca="false">C455-D455</f>
        <v>0</v>
      </c>
      <c r="F455" s="18" t="n">
        <f aca="false">INDEX(JE_Lines!$C$5:$C$1733,MATCH(A455,JE_Lines!$B$5:$B$1733,0))</f>
        <v>45856</v>
      </c>
      <c r="G455" s="18" t="n">
        <f aca="false">INDEX(JE_Lines!$D$5:$D$1733,MATCH(A455,JE_Lines!$B$5:$B$1733,0))</f>
        <v>45852</v>
      </c>
      <c r="H455" s="0" t="str">
        <f aca="false">INDEX(JE_Lines!$I$5:$I$1733,MATCH(A455,JE_Lines!$B$5:$B$1733,0))</f>
        <v>SYS_AR</v>
      </c>
      <c r="I455" s="0" t="str">
        <f aca="false">INDEX(JE_Lines!$J$5:$J$1733,MATCH(A455,JE_Lines!$B$5:$B$1733,0))</f>
        <v>System</v>
      </c>
      <c r="J455" s="0" t="str">
        <f aca="false">IF(LEN(INDEX(JE_Lines!$K$5:$K$1733,MATCH(A455,JE_Lines!$B$5:$B$1733,0)))=0,"",INDEX(JE_Lines!$K$5:$K$1733,MATCH(A455,JE_Lines!$B$5:$B$1733,0)))</f>
        <v>Sales invoice batch</v>
      </c>
      <c r="K455" s="9" t="n">
        <f aca="false">F455-G455</f>
        <v>4</v>
      </c>
      <c r="L455" s="9" t="n">
        <f aca="false">COUNTIFS(JE_Lines!$B$5:$B$1733,A455,JE_Lines!$F$5:$F$1733,"Revenue")</f>
        <v>1</v>
      </c>
      <c r="M455" s="9" t="n">
        <f aca="false">COUNTIFS(JE_Lines!$B$5:$B$1733,A455,JE_Lines!$F$5:$F$1733,"Suspense")</f>
        <v>0</v>
      </c>
      <c r="N455" s="9" t="n">
        <f aca="false">IF(ABS(E455)&gt;Parameters!$B$23,1,0)</f>
        <v>0</v>
      </c>
      <c r="O455" s="9" t="n">
        <f aca="false">IF(WEEKDAY(F455,2)&gt;5,1,0)</f>
        <v>0</v>
      </c>
      <c r="P455" s="9" t="n">
        <f aca="false">IF(K455&gt;Parameters!$B$17,1,0)</f>
        <v>0</v>
      </c>
      <c r="Q455" s="9" t="n">
        <f aca="false">IF(AND(F455&lt;=Parameters!$B$6,F455&gt;Parameters!$B$6-Parameters!$B$18),1,0)</f>
        <v>0</v>
      </c>
      <c r="R455" s="9" t="n">
        <f aca="false">IF(COUNTIF(Parameters!$A$51:$A$58,H455)=0,1,0)</f>
        <v>0</v>
      </c>
      <c r="S455" s="9" t="n">
        <f aca="false">IF(AND(I455="Manual",L455&gt;0),1,0)</f>
        <v>0</v>
      </c>
      <c r="T455" s="9" t="n">
        <f aca="false">IF(AND(C455&gt;=Parameters!$B$22,ROUND(MOD(ROUND(C455,2),Parameters!$B$21),2)=0),1,0)</f>
        <v>0</v>
      </c>
      <c r="U455" s="9" t="n">
        <f aca="false">IF(LEN(TRIM(J455))=0,1,0)</f>
        <v>0</v>
      </c>
      <c r="V455" s="9" t="n">
        <f aca="false">IF(AND(I455="Manual",C455&lt;Parameters!$B$19,C455&gt;=Parameters!$B$19*(1-Parameters!$B$20)),1,0)</f>
        <v>0</v>
      </c>
      <c r="W455" s="9" t="n">
        <f aca="false">IF(AND(I455="Manual",M455&gt;0),1,0)</f>
        <v>0</v>
      </c>
      <c r="X455" s="9" t="n">
        <f aca="false">IF(A455-A454&gt;1,1,0)</f>
        <v>0</v>
      </c>
      <c r="Y455" s="9" t="n">
        <f aca="false">N455*Parameters!$B$38+O455*Parameters!$B$39+P455*Parameters!$B$40+Q455*Parameters!$B$41+R455*Parameters!$B$42+S455*Parameters!$B$43+T455*Parameters!$B$44+U455*Parameters!$B$45+V455*Parameters!$B$46+W455*Parameters!$B$47+X455*Parameters!$B$48</f>
        <v>0</v>
      </c>
      <c r="Z455" s="0" t="str">
        <f aca="false">IF(Y455&gt;=Parameters!$B$25,"High","")</f>
        <v/>
      </c>
    </row>
    <row r="456" customFormat="false" ht="15" hidden="false" customHeight="false" outlineLevel="0" collapsed="false">
      <c r="A456" s="16" t="n">
        <v>1460</v>
      </c>
      <c r="B456" s="9" t="n">
        <f aca="false">COUNTIF(JE_Lines!$B$5:$B$1733,A456)</f>
        <v>3</v>
      </c>
      <c r="C456" s="17" t="n">
        <f aca="false">SUMIFS(JE_Lines!$G$5:$G$1733,JE_Lines!$B$5:$B$1733,A456)</f>
        <v>1610.44</v>
      </c>
      <c r="D456" s="17" t="n">
        <f aca="false">SUMIFS(JE_Lines!$H$5:$H$1733,JE_Lines!$B$5:$B$1733,A456)</f>
        <v>1610.44</v>
      </c>
      <c r="E456" s="17" t="n">
        <f aca="false">C456-D456</f>
        <v>0</v>
      </c>
      <c r="F456" s="18" t="n">
        <f aca="false">INDEX(JE_Lines!$C$5:$C$1733,MATCH(A456,JE_Lines!$B$5:$B$1733,0))</f>
        <v>45856</v>
      </c>
      <c r="G456" s="18" t="n">
        <f aca="false">INDEX(JE_Lines!$D$5:$D$1733,MATCH(A456,JE_Lines!$B$5:$B$1733,0))</f>
        <v>45854</v>
      </c>
      <c r="H456" s="0" t="str">
        <f aca="false">INDEX(JE_Lines!$I$5:$I$1733,MATCH(A456,JE_Lines!$B$5:$B$1733,0))</f>
        <v>SYS_AR</v>
      </c>
      <c r="I456" s="0" t="str">
        <f aca="false">INDEX(JE_Lines!$J$5:$J$1733,MATCH(A456,JE_Lines!$B$5:$B$1733,0))</f>
        <v>System</v>
      </c>
      <c r="J456" s="0" t="str">
        <f aca="false">IF(LEN(INDEX(JE_Lines!$K$5:$K$1733,MATCH(A456,JE_Lines!$B$5:$B$1733,0)))=0,"",INDEX(JE_Lines!$K$5:$K$1733,MATCH(A456,JE_Lines!$B$5:$B$1733,0)))</f>
        <v>Customer receipts</v>
      </c>
      <c r="K456" s="9" t="n">
        <f aca="false">F456-G456</f>
        <v>2</v>
      </c>
      <c r="L456" s="9" t="n">
        <f aca="false">COUNTIFS(JE_Lines!$B$5:$B$1733,A456,JE_Lines!$F$5:$F$1733,"Revenue")</f>
        <v>0</v>
      </c>
      <c r="M456" s="9" t="n">
        <f aca="false">COUNTIFS(JE_Lines!$B$5:$B$1733,A456,JE_Lines!$F$5:$F$1733,"Suspense")</f>
        <v>0</v>
      </c>
      <c r="N456" s="9" t="n">
        <f aca="false">IF(ABS(E456)&gt;Parameters!$B$23,1,0)</f>
        <v>0</v>
      </c>
      <c r="O456" s="9" t="n">
        <f aca="false">IF(WEEKDAY(F456,2)&gt;5,1,0)</f>
        <v>0</v>
      </c>
      <c r="P456" s="9" t="n">
        <f aca="false">IF(K456&gt;Parameters!$B$17,1,0)</f>
        <v>0</v>
      </c>
      <c r="Q456" s="9" t="n">
        <f aca="false">IF(AND(F456&lt;=Parameters!$B$6,F456&gt;Parameters!$B$6-Parameters!$B$18),1,0)</f>
        <v>0</v>
      </c>
      <c r="R456" s="9" t="n">
        <f aca="false">IF(COUNTIF(Parameters!$A$51:$A$58,H456)=0,1,0)</f>
        <v>0</v>
      </c>
      <c r="S456" s="9" t="n">
        <f aca="false">IF(AND(I456="Manual",L456&gt;0),1,0)</f>
        <v>0</v>
      </c>
      <c r="T456" s="9" t="n">
        <f aca="false">IF(AND(C456&gt;=Parameters!$B$22,ROUND(MOD(ROUND(C456,2),Parameters!$B$21),2)=0),1,0)</f>
        <v>0</v>
      </c>
      <c r="U456" s="9" t="n">
        <f aca="false">IF(LEN(TRIM(J456))=0,1,0)</f>
        <v>0</v>
      </c>
      <c r="V456" s="9" t="n">
        <f aca="false">IF(AND(I456="Manual",C456&lt;Parameters!$B$19,C456&gt;=Parameters!$B$19*(1-Parameters!$B$20)),1,0)</f>
        <v>0</v>
      </c>
      <c r="W456" s="9" t="n">
        <f aca="false">IF(AND(I456="Manual",M456&gt;0),1,0)</f>
        <v>0</v>
      </c>
      <c r="X456" s="9" t="n">
        <f aca="false">IF(A456-A455&gt;1,1,0)</f>
        <v>0</v>
      </c>
      <c r="Y456" s="9" t="n">
        <f aca="false">N456*Parameters!$B$38+O456*Parameters!$B$39+P456*Parameters!$B$40+Q456*Parameters!$B$41+R456*Parameters!$B$42+S456*Parameters!$B$43+T456*Parameters!$B$44+U456*Parameters!$B$45+V456*Parameters!$B$46+W456*Parameters!$B$47+X456*Parameters!$B$48</f>
        <v>0</v>
      </c>
      <c r="Z456" s="0" t="str">
        <f aca="false">IF(Y456&gt;=Parameters!$B$25,"High","")</f>
        <v/>
      </c>
    </row>
    <row r="457" customFormat="false" ht="15" hidden="false" customHeight="false" outlineLevel="0" collapsed="false">
      <c r="A457" s="16" t="n">
        <v>1461</v>
      </c>
      <c r="B457" s="9" t="n">
        <f aca="false">COUNTIF(JE_Lines!$B$5:$B$1733,A457)</f>
        <v>2</v>
      </c>
      <c r="C457" s="17" t="n">
        <f aca="false">SUMIFS(JE_Lines!$G$5:$G$1733,JE_Lines!$B$5:$B$1733,A457)</f>
        <v>142641.15</v>
      </c>
      <c r="D457" s="17" t="n">
        <f aca="false">SUMIFS(JE_Lines!$H$5:$H$1733,JE_Lines!$B$5:$B$1733,A457)</f>
        <v>142641.15</v>
      </c>
      <c r="E457" s="17" t="n">
        <f aca="false">C457-D457</f>
        <v>0</v>
      </c>
      <c r="F457" s="18" t="n">
        <f aca="false">INDEX(JE_Lines!$C$5:$C$1733,MATCH(A457,JE_Lines!$B$5:$B$1733,0))</f>
        <v>45856</v>
      </c>
      <c r="G457" s="18" t="n">
        <f aca="false">INDEX(JE_Lines!$D$5:$D$1733,MATCH(A457,JE_Lines!$B$5:$B$1733,0))</f>
        <v>45852</v>
      </c>
      <c r="H457" s="0" t="str">
        <f aca="false">INDEX(JE_Lines!$I$5:$I$1733,MATCH(A457,JE_Lines!$B$5:$B$1733,0))</f>
        <v>SYS_PAY</v>
      </c>
      <c r="I457" s="0" t="str">
        <f aca="false">INDEX(JE_Lines!$J$5:$J$1733,MATCH(A457,JE_Lines!$B$5:$B$1733,0))</f>
        <v>System</v>
      </c>
      <c r="J457" s="0" t="str">
        <f aca="false">IF(LEN(INDEX(JE_Lines!$K$5:$K$1733,MATCH(A457,JE_Lines!$B$5:$B$1733,0)))=0,"",INDEX(JE_Lines!$K$5:$K$1733,MATCH(A457,JE_Lines!$B$5:$B$1733,0)))</f>
        <v>Supplier payments</v>
      </c>
      <c r="K457" s="9" t="n">
        <f aca="false">F457-G457</f>
        <v>4</v>
      </c>
      <c r="L457" s="9" t="n">
        <f aca="false">COUNTIFS(JE_Lines!$B$5:$B$1733,A457,JE_Lines!$F$5:$F$1733,"Revenue")</f>
        <v>0</v>
      </c>
      <c r="M457" s="9" t="n">
        <f aca="false">COUNTIFS(JE_Lines!$B$5:$B$1733,A457,JE_Lines!$F$5:$F$1733,"Suspense")</f>
        <v>0</v>
      </c>
      <c r="N457" s="9" t="n">
        <f aca="false">IF(ABS(E457)&gt;Parameters!$B$23,1,0)</f>
        <v>0</v>
      </c>
      <c r="O457" s="9" t="n">
        <f aca="false">IF(WEEKDAY(F457,2)&gt;5,1,0)</f>
        <v>0</v>
      </c>
      <c r="P457" s="9" t="n">
        <f aca="false">IF(K457&gt;Parameters!$B$17,1,0)</f>
        <v>0</v>
      </c>
      <c r="Q457" s="9" t="n">
        <f aca="false">IF(AND(F457&lt;=Parameters!$B$6,F457&gt;Parameters!$B$6-Parameters!$B$18),1,0)</f>
        <v>0</v>
      </c>
      <c r="R457" s="9" t="n">
        <f aca="false">IF(COUNTIF(Parameters!$A$51:$A$58,H457)=0,1,0)</f>
        <v>0</v>
      </c>
      <c r="S457" s="9" t="n">
        <f aca="false">IF(AND(I457="Manual",L457&gt;0),1,0)</f>
        <v>0</v>
      </c>
      <c r="T457" s="9" t="n">
        <f aca="false">IF(AND(C457&gt;=Parameters!$B$22,ROUND(MOD(ROUND(C457,2),Parameters!$B$21),2)=0),1,0)</f>
        <v>0</v>
      </c>
      <c r="U457" s="9" t="n">
        <f aca="false">IF(LEN(TRIM(J457))=0,1,0)</f>
        <v>0</v>
      </c>
      <c r="V457" s="9" t="n">
        <f aca="false">IF(AND(I457="Manual",C457&lt;Parameters!$B$19,C457&gt;=Parameters!$B$19*(1-Parameters!$B$20)),1,0)</f>
        <v>0</v>
      </c>
      <c r="W457" s="9" t="n">
        <f aca="false">IF(AND(I457="Manual",M457&gt;0),1,0)</f>
        <v>0</v>
      </c>
      <c r="X457" s="9" t="n">
        <f aca="false">IF(A457-A456&gt;1,1,0)</f>
        <v>0</v>
      </c>
      <c r="Y457" s="9" t="n">
        <f aca="false">N457*Parameters!$B$38+O457*Parameters!$B$39+P457*Parameters!$B$40+Q457*Parameters!$B$41+R457*Parameters!$B$42+S457*Parameters!$B$43+T457*Parameters!$B$44+U457*Parameters!$B$45+V457*Parameters!$B$46+W457*Parameters!$B$47+X457*Parameters!$B$48</f>
        <v>0</v>
      </c>
      <c r="Z457" s="0" t="str">
        <f aca="false">IF(Y457&gt;=Parameters!$B$25,"High","")</f>
        <v/>
      </c>
    </row>
    <row r="458" customFormat="false" ht="15" hidden="false" customHeight="false" outlineLevel="0" collapsed="false">
      <c r="A458" s="16" t="n">
        <v>1462</v>
      </c>
      <c r="B458" s="9" t="n">
        <f aca="false">COUNTIF(JE_Lines!$B$5:$B$1733,A458)</f>
        <v>3</v>
      </c>
      <c r="C458" s="17" t="n">
        <f aca="false">SUMIFS(JE_Lines!$G$5:$G$1733,JE_Lines!$B$5:$B$1733,A458)</f>
        <v>1455.44</v>
      </c>
      <c r="D458" s="17" t="n">
        <f aca="false">SUMIFS(JE_Lines!$H$5:$H$1733,JE_Lines!$B$5:$B$1733,A458)</f>
        <v>1455.44</v>
      </c>
      <c r="E458" s="17" t="n">
        <f aca="false">C458-D458</f>
        <v>0</v>
      </c>
      <c r="F458" s="18" t="n">
        <f aca="false">INDEX(JE_Lines!$C$5:$C$1733,MATCH(A458,JE_Lines!$B$5:$B$1733,0))</f>
        <v>45856</v>
      </c>
      <c r="G458" s="18" t="n">
        <f aca="false">INDEX(JE_Lines!$D$5:$D$1733,MATCH(A458,JE_Lines!$B$5:$B$1733,0))</f>
        <v>45855</v>
      </c>
      <c r="H458" s="0" t="str">
        <f aca="false">INDEX(JE_Lines!$I$5:$I$1733,MATCH(A458,JE_Lines!$B$5:$B$1733,0))</f>
        <v>SYS_AR</v>
      </c>
      <c r="I458" s="0" t="str">
        <f aca="false">INDEX(JE_Lines!$J$5:$J$1733,MATCH(A458,JE_Lines!$B$5:$B$1733,0))</f>
        <v>System</v>
      </c>
      <c r="J458" s="0" t="str">
        <f aca="false">IF(LEN(INDEX(JE_Lines!$K$5:$K$1733,MATCH(A458,JE_Lines!$B$5:$B$1733,0)))=0,"",INDEX(JE_Lines!$K$5:$K$1733,MATCH(A458,JE_Lines!$B$5:$B$1733,0)))</f>
        <v>Cost of sales posting</v>
      </c>
      <c r="K458" s="9" t="n">
        <f aca="false">F458-G458</f>
        <v>1</v>
      </c>
      <c r="L458" s="9" t="n">
        <f aca="false">COUNTIFS(JE_Lines!$B$5:$B$1733,A458,JE_Lines!$F$5:$F$1733,"Revenue")</f>
        <v>0</v>
      </c>
      <c r="M458" s="9" t="n">
        <f aca="false">COUNTIFS(JE_Lines!$B$5:$B$1733,A458,JE_Lines!$F$5:$F$1733,"Suspense")</f>
        <v>0</v>
      </c>
      <c r="N458" s="9" t="n">
        <f aca="false">IF(ABS(E458)&gt;Parameters!$B$23,1,0)</f>
        <v>0</v>
      </c>
      <c r="O458" s="9" t="n">
        <f aca="false">IF(WEEKDAY(F458,2)&gt;5,1,0)</f>
        <v>0</v>
      </c>
      <c r="P458" s="9" t="n">
        <f aca="false">IF(K458&gt;Parameters!$B$17,1,0)</f>
        <v>0</v>
      </c>
      <c r="Q458" s="9" t="n">
        <f aca="false">IF(AND(F458&lt;=Parameters!$B$6,F458&gt;Parameters!$B$6-Parameters!$B$18),1,0)</f>
        <v>0</v>
      </c>
      <c r="R458" s="9" t="n">
        <f aca="false">IF(COUNTIF(Parameters!$A$51:$A$58,H458)=0,1,0)</f>
        <v>0</v>
      </c>
      <c r="S458" s="9" t="n">
        <f aca="false">IF(AND(I458="Manual",L458&gt;0),1,0)</f>
        <v>0</v>
      </c>
      <c r="T458" s="9" t="n">
        <f aca="false">IF(AND(C458&gt;=Parameters!$B$22,ROUND(MOD(ROUND(C458,2),Parameters!$B$21),2)=0),1,0)</f>
        <v>0</v>
      </c>
      <c r="U458" s="9" t="n">
        <f aca="false">IF(LEN(TRIM(J458))=0,1,0)</f>
        <v>0</v>
      </c>
      <c r="V458" s="9" t="n">
        <f aca="false">IF(AND(I458="Manual",C458&lt;Parameters!$B$19,C458&gt;=Parameters!$B$19*(1-Parameters!$B$20)),1,0)</f>
        <v>0</v>
      </c>
      <c r="W458" s="9" t="n">
        <f aca="false">IF(AND(I458="Manual",M458&gt;0),1,0)</f>
        <v>0</v>
      </c>
      <c r="X458" s="9" t="n">
        <f aca="false">IF(A458-A457&gt;1,1,0)</f>
        <v>0</v>
      </c>
      <c r="Y458" s="9" t="n">
        <f aca="false">N458*Parameters!$B$38+O458*Parameters!$B$39+P458*Parameters!$B$40+Q458*Parameters!$B$41+R458*Parameters!$B$42+S458*Parameters!$B$43+T458*Parameters!$B$44+U458*Parameters!$B$45+V458*Parameters!$B$46+W458*Parameters!$B$47+X458*Parameters!$B$48</f>
        <v>0</v>
      </c>
      <c r="Z458" s="0" t="str">
        <f aca="false">IF(Y458&gt;=Parameters!$B$25,"High","")</f>
        <v/>
      </c>
    </row>
    <row r="459" customFormat="false" ht="15" hidden="false" customHeight="false" outlineLevel="0" collapsed="false">
      <c r="A459" s="16" t="n">
        <v>1463</v>
      </c>
      <c r="B459" s="9" t="n">
        <f aca="false">COUNTIF(JE_Lines!$B$5:$B$1733,A459)</f>
        <v>2</v>
      </c>
      <c r="C459" s="17" t="n">
        <f aca="false">SUMIFS(JE_Lines!$G$5:$G$1733,JE_Lines!$B$5:$B$1733,A459)</f>
        <v>1002.64</v>
      </c>
      <c r="D459" s="17" t="n">
        <f aca="false">SUMIFS(JE_Lines!$H$5:$H$1733,JE_Lines!$B$5:$B$1733,A459)</f>
        <v>1002.64</v>
      </c>
      <c r="E459" s="17" t="n">
        <f aca="false">C459-D459</f>
        <v>0</v>
      </c>
      <c r="F459" s="18" t="n">
        <f aca="false">INDEX(JE_Lines!$C$5:$C$1733,MATCH(A459,JE_Lines!$B$5:$B$1733,0))</f>
        <v>45857</v>
      </c>
      <c r="G459" s="18" t="n">
        <f aca="false">INDEX(JE_Lines!$D$5:$D$1733,MATCH(A459,JE_Lines!$B$5:$B$1733,0))</f>
        <v>45853</v>
      </c>
      <c r="H459" s="0" t="str">
        <f aca="false">INDEX(JE_Lines!$I$5:$I$1733,MATCH(A459,JE_Lines!$B$5:$B$1733,0))</f>
        <v>SYS_AP</v>
      </c>
      <c r="I459" s="0" t="str">
        <f aca="false">INDEX(JE_Lines!$J$5:$J$1733,MATCH(A459,JE_Lines!$B$5:$B$1733,0))</f>
        <v>System</v>
      </c>
      <c r="J459" s="0" t="str">
        <f aca="false">IF(LEN(INDEX(JE_Lines!$K$5:$K$1733,MATCH(A459,JE_Lines!$B$5:$B$1733,0)))=0,"",INDEX(JE_Lines!$K$5:$K$1733,MATCH(A459,JE_Lines!$B$5:$B$1733,0)))</f>
        <v>Supplier invoices</v>
      </c>
      <c r="K459" s="9" t="n">
        <f aca="false">F459-G459</f>
        <v>4</v>
      </c>
      <c r="L459" s="9" t="n">
        <f aca="false">COUNTIFS(JE_Lines!$B$5:$B$1733,A459,JE_Lines!$F$5:$F$1733,"Revenue")</f>
        <v>0</v>
      </c>
      <c r="M459" s="9" t="n">
        <f aca="false">COUNTIFS(JE_Lines!$B$5:$B$1733,A459,JE_Lines!$F$5:$F$1733,"Suspense")</f>
        <v>0</v>
      </c>
      <c r="N459" s="9" t="n">
        <f aca="false">IF(ABS(E459)&gt;Parameters!$B$23,1,0)</f>
        <v>0</v>
      </c>
      <c r="O459" s="9" t="n">
        <f aca="false">IF(WEEKDAY(F459,2)&gt;5,1,0)</f>
        <v>1</v>
      </c>
      <c r="P459" s="9" t="n">
        <f aca="false">IF(K459&gt;Parameters!$B$17,1,0)</f>
        <v>0</v>
      </c>
      <c r="Q459" s="9" t="n">
        <f aca="false">IF(AND(F459&lt;=Parameters!$B$6,F459&gt;Parameters!$B$6-Parameters!$B$18),1,0)</f>
        <v>0</v>
      </c>
      <c r="R459" s="9" t="n">
        <f aca="false">IF(COUNTIF(Parameters!$A$51:$A$58,H459)=0,1,0)</f>
        <v>0</v>
      </c>
      <c r="S459" s="9" t="n">
        <f aca="false">IF(AND(I459="Manual",L459&gt;0),1,0)</f>
        <v>0</v>
      </c>
      <c r="T459" s="9" t="n">
        <f aca="false">IF(AND(C459&gt;=Parameters!$B$22,ROUND(MOD(ROUND(C459,2),Parameters!$B$21),2)=0),1,0)</f>
        <v>0</v>
      </c>
      <c r="U459" s="9" t="n">
        <f aca="false">IF(LEN(TRIM(J459))=0,1,0)</f>
        <v>0</v>
      </c>
      <c r="V459" s="9" t="n">
        <f aca="false">IF(AND(I459="Manual",C459&lt;Parameters!$B$19,C459&gt;=Parameters!$B$19*(1-Parameters!$B$20)),1,0)</f>
        <v>0</v>
      </c>
      <c r="W459" s="9" t="n">
        <f aca="false">IF(AND(I459="Manual",M459&gt;0),1,0)</f>
        <v>0</v>
      </c>
      <c r="X459" s="9" t="n">
        <f aca="false">IF(A459-A458&gt;1,1,0)</f>
        <v>0</v>
      </c>
      <c r="Y459" s="9" t="n">
        <f aca="false">N459*Parameters!$B$38+O459*Parameters!$B$39+P459*Parameters!$B$40+Q459*Parameters!$B$41+R459*Parameters!$B$42+S459*Parameters!$B$43+T459*Parameters!$B$44+U459*Parameters!$B$45+V459*Parameters!$B$46+W459*Parameters!$B$47+X459*Parameters!$B$48</f>
        <v>2</v>
      </c>
      <c r="Z459" s="0" t="str">
        <f aca="false">IF(Y459&gt;=Parameters!$B$25,"High","")</f>
        <v/>
      </c>
    </row>
    <row r="460" customFormat="false" ht="15" hidden="false" customHeight="false" outlineLevel="0" collapsed="false">
      <c r="A460" s="16" t="n">
        <v>1464</v>
      </c>
      <c r="B460" s="9" t="n">
        <f aca="false">COUNTIF(JE_Lines!$B$5:$B$1733,A460)</f>
        <v>2</v>
      </c>
      <c r="C460" s="17" t="n">
        <f aca="false">SUMIFS(JE_Lines!$G$5:$G$1733,JE_Lines!$B$5:$B$1733,A460)</f>
        <v>33161.32</v>
      </c>
      <c r="D460" s="17" t="n">
        <f aca="false">SUMIFS(JE_Lines!$H$5:$H$1733,JE_Lines!$B$5:$B$1733,A460)</f>
        <v>33085.82</v>
      </c>
      <c r="E460" s="17" t="n">
        <f aca="false">C460-D460</f>
        <v>75.5</v>
      </c>
      <c r="F460" s="18" t="n">
        <f aca="false">INDEX(JE_Lines!$C$5:$C$1733,MATCH(A460,JE_Lines!$B$5:$B$1733,0))</f>
        <v>45859</v>
      </c>
      <c r="G460" s="18" t="n">
        <f aca="false">INDEX(JE_Lines!$D$5:$D$1733,MATCH(A460,JE_Lines!$B$5:$B$1733,0))</f>
        <v>45859</v>
      </c>
      <c r="H460" s="0" t="str">
        <f aca="false">INDEX(JE_Lines!$I$5:$I$1733,MATCH(A460,JE_Lines!$B$5:$B$1733,0))</f>
        <v>FIN05</v>
      </c>
      <c r="I460" s="0" t="str">
        <f aca="false">INDEX(JE_Lines!$J$5:$J$1733,MATCH(A460,JE_Lines!$B$5:$B$1733,0))</f>
        <v>Manual</v>
      </c>
      <c r="J460" s="0" t="str">
        <f aca="false">IF(LEN(INDEX(JE_Lines!$K$5:$K$1733,MATCH(A460,JE_Lines!$B$5:$B$1733,0)))=0,"",INDEX(JE_Lines!$K$5:$K$1733,MATCH(A460,JE_Lines!$B$5:$B$1733,0)))</f>
        <v>Adjustment 3</v>
      </c>
      <c r="K460" s="9" t="n">
        <f aca="false">F460-G460</f>
        <v>0</v>
      </c>
      <c r="L460" s="9" t="n">
        <f aca="false">COUNTIFS(JE_Lines!$B$5:$B$1733,A460,JE_Lines!$F$5:$F$1733,"Revenue")</f>
        <v>0</v>
      </c>
      <c r="M460" s="9" t="n">
        <f aca="false">COUNTIFS(JE_Lines!$B$5:$B$1733,A460,JE_Lines!$F$5:$F$1733,"Suspense")</f>
        <v>0</v>
      </c>
      <c r="N460" s="9" t="n">
        <f aca="false">IF(ABS(E460)&gt;Parameters!$B$23,1,0)</f>
        <v>1</v>
      </c>
      <c r="O460" s="9" t="n">
        <f aca="false">IF(WEEKDAY(F460,2)&gt;5,1,0)</f>
        <v>0</v>
      </c>
      <c r="P460" s="9" t="n">
        <f aca="false">IF(K460&gt;Parameters!$B$17,1,0)</f>
        <v>0</v>
      </c>
      <c r="Q460" s="9" t="n">
        <f aca="false">IF(AND(F460&lt;=Parameters!$B$6,F460&gt;Parameters!$B$6-Parameters!$B$18),1,0)</f>
        <v>0</v>
      </c>
      <c r="R460" s="9" t="n">
        <f aca="false">IF(COUNTIF(Parameters!$A$51:$A$58,H460)=0,1,0)</f>
        <v>0</v>
      </c>
      <c r="S460" s="9" t="n">
        <f aca="false">IF(AND(I460="Manual",L460&gt;0),1,0)</f>
        <v>0</v>
      </c>
      <c r="T460" s="9" t="n">
        <f aca="false">IF(AND(C460&gt;=Parameters!$B$22,ROUND(MOD(ROUND(C460,2),Parameters!$B$21),2)=0),1,0)</f>
        <v>0</v>
      </c>
      <c r="U460" s="9" t="n">
        <f aca="false">IF(LEN(TRIM(J460))=0,1,0)</f>
        <v>0</v>
      </c>
      <c r="V460" s="9" t="n">
        <f aca="false">IF(AND(I460="Manual",C460&lt;Parameters!$B$19,C460&gt;=Parameters!$B$19*(1-Parameters!$B$20)),1,0)</f>
        <v>0</v>
      </c>
      <c r="W460" s="9" t="n">
        <f aca="false">IF(AND(I460="Manual",M460&gt;0),1,0)</f>
        <v>0</v>
      </c>
      <c r="X460" s="9" t="n">
        <f aca="false">IF(A460-A459&gt;1,1,0)</f>
        <v>0</v>
      </c>
      <c r="Y460" s="9" t="n">
        <f aca="false">N460*Parameters!$B$38+O460*Parameters!$B$39+P460*Parameters!$B$40+Q460*Parameters!$B$41+R460*Parameters!$B$42+S460*Parameters!$B$43+T460*Parameters!$B$44+U460*Parameters!$B$45+V460*Parameters!$B$46+W460*Parameters!$B$47+X460*Parameters!$B$48</f>
        <v>5</v>
      </c>
      <c r="Z460" s="0" t="str">
        <f aca="false">IF(Y460&gt;=Parameters!$B$25,"High","")</f>
        <v>High</v>
      </c>
    </row>
    <row r="461" customFormat="false" ht="15" hidden="false" customHeight="false" outlineLevel="0" collapsed="false">
      <c r="A461" s="16" t="n">
        <v>1465</v>
      </c>
      <c r="B461" s="9" t="n">
        <f aca="false">COUNTIF(JE_Lines!$B$5:$B$1733,A461)</f>
        <v>2</v>
      </c>
      <c r="C461" s="17" t="n">
        <f aca="false">SUMIFS(JE_Lines!$G$5:$G$1733,JE_Lines!$B$5:$B$1733,A461)</f>
        <v>16843.11</v>
      </c>
      <c r="D461" s="17" t="n">
        <f aca="false">SUMIFS(JE_Lines!$H$5:$H$1733,JE_Lines!$B$5:$B$1733,A461)</f>
        <v>16843.11</v>
      </c>
      <c r="E461" s="17" t="n">
        <f aca="false">C461-D461</f>
        <v>0</v>
      </c>
      <c r="F461" s="18" t="n">
        <f aca="false">INDEX(JE_Lines!$C$5:$C$1733,MATCH(A461,JE_Lines!$B$5:$B$1733,0))</f>
        <v>45859</v>
      </c>
      <c r="G461" s="18" t="n">
        <f aca="false">INDEX(JE_Lines!$D$5:$D$1733,MATCH(A461,JE_Lines!$B$5:$B$1733,0))</f>
        <v>45855</v>
      </c>
      <c r="H461" s="0" t="str">
        <f aca="false">INDEX(JE_Lines!$I$5:$I$1733,MATCH(A461,JE_Lines!$B$5:$B$1733,0))</f>
        <v>SYS_AR</v>
      </c>
      <c r="I461" s="0" t="str">
        <f aca="false">INDEX(JE_Lines!$J$5:$J$1733,MATCH(A461,JE_Lines!$B$5:$B$1733,0))</f>
        <v>System</v>
      </c>
      <c r="J461" s="0" t="str">
        <f aca="false">IF(LEN(INDEX(JE_Lines!$K$5:$K$1733,MATCH(A461,JE_Lines!$B$5:$B$1733,0)))=0,"",INDEX(JE_Lines!$K$5:$K$1733,MATCH(A461,JE_Lines!$B$5:$B$1733,0)))</f>
        <v>Customer receipts</v>
      </c>
      <c r="K461" s="9" t="n">
        <f aca="false">F461-G461</f>
        <v>4</v>
      </c>
      <c r="L461" s="9" t="n">
        <f aca="false">COUNTIFS(JE_Lines!$B$5:$B$1733,A461,JE_Lines!$F$5:$F$1733,"Revenue")</f>
        <v>0</v>
      </c>
      <c r="M461" s="9" t="n">
        <f aca="false">COUNTIFS(JE_Lines!$B$5:$B$1733,A461,JE_Lines!$F$5:$F$1733,"Suspense")</f>
        <v>0</v>
      </c>
      <c r="N461" s="9" t="n">
        <f aca="false">IF(ABS(E461)&gt;Parameters!$B$23,1,0)</f>
        <v>0</v>
      </c>
      <c r="O461" s="9" t="n">
        <f aca="false">IF(WEEKDAY(F461,2)&gt;5,1,0)</f>
        <v>0</v>
      </c>
      <c r="P461" s="9" t="n">
        <f aca="false">IF(K461&gt;Parameters!$B$17,1,0)</f>
        <v>0</v>
      </c>
      <c r="Q461" s="9" t="n">
        <f aca="false">IF(AND(F461&lt;=Parameters!$B$6,F461&gt;Parameters!$B$6-Parameters!$B$18),1,0)</f>
        <v>0</v>
      </c>
      <c r="R461" s="9" t="n">
        <f aca="false">IF(COUNTIF(Parameters!$A$51:$A$58,H461)=0,1,0)</f>
        <v>0</v>
      </c>
      <c r="S461" s="9" t="n">
        <f aca="false">IF(AND(I461="Manual",L461&gt;0),1,0)</f>
        <v>0</v>
      </c>
      <c r="T461" s="9" t="n">
        <f aca="false">IF(AND(C461&gt;=Parameters!$B$22,ROUND(MOD(ROUND(C461,2),Parameters!$B$21),2)=0),1,0)</f>
        <v>0</v>
      </c>
      <c r="U461" s="9" t="n">
        <f aca="false">IF(LEN(TRIM(J461))=0,1,0)</f>
        <v>0</v>
      </c>
      <c r="V461" s="9" t="n">
        <f aca="false">IF(AND(I461="Manual",C461&lt;Parameters!$B$19,C461&gt;=Parameters!$B$19*(1-Parameters!$B$20)),1,0)</f>
        <v>0</v>
      </c>
      <c r="W461" s="9" t="n">
        <f aca="false">IF(AND(I461="Manual",M461&gt;0),1,0)</f>
        <v>0</v>
      </c>
      <c r="X461" s="9" t="n">
        <f aca="false">IF(A461-A460&gt;1,1,0)</f>
        <v>0</v>
      </c>
      <c r="Y461" s="9" t="n">
        <f aca="false">N461*Parameters!$B$38+O461*Parameters!$B$39+P461*Parameters!$B$40+Q461*Parameters!$B$41+R461*Parameters!$B$42+S461*Parameters!$B$43+T461*Parameters!$B$44+U461*Parameters!$B$45+V461*Parameters!$B$46+W461*Parameters!$B$47+X461*Parameters!$B$48</f>
        <v>0</v>
      </c>
      <c r="Z461" s="0" t="str">
        <f aca="false">IF(Y461&gt;=Parameters!$B$25,"High","")</f>
        <v/>
      </c>
    </row>
    <row r="462" customFormat="false" ht="15" hidden="false" customHeight="false" outlineLevel="0" collapsed="false">
      <c r="A462" s="16" t="n">
        <v>1466</v>
      </c>
      <c r="B462" s="9" t="n">
        <f aca="false">COUNTIF(JE_Lines!$B$5:$B$1733,A462)</f>
        <v>2</v>
      </c>
      <c r="C462" s="17" t="n">
        <f aca="false">SUMIFS(JE_Lines!$G$5:$G$1733,JE_Lines!$B$5:$B$1733,A462)</f>
        <v>1818.45</v>
      </c>
      <c r="D462" s="17" t="n">
        <f aca="false">SUMIFS(JE_Lines!$H$5:$H$1733,JE_Lines!$B$5:$B$1733,A462)</f>
        <v>1818.45</v>
      </c>
      <c r="E462" s="17" t="n">
        <f aca="false">C462-D462</f>
        <v>0</v>
      </c>
      <c r="F462" s="18" t="n">
        <f aca="false">INDEX(JE_Lines!$C$5:$C$1733,MATCH(A462,JE_Lines!$B$5:$B$1733,0))</f>
        <v>45860</v>
      </c>
      <c r="G462" s="18" t="n">
        <f aca="false">INDEX(JE_Lines!$D$5:$D$1733,MATCH(A462,JE_Lines!$B$5:$B$1733,0))</f>
        <v>45860</v>
      </c>
      <c r="H462" s="0" t="str">
        <f aca="false">INDEX(JE_Lines!$I$5:$I$1733,MATCH(A462,JE_Lines!$B$5:$B$1733,0))</f>
        <v>SYS_PAY</v>
      </c>
      <c r="I462" s="0" t="str">
        <f aca="false">INDEX(JE_Lines!$J$5:$J$1733,MATCH(A462,JE_Lines!$B$5:$B$1733,0))</f>
        <v>System</v>
      </c>
      <c r="J462" s="0" t="str">
        <f aca="false">IF(LEN(INDEX(JE_Lines!$K$5:$K$1733,MATCH(A462,JE_Lines!$B$5:$B$1733,0)))=0,"",INDEX(JE_Lines!$K$5:$K$1733,MATCH(A462,JE_Lines!$B$5:$B$1733,0)))</f>
        <v>Supplier payments</v>
      </c>
      <c r="K462" s="9" t="n">
        <f aca="false">F462-G462</f>
        <v>0</v>
      </c>
      <c r="L462" s="9" t="n">
        <f aca="false">COUNTIFS(JE_Lines!$B$5:$B$1733,A462,JE_Lines!$F$5:$F$1733,"Revenue")</f>
        <v>0</v>
      </c>
      <c r="M462" s="9" t="n">
        <f aca="false">COUNTIFS(JE_Lines!$B$5:$B$1733,A462,JE_Lines!$F$5:$F$1733,"Suspense")</f>
        <v>0</v>
      </c>
      <c r="N462" s="9" t="n">
        <f aca="false">IF(ABS(E462)&gt;Parameters!$B$23,1,0)</f>
        <v>0</v>
      </c>
      <c r="O462" s="9" t="n">
        <f aca="false">IF(WEEKDAY(F462,2)&gt;5,1,0)</f>
        <v>0</v>
      </c>
      <c r="P462" s="9" t="n">
        <f aca="false">IF(K462&gt;Parameters!$B$17,1,0)</f>
        <v>0</v>
      </c>
      <c r="Q462" s="9" t="n">
        <f aca="false">IF(AND(F462&lt;=Parameters!$B$6,F462&gt;Parameters!$B$6-Parameters!$B$18),1,0)</f>
        <v>0</v>
      </c>
      <c r="R462" s="9" t="n">
        <f aca="false">IF(COUNTIF(Parameters!$A$51:$A$58,H462)=0,1,0)</f>
        <v>0</v>
      </c>
      <c r="S462" s="9" t="n">
        <f aca="false">IF(AND(I462="Manual",L462&gt;0),1,0)</f>
        <v>0</v>
      </c>
      <c r="T462" s="9" t="n">
        <f aca="false">IF(AND(C462&gt;=Parameters!$B$22,ROUND(MOD(ROUND(C462,2),Parameters!$B$21),2)=0),1,0)</f>
        <v>0</v>
      </c>
      <c r="U462" s="9" t="n">
        <f aca="false">IF(LEN(TRIM(J462))=0,1,0)</f>
        <v>0</v>
      </c>
      <c r="V462" s="9" t="n">
        <f aca="false">IF(AND(I462="Manual",C462&lt;Parameters!$B$19,C462&gt;=Parameters!$B$19*(1-Parameters!$B$20)),1,0)</f>
        <v>0</v>
      </c>
      <c r="W462" s="9" t="n">
        <f aca="false">IF(AND(I462="Manual",M462&gt;0),1,0)</f>
        <v>0</v>
      </c>
      <c r="X462" s="9" t="n">
        <f aca="false">IF(A462-A461&gt;1,1,0)</f>
        <v>0</v>
      </c>
      <c r="Y462" s="9" t="n">
        <f aca="false">N462*Parameters!$B$38+O462*Parameters!$B$39+P462*Parameters!$B$40+Q462*Parameters!$B$41+R462*Parameters!$B$42+S462*Parameters!$B$43+T462*Parameters!$B$44+U462*Parameters!$B$45+V462*Parameters!$B$46+W462*Parameters!$B$47+X462*Parameters!$B$48</f>
        <v>0</v>
      </c>
      <c r="Z462" s="0" t="str">
        <f aca="false">IF(Y462&gt;=Parameters!$B$25,"High","")</f>
        <v/>
      </c>
    </row>
    <row r="463" customFormat="false" ht="15" hidden="false" customHeight="false" outlineLevel="0" collapsed="false">
      <c r="A463" s="16" t="n">
        <v>1467</v>
      </c>
      <c r="B463" s="9" t="n">
        <f aca="false">COUNTIF(JE_Lines!$B$5:$B$1733,A463)</f>
        <v>2</v>
      </c>
      <c r="C463" s="17" t="n">
        <f aca="false">SUMIFS(JE_Lines!$G$5:$G$1733,JE_Lines!$B$5:$B$1733,A463)</f>
        <v>200.18</v>
      </c>
      <c r="D463" s="17" t="n">
        <f aca="false">SUMIFS(JE_Lines!$H$5:$H$1733,JE_Lines!$B$5:$B$1733,A463)</f>
        <v>200.18</v>
      </c>
      <c r="E463" s="17" t="n">
        <f aca="false">C463-D463</f>
        <v>0</v>
      </c>
      <c r="F463" s="18" t="n">
        <f aca="false">INDEX(JE_Lines!$C$5:$C$1733,MATCH(A463,JE_Lines!$B$5:$B$1733,0))</f>
        <v>45860</v>
      </c>
      <c r="G463" s="18" t="n">
        <f aca="false">INDEX(JE_Lines!$D$5:$D$1733,MATCH(A463,JE_Lines!$B$5:$B$1733,0))</f>
        <v>45857</v>
      </c>
      <c r="H463" s="0" t="str">
        <f aca="false">INDEX(JE_Lines!$I$5:$I$1733,MATCH(A463,JE_Lines!$B$5:$B$1733,0))</f>
        <v>SYS_AP</v>
      </c>
      <c r="I463" s="0" t="str">
        <f aca="false">INDEX(JE_Lines!$J$5:$J$1733,MATCH(A463,JE_Lines!$B$5:$B$1733,0))</f>
        <v>System</v>
      </c>
      <c r="J463" s="0" t="str">
        <f aca="false">IF(LEN(INDEX(JE_Lines!$K$5:$K$1733,MATCH(A463,JE_Lines!$B$5:$B$1733,0)))=0,"",INDEX(JE_Lines!$K$5:$K$1733,MATCH(A463,JE_Lines!$B$5:$B$1733,0)))</f>
        <v>Supplier invoices</v>
      </c>
      <c r="K463" s="9" t="n">
        <f aca="false">F463-G463</f>
        <v>3</v>
      </c>
      <c r="L463" s="9" t="n">
        <f aca="false">COUNTIFS(JE_Lines!$B$5:$B$1733,A463,JE_Lines!$F$5:$F$1733,"Revenue")</f>
        <v>0</v>
      </c>
      <c r="M463" s="9" t="n">
        <f aca="false">COUNTIFS(JE_Lines!$B$5:$B$1733,A463,JE_Lines!$F$5:$F$1733,"Suspense")</f>
        <v>0</v>
      </c>
      <c r="N463" s="9" t="n">
        <f aca="false">IF(ABS(E463)&gt;Parameters!$B$23,1,0)</f>
        <v>0</v>
      </c>
      <c r="O463" s="9" t="n">
        <f aca="false">IF(WEEKDAY(F463,2)&gt;5,1,0)</f>
        <v>0</v>
      </c>
      <c r="P463" s="9" t="n">
        <f aca="false">IF(K463&gt;Parameters!$B$17,1,0)</f>
        <v>0</v>
      </c>
      <c r="Q463" s="9" t="n">
        <f aca="false">IF(AND(F463&lt;=Parameters!$B$6,F463&gt;Parameters!$B$6-Parameters!$B$18),1,0)</f>
        <v>0</v>
      </c>
      <c r="R463" s="9" t="n">
        <f aca="false">IF(COUNTIF(Parameters!$A$51:$A$58,H463)=0,1,0)</f>
        <v>0</v>
      </c>
      <c r="S463" s="9" t="n">
        <f aca="false">IF(AND(I463="Manual",L463&gt;0),1,0)</f>
        <v>0</v>
      </c>
      <c r="T463" s="9" t="n">
        <f aca="false">IF(AND(C463&gt;=Parameters!$B$22,ROUND(MOD(ROUND(C463,2),Parameters!$B$21),2)=0),1,0)</f>
        <v>0</v>
      </c>
      <c r="U463" s="9" t="n">
        <f aca="false">IF(LEN(TRIM(J463))=0,1,0)</f>
        <v>0</v>
      </c>
      <c r="V463" s="9" t="n">
        <f aca="false">IF(AND(I463="Manual",C463&lt;Parameters!$B$19,C463&gt;=Parameters!$B$19*(1-Parameters!$B$20)),1,0)</f>
        <v>0</v>
      </c>
      <c r="W463" s="9" t="n">
        <f aca="false">IF(AND(I463="Manual",M463&gt;0),1,0)</f>
        <v>0</v>
      </c>
      <c r="X463" s="9" t="n">
        <f aca="false">IF(A463-A462&gt;1,1,0)</f>
        <v>0</v>
      </c>
      <c r="Y463" s="9" t="n">
        <f aca="false">N463*Parameters!$B$38+O463*Parameters!$B$39+P463*Parameters!$B$40+Q463*Parameters!$B$41+R463*Parameters!$B$42+S463*Parameters!$B$43+T463*Parameters!$B$44+U463*Parameters!$B$45+V463*Parameters!$B$46+W463*Parameters!$B$47+X463*Parameters!$B$48</f>
        <v>0</v>
      </c>
      <c r="Z463" s="0" t="str">
        <f aca="false">IF(Y463&gt;=Parameters!$B$25,"High","")</f>
        <v/>
      </c>
    </row>
    <row r="464" customFormat="false" ht="15" hidden="false" customHeight="false" outlineLevel="0" collapsed="false">
      <c r="A464" s="16" t="n">
        <v>1468</v>
      </c>
      <c r="B464" s="9" t="n">
        <f aca="false">COUNTIF(JE_Lines!$B$5:$B$1733,A464)</f>
        <v>2</v>
      </c>
      <c r="C464" s="17" t="n">
        <f aca="false">SUMIFS(JE_Lines!$G$5:$G$1733,JE_Lines!$B$5:$B$1733,A464)</f>
        <v>10666.43</v>
      </c>
      <c r="D464" s="17" t="n">
        <f aca="false">SUMIFS(JE_Lines!$H$5:$H$1733,JE_Lines!$B$5:$B$1733,A464)</f>
        <v>10666.43</v>
      </c>
      <c r="E464" s="17" t="n">
        <f aca="false">C464-D464</f>
        <v>0</v>
      </c>
      <c r="F464" s="18" t="n">
        <f aca="false">INDEX(JE_Lines!$C$5:$C$1733,MATCH(A464,JE_Lines!$B$5:$B$1733,0))</f>
        <v>45861</v>
      </c>
      <c r="G464" s="18" t="n">
        <f aca="false">INDEX(JE_Lines!$D$5:$D$1733,MATCH(A464,JE_Lines!$B$5:$B$1733,0))</f>
        <v>45861</v>
      </c>
      <c r="H464" s="0" t="str">
        <f aca="false">INDEX(JE_Lines!$I$5:$I$1733,MATCH(A464,JE_Lines!$B$5:$B$1733,0))</f>
        <v>SYS_PAY</v>
      </c>
      <c r="I464" s="0" t="str">
        <f aca="false">INDEX(JE_Lines!$J$5:$J$1733,MATCH(A464,JE_Lines!$B$5:$B$1733,0))</f>
        <v>System</v>
      </c>
      <c r="J464" s="0" t="str">
        <f aca="false">IF(LEN(INDEX(JE_Lines!$K$5:$K$1733,MATCH(A464,JE_Lines!$B$5:$B$1733,0)))=0,"",INDEX(JE_Lines!$K$5:$K$1733,MATCH(A464,JE_Lines!$B$5:$B$1733,0)))</f>
        <v>Supplier payments</v>
      </c>
      <c r="K464" s="9" t="n">
        <f aca="false">F464-G464</f>
        <v>0</v>
      </c>
      <c r="L464" s="9" t="n">
        <f aca="false">COUNTIFS(JE_Lines!$B$5:$B$1733,A464,JE_Lines!$F$5:$F$1733,"Revenue")</f>
        <v>0</v>
      </c>
      <c r="M464" s="9" t="n">
        <f aca="false">COUNTIFS(JE_Lines!$B$5:$B$1733,A464,JE_Lines!$F$5:$F$1733,"Suspense")</f>
        <v>0</v>
      </c>
      <c r="N464" s="9" t="n">
        <f aca="false">IF(ABS(E464)&gt;Parameters!$B$23,1,0)</f>
        <v>0</v>
      </c>
      <c r="O464" s="9" t="n">
        <f aca="false">IF(WEEKDAY(F464,2)&gt;5,1,0)</f>
        <v>0</v>
      </c>
      <c r="P464" s="9" t="n">
        <f aca="false">IF(K464&gt;Parameters!$B$17,1,0)</f>
        <v>0</v>
      </c>
      <c r="Q464" s="9" t="n">
        <f aca="false">IF(AND(F464&lt;=Parameters!$B$6,F464&gt;Parameters!$B$6-Parameters!$B$18),1,0)</f>
        <v>0</v>
      </c>
      <c r="R464" s="9" t="n">
        <f aca="false">IF(COUNTIF(Parameters!$A$51:$A$58,H464)=0,1,0)</f>
        <v>0</v>
      </c>
      <c r="S464" s="9" t="n">
        <f aca="false">IF(AND(I464="Manual",L464&gt;0),1,0)</f>
        <v>0</v>
      </c>
      <c r="T464" s="9" t="n">
        <f aca="false">IF(AND(C464&gt;=Parameters!$B$22,ROUND(MOD(ROUND(C464,2),Parameters!$B$21),2)=0),1,0)</f>
        <v>0</v>
      </c>
      <c r="U464" s="9" t="n">
        <f aca="false">IF(LEN(TRIM(J464))=0,1,0)</f>
        <v>0</v>
      </c>
      <c r="V464" s="9" t="n">
        <f aca="false">IF(AND(I464="Manual",C464&lt;Parameters!$B$19,C464&gt;=Parameters!$B$19*(1-Parameters!$B$20)),1,0)</f>
        <v>0</v>
      </c>
      <c r="W464" s="9" t="n">
        <f aca="false">IF(AND(I464="Manual",M464&gt;0),1,0)</f>
        <v>0</v>
      </c>
      <c r="X464" s="9" t="n">
        <f aca="false">IF(A464-A463&gt;1,1,0)</f>
        <v>0</v>
      </c>
      <c r="Y464" s="9" t="n">
        <f aca="false">N464*Parameters!$B$38+O464*Parameters!$B$39+P464*Parameters!$B$40+Q464*Parameters!$B$41+R464*Parameters!$B$42+S464*Parameters!$B$43+T464*Parameters!$B$44+U464*Parameters!$B$45+V464*Parameters!$B$46+W464*Parameters!$B$47+X464*Parameters!$B$48</f>
        <v>0</v>
      </c>
      <c r="Z464" s="0" t="str">
        <f aca="false">IF(Y464&gt;=Parameters!$B$25,"High","")</f>
        <v/>
      </c>
    </row>
    <row r="465" customFormat="false" ht="15" hidden="false" customHeight="false" outlineLevel="0" collapsed="false">
      <c r="A465" s="16" t="n">
        <v>1469</v>
      </c>
      <c r="B465" s="9" t="n">
        <f aca="false">COUNTIF(JE_Lines!$B$5:$B$1733,A465)</f>
        <v>2</v>
      </c>
      <c r="C465" s="17" t="n">
        <f aca="false">SUMIFS(JE_Lines!$G$5:$G$1733,JE_Lines!$B$5:$B$1733,A465)</f>
        <v>132344.71</v>
      </c>
      <c r="D465" s="17" t="n">
        <f aca="false">SUMIFS(JE_Lines!$H$5:$H$1733,JE_Lines!$B$5:$B$1733,A465)</f>
        <v>132344.71</v>
      </c>
      <c r="E465" s="17" t="n">
        <f aca="false">C465-D465</f>
        <v>0</v>
      </c>
      <c r="F465" s="18" t="n">
        <f aca="false">INDEX(JE_Lines!$C$5:$C$1733,MATCH(A465,JE_Lines!$B$5:$B$1733,0))</f>
        <v>45861</v>
      </c>
      <c r="G465" s="18" t="n">
        <f aca="false">INDEX(JE_Lines!$D$5:$D$1733,MATCH(A465,JE_Lines!$B$5:$B$1733,0))</f>
        <v>45858</v>
      </c>
      <c r="H465" s="0" t="str">
        <f aca="false">INDEX(JE_Lines!$I$5:$I$1733,MATCH(A465,JE_Lines!$B$5:$B$1733,0))</f>
        <v>SYS_AR</v>
      </c>
      <c r="I465" s="0" t="str">
        <f aca="false">INDEX(JE_Lines!$J$5:$J$1733,MATCH(A465,JE_Lines!$B$5:$B$1733,0))</f>
        <v>System</v>
      </c>
      <c r="J465" s="0" t="str">
        <f aca="false">IF(LEN(INDEX(JE_Lines!$K$5:$K$1733,MATCH(A465,JE_Lines!$B$5:$B$1733,0)))=0,"",INDEX(JE_Lines!$K$5:$K$1733,MATCH(A465,JE_Lines!$B$5:$B$1733,0)))</f>
        <v>Customer receipts</v>
      </c>
      <c r="K465" s="9" t="n">
        <f aca="false">F465-G465</f>
        <v>3</v>
      </c>
      <c r="L465" s="9" t="n">
        <f aca="false">COUNTIFS(JE_Lines!$B$5:$B$1733,A465,JE_Lines!$F$5:$F$1733,"Revenue")</f>
        <v>0</v>
      </c>
      <c r="M465" s="9" t="n">
        <f aca="false">COUNTIFS(JE_Lines!$B$5:$B$1733,A465,JE_Lines!$F$5:$F$1733,"Suspense")</f>
        <v>0</v>
      </c>
      <c r="N465" s="9" t="n">
        <f aca="false">IF(ABS(E465)&gt;Parameters!$B$23,1,0)</f>
        <v>0</v>
      </c>
      <c r="O465" s="9" t="n">
        <f aca="false">IF(WEEKDAY(F465,2)&gt;5,1,0)</f>
        <v>0</v>
      </c>
      <c r="P465" s="9" t="n">
        <f aca="false">IF(K465&gt;Parameters!$B$17,1,0)</f>
        <v>0</v>
      </c>
      <c r="Q465" s="9" t="n">
        <f aca="false">IF(AND(F465&lt;=Parameters!$B$6,F465&gt;Parameters!$B$6-Parameters!$B$18),1,0)</f>
        <v>0</v>
      </c>
      <c r="R465" s="9" t="n">
        <f aca="false">IF(COUNTIF(Parameters!$A$51:$A$58,H465)=0,1,0)</f>
        <v>0</v>
      </c>
      <c r="S465" s="9" t="n">
        <f aca="false">IF(AND(I465="Manual",L465&gt;0),1,0)</f>
        <v>0</v>
      </c>
      <c r="T465" s="9" t="n">
        <f aca="false">IF(AND(C465&gt;=Parameters!$B$22,ROUND(MOD(ROUND(C465,2),Parameters!$B$21),2)=0),1,0)</f>
        <v>0</v>
      </c>
      <c r="U465" s="9" t="n">
        <f aca="false">IF(LEN(TRIM(J465))=0,1,0)</f>
        <v>0</v>
      </c>
      <c r="V465" s="9" t="n">
        <f aca="false">IF(AND(I465="Manual",C465&lt;Parameters!$B$19,C465&gt;=Parameters!$B$19*(1-Parameters!$B$20)),1,0)</f>
        <v>0</v>
      </c>
      <c r="W465" s="9" t="n">
        <f aca="false">IF(AND(I465="Manual",M465&gt;0),1,0)</f>
        <v>0</v>
      </c>
      <c r="X465" s="9" t="n">
        <f aca="false">IF(A465-A464&gt;1,1,0)</f>
        <v>0</v>
      </c>
      <c r="Y465" s="9" t="n">
        <f aca="false">N465*Parameters!$B$38+O465*Parameters!$B$39+P465*Parameters!$B$40+Q465*Parameters!$B$41+R465*Parameters!$B$42+S465*Parameters!$B$43+T465*Parameters!$B$44+U465*Parameters!$B$45+V465*Parameters!$B$46+W465*Parameters!$B$47+X465*Parameters!$B$48</f>
        <v>0</v>
      </c>
      <c r="Z465" s="0" t="str">
        <f aca="false">IF(Y465&gt;=Parameters!$B$25,"High","")</f>
        <v/>
      </c>
    </row>
    <row r="466" customFormat="false" ht="15" hidden="false" customHeight="false" outlineLevel="0" collapsed="false">
      <c r="A466" s="16" t="n">
        <v>1470</v>
      </c>
      <c r="B466" s="9" t="n">
        <f aca="false">COUNTIF(JE_Lines!$B$5:$B$1733,A466)</f>
        <v>2</v>
      </c>
      <c r="C466" s="17" t="n">
        <f aca="false">SUMIFS(JE_Lines!$G$5:$G$1733,JE_Lines!$B$5:$B$1733,A466)</f>
        <v>62300.42</v>
      </c>
      <c r="D466" s="17" t="n">
        <f aca="false">SUMIFS(JE_Lines!$H$5:$H$1733,JE_Lines!$B$5:$B$1733,A466)</f>
        <v>62300.42</v>
      </c>
      <c r="E466" s="17" t="n">
        <f aca="false">C466-D466</f>
        <v>0</v>
      </c>
      <c r="F466" s="18" t="n">
        <f aca="false">INDEX(JE_Lines!$C$5:$C$1733,MATCH(A466,JE_Lines!$B$5:$B$1733,0))</f>
        <v>45862</v>
      </c>
      <c r="G466" s="18" t="n">
        <f aca="false">INDEX(JE_Lines!$D$5:$D$1733,MATCH(A466,JE_Lines!$B$5:$B$1733,0))</f>
        <v>45860</v>
      </c>
      <c r="H466" s="0" t="str">
        <f aca="false">INDEX(JE_Lines!$I$5:$I$1733,MATCH(A466,JE_Lines!$B$5:$B$1733,0))</f>
        <v>SYS_AR</v>
      </c>
      <c r="I466" s="0" t="str">
        <f aca="false">INDEX(JE_Lines!$J$5:$J$1733,MATCH(A466,JE_Lines!$B$5:$B$1733,0))</f>
        <v>System</v>
      </c>
      <c r="J466" s="0" t="str">
        <f aca="false">IF(LEN(INDEX(JE_Lines!$K$5:$K$1733,MATCH(A466,JE_Lines!$B$5:$B$1733,0)))=0,"",INDEX(JE_Lines!$K$5:$K$1733,MATCH(A466,JE_Lines!$B$5:$B$1733,0)))</f>
        <v>Customer receipts</v>
      </c>
      <c r="K466" s="9" t="n">
        <f aca="false">F466-G466</f>
        <v>2</v>
      </c>
      <c r="L466" s="9" t="n">
        <f aca="false">COUNTIFS(JE_Lines!$B$5:$B$1733,A466,JE_Lines!$F$5:$F$1733,"Revenue")</f>
        <v>0</v>
      </c>
      <c r="M466" s="9" t="n">
        <f aca="false">COUNTIFS(JE_Lines!$B$5:$B$1733,A466,JE_Lines!$F$5:$F$1733,"Suspense")</f>
        <v>0</v>
      </c>
      <c r="N466" s="9" t="n">
        <f aca="false">IF(ABS(E466)&gt;Parameters!$B$23,1,0)</f>
        <v>0</v>
      </c>
      <c r="O466" s="9" t="n">
        <f aca="false">IF(WEEKDAY(F466,2)&gt;5,1,0)</f>
        <v>0</v>
      </c>
      <c r="P466" s="9" t="n">
        <f aca="false">IF(K466&gt;Parameters!$B$17,1,0)</f>
        <v>0</v>
      </c>
      <c r="Q466" s="9" t="n">
        <f aca="false">IF(AND(F466&lt;=Parameters!$B$6,F466&gt;Parameters!$B$6-Parameters!$B$18),1,0)</f>
        <v>0</v>
      </c>
      <c r="R466" s="9" t="n">
        <f aca="false">IF(COUNTIF(Parameters!$A$51:$A$58,H466)=0,1,0)</f>
        <v>0</v>
      </c>
      <c r="S466" s="9" t="n">
        <f aca="false">IF(AND(I466="Manual",L466&gt;0),1,0)</f>
        <v>0</v>
      </c>
      <c r="T466" s="9" t="n">
        <f aca="false">IF(AND(C466&gt;=Parameters!$B$22,ROUND(MOD(ROUND(C466,2),Parameters!$B$21),2)=0),1,0)</f>
        <v>0</v>
      </c>
      <c r="U466" s="9" t="n">
        <f aca="false">IF(LEN(TRIM(J466))=0,1,0)</f>
        <v>0</v>
      </c>
      <c r="V466" s="9" t="n">
        <f aca="false">IF(AND(I466="Manual",C466&lt;Parameters!$B$19,C466&gt;=Parameters!$B$19*(1-Parameters!$B$20)),1,0)</f>
        <v>0</v>
      </c>
      <c r="W466" s="9" t="n">
        <f aca="false">IF(AND(I466="Manual",M466&gt;0),1,0)</f>
        <v>0</v>
      </c>
      <c r="X466" s="9" t="n">
        <f aca="false">IF(A466-A465&gt;1,1,0)</f>
        <v>0</v>
      </c>
      <c r="Y466" s="9" t="n">
        <f aca="false">N466*Parameters!$B$38+O466*Parameters!$B$39+P466*Parameters!$B$40+Q466*Parameters!$B$41+R466*Parameters!$B$42+S466*Parameters!$B$43+T466*Parameters!$B$44+U466*Parameters!$B$45+V466*Parameters!$B$46+W466*Parameters!$B$47+X466*Parameters!$B$48</f>
        <v>0</v>
      </c>
      <c r="Z466" s="0" t="str">
        <f aca="false">IF(Y466&gt;=Parameters!$B$25,"High","")</f>
        <v/>
      </c>
    </row>
    <row r="467" customFormat="false" ht="15" hidden="false" customHeight="false" outlineLevel="0" collapsed="false">
      <c r="A467" s="16" t="n">
        <v>1471</v>
      </c>
      <c r="B467" s="9" t="n">
        <f aca="false">COUNTIF(JE_Lines!$B$5:$B$1733,A467)</f>
        <v>2</v>
      </c>
      <c r="C467" s="17" t="n">
        <f aca="false">SUMIFS(JE_Lines!$G$5:$G$1733,JE_Lines!$B$5:$B$1733,A467)</f>
        <v>4486.9</v>
      </c>
      <c r="D467" s="17" t="n">
        <f aca="false">SUMIFS(JE_Lines!$H$5:$H$1733,JE_Lines!$B$5:$B$1733,A467)</f>
        <v>4486.9</v>
      </c>
      <c r="E467" s="17" t="n">
        <f aca="false">C467-D467</f>
        <v>0</v>
      </c>
      <c r="F467" s="18" t="n">
        <f aca="false">INDEX(JE_Lines!$C$5:$C$1733,MATCH(A467,JE_Lines!$B$5:$B$1733,0))</f>
        <v>45862</v>
      </c>
      <c r="G467" s="18" t="n">
        <f aca="false">INDEX(JE_Lines!$D$5:$D$1733,MATCH(A467,JE_Lines!$B$5:$B$1733,0))</f>
        <v>45860</v>
      </c>
      <c r="H467" s="0" t="str">
        <f aca="false">INDEX(JE_Lines!$I$5:$I$1733,MATCH(A467,JE_Lines!$B$5:$B$1733,0))</f>
        <v>SYS_AP</v>
      </c>
      <c r="I467" s="0" t="str">
        <f aca="false">INDEX(JE_Lines!$J$5:$J$1733,MATCH(A467,JE_Lines!$B$5:$B$1733,0))</f>
        <v>System</v>
      </c>
      <c r="J467" s="0" t="str">
        <f aca="false">IF(LEN(INDEX(JE_Lines!$K$5:$K$1733,MATCH(A467,JE_Lines!$B$5:$B$1733,0)))=0,"",INDEX(JE_Lines!$K$5:$K$1733,MATCH(A467,JE_Lines!$B$5:$B$1733,0)))</f>
        <v>Supplier invoices</v>
      </c>
      <c r="K467" s="9" t="n">
        <f aca="false">F467-G467</f>
        <v>2</v>
      </c>
      <c r="L467" s="9" t="n">
        <f aca="false">COUNTIFS(JE_Lines!$B$5:$B$1733,A467,JE_Lines!$F$5:$F$1733,"Revenue")</f>
        <v>0</v>
      </c>
      <c r="M467" s="9" t="n">
        <f aca="false">COUNTIFS(JE_Lines!$B$5:$B$1733,A467,JE_Lines!$F$5:$F$1733,"Suspense")</f>
        <v>0</v>
      </c>
      <c r="N467" s="9" t="n">
        <f aca="false">IF(ABS(E467)&gt;Parameters!$B$23,1,0)</f>
        <v>0</v>
      </c>
      <c r="O467" s="9" t="n">
        <f aca="false">IF(WEEKDAY(F467,2)&gt;5,1,0)</f>
        <v>0</v>
      </c>
      <c r="P467" s="9" t="n">
        <f aca="false">IF(K467&gt;Parameters!$B$17,1,0)</f>
        <v>0</v>
      </c>
      <c r="Q467" s="9" t="n">
        <f aca="false">IF(AND(F467&lt;=Parameters!$B$6,F467&gt;Parameters!$B$6-Parameters!$B$18),1,0)</f>
        <v>0</v>
      </c>
      <c r="R467" s="9" t="n">
        <f aca="false">IF(COUNTIF(Parameters!$A$51:$A$58,H467)=0,1,0)</f>
        <v>0</v>
      </c>
      <c r="S467" s="9" t="n">
        <f aca="false">IF(AND(I467="Manual",L467&gt;0),1,0)</f>
        <v>0</v>
      </c>
      <c r="T467" s="9" t="n">
        <f aca="false">IF(AND(C467&gt;=Parameters!$B$22,ROUND(MOD(ROUND(C467,2),Parameters!$B$21),2)=0),1,0)</f>
        <v>0</v>
      </c>
      <c r="U467" s="9" t="n">
        <f aca="false">IF(LEN(TRIM(J467))=0,1,0)</f>
        <v>0</v>
      </c>
      <c r="V467" s="9" t="n">
        <f aca="false">IF(AND(I467="Manual",C467&lt;Parameters!$B$19,C467&gt;=Parameters!$B$19*(1-Parameters!$B$20)),1,0)</f>
        <v>0</v>
      </c>
      <c r="W467" s="9" t="n">
        <f aca="false">IF(AND(I467="Manual",M467&gt;0),1,0)</f>
        <v>0</v>
      </c>
      <c r="X467" s="9" t="n">
        <f aca="false">IF(A467-A466&gt;1,1,0)</f>
        <v>0</v>
      </c>
      <c r="Y467" s="9" t="n">
        <f aca="false">N467*Parameters!$B$38+O467*Parameters!$B$39+P467*Parameters!$B$40+Q467*Parameters!$B$41+R467*Parameters!$B$42+S467*Parameters!$B$43+T467*Parameters!$B$44+U467*Parameters!$B$45+V467*Parameters!$B$46+W467*Parameters!$B$47+X467*Parameters!$B$48</f>
        <v>0</v>
      </c>
      <c r="Z467" s="0" t="str">
        <f aca="false">IF(Y467&gt;=Parameters!$B$25,"High","")</f>
        <v/>
      </c>
    </row>
    <row r="468" customFormat="false" ht="15" hidden="false" customHeight="false" outlineLevel="0" collapsed="false">
      <c r="A468" s="16" t="n">
        <v>1472</v>
      </c>
      <c r="B468" s="9" t="n">
        <f aca="false">COUNTIF(JE_Lines!$B$5:$B$1733,A468)</f>
        <v>2</v>
      </c>
      <c r="C468" s="17" t="n">
        <f aca="false">SUMIFS(JE_Lines!$G$5:$G$1733,JE_Lines!$B$5:$B$1733,A468)</f>
        <v>307.79</v>
      </c>
      <c r="D468" s="17" t="n">
        <f aca="false">SUMIFS(JE_Lines!$H$5:$H$1733,JE_Lines!$B$5:$B$1733,A468)</f>
        <v>307.79</v>
      </c>
      <c r="E468" s="17" t="n">
        <f aca="false">C468-D468</f>
        <v>0</v>
      </c>
      <c r="F468" s="18" t="n">
        <f aca="false">INDEX(JE_Lines!$C$5:$C$1733,MATCH(A468,JE_Lines!$B$5:$B$1733,0))</f>
        <v>45862</v>
      </c>
      <c r="G468" s="18" t="n">
        <f aca="false">INDEX(JE_Lines!$D$5:$D$1733,MATCH(A468,JE_Lines!$B$5:$B$1733,0))</f>
        <v>45861</v>
      </c>
      <c r="H468" s="0" t="str">
        <f aca="false">INDEX(JE_Lines!$I$5:$I$1733,MATCH(A468,JE_Lines!$B$5:$B$1733,0))</f>
        <v>SYS_AR</v>
      </c>
      <c r="I468" s="0" t="str">
        <f aca="false">INDEX(JE_Lines!$J$5:$J$1733,MATCH(A468,JE_Lines!$B$5:$B$1733,0))</f>
        <v>System</v>
      </c>
      <c r="J468" s="0" t="str">
        <f aca="false">IF(LEN(INDEX(JE_Lines!$K$5:$K$1733,MATCH(A468,JE_Lines!$B$5:$B$1733,0)))=0,"",INDEX(JE_Lines!$K$5:$K$1733,MATCH(A468,JE_Lines!$B$5:$B$1733,0)))</f>
        <v>Customer receipts</v>
      </c>
      <c r="K468" s="9" t="n">
        <f aca="false">F468-G468</f>
        <v>1</v>
      </c>
      <c r="L468" s="9" t="n">
        <f aca="false">COUNTIFS(JE_Lines!$B$5:$B$1733,A468,JE_Lines!$F$5:$F$1733,"Revenue")</f>
        <v>0</v>
      </c>
      <c r="M468" s="9" t="n">
        <f aca="false">COUNTIFS(JE_Lines!$B$5:$B$1733,A468,JE_Lines!$F$5:$F$1733,"Suspense")</f>
        <v>0</v>
      </c>
      <c r="N468" s="9" t="n">
        <f aca="false">IF(ABS(E468)&gt;Parameters!$B$23,1,0)</f>
        <v>0</v>
      </c>
      <c r="O468" s="9" t="n">
        <f aca="false">IF(WEEKDAY(F468,2)&gt;5,1,0)</f>
        <v>0</v>
      </c>
      <c r="P468" s="9" t="n">
        <f aca="false">IF(K468&gt;Parameters!$B$17,1,0)</f>
        <v>0</v>
      </c>
      <c r="Q468" s="9" t="n">
        <f aca="false">IF(AND(F468&lt;=Parameters!$B$6,F468&gt;Parameters!$B$6-Parameters!$B$18),1,0)</f>
        <v>0</v>
      </c>
      <c r="R468" s="9" t="n">
        <f aca="false">IF(COUNTIF(Parameters!$A$51:$A$58,H468)=0,1,0)</f>
        <v>0</v>
      </c>
      <c r="S468" s="9" t="n">
        <f aca="false">IF(AND(I468="Manual",L468&gt;0),1,0)</f>
        <v>0</v>
      </c>
      <c r="T468" s="9" t="n">
        <f aca="false">IF(AND(C468&gt;=Parameters!$B$22,ROUND(MOD(ROUND(C468,2),Parameters!$B$21),2)=0),1,0)</f>
        <v>0</v>
      </c>
      <c r="U468" s="9" t="n">
        <f aca="false">IF(LEN(TRIM(J468))=0,1,0)</f>
        <v>0</v>
      </c>
      <c r="V468" s="9" t="n">
        <f aca="false">IF(AND(I468="Manual",C468&lt;Parameters!$B$19,C468&gt;=Parameters!$B$19*(1-Parameters!$B$20)),1,0)</f>
        <v>0</v>
      </c>
      <c r="W468" s="9" t="n">
        <f aca="false">IF(AND(I468="Manual",M468&gt;0),1,0)</f>
        <v>0</v>
      </c>
      <c r="X468" s="9" t="n">
        <f aca="false">IF(A468-A467&gt;1,1,0)</f>
        <v>0</v>
      </c>
      <c r="Y468" s="9" t="n">
        <f aca="false">N468*Parameters!$B$38+O468*Parameters!$B$39+P468*Parameters!$B$40+Q468*Parameters!$B$41+R468*Parameters!$B$42+S468*Parameters!$B$43+T468*Parameters!$B$44+U468*Parameters!$B$45+V468*Parameters!$B$46+W468*Parameters!$B$47+X468*Parameters!$B$48</f>
        <v>0</v>
      </c>
      <c r="Z468" s="0" t="str">
        <f aca="false">IF(Y468&gt;=Parameters!$B$25,"High","")</f>
        <v/>
      </c>
    </row>
    <row r="469" customFormat="false" ht="15" hidden="false" customHeight="false" outlineLevel="0" collapsed="false">
      <c r="A469" s="16" t="n">
        <v>1473</v>
      </c>
      <c r="B469" s="9" t="n">
        <f aca="false">COUNTIF(JE_Lines!$B$5:$B$1733,A469)</f>
        <v>2</v>
      </c>
      <c r="C469" s="17" t="n">
        <f aca="false">SUMIFS(JE_Lines!$G$5:$G$1733,JE_Lines!$B$5:$B$1733,A469)</f>
        <v>260000</v>
      </c>
      <c r="D469" s="17" t="n">
        <f aca="false">SUMIFS(JE_Lines!$H$5:$H$1733,JE_Lines!$B$5:$B$1733,A469)</f>
        <v>260000</v>
      </c>
      <c r="E469" s="17" t="n">
        <f aca="false">C469-D469</f>
        <v>0</v>
      </c>
      <c r="F469" s="18" t="n">
        <f aca="false">INDEX(JE_Lines!$C$5:$C$1733,MATCH(A469,JE_Lines!$B$5:$B$1733,0))</f>
        <v>45863</v>
      </c>
      <c r="G469" s="18" t="n">
        <f aca="false">INDEX(JE_Lines!$D$5:$D$1733,MATCH(A469,JE_Lines!$B$5:$B$1733,0))</f>
        <v>45863</v>
      </c>
      <c r="H469" s="0" t="str">
        <f aca="false">INDEX(JE_Lines!$I$5:$I$1733,MATCH(A469,JE_Lines!$B$5:$B$1733,0))</f>
        <v>SYS_PAY</v>
      </c>
      <c r="I469" s="0" t="str">
        <f aca="false">INDEX(JE_Lines!$J$5:$J$1733,MATCH(A469,JE_Lines!$B$5:$B$1733,0))</f>
        <v>System</v>
      </c>
      <c r="J469" s="0" t="str">
        <f aca="false">IF(LEN(INDEX(JE_Lines!$K$5:$K$1733,MATCH(A469,JE_Lines!$B$5:$B$1733,0)))=0,"",INDEX(JE_Lines!$K$5:$K$1733,MATCH(A469,JE_Lines!$B$5:$B$1733,0)))</f>
        <v>Monthly payroll</v>
      </c>
      <c r="K469" s="9" t="n">
        <f aca="false">F469-G469</f>
        <v>0</v>
      </c>
      <c r="L469" s="9" t="n">
        <f aca="false">COUNTIFS(JE_Lines!$B$5:$B$1733,A469,JE_Lines!$F$5:$F$1733,"Revenue")</f>
        <v>0</v>
      </c>
      <c r="M469" s="9" t="n">
        <f aca="false">COUNTIFS(JE_Lines!$B$5:$B$1733,A469,JE_Lines!$F$5:$F$1733,"Suspense")</f>
        <v>0</v>
      </c>
      <c r="N469" s="9" t="n">
        <f aca="false">IF(ABS(E469)&gt;Parameters!$B$23,1,0)</f>
        <v>0</v>
      </c>
      <c r="O469" s="9" t="n">
        <f aca="false">IF(WEEKDAY(F469,2)&gt;5,1,0)</f>
        <v>0</v>
      </c>
      <c r="P469" s="9" t="n">
        <f aca="false">IF(K469&gt;Parameters!$B$17,1,0)</f>
        <v>0</v>
      </c>
      <c r="Q469" s="9" t="n">
        <f aca="false">IF(AND(F469&lt;=Parameters!$B$6,F469&gt;Parameters!$B$6-Parameters!$B$18),1,0)</f>
        <v>0</v>
      </c>
      <c r="R469" s="9" t="n">
        <f aca="false">IF(COUNTIF(Parameters!$A$51:$A$58,H469)=0,1,0)</f>
        <v>0</v>
      </c>
      <c r="S469" s="9" t="n">
        <f aca="false">IF(AND(I469="Manual",L469&gt;0),1,0)</f>
        <v>0</v>
      </c>
      <c r="T469" s="9" t="n">
        <f aca="false">IF(AND(C469&gt;=Parameters!$B$22,ROUND(MOD(ROUND(C469,2),Parameters!$B$21),2)=0),1,0)</f>
        <v>1</v>
      </c>
      <c r="U469" s="9" t="n">
        <f aca="false">IF(LEN(TRIM(J469))=0,1,0)</f>
        <v>0</v>
      </c>
      <c r="V469" s="9" t="n">
        <f aca="false">IF(AND(I469="Manual",C469&lt;Parameters!$B$19,C469&gt;=Parameters!$B$19*(1-Parameters!$B$20)),1,0)</f>
        <v>0</v>
      </c>
      <c r="W469" s="9" t="n">
        <f aca="false">IF(AND(I469="Manual",M469&gt;0),1,0)</f>
        <v>0</v>
      </c>
      <c r="X469" s="9" t="n">
        <f aca="false">IF(A469-A468&gt;1,1,0)</f>
        <v>0</v>
      </c>
      <c r="Y469" s="9" t="n">
        <f aca="false">N469*Parameters!$B$38+O469*Parameters!$B$39+P469*Parameters!$B$40+Q469*Parameters!$B$41+R469*Parameters!$B$42+S469*Parameters!$B$43+T469*Parameters!$B$44+U469*Parameters!$B$45+V469*Parameters!$B$46+W469*Parameters!$B$47+X469*Parameters!$B$48</f>
        <v>2</v>
      </c>
      <c r="Z469" s="0" t="str">
        <f aca="false">IF(Y469&gt;=Parameters!$B$25,"High","")</f>
        <v/>
      </c>
    </row>
    <row r="470" customFormat="false" ht="15" hidden="false" customHeight="false" outlineLevel="0" collapsed="false">
      <c r="A470" s="16" t="n">
        <v>1474</v>
      </c>
      <c r="B470" s="9" t="n">
        <f aca="false">COUNTIF(JE_Lines!$B$5:$B$1733,A470)</f>
        <v>3</v>
      </c>
      <c r="C470" s="17" t="n">
        <f aca="false">SUMIFS(JE_Lines!$G$5:$G$1733,JE_Lines!$B$5:$B$1733,A470)</f>
        <v>39566.43</v>
      </c>
      <c r="D470" s="17" t="n">
        <f aca="false">SUMIFS(JE_Lines!$H$5:$H$1733,JE_Lines!$B$5:$B$1733,A470)</f>
        <v>39566.43</v>
      </c>
      <c r="E470" s="17" t="n">
        <f aca="false">C470-D470</f>
        <v>0</v>
      </c>
      <c r="F470" s="18" t="n">
        <f aca="false">INDEX(JE_Lines!$C$5:$C$1733,MATCH(A470,JE_Lines!$B$5:$B$1733,0))</f>
        <v>45863</v>
      </c>
      <c r="G470" s="18" t="n">
        <f aca="false">INDEX(JE_Lines!$D$5:$D$1733,MATCH(A470,JE_Lines!$B$5:$B$1733,0))</f>
        <v>45860</v>
      </c>
      <c r="H470" s="0" t="str">
        <f aca="false">INDEX(JE_Lines!$I$5:$I$1733,MATCH(A470,JE_Lines!$B$5:$B$1733,0))</f>
        <v>SYS_AR</v>
      </c>
      <c r="I470" s="0" t="str">
        <f aca="false">INDEX(JE_Lines!$J$5:$J$1733,MATCH(A470,JE_Lines!$B$5:$B$1733,0))</f>
        <v>System</v>
      </c>
      <c r="J470" s="0" t="str">
        <f aca="false">IF(LEN(INDEX(JE_Lines!$K$5:$K$1733,MATCH(A470,JE_Lines!$B$5:$B$1733,0)))=0,"",INDEX(JE_Lines!$K$5:$K$1733,MATCH(A470,JE_Lines!$B$5:$B$1733,0)))</f>
        <v>Sales invoice batch</v>
      </c>
      <c r="K470" s="9" t="n">
        <f aca="false">F470-G470</f>
        <v>3</v>
      </c>
      <c r="L470" s="9" t="n">
        <f aca="false">COUNTIFS(JE_Lines!$B$5:$B$1733,A470,JE_Lines!$F$5:$F$1733,"Revenue")</f>
        <v>1</v>
      </c>
      <c r="M470" s="9" t="n">
        <f aca="false">COUNTIFS(JE_Lines!$B$5:$B$1733,A470,JE_Lines!$F$5:$F$1733,"Suspense")</f>
        <v>0</v>
      </c>
      <c r="N470" s="9" t="n">
        <f aca="false">IF(ABS(E470)&gt;Parameters!$B$23,1,0)</f>
        <v>0</v>
      </c>
      <c r="O470" s="9" t="n">
        <f aca="false">IF(WEEKDAY(F470,2)&gt;5,1,0)</f>
        <v>0</v>
      </c>
      <c r="P470" s="9" t="n">
        <f aca="false">IF(K470&gt;Parameters!$B$17,1,0)</f>
        <v>0</v>
      </c>
      <c r="Q470" s="9" t="n">
        <f aca="false">IF(AND(F470&lt;=Parameters!$B$6,F470&gt;Parameters!$B$6-Parameters!$B$18),1,0)</f>
        <v>0</v>
      </c>
      <c r="R470" s="9" t="n">
        <f aca="false">IF(COUNTIF(Parameters!$A$51:$A$58,H470)=0,1,0)</f>
        <v>0</v>
      </c>
      <c r="S470" s="9" t="n">
        <f aca="false">IF(AND(I470="Manual",L470&gt;0),1,0)</f>
        <v>0</v>
      </c>
      <c r="T470" s="9" t="n">
        <f aca="false">IF(AND(C470&gt;=Parameters!$B$22,ROUND(MOD(ROUND(C470,2),Parameters!$B$21),2)=0),1,0)</f>
        <v>0</v>
      </c>
      <c r="U470" s="9" t="n">
        <f aca="false">IF(LEN(TRIM(J470))=0,1,0)</f>
        <v>0</v>
      </c>
      <c r="V470" s="9" t="n">
        <f aca="false">IF(AND(I470="Manual",C470&lt;Parameters!$B$19,C470&gt;=Parameters!$B$19*(1-Parameters!$B$20)),1,0)</f>
        <v>0</v>
      </c>
      <c r="W470" s="9" t="n">
        <f aca="false">IF(AND(I470="Manual",M470&gt;0),1,0)</f>
        <v>0</v>
      </c>
      <c r="X470" s="9" t="n">
        <f aca="false">IF(A470-A469&gt;1,1,0)</f>
        <v>0</v>
      </c>
      <c r="Y470" s="9" t="n">
        <f aca="false">N470*Parameters!$B$38+O470*Parameters!$B$39+P470*Parameters!$B$40+Q470*Parameters!$B$41+R470*Parameters!$B$42+S470*Parameters!$B$43+T470*Parameters!$B$44+U470*Parameters!$B$45+V470*Parameters!$B$46+W470*Parameters!$B$47+X470*Parameters!$B$48</f>
        <v>0</v>
      </c>
      <c r="Z470" s="0" t="str">
        <f aca="false">IF(Y470&gt;=Parameters!$B$25,"High","")</f>
        <v/>
      </c>
    </row>
    <row r="471" customFormat="false" ht="15" hidden="false" customHeight="false" outlineLevel="0" collapsed="false">
      <c r="A471" s="16" t="n">
        <v>1475</v>
      </c>
      <c r="B471" s="9" t="n">
        <f aca="false">COUNTIF(JE_Lines!$B$5:$B$1733,A471)</f>
        <v>2</v>
      </c>
      <c r="C471" s="17" t="n">
        <f aca="false">SUMIFS(JE_Lines!$G$5:$G$1733,JE_Lines!$B$5:$B$1733,A471)</f>
        <v>2195.76</v>
      </c>
      <c r="D471" s="17" t="n">
        <f aca="false">SUMIFS(JE_Lines!$H$5:$H$1733,JE_Lines!$B$5:$B$1733,A471)</f>
        <v>2195.76</v>
      </c>
      <c r="E471" s="17" t="n">
        <f aca="false">C471-D471</f>
        <v>0</v>
      </c>
      <c r="F471" s="18" t="n">
        <f aca="false">INDEX(JE_Lines!$C$5:$C$1733,MATCH(A471,JE_Lines!$B$5:$B$1733,0))</f>
        <v>45867</v>
      </c>
      <c r="G471" s="18" t="n">
        <f aca="false">INDEX(JE_Lines!$D$5:$D$1733,MATCH(A471,JE_Lines!$B$5:$B$1733,0))</f>
        <v>45866</v>
      </c>
      <c r="H471" s="0" t="str">
        <f aca="false">INDEX(JE_Lines!$I$5:$I$1733,MATCH(A471,JE_Lines!$B$5:$B$1733,0))</f>
        <v>SYS_AR</v>
      </c>
      <c r="I471" s="0" t="str">
        <f aca="false">INDEX(JE_Lines!$J$5:$J$1733,MATCH(A471,JE_Lines!$B$5:$B$1733,0))</f>
        <v>System</v>
      </c>
      <c r="J471" s="0" t="str">
        <f aca="false">IF(LEN(INDEX(JE_Lines!$K$5:$K$1733,MATCH(A471,JE_Lines!$B$5:$B$1733,0)))=0,"",INDEX(JE_Lines!$K$5:$K$1733,MATCH(A471,JE_Lines!$B$5:$B$1733,0)))</f>
        <v>Sales invoice batch</v>
      </c>
      <c r="K471" s="9" t="n">
        <f aca="false">F471-G471</f>
        <v>1</v>
      </c>
      <c r="L471" s="9" t="n">
        <f aca="false">COUNTIFS(JE_Lines!$B$5:$B$1733,A471,JE_Lines!$F$5:$F$1733,"Revenue")</f>
        <v>1</v>
      </c>
      <c r="M471" s="9" t="n">
        <f aca="false">COUNTIFS(JE_Lines!$B$5:$B$1733,A471,JE_Lines!$F$5:$F$1733,"Suspense")</f>
        <v>0</v>
      </c>
      <c r="N471" s="9" t="n">
        <f aca="false">IF(ABS(E471)&gt;Parameters!$B$23,1,0)</f>
        <v>0</v>
      </c>
      <c r="O471" s="9" t="n">
        <f aca="false">IF(WEEKDAY(F471,2)&gt;5,1,0)</f>
        <v>0</v>
      </c>
      <c r="P471" s="9" t="n">
        <f aca="false">IF(K471&gt;Parameters!$B$17,1,0)</f>
        <v>0</v>
      </c>
      <c r="Q471" s="9" t="n">
        <f aca="false">IF(AND(F471&lt;=Parameters!$B$6,F471&gt;Parameters!$B$6-Parameters!$B$18),1,0)</f>
        <v>0</v>
      </c>
      <c r="R471" s="9" t="n">
        <f aca="false">IF(COUNTIF(Parameters!$A$51:$A$58,H471)=0,1,0)</f>
        <v>0</v>
      </c>
      <c r="S471" s="9" t="n">
        <f aca="false">IF(AND(I471="Manual",L471&gt;0),1,0)</f>
        <v>0</v>
      </c>
      <c r="T471" s="9" t="n">
        <f aca="false">IF(AND(C471&gt;=Parameters!$B$22,ROUND(MOD(ROUND(C471,2),Parameters!$B$21),2)=0),1,0)</f>
        <v>0</v>
      </c>
      <c r="U471" s="9" t="n">
        <f aca="false">IF(LEN(TRIM(J471))=0,1,0)</f>
        <v>0</v>
      </c>
      <c r="V471" s="9" t="n">
        <f aca="false">IF(AND(I471="Manual",C471&lt;Parameters!$B$19,C471&gt;=Parameters!$B$19*(1-Parameters!$B$20)),1,0)</f>
        <v>0</v>
      </c>
      <c r="W471" s="9" t="n">
        <f aca="false">IF(AND(I471="Manual",M471&gt;0),1,0)</f>
        <v>0</v>
      </c>
      <c r="X471" s="9" t="n">
        <f aca="false">IF(A471-A470&gt;1,1,0)</f>
        <v>0</v>
      </c>
      <c r="Y471" s="9" t="n">
        <f aca="false">N471*Parameters!$B$38+O471*Parameters!$B$39+P471*Parameters!$B$40+Q471*Parameters!$B$41+R471*Parameters!$B$42+S471*Parameters!$B$43+T471*Parameters!$B$44+U471*Parameters!$B$45+V471*Parameters!$B$46+W471*Parameters!$B$47+X471*Parameters!$B$48</f>
        <v>0</v>
      </c>
      <c r="Z471" s="0" t="str">
        <f aca="false">IF(Y471&gt;=Parameters!$B$25,"High","")</f>
        <v/>
      </c>
    </row>
    <row r="472" customFormat="false" ht="15" hidden="false" customHeight="false" outlineLevel="0" collapsed="false">
      <c r="A472" s="16" t="n">
        <v>1476</v>
      </c>
      <c r="B472" s="9" t="n">
        <f aca="false">COUNTIF(JE_Lines!$B$5:$B$1733,A472)</f>
        <v>2</v>
      </c>
      <c r="C472" s="17" t="n">
        <f aca="false">SUMIFS(JE_Lines!$G$5:$G$1733,JE_Lines!$B$5:$B$1733,A472)</f>
        <v>1297.77</v>
      </c>
      <c r="D472" s="17" t="n">
        <f aca="false">SUMIFS(JE_Lines!$H$5:$H$1733,JE_Lines!$B$5:$B$1733,A472)</f>
        <v>1297.77</v>
      </c>
      <c r="E472" s="17" t="n">
        <f aca="false">C472-D472</f>
        <v>0</v>
      </c>
      <c r="F472" s="18" t="n">
        <f aca="false">INDEX(JE_Lines!$C$5:$C$1733,MATCH(A472,JE_Lines!$B$5:$B$1733,0))</f>
        <v>45867</v>
      </c>
      <c r="G472" s="18" t="n">
        <f aca="false">INDEX(JE_Lines!$D$5:$D$1733,MATCH(A472,JE_Lines!$B$5:$B$1733,0))</f>
        <v>45863</v>
      </c>
      <c r="H472" s="0" t="str">
        <f aca="false">INDEX(JE_Lines!$I$5:$I$1733,MATCH(A472,JE_Lines!$B$5:$B$1733,0))</f>
        <v>SYS_AR</v>
      </c>
      <c r="I472" s="0" t="str">
        <f aca="false">INDEX(JE_Lines!$J$5:$J$1733,MATCH(A472,JE_Lines!$B$5:$B$1733,0))</f>
        <v>System</v>
      </c>
      <c r="J472" s="0" t="str">
        <f aca="false">IF(LEN(INDEX(JE_Lines!$K$5:$K$1733,MATCH(A472,JE_Lines!$B$5:$B$1733,0)))=0,"",INDEX(JE_Lines!$K$5:$K$1733,MATCH(A472,JE_Lines!$B$5:$B$1733,0)))</f>
        <v>Sales invoice batch</v>
      </c>
      <c r="K472" s="9" t="n">
        <f aca="false">F472-G472</f>
        <v>4</v>
      </c>
      <c r="L472" s="9" t="n">
        <f aca="false">COUNTIFS(JE_Lines!$B$5:$B$1733,A472,JE_Lines!$F$5:$F$1733,"Revenue")</f>
        <v>1</v>
      </c>
      <c r="M472" s="9" t="n">
        <f aca="false">COUNTIFS(JE_Lines!$B$5:$B$1733,A472,JE_Lines!$F$5:$F$1733,"Suspense")</f>
        <v>0</v>
      </c>
      <c r="N472" s="9" t="n">
        <f aca="false">IF(ABS(E472)&gt;Parameters!$B$23,1,0)</f>
        <v>0</v>
      </c>
      <c r="O472" s="9" t="n">
        <f aca="false">IF(WEEKDAY(F472,2)&gt;5,1,0)</f>
        <v>0</v>
      </c>
      <c r="P472" s="9" t="n">
        <f aca="false">IF(K472&gt;Parameters!$B$17,1,0)</f>
        <v>0</v>
      </c>
      <c r="Q472" s="9" t="n">
        <f aca="false">IF(AND(F472&lt;=Parameters!$B$6,F472&gt;Parameters!$B$6-Parameters!$B$18),1,0)</f>
        <v>0</v>
      </c>
      <c r="R472" s="9" t="n">
        <f aca="false">IF(COUNTIF(Parameters!$A$51:$A$58,H472)=0,1,0)</f>
        <v>0</v>
      </c>
      <c r="S472" s="9" t="n">
        <f aca="false">IF(AND(I472="Manual",L472&gt;0),1,0)</f>
        <v>0</v>
      </c>
      <c r="T472" s="9" t="n">
        <f aca="false">IF(AND(C472&gt;=Parameters!$B$22,ROUND(MOD(ROUND(C472,2),Parameters!$B$21),2)=0),1,0)</f>
        <v>0</v>
      </c>
      <c r="U472" s="9" t="n">
        <f aca="false">IF(LEN(TRIM(J472))=0,1,0)</f>
        <v>0</v>
      </c>
      <c r="V472" s="9" t="n">
        <f aca="false">IF(AND(I472="Manual",C472&lt;Parameters!$B$19,C472&gt;=Parameters!$B$19*(1-Parameters!$B$20)),1,0)</f>
        <v>0</v>
      </c>
      <c r="W472" s="9" t="n">
        <f aca="false">IF(AND(I472="Manual",M472&gt;0),1,0)</f>
        <v>0</v>
      </c>
      <c r="X472" s="9" t="n">
        <f aca="false">IF(A472-A471&gt;1,1,0)</f>
        <v>0</v>
      </c>
      <c r="Y472" s="9" t="n">
        <f aca="false">N472*Parameters!$B$38+O472*Parameters!$B$39+P472*Parameters!$B$40+Q472*Parameters!$B$41+R472*Parameters!$B$42+S472*Parameters!$B$43+T472*Parameters!$B$44+U472*Parameters!$B$45+V472*Parameters!$B$46+W472*Parameters!$B$47+X472*Parameters!$B$48</f>
        <v>0</v>
      </c>
      <c r="Z472" s="0" t="str">
        <f aca="false">IF(Y472&gt;=Parameters!$B$25,"High","")</f>
        <v/>
      </c>
    </row>
    <row r="473" customFormat="false" ht="15" hidden="false" customHeight="false" outlineLevel="0" collapsed="false">
      <c r="A473" s="16" t="n">
        <v>1477</v>
      </c>
      <c r="B473" s="9" t="n">
        <f aca="false">COUNTIF(JE_Lines!$B$5:$B$1733,A473)</f>
        <v>2</v>
      </c>
      <c r="C473" s="17" t="n">
        <f aca="false">SUMIFS(JE_Lines!$G$5:$G$1733,JE_Lines!$B$5:$B$1733,A473)</f>
        <v>9672.78</v>
      </c>
      <c r="D473" s="17" t="n">
        <f aca="false">SUMIFS(JE_Lines!$H$5:$H$1733,JE_Lines!$B$5:$B$1733,A473)</f>
        <v>9672.78</v>
      </c>
      <c r="E473" s="17" t="n">
        <f aca="false">C473-D473</f>
        <v>0</v>
      </c>
      <c r="F473" s="18" t="n">
        <f aca="false">INDEX(JE_Lines!$C$5:$C$1733,MATCH(A473,JE_Lines!$B$5:$B$1733,0))</f>
        <v>45867</v>
      </c>
      <c r="G473" s="18" t="n">
        <f aca="false">INDEX(JE_Lines!$D$5:$D$1733,MATCH(A473,JE_Lines!$B$5:$B$1733,0))</f>
        <v>45863</v>
      </c>
      <c r="H473" s="0" t="str">
        <f aca="false">INDEX(JE_Lines!$I$5:$I$1733,MATCH(A473,JE_Lines!$B$5:$B$1733,0))</f>
        <v>SYS_PAY</v>
      </c>
      <c r="I473" s="0" t="str">
        <f aca="false">INDEX(JE_Lines!$J$5:$J$1733,MATCH(A473,JE_Lines!$B$5:$B$1733,0))</f>
        <v>System</v>
      </c>
      <c r="J473" s="0" t="str">
        <f aca="false">IF(LEN(INDEX(JE_Lines!$K$5:$K$1733,MATCH(A473,JE_Lines!$B$5:$B$1733,0)))=0,"",INDEX(JE_Lines!$K$5:$K$1733,MATCH(A473,JE_Lines!$B$5:$B$1733,0)))</f>
        <v>Supplier payments</v>
      </c>
      <c r="K473" s="9" t="n">
        <f aca="false">F473-G473</f>
        <v>4</v>
      </c>
      <c r="L473" s="9" t="n">
        <f aca="false">COUNTIFS(JE_Lines!$B$5:$B$1733,A473,JE_Lines!$F$5:$F$1733,"Revenue")</f>
        <v>0</v>
      </c>
      <c r="M473" s="9" t="n">
        <f aca="false">COUNTIFS(JE_Lines!$B$5:$B$1733,A473,JE_Lines!$F$5:$F$1733,"Suspense")</f>
        <v>0</v>
      </c>
      <c r="N473" s="9" t="n">
        <f aca="false">IF(ABS(E473)&gt;Parameters!$B$23,1,0)</f>
        <v>0</v>
      </c>
      <c r="O473" s="9" t="n">
        <f aca="false">IF(WEEKDAY(F473,2)&gt;5,1,0)</f>
        <v>0</v>
      </c>
      <c r="P473" s="9" t="n">
        <f aca="false">IF(K473&gt;Parameters!$B$17,1,0)</f>
        <v>0</v>
      </c>
      <c r="Q473" s="9" t="n">
        <f aca="false">IF(AND(F473&lt;=Parameters!$B$6,F473&gt;Parameters!$B$6-Parameters!$B$18),1,0)</f>
        <v>0</v>
      </c>
      <c r="R473" s="9" t="n">
        <f aca="false">IF(COUNTIF(Parameters!$A$51:$A$58,H473)=0,1,0)</f>
        <v>0</v>
      </c>
      <c r="S473" s="9" t="n">
        <f aca="false">IF(AND(I473="Manual",L473&gt;0),1,0)</f>
        <v>0</v>
      </c>
      <c r="T473" s="9" t="n">
        <f aca="false">IF(AND(C473&gt;=Parameters!$B$22,ROUND(MOD(ROUND(C473,2),Parameters!$B$21),2)=0),1,0)</f>
        <v>0</v>
      </c>
      <c r="U473" s="9" t="n">
        <f aca="false">IF(LEN(TRIM(J473))=0,1,0)</f>
        <v>0</v>
      </c>
      <c r="V473" s="9" t="n">
        <f aca="false">IF(AND(I473="Manual",C473&lt;Parameters!$B$19,C473&gt;=Parameters!$B$19*(1-Parameters!$B$20)),1,0)</f>
        <v>0</v>
      </c>
      <c r="W473" s="9" t="n">
        <f aca="false">IF(AND(I473="Manual",M473&gt;0),1,0)</f>
        <v>0</v>
      </c>
      <c r="X473" s="9" t="n">
        <f aca="false">IF(A473-A472&gt;1,1,0)</f>
        <v>0</v>
      </c>
      <c r="Y473" s="9" t="n">
        <f aca="false">N473*Parameters!$B$38+O473*Parameters!$B$39+P473*Parameters!$B$40+Q473*Parameters!$B$41+R473*Parameters!$B$42+S473*Parameters!$B$43+T473*Parameters!$B$44+U473*Parameters!$B$45+V473*Parameters!$B$46+W473*Parameters!$B$47+X473*Parameters!$B$48</f>
        <v>0</v>
      </c>
      <c r="Z473" s="0" t="str">
        <f aca="false">IF(Y473&gt;=Parameters!$B$25,"High","")</f>
        <v/>
      </c>
    </row>
    <row r="474" customFormat="false" ht="15" hidden="false" customHeight="false" outlineLevel="0" collapsed="false">
      <c r="A474" s="16" t="n">
        <v>1478</v>
      </c>
      <c r="B474" s="9" t="n">
        <f aca="false">COUNTIF(JE_Lines!$B$5:$B$1733,A474)</f>
        <v>2</v>
      </c>
      <c r="C474" s="17" t="n">
        <f aca="false">SUMIFS(JE_Lines!$G$5:$G$1733,JE_Lines!$B$5:$B$1733,A474)</f>
        <v>14360.86</v>
      </c>
      <c r="D474" s="17" t="n">
        <f aca="false">SUMIFS(JE_Lines!$H$5:$H$1733,JE_Lines!$B$5:$B$1733,A474)</f>
        <v>14360.86</v>
      </c>
      <c r="E474" s="17" t="n">
        <f aca="false">C474-D474</f>
        <v>0</v>
      </c>
      <c r="F474" s="18" t="n">
        <f aca="false">INDEX(JE_Lines!$C$5:$C$1733,MATCH(A474,JE_Lines!$B$5:$B$1733,0))</f>
        <v>45867</v>
      </c>
      <c r="G474" s="18" t="n">
        <f aca="false">INDEX(JE_Lines!$D$5:$D$1733,MATCH(A474,JE_Lines!$B$5:$B$1733,0))</f>
        <v>45863</v>
      </c>
      <c r="H474" s="0" t="str">
        <f aca="false">INDEX(JE_Lines!$I$5:$I$1733,MATCH(A474,JE_Lines!$B$5:$B$1733,0))</f>
        <v>SYS_AR</v>
      </c>
      <c r="I474" s="0" t="str">
        <f aca="false">INDEX(JE_Lines!$J$5:$J$1733,MATCH(A474,JE_Lines!$B$5:$B$1733,0))</f>
        <v>System</v>
      </c>
      <c r="J474" s="0" t="str">
        <f aca="false">IF(LEN(INDEX(JE_Lines!$K$5:$K$1733,MATCH(A474,JE_Lines!$B$5:$B$1733,0)))=0,"",INDEX(JE_Lines!$K$5:$K$1733,MATCH(A474,JE_Lines!$B$5:$B$1733,0)))</f>
        <v>Cost of sales posting</v>
      </c>
      <c r="K474" s="9" t="n">
        <f aca="false">F474-G474</f>
        <v>4</v>
      </c>
      <c r="L474" s="9" t="n">
        <f aca="false">COUNTIFS(JE_Lines!$B$5:$B$1733,A474,JE_Lines!$F$5:$F$1733,"Revenue")</f>
        <v>0</v>
      </c>
      <c r="M474" s="9" t="n">
        <f aca="false">COUNTIFS(JE_Lines!$B$5:$B$1733,A474,JE_Lines!$F$5:$F$1733,"Suspense")</f>
        <v>0</v>
      </c>
      <c r="N474" s="9" t="n">
        <f aca="false">IF(ABS(E474)&gt;Parameters!$B$23,1,0)</f>
        <v>0</v>
      </c>
      <c r="O474" s="9" t="n">
        <f aca="false">IF(WEEKDAY(F474,2)&gt;5,1,0)</f>
        <v>0</v>
      </c>
      <c r="P474" s="9" t="n">
        <f aca="false">IF(K474&gt;Parameters!$B$17,1,0)</f>
        <v>0</v>
      </c>
      <c r="Q474" s="9" t="n">
        <f aca="false">IF(AND(F474&lt;=Parameters!$B$6,F474&gt;Parameters!$B$6-Parameters!$B$18),1,0)</f>
        <v>0</v>
      </c>
      <c r="R474" s="9" t="n">
        <f aca="false">IF(COUNTIF(Parameters!$A$51:$A$58,H474)=0,1,0)</f>
        <v>0</v>
      </c>
      <c r="S474" s="9" t="n">
        <f aca="false">IF(AND(I474="Manual",L474&gt;0),1,0)</f>
        <v>0</v>
      </c>
      <c r="T474" s="9" t="n">
        <f aca="false">IF(AND(C474&gt;=Parameters!$B$22,ROUND(MOD(ROUND(C474,2),Parameters!$B$21),2)=0),1,0)</f>
        <v>0</v>
      </c>
      <c r="U474" s="9" t="n">
        <f aca="false">IF(LEN(TRIM(J474))=0,1,0)</f>
        <v>0</v>
      </c>
      <c r="V474" s="9" t="n">
        <f aca="false">IF(AND(I474="Manual",C474&lt;Parameters!$B$19,C474&gt;=Parameters!$B$19*(1-Parameters!$B$20)),1,0)</f>
        <v>0</v>
      </c>
      <c r="W474" s="9" t="n">
        <f aca="false">IF(AND(I474="Manual",M474&gt;0),1,0)</f>
        <v>0</v>
      </c>
      <c r="X474" s="9" t="n">
        <f aca="false">IF(A474-A473&gt;1,1,0)</f>
        <v>0</v>
      </c>
      <c r="Y474" s="9" t="n">
        <f aca="false">N474*Parameters!$B$38+O474*Parameters!$B$39+P474*Parameters!$B$40+Q474*Parameters!$B$41+R474*Parameters!$B$42+S474*Parameters!$B$43+T474*Parameters!$B$44+U474*Parameters!$B$45+V474*Parameters!$B$46+W474*Parameters!$B$47+X474*Parameters!$B$48</f>
        <v>0</v>
      </c>
      <c r="Z474" s="0" t="str">
        <f aca="false">IF(Y474&gt;=Parameters!$B$25,"High","")</f>
        <v/>
      </c>
    </row>
    <row r="475" customFormat="false" ht="15" hidden="false" customHeight="false" outlineLevel="0" collapsed="false">
      <c r="A475" s="16" t="n">
        <v>1479</v>
      </c>
      <c r="B475" s="9" t="n">
        <f aca="false">COUNTIF(JE_Lines!$B$5:$B$1733,A475)</f>
        <v>3</v>
      </c>
      <c r="C475" s="17" t="n">
        <f aca="false">SUMIFS(JE_Lines!$G$5:$G$1733,JE_Lines!$B$5:$B$1733,A475)</f>
        <v>245.9</v>
      </c>
      <c r="D475" s="17" t="n">
        <f aca="false">SUMIFS(JE_Lines!$H$5:$H$1733,JE_Lines!$B$5:$B$1733,A475)</f>
        <v>245.9</v>
      </c>
      <c r="E475" s="17" t="n">
        <f aca="false">C475-D475</f>
        <v>0</v>
      </c>
      <c r="F475" s="18" t="n">
        <f aca="false">INDEX(JE_Lines!$C$5:$C$1733,MATCH(A475,JE_Lines!$B$5:$B$1733,0))</f>
        <v>45867</v>
      </c>
      <c r="G475" s="18" t="n">
        <f aca="false">INDEX(JE_Lines!$D$5:$D$1733,MATCH(A475,JE_Lines!$B$5:$B$1733,0))</f>
        <v>45865</v>
      </c>
      <c r="H475" s="0" t="str">
        <f aca="false">INDEX(JE_Lines!$I$5:$I$1733,MATCH(A475,JE_Lines!$B$5:$B$1733,0))</f>
        <v>SYS_AR</v>
      </c>
      <c r="I475" s="0" t="str">
        <f aca="false">INDEX(JE_Lines!$J$5:$J$1733,MATCH(A475,JE_Lines!$B$5:$B$1733,0))</f>
        <v>System</v>
      </c>
      <c r="J475" s="0" t="str">
        <f aca="false">IF(LEN(INDEX(JE_Lines!$K$5:$K$1733,MATCH(A475,JE_Lines!$B$5:$B$1733,0)))=0,"",INDEX(JE_Lines!$K$5:$K$1733,MATCH(A475,JE_Lines!$B$5:$B$1733,0)))</f>
        <v>Customer receipts</v>
      </c>
      <c r="K475" s="9" t="n">
        <f aca="false">F475-G475</f>
        <v>2</v>
      </c>
      <c r="L475" s="9" t="n">
        <f aca="false">COUNTIFS(JE_Lines!$B$5:$B$1733,A475,JE_Lines!$F$5:$F$1733,"Revenue")</f>
        <v>0</v>
      </c>
      <c r="M475" s="9" t="n">
        <f aca="false">COUNTIFS(JE_Lines!$B$5:$B$1733,A475,JE_Lines!$F$5:$F$1733,"Suspense")</f>
        <v>0</v>
      </c>
      <c r="N475" s="9" t="n">
        <f aca="false">IF(ABS(E475)&gt;Parameters!$B$23,1,0)</f>
        <v>0</v>
      </c>
      <c r="O475" s="9" t="n">
        <f aca="false">IF(WEEKDAY(F475,2)&gt;5,1,0)</f>
        <v>0</v>
      </c>
      <c r="P475" s="9" t="n">
        <f aca="false">IF(K475&gt;Parameters!$B$17,1,0)</f>
        <v>0</v>
      </c>
      <c r="Q475" s="9" t="n">
        <f aca="false">IF(AND(F475&lt;=Parameters!$B$6,F475&gt;Parameters!$B$6-Parameters!$B$18),1,0)</f>
        <v>0</v>
      </c>
      <c r="R475" s="9" t="n">
        <f aca="false">IF(COUNTIF(Parameters!$A$51:$A$58,H475)=0,1,0)</f>
        <v>0</v>
      </c>
      <c r="S475" s="9" t="n">
        <f aca="false">IF(AND(I475="Manual",L475&gt;0),1,0)</f>
        <v>0</v>
      </c>
      <c r="T475" s="9" t="n">
        <f aca="false">IF(AND(C475&gt;=Parameters!$B$22,ROUND(MOD(ROUND(C475,2),Parameters!$B$21),2)=0),1,0)</f>
        <v>0</v>
      </c>
      <c r="U475" s="9" t="n">
        <f aca="false">IF(LEN(TRIM(J475))=0,1,0)</f>
        <v>0</v>
      </c>
      <c r="V475" s="9" t="n">
        <f aca="false">IF(AND(I475="Manual",C475&lt;Parameters!$B$19,C475&gt;=Parameters!$B$19*(1-Parameters!$B$20)),1,0)</f>
        <v>0</v>
      </c>
      <c r="W475" s="9" t="n">
        <f aca="false">IF(AND(I475="Manual",M475&gt;0),1,0)</f>
        <v>0</v>
      </c>
      <c r="X475" s="9" t="n">
        <f aca="false">IF(A475-A474&gt;1,1,0)</f>
        <v>0</v>
      </c>
      <c r="Y475" s="9" t="n">
        <f aca="false">N475*Parameters!$B$38+O475*Parameters!$B$39+P475*Parameters!$B$40+Q475*Parameters!$B$41+R475*Parameters!$B$42+S475*Parameters!$B$43+T475*Parameters!$B$44+U475*Parameters!$B$45+V475*Parameters!$B$46+W475*Parameters!$B$47+X475*Parameters!$B$48</f>
        <v>0</v>
      </c>
      <c r="Z475" s="0" t="str">
        <f aca="false">IF(Y475&gt;=Parameters!$B$25,"High","")</f>
        <v/>
      </c>
    </row>
    <row r="476" customFormat="false" ht="15" hidden="false" customHeight="false" outlineLevel="0" collapsed="false">
      <c r="A476" s="16" t="n">
        <v>1480</v>
      </c>
      <c r="B476" s="9" t="n">
        <f aca="false">COUNTIF(JE_Lines!$B$5:$B$1733,A476)</f>
        <v>2</v>
      </c>
      <c r="C476" s="17" t="n">
        <f aca="false">SUMIFS(JE_Lines!$G$5:$G$1733,JE_Lines!$B$5:$B$1733,A476)</f>
        <v>57800.4</v>
      </c>
      <c r="D476" s="17" t="n">
        <f aca="false">SUMIFS(JE_Lines!$H$5:$H$1733,JE_Lines!$B$5:$B$1733,A476)</f>
        <v>57800.4</v>
      </c>
      <c r="E476" s="17" t="n">
        <f aca="false">C476-D476</f>
        <v>0</v>
      </c>
      <c r="F476" s="18" t="n">
        <f aca="false">INDEX(JE_Lines!$C$5:$C$1733,MATCH(A476,JE_Lines!$B$5:$B$1733,0))</f>
        <v>45868</v>
      </c>
      <c r="G476" s="18" t="n">
        <f aca="false">INDEX(JE_Lines!$D$5:$D$1733,MATCH(A476,JE_Lines!$B$5:$B$1733,0))</f>
        <v>45866</v>
      </c>
      <c r="H476" s="0" t="str">
        <f aca="false">INDEX(JE_Lines!$I$5:$I$1733,MATCH(A476,JE_Lines!$B$5:$B$1733,0))</f>
        <v>FIN04</v>
      </c>
      <c r="I476" s="0" t="str">
        <f aca="false">INDEX(JE_Lines!$J$5:$J$1733,MATCH(A476,JE_Lines!$B$5:$B$1733,0))</f>
        <v>Manual</v>
      </c>
      <c r="J476" s="0" t="str">
        <f aca="false">IF(LEN(INDEX(JE_Lines!$K$5:$K$1733,MATCH(A476,JE_Lines!$B$5:$B$1733,0)))=0,"",INDEX(JE_Lines!$K$5:$K$1733,MATCH(A476,JE_Lines!$B$5:$B$1733,0)))</f>
        <v>Accrual reversal</v>
      </c>
      <c r="K476" s="9" t="n">
        <f aca="false">F476-G476</f>
        <v>2</v>
      </c>
      <c r="L476" s="9" t="n">
        <f aca="false">COUNTIFS(JE_Lines!$B$5:$B$1733,A476,JE_Lines!$F$5:$F$1733,"Revenue")</f>
        <v>0</v>
      </c>
      <c r="M476" s="9" t="n">
        <f aca="false">COUNTIFS(JE_Lines!$B$5:$B$1733,A476,JE_Lines!$F$5:$F$1733,"Suspense")</f>
        <v>0</v>
      </c>
      <c r="N476" s="9" t="n">
        <f aca="false">IF(ABS(E476)&gt;Parameters!$B$23,1,0)</f>
        <v>0</v>
      </c>
      <c r="O476" s="9" t="n">
        <f aca="false">IF(WEEKDAY(F476,2)&gt;5,1,0)</f>
        <v>0</v>
      </c>
      <c r="P476" s="9" t="n">
        <f aca="false">IF(K476&gt;Parameters!$B$17,1,0)</f>
        <v>0</v>
      </c>
      <c r="Q476" s="9" t="n">
        <f aca="false">IF(AND(F476&lt;=Parameters!$B$6,F476&gt;Parameters!$B$6-Parameters!$B$18),1,0)</f>
        <v>0</v>
      </c>
      <c r="R476" s="9" t="n">
        <f aca="false">IF(COUNTIF(Parameters!$A$51:$A$58,H476)=0,1,0)</f>
        <v>0</v>
      </c>
      <c r="S476" s="9" t="n">
        <f aca="false">IF(AND(I476="Manual",L476&gt;0),1,0)</f>
        <v>0</v>
      </c>
      <c r="T476" s="9" t="n">
        <f aca="false">IF(AND(C476&gt;=Parameters!$B$22,ROUND(MOD(ROUND(C476,2),Parameters!$B$21),2)=0),1,0)</f>
        <v>0</v>
      </c>
      <c r="U476" s="9" t="n">
        <f aca="false">IF(LEN(TRIM(J476))=0,1,0)</f>
        <v>0</v>
      </c>
      <c r="V476" s="9" t="n">
        <f aca="false">IF(AND(I476="Manual",C476&lt;Parameters!$B$19,C476&gt;=Parameters!$B$19*(1-Parameters!$B$20)),1,0)</f>
        <v>0</v>
      </c>
      <c r="W476" s="9" t="n">
        <f aca="false">IF(AND(I476="Manual",M476&gt;0),1,0)</f>
        <v>0</v>
      </c>
      <c r="X476" s="9" t="n">
        <f aca="false">IF(A476-A475&gt;1,1,0)</f>
        <v>0</v>
      </c>
      <c r="Y476" s="9" t="n">
        <f aca="false">N476*Parameters!$B$38+O476*Parameters!$B$39+P476*Parameters!$B$40+Q476*Parameters!$B$41+R476*Parameters!$B$42+S476*Parameters!$B$43+T476*Parameters!$B$44+U476*Parameters!$B$45+V476*Parameters!$B$46+W476*Parameters!$B$47+X476*Parameters!$B$48</f>
        <v>0</v>
      </c>
      <c r="Z476" s="0" t="str">
        <f aca="false">IF(Y476&gt;=Parameters!$B$25,"High","")</f>
        <v/>
      </c>
    </row>
    <row r="477" customFormat="false" ht="15" hidden="false" customHeight="false" outlineLevel="0" collapsed="false">
      <c r="A477" s="16" t="n">
        <v>1481</v>
      </c>
      <c r="B477" s="9" t="n">
        <f aca="false">COUNTIF(JE_Lines!$B$5:$B$1733,A477)</f>
        <v>3</v>
      </c>
      <c r="C477" s="17" t="n">
        <f aca="false">SUMIFS(JE_Lines!$G$5:$G$1733,JE_Lines!$B$5:$B$1733,A477)</f>
        <v>38582.39</v>
      </c>
      <c r="D477" s="17" t="n">
        <f aca="false">SUMIFS(JE_Lines!$H$5:$H$1733,JE_Lines!$B$5:$B$1733,A477)</f>
        <v>38582.39</v>
      </c>
      <c r="E477" s="17" t="n">
        <f aca="false">C477-D477</f>
        <v>0</v>
      </c>
      <c r="F477" s="18" t="n">
        <f aca="false">INDEX(JE_Lines!$C$5:$C$1733,MATCH(A477,JE_Lines!$B$5:$B$1733,0))</f>
        <v>45868</v>
      </c>
      <c r="G477" s="18" t="n">
        <f aca="false">INDEX(JE_Lines!$D$5:$D$1733,MATCH(A477,JE_Lines!$B$5:$B$1733,0))</f>
        <v>45864</v>
      </c>
      <c r="H477" s="0" t="str">
        <f aca="false">INDEX(JE_Lines!$I$5:$I$1733,MATCH(A477,JE_Lines!$B$5:$B$1733,0))</f>
        <v>SYS_AP</v>
      </c>
      <c r="I477" s="0" t="str">
        <f aca="false">INDEX(JE_Lines!$J$5:$J$1733,MATCH(A477,JE_Lines!$B$5:$B$1733,0))</f>
        <v>System</v>
      </c>
      <c r="J477" s="0" t="str">
        <f aca="false">IF(LEN(INDEX(JE_Lines!$K$5:$K$1733,MATCH(A477,JE_Lines!$B$5:$B$1733,0)))=0,"",INDEX(JE_Lines!$K$5:$K$1733,MATCH(A477,JE_Lines!$B$5:$B$1733,0)))</f>
        <v>Supplier invoices</v>
      </c>
      <c r="K477" s="9" t="n">
        <f aca="false">F477-G477</f>
        <v>4</v>
      </c>
      <c r="L477" s="9" t="n">
        <f aca="false">COUNTIFS(JE_Lines!$B$5:$B$1733,A477,JE_Lines!$F$5:$F$1733,"Revenue")</f>
        <v>0</v>
      </c>
      <c r="M477" s="9" t="n">
        <f aca="false">COUNTIFS(JE_Lines!$B$5:$B$1733,A477,JE_Lines!$F$5:$F$1733,"Suspense")</f>
        <v>0</v>
      </c>
      <c r="N477" s="9" t="n">
        <f aca="false">IF(ABS(E477)&gt;Parameters!$B$23,1,0)</f>
        <v>0</v>
      </c>
      <c r="O477" s="9" t="n">
        <f aca="false">IF(WEEKDAY(F477,2)&gt;5,1,0)</f>
        <v>0</v>
      </c>
      <c r="P477" s="9" t="n">
        <f aca="false">IF(K477&gt;Parameters!$B$17,1,0)</f>
        <v>0</v>
      </c>
      <c r="Q477" s="9" t="n">
        <f aca="false">IF(AND(F477&lt;=Parameters!$B$6,F477&gt;Parameters!$B$6-Parameters!$B$18),1,0)</f>
        <v>0</v>
      </c>
      <c r="R477" s="9" t="n">
        <f aca="false">IF(COUNTIF(Parameters!$A$51:$A$58,H477)=0,1,0)</f>
        <v>0</v>
      </c>
      <c r="S477" s="9" t="n">
        <f aca="false">IF(AND(I477="Manual",L477&gt;0),1,0)</f>
        <v>0</v>
      </c>
      <c r="T477" s="9" t="n">
        <f aca="false">IF(AND(C477&gt;=Parameters!$B$22,ROUND(MOD(ROUND(C477,2),Parameters!$B$21),2)=0),1,0)</f>
        <v>0</v>
      </c>
      <c r="U477" s="9" t="n">
        <f aca="false">IF(LEN(TRIM(J477))=0,1,0)</f>
        <v>0</v>
      </c>
      <c r="V477" s="9" t="n">
        <f aca="false">IF(AND(I477="Manual",C477&lt;Parameters!$B$19,C477&gt;=Parameters!$B$19*(1-Parameters!$B$20)),1,0)</f>
        <v>0</v>
      </c>
      <c r="W477" s="9" t="n">
        <f aca="false">IF(AND(I477="Manual",M477&gt;0),1,0)</f>
        <v>0</v>
      </c>
      <c r="X477" s="9" t="n">
        <f aca="false">IF(A477-A476&gt;1,1,0)</f>
        <v>0</v>
      </c>
      <c r="Y477" s="9" t="n">
        <f aca="false">N477*Parameters!$B$38+O477*Parameters!$B$39+P477*Parameters!$B$40+Q477*Parameters!$B$41+R477*Parameters!$B$42+S477*Parameters!$B$43+T477*Parameters!$B$44+U477*Parameters!$B$45+V477*Parameters!$B$46+W477*Parameters!$B$47+X477*Parameters!$B$48</f>
        <v>0</v>
      </c>
      <c r="Z477" s="0" t="str">
        <f aca="false">IF(Y477&gt;=Parameters!$B$25,"High","")</f>
        <v/>
      </c>
    </row>
    <row r="478" customFormat="false" ht="15" hidden="false" customHeight="false" outlineLevel="0" collapsed="false">
      <c r="A478" s="16" t="n">
        <v>1482</v>
      </c>
      <c r="B478" s="9" t="n">
        <f aca="false">COUNTIF(JE_Lines!$B$5:$B$1733,A478)</f>
        <v>2</v>
      </c>
      <c r="C478" s="17" t="n">
        <f aca="false">SUMIFS(JE_Lines!$G$5:$G$1733,JE_Lines!$B$5:$B$1733,A478)</f>
        <v>332.9</v>
      </c>
      <c r="D478" s="17" t="n">
        <f aca="false">SUMIFS(JE_Lines!$H$5:$H$1733,JE_Lines!$B$5:$B$1733,A478)</f>
        <v>332.9</v>
      </c>
      <c r="E478" s="17" t="n">
        <f aca="false">C478-D478</f>
        <v>0</v>
      </c>
      <c r="F478" s="18" t="n">
        <f aca="false">INDEX(JE_Lines!$C$5:$C$1733,MATCH(A478,JE_Lines!$B$5:$B$1733,0))</f>
        <v>45868</v>
      </c>
      <c r="G478" s="18" t="n">
        <f aca="false">INDEX(JE_Lines!$D$5:$D$1733,MATCH(A478,JE_Lines!$B$5:$B$1733,0))</f>
        <v>45866</v>
      </c>
      <c r="H478" s="0" t="str">
        <f aca="false">INDEX(JE_Lines!$I$5:$I$1733,MATCH(A478,JE_Lines!$B$5:$B$1733,0))</f>
        <v>SYS_AR</v>
      </c>
      <c r="I478" s="0" t="str">
        <f aca="false">INDEX(JE_Lines!$J$5:$J$1733,MATCH(A478,JE_Lines!$B$5:$B$1733,0))</f>
        <v>System</v>
      </c>
      <c r="J478" s="0" t="str">
        <f aca="false">IF(LEN(INDEX(JE_Lines!$K$5:$K$1733,MATCH(A478,JE_Lines!$B$5:$B$1733,0)))=0,"",INDEX(JE_Lines!$K$5:$K$1733,MATCH(A478,JE_Lines!$B$5:$B$1733,0)))</f>
        <v>Sales invoice batch</v>
      </c>
      <c r="K478" s="9" t="n">
        <f aca="false">F478-G478</f>
        <v>2</v>
      </c>
      <c r="L478" s="9" t="n">
        <f aca="false">COUNTIFS(JE_Lines!$B$5:$B$1733,A478,JE_Lines!$F$5:$F$1733,"Revenue")</f>
        <v>1</v>
      </c>
      <c r="M478" s="9" t="n">
        <f aca="false">COUNTIFS(JE_Lines!$B$5:$B$1733,A478,JE_Lines!$F$5:$F$1733,"Suspense")</f>
        <v>0</v>
      </c>
      <c r="N478" s="9" t="n">
        <f aca="false">IF(ABS(E478)&gt;Parameters!$B$23,1,0)</f>
        <v>0</v>
      </c>
      <c r="O478" s="9" t="n">
        <f aca="false">IF(WEEKDAY(F478,2)&gt;5,1,0)</f>
        <v>0</v>
      </c>
      <c r="P478" s="9" t="n">
        <f aca="false">IF(K478&gt;Parameters!$B$17,1,0)</f>
        <v>0</v>
      </c>
      <c r="Q478" s="9" t="n">
        <f aca="false">IF(AND(F478&lt;=Parameters!$B$6,F478&gt;Parameters!$B$6-Parameters!$B$18),1,0)</f>
        <v>0</v>
      </c>
      <c r="R478" s="9" t="n">
        <f aca="false">IF(COUNTIF(Parameters!$A$51:$A$58,H478)=0,1,0)</f>
        <v>0</v>
      </c>
      <c r="S478" s="9" t="n">
        <f aca="false">IF(AND(I478="Manual",L478&gt;0),1,0)</f>
        <v>0</v>
      </c>
      <c r="T478" s="9" t="n">
        <f aca="false">IF(AND(C478&gt;=Parameters!$B$22,ROUND(MOD(ROUND(C478,2),Parameters!$B$21),2)=0),1,0)</f>
        <v>0</v>
      </c>
      <c r="U478" s="9" t="n">
        <f aca="false">IF(LEN(TRIM(J478))=0,1,0)</f>
        <v>0</v>
      </c>
      <c r="V478" s="9" t="n">
        <f aca="false">IF(AND(I478="Manual",C478&lt;Parameters!$B$19,C478&gt;=Parameters!$B$19*(1-Parameters!$B$20)),1,0)</f>
        <v>0</v>
      </c>
      <c r="W478" s="9" t="n">
        <f aca="false">IF(AND(I478="Manual",M478&gt;0),1,0)</f>
        <v>0</v>
      </c>
      <c r="X478" s="9" t="n">
        <f aca="false">IF(A478-A477&gt;1,1,0)</f>
        <v>0</v>
      </c>
      <c r="Y478" s="9" t="n">
        <f aca="false">N478*Parameters!$B$38+O478*Parameters!$B$39+P478*Parameters!$B$40+Q478*Parameters!$B$41+R478*Parameters!$B$42+S478*Parameters!$B$43+T478*Parameters!$B$44+U478*Parameters!$B$45+V478*Parameters!$B$46+W478*Parameters!$B$47+X478*Parameters!$B$48</f>
        <v>0</v>
      </c>
      <c r="Z478" s="0" t="str">
        <f aca="false">IF(Y478&gt;=Parameters!$B$25,"High","")</f>
        <v/>
      </c>
    </row>
    <row r="479" customFormat="false" ht="15" hidden="false" customHeight="false" outlineLevel="0" collapsed="false">
      <c r="A479" s="16" t="n">
        <v>1483</v>
      </c>
      <c r="B479" s="9" t="n">
        <f aca="false">COUNTIF(JE_Lines!$B$5:$B$1733,A479)</f>
        <v>3</v>
      </c>
      <c r="C479" s="17" t="n">
        <f aca="false">SUMIFS(JE_Lines!$G$5:$G$1733,JE_Lines!$B$5:$B$1733,A479)</f>
        <v>665.59</v>
      </c>
      <c r="D479" s="17" t="n">
        <f aca="false">SUMIFS(JE_Lines!$H$5:$H$1733,JE_Lines!$B$5:$B$1733,A479)</f>
        <v>665.59</v>
      </c>
      <c r="E479" s="17" t="n">
        <f aca="false">C479-D479</f>
        <v>0</v>
      </c>
      <c r="F479" s="18" t="n">
        <f aca="false">INDEX(JE_Lines!$C$5:$C$1733,MATCH(A479,JE_Lines!$B$5:$B$1733,0))</f>
        <v>45868</v>
      </c>
      <c r="G479" s="18" t="n">
        <f aca="false">INDEX(JE_Lines!$D$5:$D$1733,MATCH(A479,JE_Lines!$B$5:$B$1733,0))</f>
        <v>45865</v>
      </c>
      <c r="H479" s="0" t="str">
        <f aca="false">INDEX(JE_Lines!$I$5:$I$1733,MATCH(A479,JE_Lines!$B$5:$B$1733,0))</f>
        <v>SYS_AR</v>
      </c>
      <c r="I479" s="0" t="str">
        <f aca="false">INDEX(JE_Lines!$J$5:$J$1733,MATCH(A479,JE_Lines!$B$5:$B$1733,0))</f>
        <v>System</v>
      </c>
      <c r="J479" s="0" t="str">
        <f aca="false">IF(LEN(INDEX(JE_Lines!$K$5:$K$1733,MATCH(A479,JE_Lines!$B$5:$B$1733,0)))=0,"",INDEX(JE_Lines!$K$5:$K$1733,MATCH(A479,JE_Lines!$B$5:$B$1733,0)))</f>
        <v>Customer receipts</v>
      </c>
      <c r="K479" s="9" t="n">
        <f aca="false">F479-G479</f>
        <v>3</v>
      </c>
      <c r="L479" s="9" t="n">
        <f aca="false">COUNTIFS(JE_Lines!$B$5:$B$1733,A479,JE_Lines!$F$5:$F$1733,"Revenue")</f>
        <v>0</v>
      </c>
      <c r="M479" s="9" t="n">
        <f aca="false">COUNTIFS(JE_Lines!$B$5:$B$1733,A479,JE_Lines!$F$5:$F$1733,"Suspense")</f>
        <v>0</v>
      </c>
      <c r="N479" s="9" t="n">
        <f aca="false">IF(ABS(E479)&gt;Parameters!$B$23,1,0)</f>
        <v>0</v>
      </c>
      <c r="O479" s="9" t="n">
        <f aca="false">IF(WEEKDAY(F479,2)&gt;5,1,0)</f>
        <v>0</v>
      </c>
      <c r="P479" s="9" t="n">
        <f aca="false">IF(K479&gt;Parameters!$B$17,1,0)</f>
        <v>0</v>
      </c>
      <c r="Q479" s="9" t="n">
        <f aca="false">IF(AND(F479&lt;=Parameters!$B$6,F479&gt;Parameters!$B$6-Parameters!$B$18),1,0)</f>
        <v>0</v>
      </c>
      <c r="R479" s="9" t="n">
        <f aca="false">IF(COUNTIF(Parameters!$A$51:$A$58,H479)=0,1,0)</f>
        <v>0</v>
      </c>
      <c r="S479" s="9" t="n">
        <f aca="false">IF(AND(I479="Manual",L479&gt;0),1,0)</f>
        <v>0</v>
      </c>
      <c r="T479" s="9" t="n">
        <f aca="false">IF(AND(C479&gt;=Parameters!$B$22,ROUND(MOD(ROUND(C479,2),Parameters!$B$21),2)=0),1,0)</f>
        <v>0</v>
      </c>
      <c r="U479" s="9" t="n">
        <f aca="false">IF(LEN(TRIM(J479))=0,1,0)</f>
        <v>0</v>
      </c>
      <c r="V479" s="9" t="n">
        <f aca="false">IF(AND(I479="Manual",C479&lt;Parameters!$B$19,C479&gt;=Parameters!$B$19*(1-Parameters!$B$20)),1,0)</f>
        <v>0</v>
      </c>
      <c r="W479" s="9" t="n">
        <f aca="false">IF(AND(I479="Manual",M479&gt;0),1,0)</f>
        <v>0</v>
      </c>
      <c r="X479" s="9" t="n">
        <f aca="false">IF(A479-A478&gt;1,1,0)</f>
        <v>0</v>
      </c>
      <c r="Y479" s="9" t="n">
        <f aca="false">N479*Parameters!$B$38+O479*Parameters!$B$39+P479*Parameters!$B$40+Q479*Parameters!$B$41+R479*Parameters!$B$42+S479*Parameters!$B$43+T479*Parameters!$B$44+U479*Parameters!$B$45+V479*Parameters!$B$46+W479*Parameters!$B$47+X479*Parameters!$B$48</f>
        <v>0</v>
      </c>
      <c r="Z479" s="0" t="str">
        <f aca="false">IF(Y479&gt;=Parameters!$B$25,"High","")</f>
        <v/>
      </c>
    </row>
    <row r="480" customFormat="false" ht="15" hidden="false" customHeight="false" outlineLevel="0" collapsed="false">
      <c r="A480" s="16" t="n">
        <v>1484</v>
      </c>
      <c r="B480" s="9" t="n">
        <f aca="false">COUNTIF(JE_Lines!$B$5:$B$1733,A480)</f>
        <v>2</v>
      </c>
      <c r="C480" s="17" t="n">
        <f aca="false">SUMIFS(JE_Lines!$G$5:$G$1733,JE_Lines!$B$5:$B$1733,A480)</f>
        <v>228.11</v>
      </c>
      <c r="D480" s="17" t="n">
        <f aca="false">SUMIFS(JE_Lines!$H$5:$H$1733,JE_Lines!$B$5:$B$1733,A480)</f>
        <v>228.11</v>
      </c>
      <c r="E480" s="17" t="n">
        <f aca="false">C480-D480</f>
        <v>0</v>
      </c>
      <c r="F480" s="18" t="n">
        <f aca="false">INDEX(JE_Lines!$C$5:$C$1733,MATCH(A480,JE_Lines!$B$5:$B$1733,0))</f>
        <v>45869</v>
      </c>
      <c r="G480" s="18" t="n">
        <f aca="false">INDEX(JE_Lines!$D$5:$D$1733,MATCH(A480,JE_Lines!$B$5:$B$1733,0))</f>
        <v>45867</v>
      </c>
      <c r="H480" s="0" t="str">
        <f aca="false">INDEX(JE_Lines!$I$5:$I$1733,MATCH(A480,JE_Lines!$B$5:$B$1733,0))</f>
        <v>SYS_AR</v>
      </c>
      <c r="I480" s="0" t="str">
        <f aca="false">INDEX(JE_Lines!$J$5:$J$1733,MATCH(A480,JE_Lines!$B$5:$B$1733,0))</f>
        <v>System</v>
      </c>
      <c r="J480" s="0" t="str">
        <f aca="false">IF(LEN(INDEX(JE_Lines!$K$5:$K$1733,MATCH(A480,JE_Lines!$B$5:$B$1733,0)))=0,"",INDEX(JE_Lines!$K$5:$K$1733,MATCH(A480,JE_Lines!$B$5:$B$1733,0)))</f>
        <v>Customer receipts</v>
      </c>
      <c r="K480" s="9" t="n">
        <f aca="false">F480-G480</f>
        <v>2</v>
      </c>
      <c r="L480" s="9" t="n">
        <f aca="false">COUNTIFS(JE_Lines!$B$5:$B$1733,A480,JE_Lines!$F$5:$F$1733,"Revenue")</f>
        <v>0</v>
      </c>
      <c r="M480" s="9" t="n">
        <f aca="false">COUNTIFS(JE_Lines!$B$5:$B$1733,A480,JE_Lines!$F$5:$F$1733,"Suspense")</f>
        <v>0</v>
      </c>
      <c r="N480" s="9" t="n">
        <f aca="false">IF(ABS(E480)&gt;Parameters!$B$23,1,0)</f>
        <v>0</v>
      </c>
      <c r="O480" s="9" t="n">
        <f aca="false">IF(WEEKDAY(F480,2)&gt;5,1,0)</f>
        <v>0</v>
      </c>
      <c r="P480" s="9" t="n">
        <f aca="false">IF(K480&gt;Parameters!$B$17,1,0)</f>
        <v>0</v>
      </c>
      <c r="Q480" s="9" t="n">
        <f aca="false">IF(AND(F480&lt;=Parameters!$B$6,F480&gt;Parameters!$B$6-Parameters!$B$18),1,0)</f>
        <v>0</v>
      </c>
      <c r="R480" s="9" t="n">
        <f aca="false">IF(COUNTIF(Parameters!$A$51:$A$58,H480)=0,1,0)</f>
        <v>0</v>
      </c>
      <c r="S480" s="9" t="n">
        <f aca="false">IF(AND(I480="Manual",L480&gt;0),1,0)</f>
        <v>0</v>
      </c>
      <c r="T480" s="9" t="n">
        <f aca="false">IF(AND(C480&gt;=Parameters!$B$22,ROUND(MOD(ROUND(C480,2),Parameters!$B$21),2)=0),1,0)</f>
        <v>0</v>
      </c>
      <c r="U480" s="9" t="n">
        <f aca="false">IF(LEN(TRIM(J480))=0,1,0)</f>
        <v>0</v>
      </c>
      <c r="V480" s="9" t="n">
        <f aca="false">IF(AND(I480="Manual",C480&lt;Parameters!$B$19,C480&gt;=Parameters!$B$19*(1-Parameters!$B$20)),1,0)</f>
        <v>0</v>
      </c>
      <c r="W480" s="9" t="n">
        <f aca="false">IF(AND(I480="Manual",M480&gt;0),1,0)</f>
        <v>0</v>
      </c>
      <c r="X480" s="9" t="n">
        <f aca="false">IF(A480-A479&gt;1,1,0)</f>
        <v>0</v>
      </c>
      <c r="Y480" s="9" t="n">
        <f aca="false">N480*Parameters!$B$38+O480*Parameters!$B$39+P480*Parameters!$B$40+Q480*Parameters!$B$41+R480*Parameters!$B$42+S480*Parameters!$B$43+T480*Parameters!$B$44+U480*Parameters!$B$45+V480*Parameters!$B$46+W480*Parameters!$B$47+X480*Parameters!$B$48</f>
        <v>0</v>
      </c>
      <c r="Z480" s="0" t="str">
        <f aca="false">IF(Y480&gt;=Parameters!$B$25,"High","")</f>
        <v/>
      </c>
    </row>
    <row r="481" customFormat="false" ht="15" hidden="false" customHeight="false" outlineLevel="0" collapsed="false">
      <c r="A481" s="16" t="n">
        <v>1485</v>
      </c>
      <c r="B481" s="9" t="n">
        <f aca="false">COUNTIF(JE_Lines!$B$5:$B$1733,A481)</f>
        <v>2</v>
      </c>
      <c r="C481" s="17" t="n">
        <f aca="false">SUMIFS(JE_Lines!$G$5:$G$1733,JE_Lines!$B$5:$B$1733,A481)</f>
        <v>47330.31</v>
      </c>
      <c r="D481" s="17" t="n">
        <f aca="false">SUMIFS(JE_Lines!$H$5:$H$1733,JE_Lines!$B$5:$B$1733,A481)</f>
        <v>47330.31</v>
      </c>
      <c r="E481" s="17" t="n">
        <f aca="false">C481-D481</f>
        <v>0</v>
      </c>
      <c r="F481" s="18" t="n">
        <f aca="false">INDEX(JE_Lines!$C$5:$C$1733,MATCH(A481,JE_Lines!$B$5:$B$1733,0))</f>
        <v>45869</v>
      </c>
      <c r="G481" s="18" t="n">
        <f aca="false">INDEX(JE_Lines!$D$5:$D$1733,MATCH(A481,JE_Lines!$B$5:$B$1733,0))</f>
        <v>45868</v>
      </c>
      <c r="H481" s="0" t="str">
        <f aca="false">INDEX(JE_Lines!$I$5:$I$1733,MATCH(A481,JE_Lines!$B$5:$B$1733,0))</f>
        <v>FIN03</v>
      </c>
      <c r="I481" s="0" t="str">
        <f aca="false">INDEX(JE_Lines!$J$5:$J$1733,MATCH(A481,JE_Lines!$B$5:$B$1733,0))</f>
        <v>Manual</v>
      </c>
      <c r="J481" s="0" t="str">
        <f aca="false">IF(LEN(INDEX(JE_Lines!$K$5:$K$1733,MATCH(A481,JE_Lines!$B$5:$B$1733,0)))=0,"",INDEX(JE_Lines!$K$5:$K$1733,MATCH(A481,JE_Lines!$B$5:$B$1733,0)))</f>
        <v>Accrual for sundry costs</v>
      </c>
      <c r="K481" s="9" t="n">
        <f aca="false">F481-G481</f>
        <v>1</v>
      </c>
      <c r="L481" s="9" t="n">
        <f aca="false">COUNTIFS(JE_Lines!$B$5:$B$1733,A481,JE_Lines!$F$5:$F$1733,"Revenue")</f>
        <v>0</v>
      </c>
      <c r="M481" s="9" t="n">
        <f aca="false">COUNTIFS(JE_Lines!$B$5:$B$1733,A481,JE_Lines!$F$5:$F$1733,"Suspense")</f>
        <v>0</v>
      </c>
      <c r="N481" s="9" t="n">
        <f aca="false">IF(ABS(E481)&gt;Parameters!$B$23,1,0)</f>
        <v>0</v>
      </c>
      <c r="O481" s="9" t="n">
        <f aca="false">IF(WEEKDAY(F481,2)&gt;5,1,0)</f>
        <v>0</v>
      </c>
      <c r="P481" s="9" t="n">
        <f aca="false">IF(K481&gt;Parameters!$B$17,1,0)</f>
        <v>0</v>
      </c>
      <c r="Q481" s="9" t="n">
        <f aca="false">IF(AND(F481&lt;=Parameters!$B$6,F481&gt;Parameters!$B$6-Parameters!$B$18),1,0)</f>
        <v>0</v>
      </c>
      <c r="R481" s="9" t="n">
        <f aca="false">IF(COUNTIF(Parameters!$A$51:$A$58,H481)=0,1,0)</f>
        <v>0</v>
      </c>
      <c r="S481" s="9" t="n">
        <f aca="false">IF(AND(I481="Manual",L481&gt;0),1,0)</f>
        <v>0</v>
      </c>
      <c r="T481" s="9" t="n">
        <f aca="false">IF(AND(C481&gt;=Parameters!$B$22,ROUND(MOD(ROUND(C481,2),Parameters!$B$21),2)=0),1,0)</f>
        <v>0</v>
      </c>
      <c r="U481" s="9" t="n">
        <f aca="false">IF(LEN(TRIM(J481))=0,1,0)</f>
        <v>0</v>
      </c>
      <c r="V481" s="9" t="n">
        <f aca="false">IF(AND(I481="Manual",C481&lt;Parameters!$B$19,C481&gt;=Parameters!$B$19*(1-Parameters!$B$20)),1,0)</f>
        <v>0</v>
      </c>
      <c r="W481" s="9" t="n">
        <f aca="false">IF(AND(I481="Manual",M481&gt;0),1,0)</f>
        <v>0</v>
      </c>
      <c r="X481" s="9" t="n">
        <f aca="false">IF(A481-A480&gt;1,1,0)</f>
        <v>0</v>
      </c>
      <c r="Y481" s="9" t="n">
        <f aca="false">N481*Parameters!$B$38+O481*Parameters!$B$39+P481*Parameters!$B$40+Q481*Parameters!$B$41+R481*Parameters!$B$42+S481*Parameters!$B$43+T481*Parameters!$B$44+U481*Parameters!$B$45+V481*Parameters!$B$46+W481*Parameters!$B$47+X481*Parameters!$B$48</f>
        <v>0</v>
      </c>
      <c r="Z481" s="0" t="str">
        <f aca="false">IF(Y481&gt;=Parameters!$B$25,"High","")</f>
        <v/>
      </c>
    </row>
    <row r="482" customFormat="false" ht="15" hidden="false" customHeight="false" outlineLevel="0" collapsed="false">
      <c r="A482" s="16" t="n">
        <v>1486</v>
      </c>
      <c r="B482" s="9" t="n">
        <f aca="false">COUNTIF(JE_Lines!$B$5:$B$1733,A482)</f>
        <v>2</v>
      </c>
      <c r="C482" s="17" t="n">
        <f aca="false">SUMIFS(JE_Lines!$G$5:$G$1733,JE_Lines!$B$5:$B$1733,A482)</f>
        <v>763.56</v>
      </c>
      <c r="D482" s="17" t="n">
        <f aca="false">SUMIFS(JE_Lines!$H$5:$H$1733,JE_Lines!$B$5:$B$1733,A482)</f>
        <v>763.56</v>
      </c>
      <c r="E482" s="17" t="n">
        <f aca="false">C482-D482</f>
        <v>0</v>
      </c>
      <c r="F482" s="18" t="n">
        <f aca="false">INDEX(JE_Lines!$C$5:$C$1733,MATCH(A482,JE_Lines!$B$5:$B$1733,0))</f>
        <v>45869</v>
      </c>
      <c r="G482" s="18" t="n">
        <f aca="false">INDEX(JE_Lines!$D$5:$D$1733,MATCH(A482,JE_Lines!$B$5:$B$1733,0))</f>
        <v>45867</v>
      </c>
      <c r="H482" s="0" t="str">
        <f aca="false">INDEX(JE_Lines!$I$5:$I$1733,MATCH(A482,JE_Lines!$B$5:$B$1733,0))</f>
        <v>SYS_AP</v>
      </c>
      <c r="I482" s="0" t="str">
        <f aca="false">INDEX(JE_Lines!$J$5:$J$1733,MATCH(A482,JE_Lines!$B$5:$B$1733,0))</f>
        <v>System</v>
      </c>
      <c r="J482" s="0" t="str">
        <f aca="false">IF(LEN(INDEX(JE_Lines!$K$5:$K$1733,MATCH(A482,JE_Lines!$B$5:$B$1733,0)))=0,"",INDEX(JE_Lines!$K$5:$K$1733,MATCH(A482,JE_Lines!$B$5:$B$1733,0)))</f>
        <v>Supplier invoices</v>
      </c>
      <c r="K482" s="9" t="n">
        <f aca="false">F482-G482</f>
        <v>2</v>
      </c>
      <c r="L482" s="9" t="n">
        <f aca="false">COUNTIFS(JE_Lines!$B$5:$B$1733,A482,JE_Lines!$F$5:$F$1733,"Revenue")</f>
        <v>0</v>
      </c>
      <c r="M482" s="9" t="n">
        <f aca="false">COUNTIFS(JE_Lines!$B$5:$B$1733,A482,JE_Lines!$F$5:$F$1733,"Suspense")</f>
        <v>0</v>
      </c>
      <c r="N482" s="9" t="n">
        <f aca="false">IF(ABS(E482)&gt;Parameters!$B$23,1,0)</f>
        <v>0</v>
      </c>
      <c r="O482" s="9" t="n">
        <f aca="false">IF(WEEKDAY(F482,2)&gt;5,1,0)</f>
        <v>0</v>
      </c>
      <c r="P482" s="9" t="n">
        <f aca="false">IF(K482&gt;Parameters!$B$17,1,0)</f>
        <v>0</v>
      </c>
      <c r="Q482" s="9" t="n">
        <f aca="false">IF(AND(F482&lt;=Parameters!$B$6,F482&gt;Parameters!$B$6-Parameters!$B$18),1,0)</f>
        <v>0</v>
      </c>
      <c r="R482" s="9" t="n">
        <f aca="false">IF(COUNTIF(Parameters!$A$51:$A$58,H482)=0,1,0)</f>
        <v>0</v>
      </c>
      <c r="S482" s="9" t="n">
        <f aca="false">IF(AND(I482="Manual",L482&gt;0),1,0)</f>
        <v>0</v>
      </c>
      <c r="T482" s="9" t="n">
        <f aca="false">IF(AND(C482&gt;=Parameters!$B$22,ROUND(MOD(ROUND(C482,2),Parameters!$B$21),2)=0),1,0)</f>
        <v>0</v>
      </c>
      <c r="U482" s="9" t="n">
        <f aca="false">IF(LEN(TRIM(J482))=0,1,0)</f>
        <v>0</v>
      </c>
      <c r="V482" s="9" t="n">
        <f aca="false">IF(AND(I482="Manual",C482&lt;Parameters!$B$19,C482&gt;=Parameters!$B$19*(1-Parameters!$B$20)),1,0)</f>
        <v>0</v>
      </c>
      <c r="W482" s="9" t="n">
        <f aca="false">IF(AND(I482="Manual",M482&gt;0),1,0)</f>
        <v>0</v>
      </c>
      <c r="X482" s="9" t="n">
        <f aca="false">IF(A482-A481&gt;1,1,0)</f>
        <v>0</v>
      </c>
      <c r="Y482" s="9" t="n">
        <f aca="false">N482*Parameters!$B$38+O482*Parameters!$B$39+P482*Parameters!$B$40+Q482*Parameters!$B$41+R482*Parameters!$B$42+S482*Parameters!$B$43+T482*Parameters!$B$44+U482*Parameters!$B$45+V482*Parameters!$B$46+W482*Parameters!$B$47+X482*Parameters!$B$48</f>
        <v>0</v>
      </c>
      <c r="Z482" s="0" t="str">
        <f aca="false">IF(Y482&gt;=Parameters!$B$25,"High","")</f>
        <v/>
      </c>
    </row>
    <row r="483" customFormat="false" ht="15" hidden="false" customHeight="false" outlineLevel="0" collapsed="false">
      <c r="A483" s="16" t="n">
        <v>1487</v>
      </c>
      <c r="B483" s="9" t="n">
        <f aca="false">COUNTIF(JE_Lines!$B$5:$B$1733,A483)</f>
        <v>2</v>
      </c>
      <c r="C483" s="17" t="n">
        <f aca="false">SUMIFS(JE_Lines!$G$5:$G$1733,JE_Lines!$B$5:$B$1733,A483)</f>
        <v>49816.84</v>
      </c>
      <c r="D483" s="17" t="n">
        <f aca="false">SUMIFS(JE_Lines!$H$5:$H$1733,JE_Lines!$B$5:$B$1733,A483)</f>
        <v>49816.84</v>
      </c>
      <c r="E483" s="17" t="n">
        <f aca="false">C483-D483</f>
        <v>0</v>
      </c>
      <c r="F483" s="18" t="n">
        <f aca="false">INDEX(JE_Lines!$C$5:$C$1733,MATCH(A483,JE_Lines!$B$5:$B$1733,0))</f>
        <v>45869</v>
      </c>
      <c r="G483" s="18" t="n">
        <f aca="false">INDEX(JE_Lines!$D$5:$D$1733,MATCH(A483,JE_Lines!$B$5:$B$1733,0))</f>
        <v>45869</v>
      </c>
      <c r="H483" s="0" t="str">
        <f aca="false">INDEX(JE_Lines!$I$5:$I$1733,MATCH(A483,JE_Lines!$B$5:$B$1733,0))</f>
        <v>FIN04</v>
      </c>
      <c r="I483" s="0" t="str">
        <f aca="false">INDEX(JE_Lines!$J$5:$J$1733,MATCH(A483,JE_Lines!$B$5:$B$1733,0))</f>
        <v>Manual</v>
      </c>
      <c r="J483" s="0" t="str">
        <f aca="false">IF(LEN(INDEX(JE_Lines!$K$5:$K$1733,MATCH(A483,JE_Lines!$B$5:$B$1733,0)))=0,"",INDEX(JE_Lines!$K$5:$K$1733,MATCH(A483,JE_Lines!$B$5:$B$1733,0)))</f>
        <v>Manual accrual 4</v>
      </c>
      <c r="K483" s="9" t="n">
        <f aca="false">F483-G483</f>
        <v>0</v>
      </c>
      <c r="L483" s="9" t="n">
        <f aca="false">COUNTIFS(JE_Lines!$B$5:$B$1733,A483,JE_Lines!$F$5:$F$1733,"Revenue")</f>
        <v>0</v>
      </c>
      <c r="M483" s="9" t="n">
        <f aca="false">COUNTIFS(JE_Lines!$B$5:$B$1733,A483,JE_Lines!$F$5:$F$1733,"Suspense")</f>
        <v>0</v>
      </c>
      <c r="N483" s="9" t="n">
        <f aca="false">IF(ABS(E483)&gt;Parameters!$B$23,1,0)</f>
        <v>0</v>
      </c>
      <c r="O483" s="9" t="n">
        <f aca="false">IF(WEEKDAY(F483,2)&gt;5,1,0)</f>
        <v>0</v>
      </c>
      <c r="P483" s="9" t="n">
        <f aca="false">IF(K483&gt;Parameters!$B$17,1,0)</f>
        <v>0</v>
      </c>
      <c r="Q483" s="9" t="n">
        <f aca="false">IF(AND(F483&lt;=Parameters!$B$6,F483&gt;Parameters!$B$6-Parameters!$B$18),1,0)</f>
        <v>0</v>
      </c>
      <c r="R483" s="9" t="n">
        <f aca="false">IF(COUNTIF(Parameters!$A$51:$A$58,H483)=0,1,0)</f>
        <v>0</v>
      </c>
      <c r="S483" s="9" t="n">
        <f aca="false">IF(AND(I483="Manual",L483&gt;0),1,0)</f>
        <v>0</v>
      </c>
      <c r="T483" s="9" t="n">
        <f aca="false">IF(AND(C483&gt;=Parameters!$B$22,ROUND(MOD(ROUND(C483,2),Parameters!$B$21),2)=0),1,0)</f>
        <v>0</v>
      </c>
      <c r="U483" s="9" t="n">
        <f aca="false">IF(LEN(TRIM(J483))=0,1,0)</f>
        <v>0</v>
      </c>
      <c r="V483" s="9" t="n">
        <f aca="false">IF(AND(I483="Manual",C483&lt;Parameters!$B$19,C483&gt;=Parameters!$B$19*(1-Parameters!$B$20)),1,0)</f>
        <v>1</v>
      </c>
      <c r="W483" s="9" t="n">
        <f aca="false">IF(AND(I483="Manual",M483&gt;0),1,0)</f>
        <v>0</v>
      </c>
      <c r="X483" s="9" t="n">
        <f aca="false">IF(A483-A482&gt;1,1,0)</f>
        <v>0</v>
      </c>
      <c r="Y483" s="9" t="n">
        <f aca="false">N483*Parameters!$B$38+O483*Parameters!$B$39+P483*Parameters!$B$40+Q483*Parameters!$B$41+R483*Parameters!$B$42+S483*Parameters!$B$43+T483*Parameters!$B$44+U483*Parameters!$B$45+V483*Parameters!$B$46+W483*Parameters!$B$47+X483*Parameters!$B$48</f>
        <v>3</v>
      </c>
      <c r="Z483" s="0" t="str">
        <f aca="false">IF(Y483&gt;=Parameters!$B$25,"High","")</f>
        <v/>
      </c>
    </row>
    <row r="484" customFormat="false" ht="15" hidden="false" customHeight="false" outlineLevel="0" collapsed="false">
      <c r="A484" s="16" t="n">
        <v>1488</v>
      </c>
      <c r="B484" s="9" t="n">
        <f aca="false">COUNTIF(JE_Lines!$B$5:$B$1733,A484)</f>
        <v>3</v>
      </c>
      <c r="C484" s="17" t="n">
        <f aca="false">SUMIFS(JE_Lines!$G$5:$G$1733,JE_Lines!$B$5:$B$1733,A484)</f>
        <v>1069.58</v>
      </c>
      <c r="D484" s="17" t="n">
        <f aca="false">SUMIFS(JE_Lines!$H$5:$H$1733,JE_Lines!$B$5:$B$1733,A484)</f>
        <v>1069.58</v>
      </c>
      <c r="E484" s="17" t="n">
        <f aca="false">C484-D484</f>
        <v>0</v>
      </c>
      <c r="F484" s="18" t="n">
        <f aca="false">INDEX(JE_Lines!$C$5:$C$1733,MATCH(A484,JE_Lines!$B$5:$B$1733,0))</f>
        <v>45869</v>
      </c>
      <c r="G484" s="18" t="n">
        <f aca="false">INDEX(JE_Lines!$D$5:$D$1733,MATCH(A484,JE_Lines!$B$5:$B$1733,0))</f>
        <v>45869</v>
      </c>
      <c r="H484" s="0" t="str">
        <f aca="false">INDEX(JE_Lines!$I$5:$I$1733,MATCH(A484,JE_Lines!$B$5:$B$1733,0))</f>
        <v>SYS_AR</v>
      </c>
      <c r="I484" s="0" t="str">
        <f aca="false">INDEX(JE_Lines!$J$5:$J$1733,MATCH(A484,JE_Lines!$B$5:$B$1733,0))</f>
        <v>System</v>
      </c>
      <c r="J484" s="0" t="str">
        <f aca="false">IF(LEN(INDEX(JE_Lines!$K$5:$K$1733,MATCH(A484,JE_Lines!$B$5:$B$1733,0)))=0,"",INDEX(JE_Lines!$K$5:$K$1733,MATCH(A484,JE_Lines!$B$5:$B$1733,0)))</f>
        <v>Sales invoice batch</v>
      </c>
      <c r="K484" s="9" t="n">
        <f aca="false">F484-G484</f>
        <v>0</v>
      </c>
      <c r="L484" s="9" t="n">
        <f aca="false">COUNTIFS(JE_Lines!$B$5:$B$1733,A484,JE_Lines!$F$5:$F$1733,"Revenue")</f>
        <v>1</v>
      </c>
      <c r="M484" s="9" t="n">
        <f aca="false">COUNTIFS(JE_Lines!$B$5:$B$1733,A484,JE_Lines!$F$5:$F$1733,"Suspense")</f>
        <v>0</v>
      </c>
      <c r="N484" s="9" t="n">
        <f aca="false">IF(ABS(E484)&gt;Parameters!$B$23,1,0)</f>
        <v>0</v>
      </c>
      <c r="O484" s="9" t="n">
        <f aca="false">IF(WEEKDAY(F484,2)&gt;5,1,0)</f>
        <v>0</v>
      </c>
      <c r="P484" s="9" t="n">
        <f aca="false">IF(K484&gt;Parameters!$B$17,1,0)</f>
        <v>0</v>
      </c>
      <c r="Q484" s="9" t="n">
        <f aca="false">IF(AND(F484&lt;=Parameters!$B$6,F484&gt;Parameters!$B$6-Parameters!$B$18),1,0)</f>
        <v>0</v>
      </c>
      <c r="R484" s="9" t="n">
        <f aca="false">IF(COUNTIF(Parameters!$A$51:$A$58,H484)=0,1,0)</f>
        <v>0</v>
      </c>
      <c r="S484" s="9" t="n">
        <f aca="false">IF(AND(I484="Manual",L484&gt;0),1,0)</f>
        <v>0</v>
      </c>
      <c r="T484" s="9" t="n">
        <f aca="false">IF(AND(C484&gt;=Parameters!$B$22,ROUND(MOD(ROUND(C484,2),Parameters!$B$21),2)=0),1,0)</f>
        <v>0</v>
      </c>
      <c r="U484" s="9" t="n">
        <f aca="false">IF(LEN(TRIM(J484))=0,1,0)</f>
        <v>0</v>
      </c>
      <c r="V484" s="9" t="n">
        <f aca="false">IF(AND(I484="Manual",C484&lt;Parameters!$B$19,C484&gt;=Parameters!$B$19*(1-Parameters!$B$20)),1,0)</f>
        <v>0</v>
      </c>
      <c r="W484" s="9" t="n">
        <f aca="false">IF(AND(I484="Manual",M484&gt;0),1,0)</f>
        <v>0</v>
      </c>
      <c r="X484" s="9" t="n">
        <f aca="false">IF(A484-A483&gt;1,1,0)</f>
        <v>0</v>
      </c>
      <c r="Y484" s="9" t="n">
        <f aca="false">N484*Parameters!$B$38+O484*Parameters!$B$39+P484*Parameters!$B$40+Q484*Parameters!$B$41+R484*Parameters!$B$42+S484*Parameters!$B$43+T484*Parameters!$B$44+U484*Parameters!$B$45+V484*Parameters!$B$46+W484*Parameters!$B$47+X484*Parameters!$B$48</f>
        <v>0</v>
      </c>
      <c r="Z484" s="0" t="str">
        <f aca="false">IF(Y484&gt;=Parameters!$B$25,"High","")</f>
        <v/>
      </c>
    </row>
    <row r="485" customFormat="false" ht="15" hidden="false" customHeight="false" outlineLevel="0" collapsed="false">
      <c r="A485" s="16" t="n">
        <v>1489</v>
      </c>
      <c r="B485" s="9" t="n">
        <f aca="false">COUNTIF(JE_Lines!$B$5:$B$1733,A485)</f>
        <v>3</v>
      </c>
      <c r="C485" s="17" t="n">
        <f aca="false">SUMIFS(JE_Lines!$G$5:$G$1733,JE_Lines!$B$5:$B$1733,A485)</f>
        <v>390.29</v>
      </c>
      <c r="D485" s="17" t="n">
        <f aca="false">SUMIFS(JE_Lines!$H$5:$H$1733,JE_Lines!$B$5:$B$1733,A485)</f>
        <v>390.29</v>
      </c>
      <c r="E485" s="17" t="n">
        <f aca="false">C485-D485</f>
        <v>0</v>
      </c>
      <c r="F485" s="18" t="n">
        <f aca="false">INDEX(JE_Lines!$C$5:$C$1733,MATCH(A485,JE_Lines!$B$5:$B$1733,0))</f>
        <v>45870</v>
      </c>
      <c r="G485" s="18" t="n">
        <f aca="false">INDEX(JE_Lines!$D$5:$D$1733,MATCH(A485,JE_Lines!$B$5:$B$1733,0))</f>
        <v>45868</v>
      </c>
      <c r="H485" s="0" t="str">
        <f aca="false">INDEX(JE_Lines!$I$5:$I$1733,MATCH(A485,JE_Lines!$B$5:$B$1733,0))</f>
        <v>SYS_PAY</v>
      </c>
      <c r="I485" s="0" t="str">
        <f aca="false">INDEX(JE_Lines!$J$5:$J$1733,MATCH(A485,JE_Lines!$B$5:$B$1733,0))</f>
        <v>System</v>
      </c>
      <c r="J485" s="0" t="str">
        <f aca="false">IF(LEN(INDEX(JE_Lines!$K$5:$K$1733,MATCH(A485,JE_Lines!$B$5:$B$1733,0)))=0,"",INDEX(JE_Lines!$K$5:$K$1733,MATCH(A485,JE_Lines!$B$5:$B$1733,0)))</f>
        <v>Supplier payments</v>
      </c>
      <c r="K485" s="9" t="n">
        <f aca="false">F485-G485</f>
        <v>2</v>
      </c>
      <c r="L485" s="9" t="n">
        <f aca="false">COUNTIFS(JE_Lines!$B$5:$B$1733,A485,JE_Lines!$F$5:$F$1733,"Revenue")</f>
        <v>0</v>
      </c>
      <c r="M485" s="9" t="n">
        <f aca="false">COUNTIFS(JE_Lines!$B$5:$B$1733,A485,JE_Lines!$F$5:$F$1733,"Suspense")</f>
        <v>0</v>
      </c>
      <c r="N485" s="9" t="n">
        <f aca="false">IF(ABS(E485)&gt;Parameters!$B$23,1,0)</f>
        <v>0</v>
      </c>
      <c r="O485" s="9" t="n">
        <f aca="false">IF(WEEKDAY(F485,2)&gt;5,1,0)</f>
        <v>0</v>
      </c>
      <c r="P485" s="9" t="n">
        <f aca="false">IF(K485&gt;Parameters!$B$17,1,0)</f>
        <v>0</v>
      </c>
      <c r="Q485" s="9" t="n">
        <f aca="false">IF(AND(F485&lt;=Parameters!$B$6,F485&gt;Parameters!$B$6-Parameters!$B$18),1,0)</f>
        <v>0</v>
      </c>
      <c r="R485" s="9" t="n">
        <f aca="false">IF(COUNTIF(Parameters!$A$51:$A$58,H485)=0,1,0)</f>
        <v>0</v>
      </c>
      <c r="S485" s="9" t="n">
        <f aca="false">IF(AND(I485="Manual",L485&gt;0),1,0)</f>
        <v>0</v>
      </c>
      <c r="T485" s="9" t="n">
        <f aca="false">IF(AND(C485&gt;=Parameters!$B$22,ROUND(MOD(ROUND(C485,2),Parameters!$B$21),2)=0),1,0)</f>
        <v>0</v>
      </c>
      <c r="U485" s="9" t="n">
        <f aca="false">IF(LEN(TRIM(J485))=0,1,0)</f>
        <v>0</v>
      </c>
      <c r="V485" s="9" t="n">
        <f aca="false">IF(AND(I485="Manual",C485&lt;Parameters!$B$19,C485&gt;=Parameters!$B$19*(1-Parameters!$B$20)),1,0)</f>
        <v>0</v>
      </c>
      <c r="W485" s="9" t="n">
        <f aca="false">IF(AND(I485="Manual",M485&gt;0),1,0)</f>
        <v>0</v>
      </c>
      <c r="X485" s="9" t="n">
        <f aca="false">IF(A485-A484&gt;1,1,0)</f>
        <v>0</v>
      </c>
      <c r="Y485" s="9" t="n">
        <f aca="false">N485*Parameters!$B$38+O485*Parameters!$B$39+P485*Parameters!$B$40+Q485*Parameters!$B$41+R485*Parameters!$B$42+S485*Parameters!$B$43+T485*Parameters!$B$44+U485*Parameters!$B$45+V485*Parameters!$B$46+W485*Parameters!$B$47+X485*Parameters!$B$48</f>
        <v>0</v>
      </c>
      <c r="Z485" s="0" t="str">
        <f aca="false">IF(Y485&gt;=Parameters!$B$25,"High","")</f>
        <v/>
      </c>
    </row>
    <row r="486" customFormat="false" ht="15" hidden="false" customHeight="false" outlineLevel="0" collapsed="false">
      <c r="A486" s="16" t="n">
        <v>1490</v>
      </c>
      <c r="B486" s="9" t="n">
        <f aca="false">COUNTIF(JE_Lines!$B$5:$B$1733,A486)</f>
        <v>3</v>
      </c>
      <c r="C486" s="17" t="n">
        <f aca="false">SUMIFS(JE_Lines!$G$5:$G$1733,JE_Lines!$B$5:$B$1733,A486)</f>
        <v>397.53</v>
      </c>
      <c r="D486" s="17" t="n">
        <f aca="false">SUMIFS(JE_Lines!$H$5:$H$1733,JE_Lines!$B$5:$B$1733,A486)</f>
        <v>397.53</v>
      </c>
      <c r="E486" s="17" t="n">
        <f aca="false">C486-D486</f>
        <v>0</v>
      </c>
      <c r="F486" s="18" t="n">
        <f aca="false">INDEX(JE_Lines!$C$5:$C$1733,MATCH(A486,JE_Lines!$B$5:$B$1733,0))</f>
        <v>45870</v>
      </c>
      <c r="G486" s="18" t="n">
        <f aca="false">INDEX(JE_Lines!$D$5:$D$1733,MATCH(A486,JE_Lines!$B$5:$B$1733,0))</f>
        <v>45866</v>
      </c>
      <c r="H486" s="0" t="str">
        <f aca="false">INDEX(JE_Lines!$I$5:$I$1733,MATCH(A486,JE_Lines!$B$5:$B$1733,0))</f>
        <v>SYS_AP</v>
      </c>
      <c r="I486" s="0" t="str">
        <f aca="false">INDEX(JE_Lines!$J$5:$J$1733,MATCH(A486,JE_Lines!$B$5:$B$1733,0))</f>
        <v>System</v>
      </c>
      <c r="J486" s="0" t="str">
        <f aca="false">IF(LEN(INDEX(JE_Lines!$K$5:$K$1733,MATCH(A486,JE_Lines!$B$5:$B$1733,0)))=0,"",INDEX(JE_Lines!$K$5:$K$1733,MATCH(A486,JE_Lines!$B$5:$B$1733,0)))</f>
        <v>Fixed asset additions</v>
      </c>
      <c r="K486" s="9" t="n">
        <f aca="false">F486-G486</f>
        <v>4</v>
      </c>
      <c r="L486" s="9" t="n">
        <f aca="false">COUNTIFS(JE_Lines!$B$5:$B$1733,A486,JE_Lines!$F$5:$F$1733,"Revenue")</f>
        <v>0</v>
      </c>
      <c r="M486" s="9" t="n">
        <f aca="false">COUNTIFS(JE_Lines!$B$5:$B$1733,A486,JE_Lines!$F$5:$F$1733,"Suspense")</f>
        <v>0</v>
      </c>
      <c r="N486" s="9" t="n">
        <f aca="false">IF(ABS(E486)&gt;Parameters!$B$23,1,0)</f>
        <v>0</v>
      </c>
      <c r="O486" s="9" t="n">
        <f aca="false">IF(WEEKDAY(F486,2)&gt;5,1,0)</f>
        <v>0</v>
      </c>
      <c r="P486" s="9" t="n">
        <f aca="false">IF(K486&gt;Parameters!$B$17,1,0)</f>
        <v>0</v>
      </c>
      <c r="Q486" s="9" t="n">
        <f aca="false">IF(AND(F486&lt;=Parameters!$B$6,F486&gt;Parameters!$B$6-Parameters!$B$18),1,0)</f>
        <v>0</v>
      </c>
      <c r="R486" s="9" t="n">
        <f aca="false">IF(COUNTIF(Parameters!$A$51:$A$58,H486)=0,1,0)</f>
        <v>0</v>
      </c>
      <c r="S486" s="9" t="n">
        <f aca="false">IF(AND(I486="Manual",L486&gt;0),1,0)</f>
        <v>0</v>
      </c>
      <c r="T486" s="9" t="n">
        <f aca="false">IF(AND(C486&gt;=Parameters!$B$22,ROUND(MOD(ROUND(C486,2),Parameters!$B$21),2)=0),1,0)</f>
        <v>0</v>
      </c>
      <c r="U486" s="9" t="n">
        <f aca="false">IF(LEN(TRIM(J486))=0,1,0)</f>
        <v>0</v>
      </c>
      <c r="V486" s="9" t="n">
        <f aca="false">IF(AND(I486="Manual",C486&lt;Parameters!$B$19,C486&gt;=Parameters!$B$19*(1-Parameters!$B$20)),1,0)</f>
        <v>0</v>
      </c>
      <c r="W486" s="9" t="n">
        <f aca="false">IF(AND(I486="Manual",M486&gt;0),1,0)</f>
        <v>0</v>
      </c>
      <c r="X486" s="9" t="n">
        <f aca="false">IF(A486-A485&gt;1,1,0)</f>
        <v>0</v>
      </c>
      <c r="Y486" s="9" t="n">
        <f aca="false">N486*Parameters!$B$38+O486*Parameters!$B$39+P486*Parameters!$B$40+Q486*Parameters!$B$41+R486*Parameters!$B$42+S486*Parameters!$B$43+T486*Parameters!$B$44+U486*Parameters!$B$45+V486*Parameters!$B$46+W486*Parameters!$B$47+X486*Parameters!$B$48</f>
        <v>0</v>
      </c>
      <c r="Z486" s="0" t="str">
        <f aca="false">IF(Y486&gt;=Parameters!$B$25,"High","")</f>
        <v/>
      </c>
    </row>
    <row r="487" customFormat="false" ht="15" hidden="false" customHeight="false" outlineLevel="0" collapsed="false">
      <c r="A487" s="16" t="n">
        <v>1491</v>
      </c>
      <c r="B487" s="9" t="n">
        <f aca="false">COUNTIF(JE_Lines!$B$5:$B$1733,A487)</f>
        <v>2</v>
      </c>
      <c r="C487" s="17" t="n">
        <f aca="false">SUMIFS(JE_Lines!$G$5:$G$1733,JE_Lines!$B$5:$B$1733,A487)</f>
        <v>36423.94</v>
      </c>
      <c r="D487" s="17" t="n">
        <f aca="false">SUMIFS(JE_Lines!$H$5:$H$1733,JE_Lines!$B$5:$B$1733,A487)</f>
        <v>36423.94</v>
      </c>
      <c r="E487" s="17" t="n">
        <f aca="false">C487-D487</f>
        <v>0</v>
      </c>
      <c r="F487" s="18" t="n">
        <f aca="false">INDEX(JE_Lines!$C$5:$C$1733,MATCH(A487,JE_Lines!$B$5:$B$1733,0))</f>
        <v>45870</v>
      </c>
      <c r="G487" s="18" t="n">
        <f aca="false">INDEX(JE_Lines!$D$5:$D$1733,MATCH(A487,JE_Lines!$B$5:$B$1733,0))</f>
        <v>45870</v>
      </c>
      <c r="H487" s="0" t="str">
        <f aca="false">INDEX(JE_Lines!$I$5:$I$1733,MATCH(A487,JE_Lines!$B$5:$B$1733,0))</f>
        <v>SYS_PAY</v>
      </c>
      <c r="I487" s="0" t="str">
        <f aca="false">INDEX(JE_Lines!$J$5:$J$1733,MATCH(A487,JE_Lines!$B$5:$B$1733,0))</f>
        <v>System</v>
      </c>
      <c r="J487" s="0" t="str">
        <f aca="false">IF(LEN(INDEX(JE_Lines!$K$5:$K$1733,MATCH(A487,JE_Lines!$B$5:$B$1733,0)))=0,"",INDEX(JE_Lines!$K$5:$K$1733,MATCH(A487,JE_Lines!$B$5:$B$1733,0)))</f>
        <v>Supplier payments</v>
      </c>
      <c r="K487" s="9" t="n">
        <f aca="false">F487-G487</f>
        <v>0</v>
      </c>
      <c r="L487" s="9" t="n">
        <f aca="false">COUNTIFS(JE_Lines!$B$5:$B$1733,A487,JE_Lines!$F$5:$F$1733,"Revenue")</f>
        <v>0</v>
      </c>
      <c r="M487" s="9" t="n">
        <f aca="false">COUNTIFS(JE_Lines!$B$5:$B$1733,A487,JE_Lines!$F$5:$F$1733,"Suspense")</f>
        <v>0</v>
      </c>
      <c r="N487" s="9" t="n">
        <f aca="false">IF(ABS(E487)&gt;Parameters!$B$23,1,0)</f>
        <v>0</v>
      </c>
      <c r="O487" s="9" t="n">
        <f aca="false">IF(WEEKDAY(F487,2)&gt;5,1,0)</f>
        <v>0</v>
      </c>
      <c r="P487" s="9" t="n">
        <f aca="false">IF(K487&gt;Parameters!$B$17,1,0)</f>
        <v>0</v>
      </c>
      <c r="Q487" s="9" t="n">
        <f aca="false">IF(AND(F487&lt;=Parameters!$B$6,F487&gt;Parameters!$B$6-Parameters!$B$18),1,0)</f>
        <v>0</v>
      </c>
      <c r="R487" s="9" t="n">
        <f aca="false">IF(COUNTIF(Parameters!$A$51:$A$58,H487)=0,1,0)</f>
        <v>0</v>
      </c>
      <c r="S487" s="9" t="n">
        <f aca="false">IF(AND(I487="Manual",L487&gt;0),1,0)</f>
        <v>0</v>
      </c>
      <c r="T487" s="9" t="n">
        <f aca="false">IF(AND(C487&gt;=Parameters!$B$22,ROUND(MOD(ROUND(C487,2),Parameters!$B$21),2)=0),1,0)</f>
        <v>0</v>
      </c>
      <c r="U487" s="9" t="n">
        <f aca="false">IF(LEN(TRIM(J487))=0,1,0)</f>
        <v>0</v>
      </c>
      <c r="V487" s="9" t="n">
        <f aca="false">IF(AND(I487="Manual",C487&lt;Parameters!$B$19,C487&gt;=Parameters!$B$19*(1-Parameters!$B$20)),1,0)</f>
        <v>0</v>
      </c>
      <c r="W487" s="9" t="n">
        <f aca="false">IF(AND(I487="Manual",M487&gt;0),1,0)</f>
        <v>0</v>
      </c>
      <c r="X487" s="9" t="n">
        <f aca="false">IF(A487-A486&gt;1,1,0)</f>
        <v>0</v>
      </c>
      <c r="Y487" s="9" t="n">
        <f aca="false">N487*Parameters!$B$38+O487*Parameters!$B$39+P487*Parameters!$B$40+Q487*Parameters!$B$41+R487*Parameters!$B$42+S487*Parameters!$B$43+T487*Parameters!$B$44+U487*Parameters!$B$45+V487*Parameters!$B$46+W487*Parameters!$B$47+X487*Parameters!$B$48</f>
        <v>0</v>
      </c>
      <c r="Z487" s="0" t="str">
        <f aca="false">IF(Y487&gt;=Parameters!$B$25,"High","")</f>
        <v/>
      </c>
    </row>
    <row r="488" customFormat="false" ht="15" hidden="false" customHeight="false" outlineLevel="0" collapsed="false">
      <c r="A488" s="16" t="n">
        <v>1492</v>
      </c>
      <c r="B488" s="9" t="n">
        <f aca="false">COUNTIF(JE_Lines!$B$5:$B$1733,A488)</f>
        <v>2</v>
      </c>
      <c r="C488" s="17" t="n">
        <f aca="false">SUMIFS(JE_Lines!$G$5:$G$1733,JE_Lines!$B$5:$B$1733,A488)</f>
        <v>11274.26</v>
      </c>
      <c r="D488" s="17" t="n">
        <f aca="false">SUMIFS(JE_Lines!$H$5:$H$1733,JE_Lines!$B$5:$B$1733,A488)</f>
        <v>11274.26</v>
      </c>
      <c r="E488" s="17" t="n">
        <f aca="false">C488-D488</f>
        <v>0</v>
      </c>
      <c r="F488" s="18" t="n">
        <f aca="false">INDEX(JE_Lines!$C$5:$C$1733,MATCH(A488,JE_Lines!$B$5:$B$1733,0))</f>
        <v>45870</v>
      </c>
      <c r="G488" s="18" t="n">
        <f aca="false">INDEX(JE_Lines!$D$5:$D$1733,MATCH(A488,JE_Lines!$B$5:$B$1733,0))</f>
        <v>45868</v>
      </c>
      <c r="H488" s="0" t="str">
        <f aca="false">INDEX(JE_Lines!$I$5:$I$1733,MATCH(A488,JE_Lines!$B$5:$B$1733,0))</f>
        <v>SYS_AP</v>
      </c>
      <c r="I488" s="0" t="str">
        <f aca="false">INDEX(JE_Lines!$J$5:$J$1733,MATCH(A488,JE_Lines!$B$5:$B$1733,0))</f>
        <v>System</v>
      </c>
      <c r="J488" s="0" t="str">
        <f aca="false">IF(LEN(INDEX(JE_Lines!$K$5:$K$1733,MATCH(A488,JE_Lines!$B$5:$B$1733,0)))=0,"",INDEX(JE_Lines!$K$5:$K$1733,MATCH(A488,JE_Lines!$B$5:$B$1733,0)))</f>
        <v>Supplier invoices</v>
      </c>
      <c r="K488" s="9" t="n">
        <f aca="false">F488-G488</f>
        <v>2</v>
      </c>
      <c r="L488" s="9" t="n">
        <f aca="false">COUNTIFS(JE_Lines!$B$5:$B$1733,A488,JE_Lines!$F$5:$F$1733,"Revenue")</f>
        <v>0</v>
      </c>
      <c r="M488" s="9" t="n">
        <f aca="false">COUNTIFS(JE_Lines!$B$5:$B$1733,A488,JE_Lines!$F$5:$F$1733,"Suspense")</f>
        <v>0</v>
      </c>
      <c r="N488" s="9" t="n">
        <f aca="false">IF(ABS(E488)&gt;Parameters!$B$23,1,0)</f>
        <v>0</v>
      </c>
      <c r="O488" s="9" t="n">
        <f aca="false">IF(WEEKDAY(F488,2)&gt;5,1,0)</f>
        <v>0</v>
      </c>
      <c r="P488" s="9" t="n">
        <f aca="false">IF(K488&gt;Parameters!$B$17,1,0)</f>
        <v>0</v>
      </c>
      <c r="Q488" s="9" t="n">
        <f aca="false">IF(AND(F488&lt;=Parameters!$B$6,F488&gt;Parameters!$B$6-Parameters!$B$18),1,0)</f>
        <v>0</v>
      </c>
      <c r="R488" s="9" t="n">
        <f aca="false">IF(COUNTIF(Parameters!$A$51:$A$58,H488)=0,1,0)</f>
        <v>0</v>
      </c>
      <c r="S488" s="9" t="n">
        <f aca="false">IF(AND(I488="Manual",L488&gt;0),1,0)</f>
        <v>0</v>
      </c>
      <c r="T488" s="9" t="n">
        <f aca="false">IF(AND(C488&gt;=Parameters!$B$22,ROUND(MOD(ROUND(C488,2),Parameters!$B$21),2)=0),1,0)</f>
        <v>0</v>
      </c>
      <c r="U488" s="9" t="n">
        <f aca="false">IF(LEN(TRIM(J488))=0,1,0)</f>
        <v>0</v>
      </c>
      <c r="V488" s="9" t="n">
        <f aca="false">IF(AND(I488="Manual",C488&lt;Parameters!$B$19,C488&gt;=Parameters!$B$19*(1-Parameters!$B$20)),1,0)</f>
        <v>0</v>
      </c>
      <c r="W488" s="9" t="n">
        <f aca="false">IF(AND(I488="Manual",M488&gt;0),1,0)</f>
        <v>0</v>
      </c>
      <c r="X488" s="9" t="n">
        <f aca="false">IF(A488-A487&gt;1,1,0)</f>
        <v>0</v>
      </c>
      <c r="Y488" s="9" t="n">
        <f aca="false">N488*Parameters!$B$38+O488*Parameters!$B$39+P488*Parameters!$B$40+Q488*Parameters!$B$41+R488*Parameters!$B$42+S488*Parameters!$B$43+T488*Parameters!$B$44+U488*Parameters!$B$45+V488*Parameters!$B$46+W488*Parameters!$B$47+X488*Parameters!$B$48</f>
        <v>0</v>
      </c>
      <c r="Z488" s="0" t="str">
        <f aca="false">IF(Y488&gt;=Parameters!$B$25,"High","")</f>
        <v/>
      </c>
    </row>
    <row r="489" customFormat="false" ht="15" hidden="false" customHeight="false" outlineLevel="0" collapsed="false">
      <c r="A489" s="16" t="n">
        <v>1493</v>
      </c>
      <c r="B489" s="9" t="n">
        <f aca="false">COUNTIF(JE_Lines!$B$5:$B$1733,A489)</f>
        <v>2</v>
      </c>
      <c r="C489" s="17" t="n">
        <f aca="false">SUMIFS(JE_Lines!$G$5:$G$1733,JE_Lines!$B$5:$B$1733,A489)</f>
        <v>28363.55</v>
      </c>
      <c r="D489" s="17" t="n">
        <f aca="false">SUMIFS(JE_Lines!$H$5:$H$1733,JE_Lines!$B$5:$B$1733,A489)</f>
        <v>28363.55</v>
      </c>
      <c r="E489" s="17" t="n">
        <f aca="false">C489-D489</f>
        <v>0</v>
      </c>
      <c r="F489" s="18" t="n">
        <f aca="false">INDEX(JE_Lines!$C$5:$C$1733,MATCH(A489,JE_Lines!$B$5:$B$1733,0))</f>
        <v>45871</v>
      </c>
      <c r="G489" s="18" t="n">
        <f aca="false">INDEX(JE_Lines!$D$5:$D$1733,MATCH(A489,JE_Lines!$B$5:$B$1733,0))</f>
        <v>45869</v>
      </c>
      <c r="H489" s="0" t="str">
        <f aca="false">INDEX(JE_Lines!$I$5:$I$1733,MATCH(A489,JE_Lines!$B$5:$B$1733,0))</f>
        <v>SYS_AP</v>
      </c>
      <c r="I489" s="0" t="str">
        <f aca="false">INDEX(JE_Lines!$J$5:$J$1733,MATCH(A489,JE_Lines!$B$5:$B$1733,0))</f>
        <v>System</v>
      </c>
      <c r="J489" s="0" t="str">
        <f aca="false">IF(LEN(INDEX(JE_Lines!$K$5:$K$1733,MATCH(A489,JE_Lines!$B$5:$B$1733,0)))=0,"",INDEX(JE_Lines!$K$5:$K$1733,MATCH(A489,JE_Lines!$B$5:$B$1733,0)))</f>
        <v>Supplier invoices</v>
      </c>
      <c r="K489" s="9" t="n">
        <f aca="false">F489-G489</f>
        <v>2</v>
      </c>
      <c r="L489" s="9" t="n">
        <f aca="false">COUNTIFS(JE_Lines!$B$5:$B$1733,A489,JE_Lines!$F$5:$F$1733,"Revenue")</f>
        <v>0</v>
      </c>
      <c r="M489" s="9" t="n">
        <f aca="false">COUNTIFS(JE_Lines!$B$5:$B$1733,A489,JE_Lines!$F$5:$F$1733,"Suspense")</f>
        <v>0</v>
      </c>
      <c r="N489" s="9" t="n">
        <f aca="false">IF(ABS(E489)&gt;Parameters!$B$23,1,0)</f>
        <v>0</v>
      </c>
      <c r="O489" s="9" t="n">
        <f aca="false">IF(WEEKDAY(F489,2)&gt;5,1,0)</f>
        <v>1</v>
      </c>
      <c r="P489" s="9" t="n">
        <f aca="false">IF(K489&gt;Parameters!$B$17,1,0)</f>
        <v>0</v>
      </c>
      <c r="Q489" s="9" t="n">
        <f aca="false">IF(AND(F489&lt;=Parameters!$B$6,F489&gt;Parameters!$B$6-Parameters!$B$18),1,0)</f>
        <v>0</v>
      </c>
      <c r="R489" s="9" t="n">
        <f aca="false">IF(COUNTIF(Parameters!$A$51:$A$58,H489)=0,1,0)</f>
        <v>0</v>
      </c>
      <c r="S489" s="9" t="n">
        <f aca="false">IF(AND(I489="Manual",L489&gt;0),1,0)</f>
        <v>0</v>
      </c>
      <c r="T489" s="9" t="n">
        <f aca="false">IF(AND(C489&gt;=Parameters!$B$22,ROUND(MOD(ROUND(C489,2),Parameters!$B$21),2)=0),1,0)</f>
        <v>0</v>
      </c>
      <c r="U489" s="9" t="n">
        <f aca="false">IF(LEN(TRIM(J489))=0,1,0)</f>
        <v>0</v>
      </c>
      <c r="V489" s="9" t="n">
        <f aca="false">IF(AND(I489="Manual",C489&lt;Parameters!$B$19,C489&gt;=Parameters!$B$19*(1-Parameters!$B$20)),1,0)</f>
        <v>0</v>
      </c>
      <c r="W489" s="9" t="n">
        <f aca="false">IF(AND(I489="Manual",M489&gt;0),1,0)</f>
        <v>0</v>
      </c>
      <c r="X489" s="9" t="n">
        <f aca="false">IF(A489-A488&gt;1,1,0)</f>
        <v>0</v>
      </c>
      <c r="Y489" s="9" t="n">
        <f aca="false">N489*Parameters!$B$38+O489*Parameters!$B$39+P489*Parameters!$B$40+Q489*Parameters!$B$41+R489*Parameters!$B$42+S489*Parameters!$B$43+T489*Parameters!$B$44+U489*Parameters!$B$45+V489*Parameters!$B$46+W489*Parameters!$B$47+X489*Parameters!$B$48</f>
        <v>2</v>
      </c>
      <c r="Z489" s="0" t="str">
        <f aca="false">IF(Y489&gt;=Parameters!$B$25,"High","")</f>
        <v/>
      </c>
    </row>
    <row r="490" customFormat="false" ht="15" hidden="false" customHeight="false" outlineLevel="0" collapsed="false">
      <c r="A490" s="16" t="n">
        <v>1494</v>
      </c>
      <c r="B490" s="9" t="n">
        <f aca="false">COUNTIF(JE_Lines!$B$5:$B$1733,A490)</f>
        <v>2</v>
      </c>
      <c r="C490" s="17" t="n">
        <f aca="false">SUMIFS(JE_Lines!$G$5:$G$1733,JE_Lines!$B$5:$B$1733,A490)</f>
        <v>9557.27</v>
      </c>
      <c r="D490" s="17" t="n">
        <f aca="false">SUMIFS(JE_Lines!$H$5:$H$1733,JE_Lines!$B$5:$B$1733,A490)</f>
        <v>9557.27</v>
      </c>
      <c r="E490" s="17" t="n">
        <f aca="false">C490-D490</f>
        <v>0</v>
      </c>
      <c r="F490" s="18" t="n">
        <f aca="false">INDEX(JE_Lines!$C$5:$C$1733,MATCH(A490,JE_Lines!$B$5:$B$1733,0))</f>
        <v>45873</v>
      </c>
      <c r="G490" s="18" t="n">
        <f aca="false">INDEX(JE_Lines!$D$5:$D$1733,MATCH(A490,JE_Lines!$B$5:$B$1733,0))</f>
        <v>45873</v>
      </c>
      <c r="H490" s="0" t="str">
        <f aca="false">INDEX(JE_Lines!$I$5:$I$1733,MATCH(A490,JE_Lines!$B$5:$B$1733,0))</f>
        <v>SYS_AR</v>
      </c>
      <c r="I490" s="0" t="str">
        <f aca="false">INDEX(JE_Lines!$J$5:$J$1733,MATCH(A490,JE_Lines!$B$5:$B$1733,0))</f>
        <v>System</v>
      </c>
      <c r="J490" s="0" t="str">
        <f aca="false">IF(LEN(INDEX(JE_Lines!$K$5:$K$1733,MATCH(A490,JE_Lines!$B$5:$B$1733,0)))=0,"",INDEX(JE_Lines!$K$5:$K$1733,MATCH(A490,JE_Lines!$B$5:$B$1733,0)))</f>
        <v>Cost of sales posting</v>
      </c>
      <c r="K490" s="9" t="n">
        <f aca="false">F490-G490</f>
        <v>0</v>
      </c>
      <c r="L490" s="9" t="n">
        <f aca="false">COUNTIFS(JE_Lines!$B$5:$B$1733,A490,JE_Lines!$F$5:$F$1733,"Revenue")</f>
        <v>0</v>
      </c>
      <c r="M490" s="9" t="n">
        <f aca="false">COUNTIFS(JE_Lines!$B$5:$B$1733,A490,JE_Lines!$F$5:$F$1733,"Suspense")</f>
        <v>0</v>
      </c>
      <c r="N490" s="9" t="n">
        <f aca="false">IF(ABS(E490)&gt;Parameters!$B$23,1,0)</f>
        <v>0</v>
      </c>
      <c r="O490" s="9" t="n">
        <f aca="false">IF(WEEKDAY(F490,2)&gt;5,1,0)</f>
        <v>0</v>
      </c>
      <c r="P490" s="9" t="n">
        <f aca="false">IF(K490&gt;Parameters!$B$17,1,0)</f>
        <v>0</v>
      </c>
      <c r="Q490" s="9" t="n">
        <f aca="false">IF(AND(F490&lt;=Parameters!$B$6,F490&gt;Parameters!$B$6-Parameters!$B$18),1,0)</f>
        <v>0</v>
      </c>
      <c r="R490" s="9" t="n">
        <f aca="false">IF(COUNTIF(Parameters!$A$51:$A$58,H490)=0,1,0)</f>
        <v>0</v>
      </c>
      <c r="S490" s="9" t="n">
        <f aca="false">IF(AND(I490="Manual",L490&gt;0),1,0)</f>
        <v>0</v>
      </c>
      <c r="T490" s="9" t="n">
        <f aca="false">IF(AND(C490&gt;=Parameters!$B$22,ROUND(MOD(ROUND(C490,2),Parameters!$B$21),2)=0),1,0)</f>
        <v>0</v>
      </c>
      <c r="U490" s="9" t="n">
        <f aca="false">IF(LEN(TRIM(J490))=0,1,0)</f>
        <v>0</v>
      </c>
      <c r="V490" s="9" t="n">
        <f aca="false">IF(AND(I490="Manual",C490&lt;Parameters!$B$19,C490&gt;=Parameters!$B$19*(1-Parameters!$B$20)),1,0)</f>
        <v>0</v>
      </c>
      <c r="W490" s="9" t="n">
        <f aca="false">IF(AND(I490="Manual",M490&gt;0),1,0)</f>
        <v>0</v>
      </c>
      <c r="X490" s="9" t="n">
        <f aca="false">IF(A490-A489&gt;1,1,0)</f>
        <v>0</v>
      </c>
      <c r="Y490" s="9" t="n">
        <f aca="false">N490*Parameters!$B$38+O490*Parameters!$B$39+P490*Parameters!$B$40+Q490*Parameters!$B$41+R490*Parameters!$B$42+S490*Parameters!$B$43+T490*Parameters!$B$44+U490*Parameters!$B$45+V490*Parameters!$B$46+W490*Parameters!$B$47+X490*Parameters!$B$48</f>
        <v>0</v>
      </c>
      <c r="Z490" s="0" t="str">
        <f aca="false">IF(Y490&gt;=Parameters!$B$25,"High","")</f>
        <v/>
      </c>
    </row>
    <row r="491" customFormat="false" ht="15" hidden="false" customHeight="false" outlineLevel="0" collapsed="false">
      <c r="A491" s="16" t="n">
        <v>1495</v>
      </c>
      <c r="B491" s="9" t="n">
        <f aca="false">COUNTIF(JE_Lines!$B$5:$B$1733,A491)</f>
        <v>2</v>
      </c>
      <c r="C491" s="17" t="n">
        <f aca="false">SUMIFS(JE_Lines!$G$5:$G$1733,JE_Lines!$B$5:$B$1733,A491)</f>
        <v>37182.68</v>
      </c>
      <c r="D491" s="17" t="n">
        <f aca="false">SUMIFS(JE_Lines!$H$5:$H$1733,JE_Lines!$B$5:$B$1733,A491)</f>
        <v>37182.68</v>
      </c>
      <c r="E491" s="17" t="n">
        <f aca="false">C491-D491</f>
        <v>0</v>
      </c>
      <c r="F491" s="18" t="n">
        <f aca="false">INDEX(JE_Lines!$C$5:$C$1733,MATCH(A491,JE_Lines!$B$5:$B$1733,0))</f>
        <v>45874</v>
      </c>
      <c r="G491" s="18" t="n">
        <f aca="false">INDEX(JE_Lines!$D$5:$D$1733,MATCH(A491,JE_Lines!$B$5:$B$1733,0))</f>
        <v>45874</v>
      </c>
      <c r="H491" s="0" t="str">
        <f aca="false">INDEX(JE_Lines!$I$5:$I$1733,MATCH(A491,JE_Lines!$B$5:$B$1733,0))</f>
        <v>SYS_AR</v>
      </c>
      <c r="I491" s="0" t="str">
        <f aca="false">INDEX(JE_Lines!$J$5:$J$1733,MATCH(A491,JE_Lines!$B$5:$B$1733,0))</f>
        <v>System</v>
      </c>
      <c r="J491" s="0" t="str">
        <f aca="false">IF(LEN(INDEX(JE_Lines!$K$5:$K$1733,MATCH(A491,JE_Lines!$B$5:$B$1733,0)))=0,"",INDEX(JE_Lines!$K$5:$K$1733,MATCH(A491,JE_Lines!$B$5:$B$1733,0)))</f>
        <v>Customer receipts</v>
      </c>
      <c r="K491" s="9" t="n">
        <f aca="false">F491-G491</f>
        <v>0</v>
      </c>
      <c r="L491" s="9" t="n">
        <f aca="false">COUNTIFS(JE_Lines!$B$5:$B$1733,A491,JE_Lines!$F$5:$F$1733,"Revenue")</f>
        <v>0</v>
      </c>
      <c r="M491" s="9" t="n">
        <f aca="false">COUNTIFS(JE_Lines!$B$5:$B$1733,A491,JE_Lines!$F$5:$F$1733,"Suspense")</f>
        <v>0</v>
      </c>
      <c r="N491" s="9" t="n">
        <f aca="false">IF(ABS(E491)&gt;Parameters!$B$23,1,0)</f>
        <v>0</v>
      </c>
      <c r="O491" s="9" t="n">
        <f aca="false">IF(WEEKDAY(F491,2)&gt;5,1,0)</f>
        <v>0</v>
      </c>
      <c r="P491" s="9" t="n">
        <f aca="false">IF(K491&gt;Parameters!$B$17,1,0)</f>
        <v>0</v>
      </c>
      <c r="Q491" s="9" t="n">
        <f aca="false">IF(AND(F491&lt;=Parameters!$B$6,F491&gt;Parameters!$B$6-Parameters!$B$18),1,0)</f>
        <v>0</v>
      </c>
      <c r="R491" s="9" t="n">
        <f aca="false">IF(COUNTIF(Parameters!$A$51:$A$58,H491)=0,1,0)</f>
        <v>0</v>
      </c>
      <c r="S491" s="9" t="n">
        <f aca="false">IF(AND(I491="Manual",L491&gt;0),1,0)</f>
        <v>0</v>
      </c>
      <c r="T491" s="9" t="n">
        <f aca="false">IF(AND(C491&gt;=Parameters!$B$22,ROUND(MOD(ROUND(C491,2),Parameters!$B$21),2)=0),1,0)</f>
        <v>0</v>
      </c>
      <c r="U491" s="9" t="n">
        <f aca="false">IF(LEN(TRIM(J491))=0,1,0)</f>
        <v>0</v>
      </c>
      <c r="V491" s="9" t="n">
        <f aca="false">IF(AND(I491="Manual",C491&lt;Parameters!$B$19,C491&gt;=Parameters!$B$19*(1-Parameters!$B$20)),1,0)</f>
        <v>0</v>
      </c>
      <c r="W491" s="9" t="n">
        <f aca="false">IF(AND(I491="Manual",M491&gt;0),1,0)</f>
        <v>0</v>
      </c>
      <c r="X491" s="9" t="n">
        <f aca="false">IF(A491-A490&gt;1,1,0)</f>
        <v>0</v>
      </c>
      <c r="Y491" s="9" t="n">
        <f aca="false">N491*Parameters!$B$38+O491*Parameters!$B$39+P491*Parameters!$B$40+Q491*Parameters!$B$41+R491*Parameters!$B$42+S491*Parameters!$B$43+T491*Parameters!$B$44+U491*Parameters!$B$45+V491*Parameters!$B$46+W491*Parameters!$B$47+X491*Parameters!$B$48</f>
        <v>0</v>
      </c>
      <c r="Z491" s="0" t="str">
        <f aca="false">IF(Y491&gt;=Parameters!$B$25,"High","")</f>
        <v/>
      </c>
    </row>
    <row r="492" customFormat="false" ht="15" hidden="false" customHeight="false" outlineLevel="0" collapsed="false">
      <c r="A492" s="16" t="n">
        <v>1496</v>
      </c>
      <c r="B492" s="9" t="n">
        <f aca="false">COUNTIF(JE_Lines!$B$5:$B$1733,A492)</f>
        <v>2</v>
      </c>
      <c r="C492" s="17" t="n">
        <f aca="false">SUMIFS(JE_Lines!$G$5:$G$1733,JE_Lines!$B$5:$B$1733,A492)</f>
        <v>1225.6</v>
      </c>
      <c r="D492" s="17" t="n">
        <f aca="false">SUMIFS(JE_Lines!$H$5:$H$1733,JE_Lines!$B$5:$B$1733,A492)</f>
        <v>1225.6</v>
      </c>
      <c r="E492" s="17" t="n">
        <f aca="false">C492-D492</f>
        <v>0</v>
      </c>
      <c r="F492" s="18" t="n">
        <f aca="false">INDEX(JE_Lines!$C$5:$C$1733,MATCH(A492,JE_Lines!$B$5:$B$1733,0))</f>
        <v>45874</v>
      </c>
      <c r="G492" s="18" t="n">
        <f aca="false">INDEX(JE_Lines!$D$5:$D$1733,MATCH(A492,JE_Lines!$B$5:$B$1733,0))</f>
        <v>45872</v>
      </c>
      <c r="H492" s="0" t="str">
        <f aca="false">INDEX(JE_Lines!$I$5:$I$1733,MATCH(A492,JE_Lines!$B$5:$B$1733,0))</f>
        <v>SYS_AR</v>
      </c>
      <c r="I492" s="0" t="str">
        <f aca="false">INDEX(JE_Lines!$J$5:$J$1733,MATCH(A492,JE_Lines!$B$5:$B$1733,0))</f>
        <v>System</v>
      </c>
      <c r="J492" s="0" t="str">
        <f aca="false">IF(LEN(INDEX(JE_Lines!$K$5:$K$1733,MATCH(A492,JE_Lines!$B$5:$B$1733,0)))=0,"",INDEX(JE_Lines!$K$5:$K$1733,MATCH(A492,JE_Lines!$B$5:$B$1733,0)))</f>
        <v>Sales invoice batch</v>
      </c>
      <c r="K492" s="9" t="n">
        <f aca="false">F492-G492</f>
        <v>2</v>
      </c>
      <c r="L492" s="9" t="n">
        <f aca="false">COUNTIFS(JE_Lines!$B$5:$B$1733,A492,JE_Lines!$F$5:$F$1733,"Revenue")</f>
        <v>1</v>
      </c>
      <c r="M492" s="9" t="n">
        <f aca="false">COUNTIFS(JE_Lines!$B$5:$B$1733,A492,JE_Lines!$F$5:$F$1733,"Suspense")</f>
        <v>0</v>
      </c>
      <c r="N492" s="9" t="n">
        <f aca="false">IF(ABS(E492)&gt;Parameters!$B$23,1,0)</f>
        <v>0</v>
      </c>
      <c r="O492" s="9" t="n">
        <f aca="false">IF(WEEKDAY(F492,2)&gt;5,1,0)</f>
        <v>0</v>
      </c>
      <c r="P492" s="9" t="n">
        <f aca="false">IF(K492&gt;Parameters!$B$17,1,0)</f>
        <v>0</v>
      </c>
      <c r="Q492" s="9" t="n">
        <f aca="false">IF(AND(F492&lt;=Parameters!$B$6,F492&gt;Parameters!$B$6-Parameters!$B$18),1,0)</f>
        <v>0</v>
      </c>
      <c r="R492" s="9" t="n">
        <f aca="false">IF(COUNTIF(Parameters!$A$51:$A$58,H492)=0,1,0)</f>
        <v>0</v>
      </c>
      <c r="S492" s="9" t="n">
        <f aca="false">IF(AND(I492="Manual",L492&gt;0),1,0)</f>
        <v>0</v>
      </c>
      <c r="T492" s="9" t="n">
        <f aca="false">IF(AND(C492&gt;=Parameters!$B$22,ROUND(MOD(ROUND(C492,2),Parameters!$B$21),2)=0),1,0)</f>
        <v>0</v>
      </c>
      <c r="U492" s="9" t="n">
        <f aca="false">IF(LEN(TRIM(J492))=0,1,0)</f>
        <v>0</v>
      </c>
      <c r="V492" s="9" t="n">
        <f aca="false">IF(AND(I492="Manual",C492&lt;Parameters!$B$19,C492&gt;=Parameters!$B$19*(1-Parameters!$B$20)),1,0)</f>
        <v>0</v>
      </c>
      <c r="W492" s="9" t="n">
        <f aca="false">IF(AND(I492="Manual",M492&gt;0),1,0)</f>
        <v>0</v>
      </c>
      <c r="X492" s="9" t="n">
        <f aca="false">IF(A492-A491&gt;1,1,0)</f>
        <v>0</v>
      </c>
      <c r="Y492" s="9" t="n">
        <f aca="false">N492*Parameters!$B$38+O492*Parameters!$B$39+P492*Parameters!$B$40+Q492*Parameters!$B$41+R492*Parameters!$B$42+S492*Parameters!$B$43+T492*Parameters!$B$44+U492*Parameters!$B$45+V492*Parameters!$B$46+W492*Parameters!$B$47+X492*Parameters!$B$48</f>
        <v>0</v>
      </c>
      <c r="Z492" s="0" t="str">
        <f aca="false">IF(Y492&gt;=Parameters!$B$25,"High","")</f>
        <v/>
      </c>
    </row>
    <row r="493" customFormat="false" ht="15" hidden="false" customHeight="false" outlineLevel="0" collapsed="false">
      <c r="A493" s="16" t="n">
        <v>1497</v>
      </c>
      <c r="B493" s="9" t="n">
        <f aca="false">COUNTIF(JE_Lines!$B$5:$B$1733,A493)</f>
        <v>2</v>
      </c>
      <c r="C493" s="17" t="n">
        <f aca="false">SUMIFS(JE_Lines!$G$5:$G$1733,JE_Lines!$B$5:$B$1733,A493)</f>
        <v>1840.03</v>
      </c>
      <c r="D493" s="17" t="n">
        <f aca="false">SUMIFS(JE_Lines!$H$5:$H$1733,JE_Lines!$B$5:$B$1733,A493)</f>
        <v>1840.03</v>
      </c>
      <c r="E493" s="17" t="n">
        <f aca="false">C493-D493</f>
        <v>0</v>
      </c>
      <c r="F493" s="18" t="n">
        <f aca="false">INDEX(JE_Lines!$C$5:$C$1733,MATCH(A493,JE_Lines!$B$5:$B$1733,0))</f>
        <v>45874</v>
      </c>
      <c r="G493" s="18" t="n">
        <f aca="false">INDEX(JE_Lines!$D$5:$D$1733,MATCH(A493,JE_Lines!$B$5:$B$1733,0))</f>
        <v>45871</v>
      </c>
      <c r="H493" s="0" t="str">
        <f aca="false">INDEX(JE_Lines!$I$5:$I$1733,MATCH(A493,JE_Lines!$B$5:$B$1733,0))</f>
        <v>SYS_PAY</v>
      </c>
      <c r="I493" s="0" t="str">
        <f aca="false">INDEX(JE_Lines!$J$5:$J$1733,MATCH(A493,JE_Lines!$B$5:$B$1733,0))</f>
        <v>System</v>
      </c>
      <c r="J493" s="0" t="str">
        <f aca="false">IF(LEN(INDEX(JE_Lines!$K$5:$K$1733,MATCH(A493,JE_Lines!$B$5:$B$1733,0)))=0,"",INDEX(JE_Lines!$K$5:$K$1733,MATCH(A493,JE_Lines!$B$5:$B$1733,0)))</f>
        <v>Supplier payments</v>
      </c>
      <c r="K493" s="9" t="n">
        <f aca="false">F493-G493</f>
        <v>3</v>
      </c>
      <c r="L493" s="9" t="n">
        <f aca="false">COUNTIFS(JE_Lines!$B$5:$B$1733,A493,JE_Lines!$F$5:$F$1733,"Revenue")</f>
        <v>0</v>
      </c>
      <c r="M493" s="9" t="n">
        <f aca="false">COUNTIFS(JE_Lines!$B$5:$B$1733,A493,JE_Lines!$F$5:$F$1733,"Suspense")</f>
        <v>0</v>
      </c>
      <c r="N493" s="9" t="n">
        <f aca="false">IF(ABS(E493)&gt;Parameters!$B$23,1,0)</f>
        <v>0</v>
      </c>
      <c r="O493" s="9" t="n">
        <f aca="false">IF(WEEKDAY(F493,2)&gt;5,1,0)</f>
        <v>0</v>
      </c>
      <c r="P493" s="9" t="n">
        <f aca="false">IF(K493&gt;Parameters!$B$17,1,0)</f>
        <v>0</v>
      </c>
      <c r="Q493" s="9" t="n">
        <f aca="false">IF(AND(F493&lt;=Parameters!$B$6,F493&gt;Parameters!$B$6-Parameters!$B$18),1,0)</f>
        <v>0</v>
      </c>
      <c r="R493" s="9" t="n">
        <f aca="false">IF(COUNTIF(Parameters!$A$51:$A$58,H493)=0,1,0)</f>
        <v>0</v>
      </c>
      <c r="S493" s="9" t="n">
        <f aca="false">IF(AND(I493="Manual",L493&gt;0),1,0)</f>
        <v>0</v>
      </c>
      <c r="T493" s="9" t="n">
        <f aca="false">IF(AND(C493&gt;=Parameters!$B$22,ROUND(MOD(ROUND(C493,2),Parameters!$B$21),2)=0),1,0)</f>
        <v>0</v>
      </c>
      <c r="U493" s="9" t="n">
        <f aca="false">IF(LEN(TRIM(J493))=0,1,0)</f>
        <v>0</v>
      </c>
      <c r="V493" s="9" t="n">
        <f aca="false">IF(AND(I493="Manual",C493&lt;Parameters!$B$19,C493&gt;=Parameters!$B$19*(1-Parameters!$B$20)),1,0)</f>
        <v>0</v>
      </c>
      <c r="W493" s="9" t="n">
        <f aca="false">IF(AND(I493="Manual",M493&gt;0),1,0)</f>
        <v>0</v>
      </c>
      <c r="X493" s="9" t="n">
        <f aca="false">IF(A493-A492&gt;1,1,0)</f>
        <v>0</v>
      </c>
      <c r="Y493" s="9" t="n">
        <f aca="false">N493*Parameters!$B$38+O493*Parameters!$B$39+P493*Parameters!$B$40+Q493*Parameters!$B$41+R493*Parameters!$B$42+S493*Parameters!$B$43+T493*Parameters!$B$44+U493*Parameters!$B$45+V493*Parameters!$B$46+W493*Parameters!$B$47+X493*Parameters!$B$48</f>
        <v>0</v>
      </c>
      <c r="Z493" s="0" t="str">
        <f aca="false">IF(Y493&gt;=Parameters!$B$25,"High","")</f>
        <v/>
      </c>
    </row>
    <row r="494" customFormat="false" ht="15" hidden="false" customHeight="false" outlineLevel="0" collapsed="false">
      <c r="A494" s="16" t="n">
        <v>1498</v>
      </c>
      <c r="B494" s="9" t="n">
        <f aca="false">COUNTIF(JE_Lines!$B$5:$B$1733,A494)</f>
        <v>2</v>
      </c>
      <c r="C494" s="17" t="n">
        <f aca="false">SUMIFS(JE_Lines!$G$5:$G$1733,JE_Lines!$B$5:$B$1733,A494)</f>
        <v>559.99</v>
      </c>
      <c r="D494" s="17" t="n">
        <f aca="false">SUMIFS(JE_Lines!$H$5:$H$1733,JE_Lines!$B$5:$B$1733,A494)</f>
        <v>559.99</v>
      </c>
      <c r="E494" s="17" t="n">
        <f aca="false">C494-D494</f>
        <v>0</v>
      </c>
      <c r="F494" s="18" t="n">
        <f aca="false">INDEX(JE_Lines!$C$5:$C$1733,MATCH(A494,JE_Lines!$B$5:$B$1733,0))</f>
        <v>45874</v>
      </c>
      <c r="G494" s="18" t="n">
        <f aca="false">INDEX(JE_Lines!$D$5:$D$1733,MATCH(A494,JE_Lines!$B$5:$B$1733,0))</f>
        <v>45874</v>
      </c>
      <c r="H494" s="0" t="str">
        <f aca="false">INDEX(JE_Lines!$I$5:$I$1733,MATCH(A494,JE_Lines!$B$5:$B$1733,0))</f>
        <v>SYS_AR</v>
      </c>
      <c r="I494" s="0" t="str">
        <f aca="false">INDEX(JE_Lines!$J$5:$J$1733,MATCH(A494,JE_Lines!$B$5:$B$1733,0))</f>
        <v>System</v>
      </c>
      <c r="J494" s="0" t="str">
        <f aca="false">IF(LEN(INDEX(JE_Lines!$K$5:$K$1733,MATCH(A494,JE_Lines!$B$5:$B$1733,0)))=0,"",INDEX(JE_Lines!$K$5:$K$1733,MATCH(A494,JE_Lines!$B$5:$B$1733,0)))</f>
        <v>Sales invoice batch</v>
      </c>
      <c r="K494" s="9" t="n">
        <f aca="false">F494-G494</f>
        <v>0</v>
      </c>
      <c r="L494" s="9" t="n">
        <f aca="false">COUNTIFS(JE_Lines!$B$5:$B$1733,A494,JE_Lines!$F$5:$F$1733,"Revenue")</f>
        <v>1</v>
      </c>
      <c r="M494" s="9" t="n">
        <f aca="false">COUNTIFS(JE_Lines!$B$5:$B$1733,A494,JE_Lines!$F$5:$F$1733,"Suspense")</f>
        <v>0</v>
      </c>
      <c r="N494" s="9" t="n">
        <f aca="false">IF(ABS(E494)&gt;Parameters!$B$23,1,0)</f>
        <v>0</v>
      </c>
      <c r="O494" s="9" t="n">
        <f aca="false">IF(WEEKDAY(F494,2)&gt;5,1,0)</f>
        <v>0</v>
      </c>
      <c r="P494" s="9" t="n">
        <f aca="false">IF(K494&gt;Parameters!$B$17,1,0)</f>
        <v>0</v>
      </c>
      <c r="Q494" s="9" t="n">
        <f aca="false">IF(AND(F494&lt;=Parameters!$B$6,F494&gt;Parameters!$B$6-Parameters!$B$18),1,0)</f>
        <v>0</v>
      </c>
      <c r="R494" s="9" t="n">
        <f aca="false">IF(COUNTIF(Parameters!$A$51:$A$58,H494)=0,1,0)</f>
        <v>0</v>
      </c>
      <c r="S494" s="9" t="n">
        <f aca="false">IF(AND(I494="Manual",L494&gt;0),1,0)</f>
        <v>0</v>
      </c>
      <c r="T494" s="9" t="n">
        <f aca="false">IF(AND(C494&gt;=Parameters!$B$22,ROUND(MOD(ROUND(C494,2),Parameters!$B$21),2)=0),1,0)</f>
        <v>0</v>
      </c>
      <c r="U494" s="9" t="n">
        <f aca="false">IF(LEN(TRIM(J494))=0,1,0)</f>
        <v>0</v>
      </c>
      <c r="V494" s="9" t="n">
        <f aca="false">IF(AND(I494="Manual",C494&lt;Parameters!$B$19,C494&gt;=Parameters!$B$19*(1-Parameters!$B$20)),1,0)</f>
        <v>0</v>
      </c>
      <c r="W494" s="9" t="n">
        <f aca="false">IF(AND(I494="Manual",M494&gt;0),1,0)</f>
        <v>0</v>
      </c>
      <c r="X494" s="9" t="n">
        <f aca="false">IF(A494-A493&gt;1,1,0)</f>
        <v>0</v>
      </c>
      <c r="Y494" s="9" t="n">
        <f aca="false">N494*Parameters!$B$38+O494*Parameters!$B$39+P494*Parameters!$B$40+Q494*Parameters!$B$41+R494*Parameters!$B$42+S494*Parameters!$B$43+T494*Parameters!$B$44+U494*Parameters!$B$45+V494*Parameters!$B$46+W494*Parameters!$B$47+X494*Parameters!$B$48</f>
        <v>0</v>
      </c>
      <c r="Z494" s="0" t="str">
        <f aca="false">IF(Y494&gt;=Parameters!$B$25,"High","")</f>
        <v/>
      </c>
    </row>
    <row r="495" customFormat="false" ht="15" hidden="false" customHeight="false" outlineLevel="0" collapsed="false">
      <c r="A495" s="16" t="n">
        <v>1499</v>
      </c>
      <c r="B495" s="9" t="n">
        <f aca="false">COUNTIF(JE_Lines!$B$5:$B$1733,A495)</f>
        <v>2</v>
      </c>
      <c r="C495" s="17" t="n">
        <f aca="false">SUMIFS(JE_Lines!$G$5:$G$1733,JE_Lines!$B$5:$B$1733,A495)</f>
        <v>7194.06</v>
      </c>
      <c r="D495" s="17" t="n">
        <f aca="false">SUMIFS(JE_Lines!$H$5:$H$1733,JE_Lines!$B$5:$B$1733,A495)</f>
        <v>7194.06</v>
      </c>
      <c r="E495" s="17" t="n">
        <f aca="false">C495-D495</f>
        <v>0</v>
      </c>
      <c r="F495" s="18" t="n">
        <f aca="false">INDEX(JE_Lines!$C$5:$C$1733,MATCH(A495,JE_Lines!$B$5:$B$1733,0))</f>
        <v>45874</v>
      </c>
      <c r="G495" s="18" t="n">
        <f aca="false">INDEX(JE_Lines!$D$5:$D$1733,MATCH(A495,JE_Lines!$B$5:$B$1733,0))</f>
        <v>45874</v>
      </c>
      <c r="H495" s="0" t="str">
        <f aca="false">INDEX(JE_Lines!$I$5:$I$1733,MATCH(A495,JE_Lines!$B$5:$B$1733,0))</f>
        <v>SYS_AP</v>
      </c>
      <c r="I495" s="0" t="str">
        <f aca="false">INDEX(JE_Lines!$J$5:$J$1733,MATCH(A495,JE_Lines!$B$5:$B$1733,0))</f>
        <v>System</v>
      </c>
      <c r="J495" s="0" t="str">
        <f aca="false">IF(LEN(INDEX(JE_Lines!$K$5:$K$1733,MATCH(A495,JE_Lines!$B$5:$B$1733,0)))=0,"",INDEX(JE_Lines!$K$5:$K$1733,MATCH(A495,JE_Lines!$B$5:$B$1733,0)))</f>
        <v>Supplier invoices</v>
      </c>
      <c r="K495" s="9" t="n">
        <f aca="false">F495-G495</f>
        <v>0</v>
      </c>
      <c r="L495" s="9" t="n">
        <f aca="false">COUNTIFS(JE_Lines!$B$5:$B$1733,A495,JE_Lines!$F$5:$F$1733,"Revenue")</f>
        <v>0</v>
      </c>
      <c r="M495" s="9" t="n">
        <f aca="false">COUNTIFS(JE_Lines!$B$5:$B$1733,A495,JE_Lines!$F$5:$F$1733,"Suspense")</f>
        <v>0</v>
      </c>
      <c r="N495" s="9" t="n">
        <f aca="false">IF(ABS(E495)&gt;Parameters!$B$23,1,0)</f>
        <v>0</v>
      </c>
      <c r="O495" s="9" t="n">
        <f aca="false">IF(WEEKDAY(F495,2)&gt;5,1,0)</f>
        <v>0</v>
      </c>
      <c r="P495" s="9" t="n">
        <f aca="false">IF(K495&gt;Parameters!$B$17,1,0)</f>
        <v>0</v>
      </c>
      <c r="Q495" s="9" t="n">
        <f aca="false">IF(AND(F495&lt;=Parameters!$B$6,F495&gt;Parameters!$B$6-Parameters!$B$18),1,0)</f>
        <v>0</v>
      </c>
      <c r="R495" s="9" t="n">
        <f aca="false">IF(COUNTIF(Parameters!$A$51:$A$58,H495)=0,1,0)</f>
        <v>0</v>
      </c>
      <c r="S495" s="9" t="n">
        <f aca="false">IF(AND(I495="Manual",L495&gt;0),1,0)</f>
        <v>0</v>
      </c>
      <c r="T495" s="9" t="n">
        <f aca="false">IF(AND(C495&gt;=Parameters!$B$22,ROUND(MOD(ROUND(C495,2),Parameters!$B$21),2)=0),1,0)</f>
        <v>0</v>
      </c>
      <c r="U495" s="9" t="n">
        <f aca="false">IF(LEN(TRIM(J495))=0,1,0)</f>
        <v>0</v>
      </c>
      <c r="V495" s="9" t="n">
        <f aca="false">IF(AND(I495="Manual",C495&lt;Parameters!$B$19,C495&gt;=Parameters!$B$19*(1-Parameters!$B$20)),1,0)</f>
        <v>0</v>
      </c>
      <c r="W495" s="9" t="n">
        <f aca="false">IF(AND(I495="Manual",M495&gt;0),1,0)</f>
        <v>0</v>
      </c>
      <c r="X495" s="9" t="n">
        <f aca="false">IF(A495-A494&gt;1,1,0)</f>
        <v>0</v>
      </c>
      <c r="Y495" s="9" t="n">
        <f aca="false">N495*Parameters!$B$38+O495*Parameters!$B$39+P495*Parameters!$B$40+Q495*Parameters!$B$41+R495*Parameters!$B$42+S495*Parameters!$B$43+T495*Parameters!$B$44+U495*Parameters!$B$45+V495*Parameters!$B$46+W495*Parameters!$B$47+X495*Parameters!$B$48</f>
        <v>0</v>
      </c>
      <c r="Z495" s="0" t="str">
        <f aca="false">IF(Y495&gt;=Parameters!$B$25,"High","")</f>
        <v/>
      </c>
    </row>
    <row r="496" customFormat="false" ht="15" hidden="false" customHeight="false" outlineLevel="0" collapsed="false">
      <c r="A496" s="16" t="n">
        <v>1500</v>
      </c>
      <c r="B496" s="9" t="n">
        <f aca="false">COUNTIF(JE_Lines!$B$5:$B$1733,A496)</f>
        <v>2</v>
      </c>
      <c r="C496" s="17" t="n">
        <f aca="false">SUMIFS(JE_Lines!$G$5:$G$1733,JE_Lines!$B$5:$B$1733,A496)</f>
        <v>2079.44</v>
      </c>
      <c r="D496" s="17" t="n">
        <f aca="false">SUMIFS(JE_Lines!$H$5:$H$1733,JE_Lines!$B$5:$B$1733,A496)</f>
        <v>2079.44</v>
      </c>
      <c r="E496" s="17" t="n">
        <f aca="false">C496-D496</f>
        <v>0</v>
      </c>
      <c r="F496" s="18" t="n">
        <f aca="false">INDEX(JE_Lines!$C$5:$C$1733,MATCH(A496,JE_Lines!$B$5:$B$1733,0))</f>
        <v>45875</v>
      </c>
      <c r="G496" s="18" t="n">
        <f aca="false">INDEX(JE_Lines!$D$5:$D$1733,MATCH(A496,JE_Lines!$B$5:$B$1733,0))</f>
        <v>45874</v>
      </c>
      <c r="H496" s="0" t="str">
        <f aca="false">INDEX(JE_Lines!$I$5:$I$1733,MATCH(A496,JE_Lines!$B$5:$B$1733,0))</f>
        <v>SYS_AR</v>
      </c>
      <c r="I496" s="0" t="str">
        <f aca="false">INDEX(JE_Lines!$J$5:$J$1733,MATCH(A496,JE_Lines!$B$5:$B$1733,0))</f>
        <v>System</v>
      </c>
      <c r="J496" s="0" t="str">
        <f aca="false">IF(LEN(INDEX(JE_Lines!$K$5:$K$1733,MATCH(A496,JE_Lines!$B$5:$B$1733,0)))=0,"",INDEX(JE_Lines!$K$5:$K$1733,MATCH(A496,JE_Lines!$B$5:$B$1733,0)))</f>
        <v>Sales invoice batch</v>
      </c>
      <c r="K496" s="9" t="n">
        <f aca="false">F496-G496</f>
        <v>1</v>
      </c>
      <c r="L496" s="9" t="n">
        <f aca="false">COUNTIFS(JE_Lines!$B$5:$B$1733,A496,JE_Lines!$F$5:$F$1733,"Revenue")</f>
        <v>1</v>
      </c>
      <c r="M496" s="9" t="n">
        <f aca="false">COUNTIFS(JE_Lines!$B$5:$B$1733,A496,JE_Lines!$F$5:$F$1733,"Suspense")</f>
        <v>0</v>
      </c>
      <c r="N496" s="9" t="n">
        <f aca="false">IF(ABS(E496)&gt;Parameters!$B$23,1,0)</f>
        <v>0</v>
      </c>
      <c r="O496" s="9" t="n">
        <f aca="false">IF(WEEKDAY(F496,2)&gt;5,1,0)</f>
        <v>0</v>
      </c>
      <c r="P496" s="9" t="n">
        <f aca="false">IF(K496&gt;Parameters!$B$17,1,0)</f>
        <v>0</v>
      </c>
      <c r="Q496" s="9" t="n">
        <f aca="false">IF(AND(F496&lt;=Parameters!$B$6,F496&gt;Parameters!$B$6-Parameters!$B$18),1,0)</f>
        <v>0</v>
      </c>
      <c r="R496" s="9" t="n">
        <f aca="false">IF(COUNTIF(Parameters!$A$51:$A$58,H496)=0,1,0)</f>
        <v>0</v>
      </c>
      <c r="S496" s="9" t="n">
        <f aca="false">IF(AND(I496="Manual",L496&gt;0),1,0)</f>
        <v>0</v>
      </c>
      <c r="T496" s="9" t="n">
        <f aca="false">IF(AND(C496&gt;=Parameters!$B$22,ROUND(MOD(ROUND(C496,2),Parameters!$B$21),2)=0),1,0)</f>
        <v>0</v>
      </c>
      <c r="U496" s="9" t="n">
        <f aca="false">IF(LEN(TRIM(J496))=0,1,0)</f>
        <v>0</v>
      </c>
      <c r="V496" s="9" t="n">
        <f aca="false">IF(AND(I496="Manual",C496&lt;Parameters!$B$19,C496&gt;=Parameters!$B$19*(1-Parameters!$B$20)),1,0)</f>
        <v>0</v>
      </c>
      <c r="W496" s="9" t="n">
        <f aca="false">IF(AND(I496="Manual",M496&gt;0),1,0)</f>
        <v>0</v>
      </c>
      <c r="X496" s="9" t="n">
        <f aca="false">IF(A496-A495&gt;1,1,0)</f>
        <v>0</v>
      </c>
      <c r="Y496" s="9" t="n">
        <f aca="false">N496*Parameters!$B$38+O496*Parameters!$B$39+P496*Parameters!$B$40+Q496*Parameters!$B$41+R496*Parameters!$B$42+S496*Parameters!$B$43+T496*Parameters!$B$44+U496*Parameters!$B$45+V496*Parameters!$B$46+W496*Parameters!$B$47+X496*Parameters!$B$48</f>
        <v>0</v>
      </c>
      <c r="Z496" s="0" t="str">
        <f aca="false">IF(Y496&gt;=Parameters!$B$25,"High","")</f>
        <v/>
      </c>
    </row>
    <row r="497" customFormat="false" ht="15" hidden="false" customHeight="false" outlineLevel="0" collapsed="false">
      <c r="A497" s="16" t="n">
        <v>1501</v>
      </c>
      <c r="B497" s="9" t="n">
        <f aca="false">COUNTIF(JE_Lines!$B$5:$B$1733,A497)</f>
        <v>2</v>
      </c>
      <c r="C497" s="17" t="n">
        <f aca="false">SUMIFS(JE_Lines!$G$5:$G$1733,JE_Lines!$B$5:$B$1733,A497)</f>
        <v>341.11</v>
      </c>
      <c r="D497" s="17" t="n">
        <f aca="false">SUMIFS(JE_Lines!$H$5:$H$1733,JE_Lines!$B$5:$B$1733,A497)</f>
        <v>341.11</v>
      </c>
      <c r="E497" s="17" t="n">
        <f aca="false">C497-D497</f>
        <v>0</v>
      </c>
      <c r="F497" s="18" t="n">
        <f aca="false">INDEX(JE_Lines!$C$5:$C$1733,MATCH(A497,JE_Lines!$B$5:$B$1733,0))</f>
        <v>45875</v>
      </c>
      <c r="G497" s="18" t="n">
        <f aca="false">INDEX(JE_Lines!$D$5:$D$1733,MATCH(A497,JE_Lines!$B$5:$B$1733,0))</f>
        <v>45875</v>
      </c>
      <c r="H497" s="0" t="str">
        <f aca="false">INDEX(JE_Lines!$I$5:$I$1733,MATCH(A497,JE_Lines!$B$5:$B$1733,0))</f>
        <v>SYS_AR</v>
      </c>
      <c r="I497" s="0" t="str">
        <f aca="false">INDEX(JE_Lines!$J$5:$J$1733,MATCH(A497,JE_Lines!$B$5:$B$1733,0))</f>
        <v>System</v>
      </c>
      <c r="J497" s="0" t="str">
        <f aca="false">IF(LEN(INDEX(JE_Lines!$K$5:$K$1733,MATCH(A497,JE_Lines!$B$5:$B$1733,0)))=0,"",INDEX(JE_Lines!$K$5:$K$1733,MATCH(A497,JE_Lines!$B$5:$B$1733,0)))</f>
        <v>Sales invoice batch</v>
      </c>
      <c r="K497" s="9" t="n">
        <f aca="false">F497-G497</f>
        <v>0</v>
      </c>
      <c r="L497" s="9" t="n">
        <f aca="false">COUNTIFS(JE_Lines!$B$5:$B$1733,A497,JE_Lines!$F$5:$F$1733,"Revenue")</f>
        <v>1</v>
      </c>
      <c r="M497" s="9" t="n">
        <f aca="false">COUNTIFS(JE_Lines!$B$5:$B$1733,A497,JE_Lines!$F$5:$F$1733,"Suspense")</f>
        <v>0</v>
      </c>
      <c r="N497" s="9" t="n">
        <f aca="false">IF(ABS(E497)&gt;Parameters!$B$23,1,0)</f>
        <v>0</v>
      </c>
      <c r="O497" s="9" t="n">
        <f aca="false">IF(WEEKDAY(F497,2)&gt;5,1,0)</f>
        <v>0</v>
      </c>
      <c r="P497" s="9" t="n">
        <f aca="false">IF(K497&gt;Parameters!$B$17,1,0)</f>
        <v>0</v>
      </c>
      <c r="Q497" s="9" t="n">
        <f aca="false">IF(AND(F497&lt;=Parameters!$B$6,F497&gt;Parameters!$B$6-Parameters!$B$18),1,0)</f>
        <v>0</v>
      </c>
      <c r="R497" s="9" t="n">
        <f aca="false">IF(COUNTIF(Parameters!$A$51:$A$58,H497)=0,1,0)</f>
        <v>0</v>
      </c>
      <c r="S497" s="9" t="n">
        <f aca="false">IF(AND(I497="Manual",L497&gt;0),1,0)</f>
        <v>0</v>
      </c>
      <c r="T497" s="9" t="n">
        <f aca="false">IF(AND(C497&gt;=Parameters!$B$22,ROUND(MOD(ROUND(C497,2),Parameters!$B$21),2)=0),1,0)</f>
        <v>0</v>
      </c>
      <c r="U497" s="9" t="n">
        <f aca="false">IF(LEN(TRIM(J497))=0,1,0)</f>
        <v>0</v>
      </c>
      <c r="V497" s="9" t="n">
        <f aca="false">IF(AND(I497="Manual",C497&lt;Parameters!$B$19,C497&gt;=Parameters!$B$19*(1-Parameters!$B$20)),1,0)</f>
        <v>0</v>
      </c>
      <c r="W497" s="9" t="n">
        <f aca="false">IF(AND(I497="Manual",M497&gt;0),1,0)</f>
        <v>0</v>
      </c>
      <c r="X497" s="9" t="n">
        <f aca="false">IF(A497-A496&gt;1,1,0)</f>
        <v>0</v>
      </c>
      <c r="Y497" s="9" t="n">
        <f aca="false">N497*Parameters!$B$38+O497*Parameters!$B$39+P497*Parameters!$B$40+Q497*Parameters!$B$41+R497*Parameters!$B$42+S497*Parameters!$B$43+T497*Parameters!$B$44+U497*Parameters!$B$45+V497*Parameters!$B$46+W497*Parameters!$B$47+X497*Parameters!$B$48</f>
        <v>0</v>
      </c>
      <c r="Z497" s="0" t="str">
        <f aca="false">IF(Y497&gt;=Parameters!$B$25,"High","")</f>
        <v/>
      </c>
    </row>
    <row r="498" customFormat="false" ht="15" hidden="false" customHeight="false" outlineLevel="0" collapsed="false">
      <c r="A498" s="16" t="n">
        <v>1502</v>
      </c>
      <c r="B498" s="9" t="n">
        <f aca="false">COUNTIF(JE_Lines!$B$5:$B$1733,A498)</f>
        <v>2</v>
      </c>
      <c r="C498" s="17" t="n">
        <f aca="false">SUMIFS(JE_Lines!$G$5:$G$1733,JE_Lines!$B$5:$B$1733,A498)</f>
        <v>608.14</v>
      </c>
      <c r="D498" s="17" t="n">
        <f aca="false">SUMIFS(JE_Lines!$H$5:$H$1733,JE_Lines!$B$5:$B$1733,A498)</f>
        <v>608.14</v>
      </c>
      <c r="E498" s="17" t="n">
        <f aca="false">C498-D498</f>
        <v>0</v>
      </c>
      <c r="F498" s="18" t="n">
        <f aca="false">INDEX(JE_Lines!$C$5:$C$1733,MATCH(A498,JE_Lines!$B$5:$B$1733,0))</f>
        <v>45876</v>
      </c>
      <c r="G498" s="18" t="n">
        <f aca="false">INDEX(JE_Lines!$D$5:$D$1733,MATCH(A498,JE_Lines!$B$5:$B$1733,0))</f>
        <v>45874</v>
      </c>
      <c r="H498" s="0" t="str">
        <f aca="false">INDEX(JE_Lines!$I$5:$I$1733,MATCH(A498,JE_Lines!$B$5:$B$1733,0))</f>
        <v>SYS_AP</v>
      </c>
      <c r="I498" s="0" t="str">
        <f aca="false">INDEX(JE_Lines!$J$5:$J$1733,MATCH(A498,JE_Lines!$B$5:$B$1733,0))</f>
        <v>System</v>
      </c>
      <c r="J498" s="0" t="str">
        <f aca="false">IF(LEN(INDEX(JE_Lines!$K$5:$K$1733,MATCH(A498,JE_Lines!$B$5:$B$1733,0)))=0,"",INDEX(JE_Lines!$K$5:$K$1733,MATCH(A498,JE_Lines!$B$5:$B$1733,0)))</f>
        <v>Supplier invoices</v>
      </c>
      <c r="K498" s="9" t="n">
        <f aca="false">F498-G498</f>
        <v>2</v>
      </c>
      <c r="L498" s="9" t="n">
        <f aca="false">COUNTIFS(JE_Lines!$B$5:$B$1733,A498,JE_Lines!$F$5:$F$1733,"Revenue")</f>
        <v>0</v>
      </c>
      <c r="M498" s="9" t="n">
        <f aca="false">COUNTIFS(JE_Lines!$B$5:$B$1733,A498,JE_Lines!$F$5:$F$1733,"Suspense")</f>
        <v>0</v>
      </c>
      <c r="N498" s="9" t="n">
        <f aca="false">IF(ABS(E498)&gt;Parameters!$B$23,1,0)</f>
        <v>0</v>
      </c>
      <c r="O498" s="9" t="n">
        <f aca="false">IF(WEEKDAY(F498,2)&gt;5,1,0)</f>
        <v>0</v>
      </c>
      <c r="P498" s="9" t="n">
        <f aca="false">IF(K498&gt;Parameters!$B$17,1,0)</f>
        <v>0</v>
      </c>
      <c r="Q498" s="9" t="n">
        <f aca="false">IF(AND(F498&lt;=Parameters!$B$6,F498&gt;Parameters!$B$6-Parameters!$B$18),1,0)</f>
        <v>0</v>
      </c>
      <c r="R498" s="9" t="n">
        <f aca="false">IF(COUNTIF(Parameters!$A$51:$A$58,H498)=0,1,0)</f>
        <v>0</v>
      </c>
      <c r="S498" s="9" t="n">
        <f aca="false">IF(AND(I498="Manual",L498&gt;0),1,0)</f>
        <v>0</v>
      </c>
      <c r="T498" s="9" t="n">
        <f aca="false">IF(AND(C498&gt;=Parameters!$B$22,ROUND(MOD(ROUND(C498,2),Parameters!$B$21),2)=0),1,0)</f>
        <v>0</v>
      </c>
      <c r="U498" s="9" t="n">
        <f aca="false">IF(LEN(TRIM(J498))=0,1,0)</f>
        <v>0</v>
      </c>
      <c r="V498" s="9" t="n">
        <f aca="false">IF(AND(I498="Manual",C498&lt;Parameters!$B$19,C498&gt;=Parameters!$B$19*(1-Parameters!$B$20)),1,0)</f>
        <v>0</v>
      </c>
      <c r="W498" s="9" t="n">
        <f aca="false">IF(AND(I498="Manual",M498&gt;0),1,0)</f>
        <v>0</v>
      </c>
      <c r="X498" s="9" t="n">
        <f aca="false">IF(A498-A497&gt;1,1,0)</f>
        <v>0</v>
      </c>
      <c r="Y498" s="9" t="n">
        <f aca="false">N498*Parameters!$B$38+O498*Parameters!$B$39+P498*Parameters!$B$40+Q498*Parameters!$B$41+R498*Parameters!$B$42+S498*Parameters!$B$43+T498*Parameters!$B$44+U498*Parameters!$B$45+V498*Parameters!$B$46+W498*Parameters!$B$47+X498*Parameters!$B$48</f>
        <v>0</v>
      </c>
      <c r="Z498" s="0" t="str">
        <f aca="false">IF(Y498&gt;=Parameters!$B$25,"High","")</f>
        <v/>
      </c>
    </row>
    <row r="499" customFormat="false" ht="15" hidden="false" customHeight="false" outlineLevel="0" collapsed="false">
      <c r="A499" s="16" t="n">
        <v>1503</v>
      </c>
      <c r="B499" s="9" t="n">
        <f aca="false">COUNTIF(JE_Lines!$B$5:$B$1733,A499)</f>
        <v>2</v>
      </c>
      <c r="C499" s="17" t="n">
        <f aca="false">SUMIFS(JE_Lines!$G$5:$G$1733,JE_Lines!$B$5:$B$1733,A499)</f>
        <v>25634.63</v>
      </c>
      <c r="D499" s="17" t="n">
        <f aca="false">SUMIFS(JE_Lines!$H$5:$H$1733,JE_Lines!$B$5:$B$1733,A499)</f>
        <v>25634.63</v>
      </c>
      <c r="E499" s="17" t="n">
        <f aca="false">C499-D499</f>
        <v>0</v>
      </c>
      <c r="F499" s="18" t="n">
        <f aca="false">INDEX(JE_Lines!$C$5:$C$1733,MATCH(A499,JE_Lines!$B$5:$B$1733,0))</f>
        <v>45877</v>
      </c>
      <c r="G499" s="18" t="n">
        <f aca="false">INDEX(JE_Lines!$D$5:$D$1733,MATCH(A499,JE_Lines!$B$5:$B$1733,0))</f>
        <v>45876</v>
      </c>
      <c r="H499" s="0" t="str">
        <f aca="false">INDEX(JE_Lines!$I$5:$I$1733,MATCH(A499,JE_Lines!$B$5:$B$1733,0))</f>
        <v>SYS_AR</v>
      </c>
      <c r="I499" s="0" t="str">
        <f aca="false">INDEX(JE_Lines!$J$5:$J$1733,MATCH(A499,JE_Lines!$B$5:$B$1733,0))</f>
        <v>System</v>
      </c>
      <c r="J499" s="0" t="str">
        <f aca="false">IF(LEN(INDEX(JE_Lines!$K$5:$K$1733,MATCH(A499,JE_Lines!$B$5:$B$1733,0)))=0,"",INDEX(JE_Lines!$K$5:$K$1733,MATCH(A499,JE_Lines!$B$5:$B$1733,0)))</f>
        <v>Sales invoice batch</v>
      </c>
      <c r="K499" s="9" t="n">
        <f aca="false">F499-G499</f>
        <v>1</v>
      </c>
      <c r="L499" s="9" t="n">
        <f aca="false">COUNTIFS(JE_Lines!$B$5:$B$1733,A499,JE_Lines!$F$5:$F$1733,"Revenue")</f>
        <v>1</v>
      </c>
      <c r="M499" s="9" t="n">
        <f aca="false">COUNTIFS(JE_Lines!$B$5:$B$1733,A499,JE_Lines!$F$5:$F$1733,"Suspense")</f>
        <v>0</v>
      </c>
      <c r="N499" s="9" t="n">
        <f aca="false">IF(ABS(E499)&gt;Parameters!$B$23,1,0)</f>
        <v>0</v>
      </c>
      <c r="O499" s="9" t="n">
        <f aca="false">IF(WEEKDAY(F499,2)&gt;5,1,0)</f>
        <v>0</v>
      </c>
      <c r="P499" s="9" t="n">
        <f aca="false">IF(K499&gt;Parameters!$B$17,1,0)</f>
        <v>0</v>
      </c>
      <c r="Q499" s="9" t="n">
        <f aca="false">IF(AND(F499&lt;=Parameters!$B$6,F499&gt;Parameters!$B$6-Parameters!$B$18),1,0)</f>
        <v>0</v>
      </c>
      <c r="R499" s="9" t="n">
        <f aca="false">IF(COUNTIF(Parameters!$A$51:$A$58,H499)=0,1,0)</f>
        <v>0</v>
      </c>
      <c r="S499" s="9" t="n">
        <f aca="false">IF(AND(I499="Manual",L499&gt;0),1,0)</f>
        <v>0</v>
      </c>
      <c r="T499" s="9" t="n">
        <f aca="false">IF(AND(C499&gt;=Parameters!$B$22,ROUND(MOD(ROUND(C499,2),Parameters!$B$21),2)=0),1,0)</f>
        <v>0</v>
      </c>
      <c r="U499" s="9" t="n">
        <f aca="false">IF(LEN(TRIM(J499))=0,1,0)</f>
        <v>0</v>
      </c>
      <c r="V499" s="9" t="n">
        <f aca="false">IF(AND(I499="Manual",C499&lt;Parameters!$B$19,C499&gt;=Parameters!$B$19*(1-Parameters!$B$20)),1,0)</f>
        <v>0</v>
      </c>
      <c r="W499" s="9" t="n">
        <f aca="false">IF(AND(I499="Manual",M499&gt;0),1,0)</f>
        <v>0</v>
      </c>
      <c r="X499" s="9" t="n">
        <f aca="false">IF(A499-A498&gt;1,1,0)</f>
        <v>0</v>
      </c>
      <c r="Y499" s="9" t="n">
        <f aca="false">N499*Parameters!$B$38+O499*Parameters!$B$39+P499*Parameters!$B$40+Q499*Parameters!$B$41+R499*Parameters!$B$42+S499*Parameters!$B$43+T499*Parameters!$B$44+U499*Parameters!$B$45+V499*Parameters!$B$46+W499*Parameters!$B$47+X499*Parameters!$B$48</f>
        <v>0</v>
      </c>
      <c r="Z499" s="0" t="str">
        <f aca="false">IF(Y499&gt;=Parameters!$B$25,"High","")</f>
        <v/>
      </c>
    </row>
    <row r="500" customFormat="false" ht="15" hidden="false" customHeight="false" outlineLevel="0" collapsed="false">
      <c r="A500" s="16" t="n">
        <v>1504</v>
      </c>
      <c r="B500" s="9" t="n">
        <f aca="false">COUNTIF(JE_Lines!$B$5:$B$1733,A500)</f>
        <v>2</v>
      </c>
      <c r="C500" s="17" t="n">
        <f aca="false">SUMIFS(JE_Lines!$G$5:$G$1733,JE_Lines!$B$5:$B$1733,A500)</f>
        <v>703.02</v>
      </c>
      <c r="D500" s="17" t="n">
        <f aca="false">SUMIFS(JE_Lines!$H$5:$H$1733,JE_Lines!$B$5:$B$1733,A500)</f>
        <v>703.02</v>
      </c>
      <c r="E500" s="17" t="n">
        <f aca="false">C500-D500</f>
        <v>0</v>
      </c>
      <c r="F500" s="18" t="n">
        <f aca="false">INDEX(JE_Lines!$C$5:$C$1733,MATCH(A500,JE_Lines!$B$5:$B$1733,0))</f>
        <v>45877</v>
      </c>
      <c r="G500" s="18" t="n">
        <f aca="false">INDEX(JE_Lines!$D$5:$D$1733,MATCH(A500,JE_Lines!$B$5:$B$1733,0))</f>
        <v>45875</v>
      </c>
      <c r="H500" s="0" t="str">
        <f aca="false">INDEX(JE_Lines!$I$5:$I$1733,MATCH(A500,JE_Lines!$B$5:$B$1733,0))</f>
        <v>SYS_PAY</v>
      </c>
      <c r="I500" s="0" t="str">
        <f aca="false">INDEX(JE_Lines!$J$5:$J$1733,MATCH(A500,JE_Lines!$B$5:$B$1733,0))</f>
        <v>System</v>
      </c>
      <c r="J500" s="0" t="str">
        <f aca="false">IF(LEN(INDEX(JE_Lines!$K$5:$K$1733,MATCH(A500,JE_Lines!$B$5:$B$1733,0)))=0,"",INDEX(JE_Lines!$K$5:$K$1733,MATCH(A500,JE_Lines!$B$5:$B$1733,0)))</f>
        <v>Supplier payments</v>
      </c>
      <c r="K500" s="9" t="n">
        <f aca="false">F500-G500</f>
        <v>2</v>
      </c>
      <c r="L500" s="9" t="n">
        <f aca="false">COUNTIFS(JE_Lines!$B$5:$B$1733,A500,JE_Lines!$F$5:$F$1733,"Revenue")</f>
        <v>0</v>
      </c>
      <c r="M500" s="9" t="n">
        <f aca="false">COUNTIFS(JE_Lines!$B$5:$B$1733,A500,JE_Lines!$F$5:$F$1733,"Suspense")</f>
        <v>0</v>
      </c>
      <c r="N500" s="9" t="n">
        <f aca="false">IF(ABS(E500)&gt;Parameters!$B$23,1,0)</f>
        <v>0</v>
      </c>
      <c r="O500" s="9" t="n">
        <f aca="false">IF(WEEKDAY(F500,2)&gt;5,1,0)</f>
        <v>0</v>
      </c>
      <c r="P500" s="9" t="n">
        <f aca="false">IF(K500&gt;Parameters!$B$17,1,0)</f>
        <v>0</v>
      </c>
      <c r="Q500" s="9" t="n">
        <f aca="false">IF(AND(F500&lt;=Parameters!$B$6,F500&gt;Parameters!$B$6-Parameters!$B$18),1,0)</f>
        <v>0</v>
      </c>
      <c r="R500" s="9" t="n">
        <f aca="false">IF(COUNTIF(Parameters!$A$51:$A$58,H500)=0,1,0)</f>
        <v>0</v>
      </c>
      <c r="S500" s="9" t="n">
        <f aca="false">IF(AND(I500="Manual",L500&gt;0),1,0)</f>
        <v>0</v>
      </c>
      <c r="T500" s="9" t="n">
        <f aca="false">IF(AND(C500&gt;=Parameters!$B$22,ROUND(MOD(ROUND(C500,2),Parameters!$B$21),2)=0),1,0)</f>
        <v>0</v>
      </c>
      <c r="U500" s="9" t="n">
        <f aca="false">IF(LEN(TRIM(J500))=0,1,0)</f>
        <v>0</v>
      </c>
      <c r="V500" s="9" t="n">
        <f aca="false">IF(AND(I500="Manual",C500&lt;Parameters!$B$19,C500&gt;=Parameters!$B$19*(1-Parameters!$B$20)),1,0)</f>
        <v>0</v>
      </c>
      <c r="W500" s="9" t="n">
        <f aca="false">IF(AND(I500="Manual",M500&gt;0),1,0)</f>
        <v>0</v>
      </c>
      <c r="X500" s="9" t="n">
        <f aca="false">IF(A500-A499&gt;1,1,0)</f>
        <v>0</v>
      </c>
      <c r="Y500" s="9" t="n">
        <f aca="false">N500*Parameters!$B$38+O500*Parameters!$B$39+P500*Parameters!$B$40+Q500*Parameters!$B$41+R500*Parameters!$B$42+S500*Parameters!$B$43+T500*Parameters!$B$44+U500*Parameters!$B$45+V500*Parameters!$B$46+W500*Parameters!$B$47+X500*Parameters!$B$48</f>
        <v>0</v>
      </c>
      <c r="Z500" s="0" t="str">
        <f aca="false">IF(Y500&gt;=Parameters!$B$25,"High","")</f>
        <v/>
      </c>
    </row>
    <row r="501" customFormat="false" ht="15" hidden="false" customHeight="false" outlineLevel="0" collapsed="false">
      <c r="A501" s="16" t="n">
        <v>1505</v>
      </c>
      <c r="B501" s="9" t="n">
        <f aca="false">COUNTIF(JE_Lines!$B$5:$B$1733,A501)</f>
        <v>2</v>
      </c>
      <c r="C501" s="17" t="n">
        <f aca="false">SUMIFS(JE_Lines!$G$5:$G$1733,JE_Lines!$B$5:$B$1733,A501)</f>
        <v>250.72</v>
      </c>
      <c r="D501" s="17" t="n">
        <f aca="false">SUMIFS(JE_Lines!$H$5:$H$1733,JE_Lines!$B$5:$B$1733,A501)</f>
        <v>250.72</v>
      </c>
      <c r="E501" s="17" t="n">
        <f aca="false">C501-D501</f>
        <v>0</v>
      </c>
      <c r="F501" s="18" t="n">
        <f aca="false">INDEX(JE_Lines!$C$5:$C$1733,MATCH(A501,JE_Lines!$B$5:$B$1733,0))</f>
        <v>45880</v>
      </c>
      <c r="G501" s="18" t="n">
        <f aca="false">INDEX(JE_Lines!$D$5:$D$1733,MATCH(A501,JE_Lines!$B$5:$B$1733,0))</f>
        <v>45877</v>
      </c>
      <c r="H501" s="0" t="str">
        <f aca="false">INDEX(JE_Lines!$I$5:$I$1733,MATCH(A501,JE_Lines!$B$5:$B$1733,0))</f>
        <v>SYS_AR</v>
      </c>
      <c r="I501" s="0" t="str">
        <f aca="false">INDEX(JE_Lines!$J$5:$J$1733,MATCH(A501,JE_Lines!$B$5:$B$1733,0))</f>
        <v>System</v>
      </c>
      <c r="J501" s="0" t="str">
        <f aca="false">IF(LEN(INDEX(JE_Lines!$K$5:$K$1733,MATCH(A501,JE_Lines!$B$5:$B$1733,0)))=0,"",INDEX(JE_Lines!$K$5:$K$1733,MATCH(A501,JE_Lines!$B$5:$B$1733,0)))</f>
        <v>Sales invoice batch</v>
      </c>
      <c r="K501" s="9" t="n">
        <f aca="false">F501-G501</f>
        <v>3</v>
      </c>
      <c r="L501" s="9" t="n">
        <f aca="false">COUNTIFS(JE_Lines!$B$5:$B$1733,A501,JE_Lines!$F$5:$F$1733,"Revenue")</f>
        <v>1</v>
      </c>
      <c r="M501" s="9" t="n">
        <f aca="false">COUNTIFS(JE_Lines!$B$5:$B$1733,A501,JE_Lines!$F$5:$F$1733,"Suspense")</f>
        <v>0</v>
      </c>
      <c r="N501" s="9" t="n">
        <f aca="false">IF(ABS(E501)&gt;Parameters!$B$23,1,0)</f>
        <v>0</v>
      </c>
      <c r="O501" s="9" t="n">
        <f aca="false">IF(WEEKDAY(F501,2)&gt;5,1,0)</f>
        <v>0</v>
      </c>
      <c r="P501" s="9" t="n">
        <f aca="false">IF(K501&gt;Parameters!$B$17,1,0)</f>
        <v>0</v>
      </c>
      <c r="Q501" s="9" t="n">
        <f aca="false">IF(AND(F501&lt;=Parameters!$B$6,F501&gt;Parameters!$B$6-Parameters!$B$18),1,0)</f>
        <v>0</v>
      </c>
      <c r="R501" s="9" t="n">
        <f aca="false">IF(COUNTIF(Parameters!$A$51:$A$58,H501)=0,1,0)</f>
        <v>0</v>
      </c>
      <c r="S501" s="9" t="n">
        <f aca="false">IF(AND(I501="Manual",L501&gt;0),1,0)</f>
        <v>0</v>
      </c>
      <c r="T501" s="9" t="n">
        <f aca="false">IF(AND(C501&gt;=Parameters!$B$22,ROUND(MOD(ROUND(C501,2),Parameters!$B$21),2)=0),1,0)</f>
        <v>0</v>
      </c>
      <c r="U501" s="9" t="n">
        <f aca="false">IF(LEN(TRIM(J501))=0,1,0)</f>
        <v>0</v>
      </c>
      <c r="V501" s="9" t="n">
        <f aca="false">IF(AND(I501="Manual",C501&lt;Parameters!$B$19,C501&gt;=Parameters!$B$19*(1-Parameters!$B$20)),1,0)</f>
        <v>0</v>
      </c>
      <c r="W501" s="9" t="n">
        <f aca="false">IF(AND(I501="Manual",M501&gt;0),1,0)</f>
        <v>0</v>
      </c>
      <c r="X501" s="9" t="n">
        <f aca="false">IF(A501-A500&gt;1,1,0)</f>
        <v>0</v>
      </c>
      <c r="Y501" s="9" t="n">
        <f aca="false">N501*Parameters!$B$38+O501*Parameters!$B$39+P501*Parameters!$B$40+Q501*Parameters!$B$41+R501*Parameters!$B$42+S501*Parameters!$B$43+T501*Parameters!$B$44+U501*Parameters!$B$45+V501*Parameters!$B$46+W501*Parameters!$B$47+X501*Parameters!$B$48</f>
        <v>0</v>
      </c>
      <c r="Z501" s="0" t="str">
        <f aca="false">IF(Y501&gt;=Parameters!$B$25,"High","")</f>
        <v/>
      </c>
    </row>
    <row r="502" customFormat="false" ht="15" hidden="false" customHeight="false" outlineLevel="0" collapsed="false">
      <c r="A502" s="16" t="n">
        <v>1506</v>
      </c>
      <c r="B502" s="9" t="n">
        <f aca="false">COUNTIF(JE_Lines!$B$5:$B$1733,A502)</f>
        <v>2</v>
      </c>
      <c r="C502" s="17" t="n">
        <f aca="false">SUMIFS(JE_Lines!$G$5:$G$1733,JE_Lines!$B$5:$B$1733,A502)</f>
        <v>273.42</v>
      </c>
      <c r="D502" s="17" t="n">
        <f aca="false">SUMIFS(JE_Lines!$H$5:$H$1733,JE_Lines!$B$5:$B$1733,A502)</f>
        <v>273.42</v>
      </c>
      <c r="E502" s="17" t="n">
        <f aca="false">C502-D502</f>
        <v>0</v>
      </c>
      <c r="F502" s="18" t="n">
        <f aca="false">INDEX(JE_Lines!$C$5:$C$1733,MATCH(A502,JE_Lines!$B$5:$B$1733,0))</f>
        <v>45880</v>
      </c>
      <c r="G502" s="18" t="n">
        <f aca="false">INDEX(JE_Lines!$D$5:$D$1733,MATCH(A502,JE_Lines!$B$5:$B$1733,0))</f>
        <v>45878</v>
      </c>
      <c r="H502" s="0" t="str">
        <f aca="false">INDEX(JE_Lines!$I$5:$I$1733,MATCH(A502,JE_Lines!$B$5:$B$1733,0))</f>
        <v>SYS_AP</v>
      </c>
      <c r="I502" s="0" t="str">
        <f aca="false">INDEX(JE_Lines!$J$5:$J$1733,MATCH(A502,JE_Lines!$B$5:$B$1733,0))</f>
        <v>System</v>
      </c>
      <c r="J502" s="0" t="str">
        <f aca="false">IF(LEN(INDEX(JE_Lines!$K$5:$K$1733,MATCH(A502,JE_Lines!$B$5:$B$1733,0)))=0,"",INDEX(JE_Lines!$K$5:$K$1733,MATCH(A502,JE_Lines!$B$5:$B$1733,0)))</f>
        <v>Utilities invoices</v>
      </c>
      <c r="K502" s="9" t="n">
        <f aca="false">F502-G502</f>
        <v>2</v>
      </c>
      <c r="L502" s="9" t="n">
        <f aca="false">COUNTIFS(JE_Lines!$B$5:$B$1733,A502,JE_Lines!$F$5:$F$1733,"Revenue")</f>
        <v>0</v>
      </c>
      <c r="M502" s="9" t="n">
        <f aca="false">COUNTIFS(JE_Lines!$B$5:$B$1733,A502,JE_Lines!$F$5:$F$1733,"Suspense")</f>
        <v>0</v>
      </c>
      <c r="N502" s="9" t="n">
        <f aca="false">IF(ABS(E502)&gt;Parameters!$B$23,1,0)</f>
        <v>0</v>
      </c>
      <c r="O502" s="9" t="n">
        <f aca="false">IF(WEEKDAY(F502,2)&gt;5,1,0)</f>
        <v>0</v>
      </c>
      <c r="P502" s="9" t="n">
        <f aca="false">IF(K502&gt;Parameters!$B$17,1,0)</f>
        <v>0</v>
      </c>
      <c r="Q502" s="9" t="n">
        <f aca="false">IF(AND(F502&lt;=Parameters!$B$6,F502&gt;Parameters!$B$6-Parameters!$B$18),1,0)</f>
        <v>0</v>
      </c>
      <c r="R502" s="9" t="n">
        <f aca="false">IF(COUNTIF(Parameters!$A$51:$A$58,H502)=0,1,0)</f>
        <v>0</v>
      </c>
      <c r="S502" s="9" t="n">
        <f aca="false">IF(AND(I502="Manual",L502&gt;0),1,0)</f>
        <v>0</v>
      </c>
      <c r="T502" s="9" t="n">
        <f aca="false">IF(AND(C502&gt;=Parameters!$B$22,ROUND(MOD(ROUND(C502,2),Parameters!$B$21),2)=0),1,0)</f>
        <v>0</v>
      </c>
      <c r="U502" s="9" t="n">
        <f aca="false">IF(LEN(TRIM(J502))=0,1,0)</f>
        <v>0</v>
      </c>
      <c r="V502" s="9" t="n">
        <f aca="false">IF(AND(I502="Manual",C502&lt;Parameters!$B$19,C502&gt;=Parameters!$B$19*(1-Parameters!$B$20)),1,0)</f>
        <v>0</v>
      </c>
      <c r="W502" s="9" t="n">
        <f aca="false">IF(AND(I502="Manual",M502&gt;0),1,0)</f>
        <v>0</v>
      </c>
      <c r="X502" s="9" t="n">
        <f aca="false">IF(A502-A501&gt;1,1,0)</f>
        <v>0</v>
      </c>
      <c r="Y502" s="9" t="n">
        <f aca="false">N502*Parameters!$B$38+O502*Parameters!$B$39+P502*Parameters!$B$40+Q502*Parameters!$B$41+R502*Parameters!$B$42+S502*Parameters!$B$43+T502*Parameters!$B$44+U502*Parameters!$B$45+V502*Parameters!$B$46+W502*Parameters!$B$47+X502*Parameters!$B$48</f>
        <v>0</v>
      </c>
      <c r="Z502" s="0" t="str">
        <f aca="false">IF(Y502&gt;=Parameters!$B$25,"High","")</f>
        <v/>
      </c>
    </row>
    <row r="503" customFormat="false" ht="15" hidden="false" customHeight="false" outlineLevel="0" collapsed="false">
      <c r="A503" s="16" t="n">
        <v>1507</v>
      </c>
      <c r="B503" s="9" t="n">
        <f aca="false">COUNTIF(JE_Lines!$B$5:$B$1733,A503)</f>
        <v>3</v>
      </c>
      <c r="C503" s="17" t="n">
        <f aca="false">SUMIFS(JE_Lines!$G$5:$G$1733,JE_Lines!$B$5:$B$1733,A503)</f>
        <v>645.38</v>
      </c>
      <c r="D503" s="17" t="n">
        <f aca="false">SUMIFS(JE_Lines!$H$5:$H$1733,JE_Lines!$B$5:$B$1733,A503)</f>
        <v>645.38</v>
      </c>
      <c r="E503" s="17" t="n">
        <f aca="false">C503-D503</f>
        <v>0</v>
      </c>
      <c r="F503" s="18" t="n">
        <f aca="false">INDEX(JE_Lines!$C$5:$C$1733,MATCH(A503,JE_Lines!$B$5:$B$1733,0))</f>
        <v>45881</v>
      </c>
      <c r="G503" s="18" t="n">
        <f aca="false">INDEX(JE_Lines!$D$5:$D$1733,MATCH(A503,JE_Lines!$B$5:$B$1733,0))</f>
        <v>45877</v>
      </c>
      <c r="H503" s="0" t="str">
        <f aca="false">INDEX(JE_Lines!$I$5:$I$1733,MATCH(A503,JE_Lines!$B$5:$B$1733,0))</f>
        <v>SYS_AP</v>
      </c>
      <c r="I503" s="0" t="str">
        <f aca="false">INDEX(JE_Lines!$J$5:$J$1733,MATCH(A503,JE_Lines!$B$5:$B$1733,0))</f>
        <v>System</v>
      </c>
      <c r="J503" s="0" t="str">
        <f aca="false">IF(LEN(INDEX(JE_Lines!$K$5:$K$1733,MATCH(A503,JE_Lines!$B$5:$B$1733,0)))=0,"",INDEX(JE_Lines!$K$5:$K$1733,MATCH(A503,JE_Lines!$B$5:$B$1733,0)))</f>
        <v>Supplier invoices</v>
      </c>
      <c r="K503" s="9" t="n">
        <f aca="false">F503-G503</f>
        <v>4</v>
      </c>
      <c r="L503" s="9" t="n">
        <f aca="false">COUNTIFS(JE_Lines!$B$5:$B$1733,A503,JE_Lines!$F$5:$F$1733,"Revenue")</f>
        <v>0</v>
      </c>
      <c r="M503" s="9" t="n">
        <f aca="false">COUNTIFS(JE_Lines!$B$5:$B$1733,A503,JE_Lines!$F$5:$F$1733,"Suspense")</f>
        <v>0</v>
      </c>
      <c r="N503" s="9" t="n">
        <f aca="false">IF(ABS(E503)&gt;Parameters!$B$23,1,0)</f>
        <v>0</v>
      </c>
      <c r="O503" s="9" t="n">
        <f aca="false">IF(WEEKDAY(F503,2)&gt;5,1,0)</f>
        <v>0</v>
      </c>
      <c r="P503" s="9" t="n">
        <f aca="false">IF(K503&gt;Parameters!$B$17,1,0)</f>
        <v>0</v>
      </c>
      <c r="Q503" s="9" t="n">
        <f aca="false">IF(AND(F503&lt;=Parameters!$B$6,F503&gt;Parameters!$B$6-Parameters!$B$18),1,0)</f>
        <v>0</v>
      </c>
      <c r="R503" s="9" t="n">
        <f aca="false">IF(COUNTIF(Parameters!$A$51:$A$58,H503)=0,1,0)</f>
        <v>0</v>
      </c>
      <c r="S503" s="9" t="n">
        <f aca="false">IF(AND(I503="Manual",L503&gt;0),1,0)</f>
        <v>0</v>
      </c>
      <c r="T503" s="9" t="n">
        <f aca="false">IF(AND(C503&gt;=Parameters!$B$22,ROUND(MOD(ROUND(C503,2),Parameters!$B$21),2)=0),1,0)</f>
        <v>0</v>
      </c>
      <c r="U503" s="9" t="n">
        <f aca="false">IF(LEN(TRIM(J503))=0,1,0)</f>
        <v>0</v>
      </c>
      <c r="V503" s="9" t="n">
        <f aca="false">IF(AND(I503="Manual",C503&lt;Parameters!$B$19,C503&gt;=Parameters!$B$19*(1-Parameters!$B$20)),1,0)</f>
        <v>0</v>
      </c>
      <c r="W503" s="9" t="n">
        <f aca="false">IF(AND(I503="Manual",M503&gt;0),1,0)</f>
        <v>0</v>
      </c>
      <c r="X503" s="9" t="n">
        <f aca="false">IF(A503-A502&gt;1,1,0)</f>
        <v>0</v>
      </c>
      <c r="Y503" s="9" t="n">
        <f aca="false">N503*Parameters!$B$38+O503*Parameters!$B$39+P503*Parameters!$B$40+Q503*Parameters!$B$41+R503*Parameters!$B$42+S503*Parameters!$B$43+T503*Parameters!$B$44+U503*Parameters!$B$45+V503*Parameters!$B$46+W503*Parameters!$B$47+X503*Parameters!$B$48</f>
        <v>0</v>
      </c>
      <c r="Z503" s="0" t="str">
        <f aca="false">IF(Y503&gt;=Parameters!$B$25,"High","")</f>
        <v/>
      </c>
    </row>
    <row r="504" customFormat="false" ht="15" hidden="false" customHeight="false" outlineLevel="0" collapsed="false">
      <c r="A504" s="16" t="n">
        <v>1508</v>
      </c>
      <c r="B504" s="9" t="n">
        <f aca="false">COUNTIF(JE_Lines!$B$5:$B$1733,A504)</f>
        <v>2</v>
      </c>
      <c r="C504" s="17" t="n">
        <f aca="false">SUMIFS(JE_Lines!$G$5:$G$1733,JE_Lines!$B$5:$B$1733,A504)</f>
        <v>2209.56</v>
      </c>
      <c r="D504" s="17" t="n">
        <f aca="false">SUMIFS(JE_Lines!$H$5:$H$1733,JE_Lines!$B$5:$B$1733,A504)</f>
        <v>2209.56</v>
      </c>
      <c r="E504" s="17" t="n">
        <f aca="false">C504-D504</f>
        <v>0</v>
      </c>
      <c r="F504" s="18" t="n">
        <f aca="false">INDEX(JE_Lines!$C$5:$C$1733,MATCH(A504,JE_Lines!$B$5:$B$1733,0))</f>
        <v>45881</v>
      </c>
      <c r="G504" s="18" t="n">
        <f aca="false">INDEX(JE_Lines!$D$5:$D$1733,MATCH(A504,JE_Lines!$B$5:$B$1733,0))</f>
        <v>45879</v>
      </c>
      <c r="H504" s="0" t="str">
        <f aca="false">INDEX(JE_Lines!$I$5:$I$1733,MATCH(A504,JE_Lines!$B$5:$B$1733,0))</f>
        <v>SYS_AR</v>
      </c>
      <c r="I504" s="0" t="str">
        <f aca="false">INDEX(JE_Lines!$J$5:$J$1733,MATCH(A504,JE_Lines!$B$5:$B$1733,0))</f>
        <v>System</v>
      </c>
      <c r="J504" s="0" t="str">
        <f aca="false">IF(LEN(INDEX(JE_Lines!$K$5:$K$1733,MATCH(A504,JE_Lines!$B$5:$B$1733,0)))=0,"",INDEX(JE_Lines!$K$5:$K$1733,MATCH(A504,JE_Lines!$B$5:$B$1733,0)))</f>
        <v/>
      </c>
      <c r="K504" s="9" t="n">
        <f aca="false">F504-G504</f>
        <v>2</v>
      </c>
      <c r="L504" s="9" t="n">
        <f aca="false">COUNTIFS(JE_Lines!$B$5:$B$1733,A504,JE_Lines!$F$5:$F$1733,"Revenue")</f>
        <v>1</v>
      </c>
      <c r="M504" s="9" t="n">
        <f aca="false">COUNTIFS(JE_Lines!$B$5:$B$1733,A504,JE_Lines!$F$5:$F$1733,"Suspense")</f>
        <v>0</v>
      </c>
      <c r="N504" s="9" t="n">
        <f aca="false">IF(ABS(E504)&gt;Parameters!$B$23,1,0)</f>
        <v>0</v>
      </c>
      <c r="O504" s="9" t="n">
        <f aca="false">IF(WEEKDAY(F504,2)&gt;5,1,0)</f>
        <v>0</v>
      </c>
      <c r="P504" s="9" t="n">
        <f aca="false">IF(K504&gt;Parameters!$B$17,1,0)</f>
        <v>0</v>
      </c>
      <c r="Q504" s="9" t="n">
        <f aca="false">IF(AND(F504&lt;=Parameters!$B$6,F504&gt;Parameters!$B$6-Parameters!$B$18),1,0)</f>
        <v>0</v>
      </c>
      <c r="R504" s="9" t="n">
        <f aca="false">IF(COUNTIF(Parameters!$A$51:$A$58,H504)=0,1,0)</f>
        <v>0</v>
      </c>
      <c r="S504" s="9" t="n">
        <f aca="false">IF(AND(I504="Manual",L504&gt;0),1,0)</f>
        <v>0</v>
      </c>
      <c r="T504" s="9" t="n">
        <f aca="false">IF(AND(C504&gt;=Parameters!$B$22,ROUND(MOD(ROUND(C504,2),Parameters!$B$21),2)=0),1,0)</f>
        <v>0</v>
      </c>
      <c r="U504" s="9" t="n">
        <f aca="false">IF(LEN(TRIM(J504))=0,1,0)</f>
        <v>1</v>
      </c>
      <c r="V504" s="9" t="n">
        <f aca="false">IF(AND(I504="Manual",C504&lt;Parameters!$B$19,C504&gt;=Parameters!$B$19*(1-Parameters!$B$20)),1,0)</f>
        <v>0</v>
      </c>
      <c r="W504" s="9" t="n">
        <f aca="false">IF(AND(I504="Manual",M504&gt;0),1,0)</f>
        <v>0</v>
      </c>
      <c r="X504" s="9" t="n">
        <f aca="false">IF(A504-A503&gt;1,1,0)</f>
        <v>0</v>
      </c>
      <c r="Y504" s="9" t="n">
        <f aca="false">N504*Parameters!$B$38+O504*Parameters!$B$39+P504*Parameters!$B$40+Q504*Parameters!$B$41+R504*Parameters!$B$42+S504*Parameters!$B$43+T504*Parameters!$B$44+U504*Parameters!$B$45+V504*Parameters!$B$46+W504*Parameters!$B$47+X504*Parameters!$B$48</f>
        <v>2</v>
      </c>
      <c r="Z504" s="0" t="str">
        <f aca="false">IF(Y504&gt;=Parameters!$B$25,"High","")</f>
        <v/>
      </c>
    </row>
    <row r="505" customFormat="false" ht="15" hidden="false" customHeight="false" outlineLevel="0" collapsed="false">
      <c r="A505" s="16" t="n">
        <v>1509</v>
      </c>
      <c r="B505" s="9" t="n">
        <f aca="false">COUNTIF(JE_Lines!$B$5:$B$1733,A505)</f>
        <v>2</v>
      </c>
      <c r="C505" s="17" t="n">
        <f aca="false">SUMIFS(JE_Lines!$G$5:$G$1733,JE_Lines!$B$5:$B$1733,A505)</f>
        <v>147620.21</v>
      </c>
      <c r="D505" s="17" t="n">
        <f aca="false">SUMIFS(JE_Lines!$H$5:$H$1733,JE_Lines!$B$5:$B$1733,A505)</f>
        <v>147620.21</v>
      </c>
      <c r="E505" s="17" t="n">
        <f aca="false">C505-D505</f>
        <v>0</v>
      </c>
      <c r="F505" s="18" t="n">
        <f aca="false">INDEX(JE_Lines!$C$5:$C$1733,MATCH(A505,JE_Lines!$B$5:$B$1733,0))</f>
        <v>45881</v>
      </c>
      <c r="G505" s="18" t="n">
        <f aca="false">INDEX(JE_Lines!$D$5:$D$1733,MATCH(A505,JE_Lines!$B$5:$B$1733,0))</f>
        <v>45879</v>
      </c>
      <c r="H505" s="0" t="str">
        <f aca="false">INDEX(JE_Lines!$I$5:$I$1733,MATCH(A505,JE_Lines!$B$5:$B$1733,0))</f>
        <v>SYS_AP</v>
      </c>
      <c r="I505" s="0" t="str">
        <f aca="false">INDEX(JE_Lines!$J$5:$J$1733,MATCH(A505,JE_Lines!$B$5:$B$1733,0))</f>
        <v>System</v>
      </c>
      <c r="J505" s="0" t="str">
        <f aca="false">IF(LEN(INDEX(JE_Lines!$K$5:$K$1733,MATCH(A505,JE_Lines!$B$5:$B$1733,0)))=0,"",INDEX(JE_Lines!$K$5:$K$1733,MATCH(A505,JE_Lines!$B$5:$B$1733,0)))</f>
        <v>Supplier invoices</v>
      </c>
      <c r="K505" s="9" t="n">
        <f aca="false">F505-G505</f>
        <v>2</v>
      </c>
      <c r="L505" s="9" t="n">
        <f aca="false">COUNTIFS(JE_Lines!$B$5:$B$1733,A505,JE_Lines!$F$5:$F$1733,"Revenue")</f>
        <v>0</v>
      </c>
      <c r="M505" s="9" t="n">
        <f aca="false">COUNTIFS(JE_Lines!$B$5:$B$1733,A505,JE_Lines!$F$5:$F$1733,"Suspense")</f>
        <v>0</v>
      </c>
      <c r="N505" s="9" t="n">
        <f aca="false">IF(ABS(E505)&gt;Parameters!$B$23,1,0)</f>
        <v>0</v>
      </c>
      <c r="O505" s="9" t="n">
        <f aca="false">IF(WEEKDAY(F505,2)&gt;5,1,0)</f>
        <v>0</v>
      </c>
      <c r="P505" s="9" t="n">
        <f aca="false">IF(K505&gt;Parameters!$B$17,1,0)</f>
        <v>0</v>
      </c>
      <c r="Q505" s="9" t="n">
        <f aca="false">IF(AND(F505&lt;=Parameters!$B$6,F505&gt;Parameters!$B$6-Parameters!$B$18),1,0)</f>
        <v>0</v>
      </c>
      <c r="R505" s="9" t="n">
        <f aca="false">IF(COUNTIF(Parameters!$A$51:$A$58,H505)=0,1,0)</f>
        <v>0</v>
      </c>
      <c r="S505" s="9" t="n">
        <f aca="false">IF(AND(I505="Manual",L505&gt;0),1,0)</f>
        <v>0</v>
      </c>
      <c r="T505" s="9" t="n">
        <f aca="false">IF(AND(C505&gt;=Parameters!$B$22,ROUND(MOD(ROUND(C505,2),Parameters!$B$21),2)=0),1,0)</f>
        <v>0</v>
      </c>
      <c r="U505" s="9" t="n">
        <f aca="false">IF(LEN(TRIM(J505))=0,1,0)</f>
        <v>0</v>
      </c>
      <c r="V505" s="9" t="n">
        <f aca="false">IF(AND(I505="Manual",C505&lt;Parameters!$B$19,C505&gt;=Parameters!$B$19*(1-Parameters!$B$20)),1,0)</f>
        <v>0</v>
      </c>
      <c r="W505" s="9" t="n">
        <f aca="false">IF(AND(I505="Manual",M505&gt;0),1,0)</f>
        <v>0</v>
      </c>
      <c r="X505" s="9" t="n">
        <f aca="false">IF(A505-A504&gt;1,1,0)</f>
        <v>0</v>
      </c>
      <c r="Y505" s="9" t="n">
        <f aca="false">N505*Parameters!$B$38+O505*Parameters!$B$39+P505*Parameters!$B$40+Q505*Parameters!$B$41+R505*Parameters!$B$42+S505*Parameters!$B$43+T505*Parameters!$B$44+U505*Parameters!$B$45+V505*Parameters!$B$46+W505*Parameters!$B$47+X505*Parameters!$B$48</f>
        <v>0</v>
      </c>
      <c r="Z505" s="0" t="str">
        <f aca="false">IF(Y505&gt;=Parameters!$B$25,"High","")</f>
        <v/>
      </c>
    </row>
    <row r="506" customFormat="false" ht="15" hidden="false" customHeight="false" outlineLevel="0" collapsed="false">
      <c r="A506" s="16" t="n">
        <v>1510</v>
      </c>
      <c r="B506" s="9" t="n">
        <f aca="false">COUNTIF(JE_Lines!$B$5:$B$1733,A506)</f>
        <v>2</v>
      </c>
      <c r="C506" s="17" t="n">
        <f aca="false">SUMIFS(JE_Lines!$G$5:$G$1733,JE_Lines!$B$5:$B$1733,A506)</f>
        <v>85646.36</v>
      </c>
      <c r="D506" s="17" t="n">
        <f aca="false">SUMIFS(JE_Lines!$H$5:$H$1733,JE_Lines!$B$5:$B$1733,A506)</f>
        <v>85646.36</v>
      </c>
      <c r="E506" s="17" t="n">
        <f aca="false">C506-D506</f>
        <v>0</v>
      </c>
      <c r="F506" s="18" t="n">
        <f aca="false">INDEX(JE_Lines!$C$5:$C$1733,MATCH(A506,JE_Lines!$B$5:$B$1733,0))</f>
        <v>45882</v>
      </c>
      <c r="G506" s="18" t="n">
        <f aca="false">INDEX(JE_Lines!$D$5:$D$1733,MATCH(A506,JE_Lines!$B$5:$B$1733,0))</f>
        <v>45878</v>
      </c>
      <c r="H506" s="0" t="str">
        <f aca="false">INDEX(JE_Lines!$I$5:$I$1733,MATCH(A506,JE_Lines!$B$5:$B$1733,0))</f>
        <v>SYS_AR</v>
      </c>
      <c r="I506" s="0" t="str">
        <f aca="false">INDEX(JE_Lines!$J$5:$J$1733,MATCH(A506,JE_Lines!$B$5:$B$1733,0))</f>
        <v>System</v>
      </c>
      <c r="J506" s="0" t="str">
        <f aca="false">IF(LEN(INDEX(JE_Lines!$K$5:$K$1733,MATCH(A506,JE_Lines!$B$5:$B$1733,0)))=0,"",INDEX(JE_Lines!$K$5:$K$1733,MATCH(A506,JE_Lines!$B$5:$B$1733,0)))</f>
        <v>Sales invoice batch</v>
      </c>
      <c r="K506" s="9" t="n">
        <f aca="false">F506-G506</f>
        <v>4</v>
      </c>
      <c r="L506" s="9" t="n">
        <f aca="false">COUNTIFS(JE_Lines!$B$5:$B$1733,A506,JE_Lines!$F$5:$F$1733,"Revenue")</f>
        <v>1</v>
      </c>
      <c r="M506" s="9" t="n">
        <f aca="false">COUNTIFS(JE_Lines!$B$5:$B$1733,A506,JE_Lines!$F$5:$F$1733,"Suspense")</f>
        <v>0</v>
      </c>
      <c r="N506" s="9" t="n">
        <f aca="false">IF(ABS(E506)&gt;Parameters!$B$23,1,0)</f>
        <v>0</v>
      </c>
      <c r="O506" s="9" t="n">
        <f aca="false">IF(WEEKDAY(F506,2)&gt;5,1,0)</f>
        <v>0</v>
      </c>
      <c r="P506" s="9" t="n">
        <f aca="false">IF(K506&gt;Parameters!$B$17,1,0)</f>
        <v>0</v>
      </c>
      <c r="Q506" s="9" t="n">
        <f aca="false">IF(AND(F506&lt;=Parameters!$B$6,F506&gt;Parameters!$B$6-Parameters!$B$18),1,0)</f>
        <v>0</v>
      </c>
      <c r="R506" s="9" t="n">
        <f aca="false">IF(COUNTIF(Parameters!$A$51:$A$58,H506)=0,1,0)</f>
        <v>0</v>
      </c>
      <c r="S506" s="9" t="n">
        <f aca="false">IF(AND(I506="Manual",L506&gt;0),1,0)</f>
        <v>0</v>
      </c>
      <c r="T506" s="9" t="n">
        <f aca="false">IF(AND(C506&gt;=Parameters!$B$22,ROUND(MOD(ROUND(C506,2),Parameters!$B$21),2)=0),1,0)</f>
        <v>0</v>
      </c>
      <c r="U506" s="9" t="n">
        <f aca="false">IF(LEN(TRIM(J506))=0,1,0)</f>
        <v>0</v>
      </c>
      <c r="V506" s="9" t="n">
        <f aca="false">IF(AND(I506="Manual",C506&lt;Parameters!$B$19,C506&gt;=Parameters!$B$19*(1-Parameters!$B$20)),1,0)</f>
        <v>0</v>
      </c>
      <c r="W506" s="9" t="n">
        <f aca="false">IF(AND(I506="Manual",M506&gt;0),1,0)</f>
        <v>0</v>
      </c>
      <c r="X506" s="9" t="n">
        <f aca="false">IF(A506-A505&gt;1,1,0)</f>
        <v>0</v>
      </c>
      <c r="Y506" s="9" t="n">
        <f aca="false">N506*Parameters!$B$38+O506*Parameters!$B$39+P506*Parameters!$B$40+Q506*Parameters!$B$41+R506*Parameters!$B$42+S506*Parameters!$B$43+T506*Parameters!$B$44+U506*Parameters!$B$45+V506*Parameters!$B$46+W506*Parameters!$B$47+X506*Parameters!$B$48</f>
        <v>0</v>
      </c>
      <c r="Z506" s="0" t="str">
        <f aca="false">IF(Y506&gt;=Parameters!$B$25,"High","")</f>
        <v/>
      </c>
    </row>
    <row r="507" customFormat="false" ht="15" hidden="false" customHeight="false" outlineLevel="0" collapsed="false">
      <c r="A507" s="16" t="n">
        <v>1511</v>
      </c>
      <c r="B507" s="9" t="n">
        <f aca="false">COUNTIF(JE_Lines!$B$5:$B$1733,A507)</f>
        <v>2</v>
      </c>
      <c r="C507" s="17" t="n">
        <f aca="false">SUMIFS(JE_Lines!$G$5:$G$1733,JE_Lines!$B$5:$B$1733,A507)</f>
        <v>33590.29</v>
      </c>
      <c r="D507" s="17" t="n">
        <f aca="false">SUMIFS(JE_Lines!$H$5:$H$1733,JE_Lines!$B$5:$B$1733,A507)</f>
        <v>33590.29</v>
      </c>
      <c r="E507" s="17" t="n">
        <f aca="false">C507-D507</f>
        <v>0</v>
      </c>
      <c r="F507" s="18" t="n">
        <f aca="false">INDEX(JE_Lines!$C$5:$C$1733,MATCH(A507,JE_Lines!$B$5:$B$1733,0))</f>
        <v>45883</v>
      </c>
      <c r="G507" s="18" t="n">
        <f aca="false">INDEX(JE_Lines!$D$5:$D$1733,MATCH(A507,JE_Lines!$B$5:$B$1733,0))</f>
        <v>45879</v>
      </c>
      <c r="H507" s="0" t="str">
        <f aca="false">INDEX(JE_Lines!$I$5:$I$1733,MATCH(A507,JE_Lines!$B$5:$B$1733,0))</f>
        <v>SYS_AR</v>
      </c>
      <c r="I507" s="0" t="str">
        <f aca="false">INDEX(JE_Lines!$J$5:$J$1733,MATCH(A507,JE_Lines!$B$5:$B$1733,0))</f>
        <v>System</v>
      </c>
      <c r="J507" s="0" t="str">
        <f aca="false">IF(LEN(INDEX(JE_Lines!$K$5:$K$1733,MATCH(A507,JE_Lines!$B$5:$B$1733,0)))=0,"",INDEX(JE_Lines!$K$5:$K$1733,MATCH(A507,JE_Lines!$B$5:$B$1733,0)))</f>
        <v>Sales invoice batch</v>
      </c>
      <c r="K507" s="9" t="n">
        <f aca="false">F507-G507</f>
        <v>4</v>
      </c>
      <c r="L507" s="9" t="n">
        <f aca="false">COUNTIFS(JE_Lines!$B$5:$B$1733,A507,JE_Lines!$F$5:$F$1733,"Revenue")</f>
        <v>1</v>
      </c>
      <c r="M507" s="9" t="n">
        <f aca="false">COUNTIFS(JE_Lines!$B$5:$B$1733,A507,JE_Lines!$F$5:$F$1733,"Suspense")</f>
        <v>0</v>
      </c>
      <c r="N507" s="9" t="n">
        <f aca="false">IF(ABS(E507)&gt;Parameters!$B$23,1,0)</f>
        <v>0</v>
      </c>
      <c r="O507" s="9" t="n">
        <f aca="false">IF(WEEKDAY(F507,2)&gt;5,1,0)</f>
        <v>0</v>
      </c>
      <c r="P507" s="9" t="n">
        <f aca="false">IF(K507&gt;Parameters!$B$17,1,0)</f>
        <v>0</v>
      </c>
      <c r="Q507" s="9" t="n">
        <f aca="false">IF(AND(F507&lt;=Parameters!$B$6,F507&gt;Parameters!$B$6-Parameters!$B$18),1,0)</f>
        <v>0</v>
      </c>
      <c r="R507" s="9" t="n">
        <f aca="false">IF(COUNTIF(Parameters!$A$51:$A$58,H507)=0,1,0)</f>
        <v>0</v>
      </c>
      <c r="S507" s="9" t="n">
        <f aca="false">IF(AND(I507="Manual",L507&gt;0),1,0)</f>
        <v>0</v>
      </c>
      <c r="T507" s="9" t="n">
        <f aca="false">IF(AND(C507&gt;=Parameters!$B$22,ROUND(MOD(ROUND(C507,2),Parameters!$B$21),2)=0),1,0)</f>
        <v>0</v>
      </c>
      <c r="U507" s="9" t="n">
        <f aca="false">IF(LEN(TRIM(J507))=0,1,0)</f>
        <v>0</v>
      </c>
      <c r="V507" s="9" t="n">
        <f aca="false">IF(AND(I507="Manual",C507&lt;Parameters!$B$19,C507&gt;=Parameters!$B$19*(1-Parameters!$B$20)),1,0)</f>
        <v>0</v>
      </c>
      <c r="W507" s="9" t="n">
        <f aca="false">IF(AND(I507="Manual",M507&gt;0),1,0)</f>
        <v>0</v>
      </c>
      <c r="X507" s="9" t="n">
        <f aca="false">IF(A507-A506&gt;1,1,0)</f>
        <v>0</v>
      </c>
      <c r="Y507" s="9" t="n">
        <f aca="false">N507*Parameters!$B$38+O507*Parameters!$B$39+P507*Parameters!$B$40+Q507*Parameters!$B$41+R507*Parameters!$B$42+S507*Parameters!$B$43+T507*Parameters!$B$44+U507*Parameters!$B$45+V507*Parameters!$B$46+W507*Parameters!$B$47+X507*Parameters!$B$48</f>
        <v>0</v>
      </c>
      <c r="Z507" s="0" t="str">
        <f aca="false">IF(Y507&gt;=Parameters!$B$25,"High","")</f>
        <v/>
      </c>
    </row>
    <row r="508" customFormat="false" ht="15" hidden="false" customHeight="false" outlineLevel="0" collapsed="false">
      <c r="A508" s="16" t="n">
        <v>1512</v>
      </c>
      <c r="B508" s="9" t="n">
        <f aca="false">COUNTIF(JE_Lines!$B$5:$B$1733,A508)</f>
        <v>2</v>
      </c>
      <c r="C508" s="17" t="n">
        <f aca="false">SUMIFS(JE_Lines!$G$5:$G$1733,JE_Lines!$B$5:$B$1733,A508)</f>
        <v>1826.13</v>
      </c>
      <c r="D508" s="17" t="n">
        <f aca="false">SUMIFS(JE_Lines!$H$5:$H$1733,JE_Lines!$B$5:$B$1733,A508)</f>
        <v>1826.13</v>
      </c>
      <c r="E508" s="17" t="n">
        <f aca="false">C508-D508</f>
        <v>0</v>
      </c>
      <c r="F508" s="18" t="n">
        <f aca="false">INDEX(JE_Lines!$C$5:$C$1733,MATCH(A508,JE_Lines!$B$5:$B$1733,0))</f>
        <v>45883</v>
      </c>
      <c r="G508" s="18" t="n">
        <f aca="false">INDEX(JE_Lines!$D$5:$D$1733,MATCH(A508,JE_Lines!$B$5:$B$1733,0))</f>
        <v>45879</v>
      </c>
      <c r="H508" s="0" t="str">
        <f aca="false">INDEX(JE_Lines!$I$5:$I$1733,MATCH(A508,JE_Lines!$B$5:$B$1733,0))</f>
        <v>SYS_AR</v>
      </c>
      <c r="I508" s="0" t="str">
        <f aca="false">INDEX(JE_Lines!$J$5:$J$1733,MATCH(A508,JE_Lines!$B$5:$B$1733,0))</f>
        <v>System</v>
      </c>
      <c r="J508" s="0" t="str">
        <f aca="false">IF(LEN(INDEX(JE_Lines!$K$5:$K$1733,MATCH(A508,JE_Lines!$B$5:$B$1733,0)))=0,"",INDEX(JE_Lines!$K$5:$K$1733,MATCH(A508,JE_Lines!$B$5:$B$1733,0)))</f>
        <v>Sales invoice batch</v>
      </c>
      <c r="K508" s="9" t="n">
        <f aca="false">F508-G508</f>
        <v>4</v>
      </c>
      <c r="L508" s="9" t="n">
        <f aca="false">COUNTIFS(JE_Lines!$B$5:$B$1733,A508,JE_Lines!$F$5:$F$1733,"Revenue")</f>
        <v>1</v>
      </c>
      <c r="M508" s="9" t="n">
        <f aca="false">COUNTIFS(JE_Lines!$B$5:$B$1733,A508,JE_Lines!$F$5:$F$1733,"Suspense")</f>
        <v>0</v>
      </c>
      <c r="N508" s="9" t="n">
        <f aca="false">IF(ABS(E508)&gt;Parameters!$B$23,1,0)</f>
        <v>0</v>
      </c>
      <c r="O508" s="9" t="n">
        <f aca="false">IF(WEEKDAY(F508,2)&gt;5,1,0)</f>
        <v>0</v>
      </c>
      <c r="P508" s="9" t="n">
        <f aca="false">IF(K508&gt;Parameters!$B$17,1,0)</f>
        <v>0</v>
      </c>
      <c r="Q508" s="9" t="n">
        <f aca="false">IF(AND(F508&lt;=Parameters!$B$6,F508&gt;Parameters!$B$6-Parameters!$B$18),1,0)</f>
        <v>0</v>
      </c>
      <c r="R508" s="9" t="n">
        <f aca="false">IF(COUNTIF(Parameters!$A$51:$A$58,H508)=0,1,0)</f>
        <v>0</v>
      </c>
      <c r="S508" s="9" t="n">
        <f aca="false">IF(AND(I508="Manual",L508&gt;0),1,0)</f>
        <v>0</v>
      </c>
      <c r="T508" s="9" t="n">
        <f aca="false">IF(AND(C508&gt;=Parameters!$B$22,ROUND(MOD(ROUND(C508,2),Parameters!$B$21),2)=0),1,0)</f>
        <v>0</v>
      </c>
      <c r="U508" s="9" t="n">
        <f aca="false">IF(LEN(TRIM(J508))=0,1,0)</f>
        <v>0</v>
      </c>
      <c r="V508" s="9" t="n">
        <f aca="false">IF(AND(I508="Manual",C508&lt;Parameters!$B$19,C508&gt;=Parameters!$B$19*(1-Parameters!$B$20)),1,0)</f>
        <v>0</v>
      </c>
      <c r="W508" s="9" t="n">
        <f aca="false">IF(AND(I508="Manual",M508&gt;0),1,0)</f>
        <v>0</v>
      </c>
      <c r="X508" s="9" t="n">
        <f aca="false">IF(A508-A507&gt;1,1,0)</f>
        <v>0</v>
      </c>
      <c r="Y508" s="9" t="n">
        <f aca="false">N508*Parameters!$B$38+O508*Parameters!$B$39+P508*Parameters!$B$40+Q508*Parameters!$B$41+R508*Parameters!$B$42+S508*Parameters!$B$43+T508*Parameters!$B$44+U508*Parameters!$B$45+V508*Parameters!$B$46+W508*Parameters!$B$47+X508*Parameters!$B$48</f>
        <v>0</v>
      </c>
      <c r="Z508" s="0" t="str">
        <f aca="false">IF(Y508&gt;=Parameters!$B$25,"High","")</f>
        <v/>
      </c>
    </row>
    <row r="509" customFormat="false" ht="15" hidden="false" customHeight="false" outlineLevel="0" collapsed="false">
      <c r="A509" s="16" t="n">
        <v>1513</v>
      </c>
      <c r="B509" s="9" t="n">
        <f aca="false">COUNTIF(JE_Lines!$B$5:$B$1733,A509)</f>
        <v>2</v>
      </c>
      <c r="C509" s="17" t="n">
        <f aca="false">SUMIFS(JE_Lines!$G$5:$G$1733,JE_Lines!$B$5:$B$1733,A509)</f>
        <v>6251.57</v>
      </c>
      <c r="D509" s="17" t="n">
        <f aca="false">SUMIFS(JE_Lines!$H$5:$H$1733,JE_Lines!$B$5:$B$1733,A509)</f>
        <v>6251.57</v>
      </c>
      <c r="E509" s="17" t="n">
        <f aca="false">C509-D509</f>
        <v>0</v>
      </c>
      <c r="F509" s="18" t="n">
        <f aca="false">INDEX(JE_Lines!$C$5:$C$1733,MATCH(A509,JE_Lines!$B$5:$B$1733,0))</f>
        <v>45884</v>
      </c>
      <c r="G509" s="18" t="n">
        <f aca="false">INDEX(JE_Lines!$D$5:$D$1733,MATCH(A509,JE_Lines!$B$5:$B$1733,0))</f>
        <v>45884</v>
      </c>
      <c r="H509" s="0" t="str">
        <f aca="false">INDEX(JE_Lines!$I$5:$I$1733,MATCH(A509,JE_Lines!$B$5:$B$1733,0))</f>
        <v>FIN01</v>
      </c>
      <c r="I509" s="0" t="str">
        <f aca="false">INDEX(JE_Lines!$J$5:$J$1733,MATCH(A509,JE_Lines!$B$5:$B$1733,0))</f>
        <v>Manual</v>
      </c>
      <c r="J509" s="0" t="str">
        <f aca="false">IF(LEN(INDEX(JE_Lines!$K$5:$K$1733,MATCH(A509,JE_Lines!$B$5:$B$1733,0)))=0,"",INDEX(JE_Lines!$K$5:$K$1733,MATCH(A509,JE_Lines!$B$5:$B$1733,0)))</f>
        <v>Accrual reversal</v>
      </c>
      <c r="K509" s="9" t="n">
        <f aca="false">F509-G509</f>
        <v>0</v>
      </c>
      <c r="L509" s="9" t="n">
        <f aca="false">COUNTIFS(JE_Lines!$B$5:$B$1733,A509,JE_Lines!$F$5:$F$1733,"Revenue")</f>
        <v>0</v>
      </c>
      <c r="M509" s="9" t="n">
        <f aca="false">COUNTIFS(JE_Lines!$B$5:$B$1733,A509,JE_Lines!$F$5:$F$1733,"Suspense")</f>
        <v>0</v>
      </c>
      <c r="N509" s="9" t="n">
        <f aca="false">IF(ABS(E509)&gt;Parameters!$B$23,1,0)</f>
        <v>0</v>
      </c>
      <c r="O509" s="9" t="n">
        <f aca="false">IF(WEEKDAY(F509,2)&gt;5,1,0)</f>
        <v>0</v>
      </c>
      <c r="P509" s="9" t="n">
        <f aca="false">IF(K509&gt;Parameters!$B$17,1,0)</f>
        <v>0</v>
      </c>
      <c r="Q509" s="9" t="n">
        <f aca="false">IF(AND(F509&lt;=Parameters!$B$6,F509&gt;Parameters!$B$6-Parameters!$B$18),1,0)</f>
        <v>0</v>
      </c>
      <c r="R509" s="9" t="n">
        <f aca="false">IF(COUNTIF(Parameters!$A$51:$A$58,H509)=0,1,0)</f>
        <v>0</v>
      </c>
      <c r="S509" s="9" t="n">
        <f aca="false">IF(AND(I509="Manual",L509&gt;0),1,0)</f>
        <v>0</v>
      </c>
      <c r="T509" s="9" t="n">
        <f aca="false">IF(AND(C509&gt;=Parameters!$B$22,ROUND(MOD(ROUND(C509,2),Parameters!$B$21),2)=0),1,0)</f>
        <v>0</v>
      </c>
      <c r="U509" s="9" t="n">
        <f aca="false">IF(LEN(TRIM(J509))=0,1,0)</f>
        <v>0</v>
      </c>
      <c r="V509" s="9" t="n">
        <f aca="false">IF(AND(I509="Manual",C509&lt;Parameters!$B$19,C509&gt;=Parameters!$B$19*(1-Parameters!$B$20)),1,0)</f>
        <v>0</v>
      </c>
      <c r="W509" s="9" t="n">
        <f aca="false">IF(AND(I509="Manual",M509&gt;0),1,0)</f>
        <v>0</v>
      </c>
      <c r="X509" s="9" t="n">
        <f aca="false">IF(A509-A508&gt;1,1,0)</f>
        <v>0</v>
      </c>
      <c r="Y509" s="9" t="n">
        <f aca="false">N509*Parameters!$B$38+O509*Parameters!$B$39+P509*Parameters!$B$40+Q509*Parameters!$B$41+R509*Parameters!$B$42+S509*Parameters!$B$43+T509*Parameters!$B$44+U509*Parameters!$B$45+V509*Parameters!$B$46+W509*Parameters!$B$47+X509*Parameters!$B$48</f>
        <v>0</v>
      </c>
      <c r="Z509" s="0" t="str">
        <f aca="false">IF(Y509&gt;=Parameters!$B$25,"High","")</f>
        <v/>
      </c>
    </row>
    <row r="510" customFormat="false" ht="15" hidden="false" customHeight="false" outlineLevel="0" collapsed="false">
      <c r="A510" s="16" t="n">
        <v>1514</v>
      </c>
      <c r="B510" s="9" t="n">
        <f aca="false">COUNTIF(JE_Lines!$B$5:$B$1733,A510)</f>
        <v>3</v>
      </c>
      <c r="C510" s="17" t="n">
        <f aca="false">SUMIFS(JE_Lines!$G$5:$G$1733,JE_Lines!$B$5:$B$1733,A510)</f>
        <v>243.97</v>
      </c>
      <c r="D510" s="17" t="n">
        <f aca="false">SUMIFS(JE_Lines!$H$5:$H$1733,JE_Lines!$B$5:$B$1733,A510)</f>
        <v>243.97</v>
      </c>
      <c r="E510" s="17" t="n">
        <f aca="false">C510-D510</f>
        <v>0</v>
      </c>
      <c r="F510" s="18" t="n">
        <f aca="false">INDEX(JE_Lines!$C$5:$C$1733,MATCH(A510,JE_Lines!$B$5:$B$1733,0))</f>
        <v>45884</v>
      </c>
      <c r="G510" s="18" t="n">
        <f aca="false">INDEX(JE_Lines!$D$5:$D$1733,MATCH(A510,JE_Lines!$B$5:$B$1733,0))</f>
        <v>45881</v>
      </c>
      <c r="H510" s="0" t="str">
        <f aca="false">INDEX(JE_Lines!$I$5:$I$1733,MATCH(A510,JE_Lines!$B$5:$B$1733,0))</f>
        <v>SYS_PAY</v>
      </c>
      <c r="I510" s="0" t="str">
        <f aca="false">INDEX(JE_Lines!$J$5:$J$1733,MATCH(A510,JE_Lines!$B$5:$B$1733,0))</f>
        <v>System</v>
      </c>
      <c r="J510" s="0" t="str">
        <f aca="false">IF(LEN(INDEX(JE_Lines!$K$5:$K$1733,MATCH(A510,JE_Lines!$B$5:$B$1733,0)))=0,"",INDEX(JE_Lines!$K$5:$K$1733,MATCH(A510,JE_Lines!$B$5:$B$1733,0)))</f>
        <v>Supplier payments</v>
      </c>
      <c r="K510" s="9" t="n">
        <f aca="false">F510-G510</f>
        <v>3</v>
      </c>
      <c r="L510" s="9" t="n">
        <f aca="false">COUNTIFS(JE_Lines!$B$5:$B$1733,A510,JE_Lines!$F$5:$F$1733,"Revenue")</f>
        <v>0</v>
      </c>
      <c r="M510" s="9" t="n">
        <f aca="false">COUNTIFS(JE_Lines!$B$5:$B$1733,A510,JE_Lines!$F$5:$F$1733,"Suspense")</f>
        <v>0</v>
      </c>
      <c r="N510" s="9" t="n">
        <f aca="false">IF(ABS(E510)&gt;Parameters!$B$23,1,0)</f>
        <v>0</v>
      </c>
      <c r="O510" s="9" t="n">
        <f aca="false">IF(WEEKDAY(F510,2)&gt;5,1,0)</f>
        <v>0</v>
      </c>
      <c r="P510" s="9" t="n">
        <f aca="false">IF(K510&gt;Parameters!$B$17,1,0)</f>
        <v>0</v>
      </c>
      <c r="Q510" s="9" t="n">
        <f aca="false">IF(AND(F510&lt;=Parameters!$B$6,F510&gt;Parameters!$B$6-Parameters!$B$18),1,0)</f>
        <v>0</v>
      </c>
      <c r="R510" s="9" t="n">
        <f aca="false">IF(COUNTIF(Parameters!$A$51:$A$58,H510)=0,1,0)</f>
        <v>0</v>
      </c>
      <c r="S510" s="9" t="n">
        <f aca="false">IF(AND(I510="Manual",L510&gt;0),1,0)</f>
        <v>0</v>
      </c>
      <c r="T510" s="9" t="n">
        <f aca="false">IF(AND(C510&gt;=Parameters!$B$22,ROUND(MOD(ROUND(C510,2),Parameters!$B$21),2)=0),1,0)</f>
        <v>0</v>
      </c>
      <c r="U510" s="9" t="n">
        <f aca="false">IF(LEN(TRIM(J510))=0,1,0)</f>
        <v>0</v>
      </c>
      <c r="V510" s="9" t="n">
        <f aca="false">IF(AND(I510="Manual",C510&lt;Parameters!$B$19,C510&gt;=Parameters!$B$19*(1-Parameters!$B$20)),1,0)</f>
        <v>0</v>
      </c>
      <c r="W510" s="9" t="n">
        <f aca="false">IF(AND(I510="Manual",M510&gt;0),1,0)</f>
        <v>0</v>
      </c>
      <c r="X510" s="9" t="n">
        <f aca="false">IF(A510-A509&gt;1,1,0)</f>
        <v>0</v>
      </c>
      <c r="Y510" s="9" t="n">
        <f aca="false">N510*Parameters!$B$38+O510*Parameters!$B$39+P510*Parameters!$B$40+Q510*Parameters!$B$41+R510*Parameters!$B$42+S510*Parameters!$B$43+T510*Parameters!$B$44+U510*Parameters!$B$45+V510*Parameters!$B$46+W510*Parameters!$B$47+X510*Parameters!$B$48</f>
        <v>0</v>
      </c>
      <c r="Z510" s="0" t="str">
        <f aca="false">IF(Y510&gt;=Parameters!$B$25,"High","")</f>
        <v/>
      </c>
    </row>
    <row r="511" customFormat="false" ht="15" hidden="false" customHeight="false" outlineLevel="0" collapsed="false">
      <c r="A511" s="16" t="n">
        <v>1515</v>
      </c>
      <c r="B511" s="9" t="n">
        <f aca="false">COUNTIF(JE_Lines!$B$5:$B$1733,A511)</f>
        <v>2</v>
      </c>
      <c r="C511" s="17" t="n">
        <f aca="false">SUMIFS(JE_Lines!$G$5:$G$1733,JE_Lines!$B$5:$B$1733,A511)</f>
        <v>398.7</v>
      </c>
      <c r="D511" s="17" t="n">
        <f aca="false">SUMIFS(JE_Lines!$H$5:$H$1733,JE_Lines!$B$5:$B$1733,A511)</f>
        <v>398.7</v>
      </c>
      <c r="E511" s="17" t="n">
        <f aca="false">C511-D511</f>
        <v>0</v>
      </c>
      <c r="F511" s="18" t="n">
        <f aca="false">INDEX(JE_Lines!$C$5:$C$1733,MATCH(A511,JE_Lines!$B$5:$B$1733,0))</f>
        <v>45885</v>
      </c>
      <c r="G511" s="18" t="n">
        <f aca="false">INDEX(JE_Lines!$D$5:$D$1733,MATCH(A511,JE_Lines!$B$5:$B$1733,0))</f>
        <v>45882</v>
      </c>
      <c r="H511" s="0" t="str">
        <f aca="false">INDEX(JE_Lines!$I$5:$I$1733,MATCH(A511,JE_Lines!$B$5:$B$1733,0))</f>
        <v>SYS_PAY</v>
      </c>
      <c r="I511" s="0" t="str">
        <f aca="false">INDEX(JE_Lines!$J$5:$J$1733,MATCH(A511,JE_Lines!$B$5:$B$1733,0))</f>
        <v>System</v>
      </c>
      <c r="J511" s="0" t="str">
        <f aca="false">IF(LEN(INDEX(JE_Lines!$K$5:$K$1733,MATCH(A511,JE_Lines!$B$5:$B$1733,0)))=0,"",INDEX(JE_Lines!$K$5:$K$1733,MATCH(A511,JE_Lines!$B$5:$B$1733,0)))</f>
        <v>Supplier payments</v>
      </c>
      <c r="K511" s="9" t="n">
        <f aca="false">F511-G511</f>
        <v>3</v>
      </c>
      <c r="L511" s="9" t="n">
        <f aca="false">COUNTIFS(JE_Lines!$B$5:$B$1733,A511,JE_Lines!$F$5:$F$1733,"Revenue")</f>
        <v>0</v>
      </c>
      <c r="M511" s="9" t="n">
        <f aca="false">COUNTIFS(JE_Lines!$B$5:$B$1733,A511,JE_Lines!$F$5:$F$1733,"Suspense")</f>
        <v>0</v>
      </c>
      <c r="N511" s="9" t="n">
        <f aca="false">IF(ABS(E511)&gt;Parameters!$B$23,1,0)</f>
        <v>0</v>
      </c>
      <c r="O511" s="9" t="n">
        <f aca="false">IF(WEEKDAY(F511,2)&gt;5,1,0)</f>
        <v>1</v>
      </c>
      <c r="P511" s="9" t="n">
        <f aca="false">IF(K511&gt;Parameters!$B$17,1,0)</f>
        <v>0</v>
      </c>
      <c r="Q511" s="9" t="n">
        <f aca="false">IF(AND(F511&lt;=Parameters!$B$6,F511&gt;Parameters!$B$6-Parameters!$B$18),1,0)</f>
        <v>0</v>
      </c>
      <c r="R511" s="9" t="n">
        <f aca="false">IF(COUNTIF(Parameters!$A$51:$A$58,H511)=0,1,0)</f>
        <v>0</v>
      </c>
      <c r="S511" s="9" t="n">
        <f aca="false">IF(AND(I511="Manual",L511&gt;0),1,0)</f>
        <v>0</v>
      </c>
      <c r="T511" s="9" t="n">
        <f aca="false">IF(AND(C511&gt;=Parameters!$B$22,ROUND(MOD(ROUND(C511,2),Parameters!$B$21),2)=0),1,0)</f>
        <v>0</v>
      </c>
      <c r="U511" s="9" t="n">
        <f aca="false">IF(LEN(TRIM(J511))=0,1,0)</f>
        <v>0</v>
      </c>
      <c r="V511" s="9" t="n">
        <f aca="false">IF(AND(I511="Manual",C511&lt;Parameters!$B$19,C511&gt;=Parameters!$B$19*(1-Parameters!$B$20)),1,0)</f>
        <v>0</v>
      </c>
      <c r="W511" s="9" t="n">
        <f aca="false">IF(AND(I511="Manual",M511&gt;0),1,0)</f>
        <v>0</v>
      </c>
      <c r="X511" s="9" t="n">
        <f aca="false">IF(A511-A510&gt;1,1,0)</f>
        <v>0</v>
      </c>
      <c r="Y511" s="9" t="n">
        <f aca="false">N511*Parameters!$B$38+O511*Parameters!$B$39+P511*Parameters!$B$40+Q511*Parameters!$B$41+R511*Parameters!$B$42+S511*Parameters!$B$43+T511*Parameters!$B$44+U511*Parameters!$B$45+V511*Parameters!$B$46+W511*Parameters!$B$47+X511*Parameters!$B$48</f>
        <v>2</v>
      </c>
      <c r="Z511" s="0" t="str">
        <f aca="false">IF(Y511&gt;=Parameters!$B$25,"High","")</f>
        <v/>
      </c>
    </row>
    <row r="512" customFormat="false" ht="15" hidden="false" customHeight="false" outlineLevel="0" collapsed="false">
      <c r="A512" s="16" t="n">
        <v>1516</v>
      </c>
      <c r="B512" s="9" t="n">
        <f aca="false">COUNTIF(JE_Lines!$B$5:$B$1733,A512)</f>
        <v>2</v>
      </c>
      <c r="C512" s="17" t="n">
        <f aca="false">SUMIFS(JE_Lines!$G$5:$G$1733,JE_Lines!$B$5:$B$1733,A512)</f>
        <v>75091.67</v>
      </c>
      <c r="D512" s="17" t="n">
        <f aca="false">SUMIFS(JE_Lines!$H$5:$H$1733,JE_Lines!$B$5:$B$1733,A512)</f>
        <v>75091.67</v>
      </c>
      <c r="E512" s="17" t="n">
        <f aca="false">C512-D512</f>
        <v>0</v>
      </c>
      <c r="F512" s="18" t="n">
        <f aca="false">INDEX(JE_Lines!$C$5:$C$1733,MATCH(A512,JE_Lines!$B$5:$B$1733,0))</f>
        <v>45887</v>
      </c>
      <c r="G512" s="18" t="n">
        <f aca="false">INDEX(JE_Lines!$D$5:$D$1733,MATCH(A512,JE_Lines!$B$5:$B$1733,0))</f>
        <v>45884</v>
      </c>
      <c r="H512" s="0" t="str">
        <f aca="false">INDEX(JE_Lines!$I$5:$I$1733,MATCH(A512,JE_Lines!$B$5:$B$1733,0))</f>
        <v>SYS_PAY</v>
      </c>
      <c r="I512" s="0" t="str">
        <f aca="false">INDEX(JE_Lines!$J$5:$J$1733,MATCH(A512,JE_Lines!$B$5:$B$1733,0))</f>
        <v>System</v>
      </c>
      <c r="J512" s="0" t="str">
        <f aca="false">IF(LEN(INDEX(JE_Lines!$K$5:$K$1733,MATCH(A512,JE_Lines!$B$5:$B$1733,0)))=0,"",INDEX(JE_Lines!$K$5:$K$1733,MATCH(A512,JE_Lines!$B$5:$B$1733,0)))</f>
        <v>Supplier payments</v>
      </c>
      <c r="K512" s="9" t="n">
        <f aca="false">F512-G512</f>
        <v>3</v>
      </c>
      <c r="L512" s="9" t="n">
        <f aca="false">COUNTIFS(JE_Lines!$B$5:$B$1733,A512,JE_Lines!$F$5:$F$1733,"Revenue")</f>
        <v>0</v>
      </c>
      <c r="M512" s="9" t="n">
        <f aca="false">COUNTIFS(JE_Lines!$B$5:$B$1733,A512,JE_Lines!$F$5:$F$1733,"Suspense")</f>
        <v>0</v>
      </c>
      <c r="N512" s="9" t="n">
        <f aca="false">IF(ABS(E512)&gt;Parameters!$B$23,1,0)</f>
        <v>0</v>
      </c>
      <c r="O512" s="9" t="n">
        <f aca="false">IF(WEEKDAY(F512,2)&gt;5,1,0)</f>
        <v>0</v>
      </c>
      <c r="P512" s="9" t="n">
        <f aca="false">IF(K512&gt;Parameters!$B$17,1,0)</f>
        <v>0</v>
      </c>
      <c r="Q512" s="9" t="n">
        <f aca="false">IF(AND(F512&lt;=Parameters!$B$6,F512&gt;Parameters!$B$6-Parameters!$B$18),1,0)</f>
        <v>0</v>
      </c>
      <c r="R512" s="9" t="n">
        <f aca="false">IF(COUNTIF(Parameters!$A$51:$A$58,H512)=0,1,0)</f>
        <v>0</v>
      </c>
      <c r="S512" s="9" t="n">
        <f aca="false">IF(AND(I512="Manual",L512&gt;0),1,0)</f>
        <v>0</v>
      </c>
      <c r="T512" s="9" t="n">
        <f aca="false">IF(AND(C512&gt;=Parameters!$B$22,ROUND(MOD(ROUND(C512,2),Parameters!$B$21),2)=0),1,0)</f>
        <v>0</v>
      </c>
      <c r="U512" s="9" t="n">
        <f aca="false">IF(LEN(TRIM(J512))=0,1,0)</f>
        <v>0</v>
      </c>
      <c r="V512" s="9" t="n">
        <f aca="false">IF(AND(I512="Manual",C512&lt;Parameters!$B$19,C512&gt;=Parameters!$B$19*(1-Parameters!$B$20)),1,0)</f>
        <v>0</v>
      </c>
      <c r="W512" s="9" t="n">
        <f aca="false">IF(AND(I512="Manual",M512&gt;0),1,0)</f>
        <v>0</v>
      </c>
      <c r="X512" s="9" t="n">
        <f aca="false">IF(A512-A511&gt;1,1,0)</f>
        <v>0</v>
      </c>
      <c r="Y512" s="9" t="n">
        <f aca="false">N512*Parameters!$B$38+O512*Parameters!$B$39+P512*Parameters!$B$40+Q512*Parameters!$B$41+R512*Parameters!$B$42+S512*Parameters!$B$43+T512*Parameters!$B$44+U512*Parameters!$B$45+V512*Parameters!$B$46+W512*Parameters!$B$47+X512*Parameters!$B$48</f>
        <v>0</v>
      </c>
      <c r="Z512" s="0" t="str">
        <f aca="false">IF(Y512&gt;=Parameters!$B$25,"High","")</f>
        <v/>
      </c>
    </row>
    <row r="513" customFormat="false" ht="15" hidden="false" customHeight="false" outlineLevel="0" collapsed="false">
      <c r="A513" s="16" t="n">
        <v>1517</v>
      </c>
      <c r="B513" s="9" t="n">
        <f aca="false">COUNTIF(JE_Lines!$B$5:$B$1733,A513)</f>
        <v>3</v>
      </c>
      <c r="C513" s="17" t="n">
        <f aca="false">SUMIFS(JE_Lines!$G$5:$G$1733,JE_Lines!$B$5:$B$1733,A513)</f>
        <v>711.07</v>
      </c>
      <c r="D513" s="17" t="n">
        <f aca="false">SUMIFS(JE_Lines!$H$5:$H$1733,JE_Lines!$B$5:$B$1733,A513)</f>
        <v>711.07</v>
      </c>
      <c r="E513" s="17" t="n">
        <f aca="false">C513-D513</f>
        <v>0</v>
      </c>
      <c r="F513" s="18" t="n">
        <f aca="false">INDEX(JE_Lines!$C$5:$C$1733,MATCH(A513,JE_Lines!$B$5:$B$1733,0))</f>
        <v>45887</v>
      </c>
      <c r="G513" s="18" t="n">
        <f aca="false">INDEX(JE_Lines!$D$5:$D$1733,MATCH(A513,JE_Lines!$B$5:$B$1733,0))</f>
        <v>45884</v>
      </c>
      <c r="H513" s="0" t="str">
        <f aca="false">INDEX(JE_Lines!$I$5:$I$1733,MATCH(A513,JE_Lines!$B$5:$B$1733,0))</f>
        <v>SYS_PAY</v>
      </c>
      <c r="I513" s="0" t="str">
        <f aca="false">INDEX(JE_Lines!$J$5:$J$1733,MATCH(A513,JE_Lines!$B$5:$B$1733,0))</f>
        <v>System</v>
      </c>
      <c r="J513" s="0" t="str">
        <f aca="false">IF(LEN(INDEX(JE_Lines!$K$5:$K$1733,MATCH(A513,JE_Lines!$B$5:$B$1733,0)))=0,"",INDEX(JE_Lines!$K$5:$K$1733,MATCH(A513,JE_Lines!$B$5:$B$1733,0)))</f>
        <v>Supplier payments</v>
      </c>
      <c r="K513" s="9" t="n">
        <f aca="false">F513-G513</f>
        <v>3</v>
      </c>
      <c r="L513" s="9" t="n">
        <f aca="false">COUNTIFS(JE_Lines!$B$5:$B$1733,A513,JE_Lines!$F$5:$F$1733,"Revenue")</f>
        <v>0</v>
      </c>
      <c r="M513" s="9" t="n">
        <f aca="false">COUNTIFS(JE_Lines!$B$5:$B$1733,A513,JE_Lines!$F$5:$F$1733,"Suspense")</f>
        <v>0</v>
      </c>
      <c r="N513" s="9" t="n">
        <f aca="false">IF(ABS(E513)&gt;Parameters!$B$23,1,0)</f>
        <v>0</v>
      </c>
      <c r="O513" s="9" t="n">
        <f aca="false">IF(WEEKDAY(F513,2)&gt;5,1,0)</f>
        <v>0</v>
      </c>
      <c r="P513" s="9" t="n">
        <f aca="false">IF(K513&gt;Parameters!$B$17,1,0)</f>
        <v>0</v>
      </c>
      <c r="Q513" s="9" t="n">
        <f aca="false">IF(AND(F513&lt;=Parameters!$B$6,F513&gt;Parameters!$B$6-Parameters!$B$18),1,0)</f>
        <v>0</v>
      </c>
      <c r="R513" s="9" t="n">
        <f aca="false">IF(COUNTIF(Parameters!$A$51:$A$58,H513)=0,1,0)</f>
        <v>0</v>
      </c>
      <c r="S513" s="9" t="n">
        <f aca="false">IF(AND(I513="Manual",L513&gt;0),1,0)</f>
        <v>0</v>
      </c>
      <c r="T513" s="9" t="n">
        <f aca="false">IF(AND(C513&gt;=Parameters!$B$22,ROUND(MOD(ROUND(C513,2),Parameters!$B$21),2)=0),1,0)</f>
        <v>0</v>
      </c>
      <c r="U513" s="9" t="n">
        <f aca="false">IF(LEN(TRIM(J513))=0,1,0)</f>
        <v>0</v>
      </c>
      <c r="V513" s="9" t="n">
        <f aca="false">IF(AND(I513="Manual",C513&lt;Parameters!$B$19,C513&gt;=Parameters!$B$19*(1-Parameters!$B$20)),1,0)</f>
        <v>0</v>
      </c>
      <c r="W513" s="9" t="n">
        <f aca="false">IF(AND(I513="Manual",M513&gt;0),1,0)</f>
        <v>0</v>
      </c>
      <c r="X513" s="9" t="n">
        <f aca="false">IF(A513-A512&gt;1,1,0)</f>
        <v>0</v>
      </c>
      <c r="Y513" s="9" t="n">
        <f aca="false">N513*Parameters!$B$38+O513*Parameters!$B$39+P513*Parameters!$B$40+Q513*Parameters!$B$41+R513*Parameters!$B$42+S513*Parameters!$B$43+T513*Parameters!$B$44+U513*Parameters!$B$45+V513*Parameters!$B$46+W513*Parameters!$B$47+X513*Parameters!$B$48</f>
        <v>0</v>
      </c>
      <c r="Z513" s="0" t="str">
        <f aca="false">IF(Y513&gt;=Parameters!$B$25,"High","")</f>
        <v/>
      </c>
    </row>
    <row r="514" customFormat="false" ht="15" hidden="false" customHeight="false" outlineLevel="0" collapsed="false">
      <c r="A514" s="16" t="n">
        <v>1518</v>
      </c>
      <c r="B514" s="9" t="n">
        <f aca="false">COUNTIF(JE_Lines!$B$5:$B$1733,A514)</f>
        <v>2</v>
      </c>
      <c r="C514" s="17" t="n">
        <f aca="false">SUMIFS(JE_Lines!$G$5:$G$1733,JE_Lines!$B$5:$B$1733,A514)</f>
        <v>2145.32</v>
      </c>
      <c r="D514" s="17" t="n">
        <f aca="false">SUMIFS(JE_Lines!$H$5:$H$1733,JE_Lines!$B$5:$B$1733,A514)</f>
        <v>2145.32</v>
      </c>
      <c r="E514" s="17" t="n">
        <f aca="false">C514-D514</f>
        <v>0</v>
      </c>
      <c r="F514" s="18" t="n">
        <f aca="false">INDEX(JE_Lines!$C$5:$C$1733,MATCH(A514,JE_Lines!$B$5:$B$1733,0))</f>
        <v>45887</v>
      </c>
      <c r="G514" s="18" t="n">
        <f aca="false">INDEX(JE_Lines!$D$5:$D$1733,MATCH(A514,JE_Lines!$B$5:$B$1733,0))</f>
        <v>45887</v>
      </c>
      <c r="H514" s="0" t="str">
        <f aca="false">INDEX(JE_Lines!$I$5:$I$1733,MATCH(A514,JE_Lines!$B$5:$B$1733,0))</f>
        <v>SYS_AR</v>
      </c>
      <c r="I514" s="0" t="str">
        <f aca="false">INDEX(JE_Lines!$J$5:$J$1733,MATCH(A514,JE_Lines!$B$5:$B$1733,0))</f>
        <v>System</v>
      </c>
      <c r="J514" s="0" t="str">
        <f aca="false">IF(LEN(INDEX(JE_Lines!$K$5:$K$1733,MATCH(A514,JE_Lines!$B$5:$B$1733,0)))=0,"",INDEX(JE_Lines!$K$5:$K$1733,MATCH(A514,JE_Lines!$B$5:$B$1733,0)))</f>
        <v>Sales invoice batch</v>
      </c>
      <c r="K514" s="9" t="n">
        <f aca="false">F514-G514</f>
        <v>0</v>
      </c>
      <c r="L514" s="9" t="n">
        <f aca="false">COUNTIFS(JE_Lines!$B$5:$B$1733,A514,JE_Lines!$F$5:$F$1733,"Revenue")</f>
        <v>1</v>
      </c>
      <c r="M514" s="9" t="n">
        <f aca="false">COUNTIFS(JE_Lines!$B$5:$B$1733,A514,JE_Lines!$F$5:$F$1733,"Suspense")</f>
        <v>0</v>
      </c>
      <c r="N514" s="9" t="n">
        <f aca="false">IF(ABS(E514)&gt;Parameters!$B$23,1,0)</f>
        <v>0</v>
      </c>
      <c r="O514" s="9" t="n">
        <f aca="false">IF(WEEKDAY(F514,2)&gt;5,1,0)</f>
        <v>0</v>
      </c>
      <c r="P514" s="9" t="n">
        <f aca="false">IF(K514&gt;Parameters!$B$17,1,0)</f>
        <v>0</v>
      </c>
      <c r="Q514" s="9" t="n">
        <f aca="false">IF(AND(F514&lt;=Parameters!$B$6,F514&gt;Parameters!$B$6-Parameters!$B$18),1,0)</f>
        <v>0</v>
      </c>
      <c r="R514" s="9" t="n">
        <f aca="false">IF(COUNTIF(Parameters!$A$51:$A$58,H514)=0,1,0)</f>
        <v>0</v>
      </c>
      <c r="S514" s="9" t="n">
        <f aca="false">IF(AND(I514="Manual",L514&gt;0),1,0)</f>
        <v>0</v>
      </c>
      <c r="T514" s="9" t="n">
        <f aca="false">IF(AND(C514&gt;=Parameters!$B$22,ROUND(MOD(ROUND(C514,2),Parameters!$B$21),2)=0),1,0)</f>
        <v>0</v>
      </c>
      <c r="U514" s="9" t="n">
        <f aca="false">IF(LEN(TRIM(J514))=0,1,0)</f>
        <v>0</v>
      </c>
      <c r="V514" s="9" t="n">
        <f aca="false">IF(AND(I514="Manual",C514&lt;Parameters!$B$19,C514&gt;=Parameters!$B$19*(1-Parameters!$B$20)),1,0)</f>
        <v>0</v>
      </c>
      <c r="W514" s="9" t="n">
        <f aca="false">IF(AND(I514="Manual",M514&gt;0),1,0)</f>
        <v>0</v>
      </c>
      <c r="X514" s="9" t="n">
        <f aca="false">IF(A514-A513&gt;1,1,0)</f>
        <v>0</v>
      </c>
      <c r="Y514" s="9" t="n">
        <f aca="false">N514*Parameters!$B$38+O514*Parameters!$B$39+P514*Parameters!$B$40+Q514*Parameters!$B$41+R514*Parameters!$B$42+S514*Parameters!$B$43+T514*Parameters!$B$44+U514*Parameters!$B$45+V514*Parameters!$B$46+W514*Parameters!$B$47+X514*Parameters!$B$48</f>
        <v>0</v>
      </c>
      <c r="Z514" s="0" t="str">
        <f aca="false">IF(Y514&gt;=Parameters!$B$25,"High","")</f>
        <v/>
      </c>
    </row>
    <row r="515" customFormat="false" ht="15" hidden="false" customHeight="false" outlineLevel="0" collapsed="false">
      <c r="A515" s="16" t="n">
        <v>1519</v>
      </c>
      <c r="B515" s="9" t="n">
        <f aca="false">COUNTIF(JE_Lines!$B$5:$B$1733,A515)</f>
        <v>2</v>
      </c>
      <c r="C515" s="17" t="n">
        <f aca="false">SUMIFS(JE_Lines!$G$5:$G$1733,JE_Lines!$B$5:$B$1733,A515)</f>
        <v>8996.86</v>
      </c>
      <c r="D515" s="17" t="n">
        <f aca="false">SUMIFS(JE_Lines!$H$5:$H$1733,JE_Lines!$B$5:$B$1733,A515)</f>
        <v>8996.86</v>
      </c>
      <c r="E515" s="17" t="n">
        <f aca="false">C515-D515</f>
        <v>0</v>
      </c>
      <c r="F515" s="18" t="n">
        <f aca="false">INDEX(JE_Lines!$C$5:$C$1733,MATCH(A515,JE_Lines!$B$5:$B$1733,0))</f>
        <v>45887</v>
      </c>
      <c r="G515" s="18" t="n">
        <f aca="false">INDEX(JE_Lines!$D$5:$D$1733,MATCH(A515,JE_Lines!$B$5:$B$1733,0))</f>
        <v>45883</v>
      </c>
      <c r="H515" s="0" t="str">
        <f aca="false">INDEX(JE_Lines!$I$5:$I$1733,MATCH(A515,JE_Lines!$B$5:$B$1733,0))</f>
        <v>SYS_AR</v>
      </c>
      <c r="I515" s="0" t="str">
        <f aca="false">INDEX(JE_Lines!$J$5:$J$1733,MATCH(A515,JE_Lines!$B$5:$B$1733,0))</f>
        <v>System</v>
      </c>
      <c r="J515" s="0" t="str">
        <f aca="false">IF(LEN(INDEX(JE_Lines!$K$5:$K$1733,MATCH(A515,JE_Lines!$B$5:$B$1733,0)))=0,"",INDEX(JE_Lines!$K$5:$K$1733,MATCH(A515,JE_Lines!$B$5:$B$1733,0)))</f>
        <v>Customer receipts</v>
      </c>
      <c r="K515" s="9" t="n">
        <f aca="false">F515-G515</f>
        <v>4</v>
      </c>
      <c r="L515" s="9" t="n">
        <f aca="false">COUNTIFS(JE_Lines!$B$5:$B$1733,A515,JE_Lines!$F$5:$F$1733,"Revenue")</f>
        <v>0</v>
      </c>
      <c r="M515" s="9" t="n">
        <f aca="false">COUNTIFS(JE_Lines!$B$5:$B$1733,A515,JE_Lines!$F$5:$F$1733,"Suspense")</f>
        <v>0</v>
      </c>
      <c r="N515" s="9" t="n">
        <f aca="false">IF(ABS(E515)&gt;Parameters!$B$23,1,0)</f>
        <v>0</v>
      </c>
      <c r="O515" s="9" t="n">
        <f aca="false">IF(WEEKDAY(F515,2)&gt;5,1,0)</f>
        <v>0</v>
      </c>
      <c r="P515" s="9" t="n">
        <f aca="false">IF(K515&gt;Parameters!$B$17,1,0)</f>
        <v>0</v>
      </c>
      <c r="Q515" s="9" t="n">
        <f aca="false">IF(AND(F515&lt;=Parameters!$B$6,F515&gt;Parameters!$B$6-Parameters!$B$18),1,0)</f>
        <v>0</v>
      </c>
      <c r="R515" s="9" t="n">
        <f aca="false">IF(COUNTIF(Parameters!$A$51:$A$58,H515)=0,1,0)</f>
        <v>0</v>
      </c>
      <c r="S515" s="9" t="n">
        <f aca="false">IF(AND(I515="Manual",L515&gt;0),1,0)</f>
        <v>0</v>
      </c>
      <c r="T515" s="9" t="n">
        <f aca="false">IF(AND(C515&gt;=Parameters!$B$22,ROUND(MOD(ROUND(C515,2),Parameters!$B$21),2)=0),1,0)</f>
        <v>0</v>
      </c>
      <c r="U515" s="9" t="n">
        <f aca="false">IF(LEN(TRIM(J515))=0,1,0)</f>
        <v>0</v>
      </c>
      <c r="V515" s="9" t="n">
        <f aca="false">IF(AND(I515="Manual",C515&lt;Parameters!$B$19,C515&gt;=Parameters!$B$19*(1-Parameters!$B$20)),1,0)</f>
        <v>0</v>
      </c>
      <c r="W515" s="9" t="n">
        <f aca="false">IF(AND(I515="Manual",M515&gt;0),1,0)</f>
        <v>0</v>
      </c>
      <c r="X515" s="9" t="n">
        <f aca="false">IF(A515-A514&gt;1,1,0)</f>
        <v>0</v>
      </c>
      <c r="Y515" s="9" t="n">
        <f aca="false">N515*Parameters!$B$38+O515*Parameters!$B$39+P515*Parameters!$B$40+Q515*Parameters!$B$41+R515*Parameters!$B$42+S515*Parameters!$B$43+T515*Parameters!$B$44+U515*Parameters!$B$45+V515*Parameters!$B$46+W515*Parameters!$B$47+X515*Parameters!$B$48</f>
        <v>0</v>
      </c>
      <c r="Z515" s="0" t="str">
        <f aca="false">IF(Y515&gt;=Parameters!$B$25,"High","")</f>
        <v/>
      </c>
    </row>
    <row r="516" customFormat="false" ht="15" hidden="false" customHeight="false" outlineLevel="0" collapsed="false">
      <c r="A516" s="16" t="n">
        <v>1520</v>
      </c>
      <c r="B516" s="9" t="n">
        <f aca="false">COUNTIF(JE_Lines!$B$5:$B$1733,A516)</f>
        <v>3</v>
      </c>
      <c r="C516" s="17" t="n">
        <f aca="false">SUMIFS(JE_Lines!$G$5:$G$1733,JE_Lines!$B$5:$B$1733,A516)</f>
        <v>82024.67</v>
      </c>
      <c r="D516" s="17" t="n">
        <f aca="false">SUMIFS(JE_Lines!$H$5:$H$1733,JE_Lines!$B$5:$B$1733,A516)</f>
        <v>82024.67</v>
      </c>
      <c r="E516" s="17" t="n">
        <f aca="false">C516-D516</f>
        <v>0</v>
      </c>
      <c r="F516" s="18" t="n">
        <f aca="false">INDEX(JE_Lines!$C$5:$C$1733,MATCH(A516,JE_Lines!$B$5:$B$1733,0))</f>
        <v>45888</v>
      </c>
      <c r="G516" s="18" t="n">
        <f aca="false">INDEX(JE_Lines!$D$5:$D$1733,MATCH(A516,JE_Lines!$B$5:$B$1733,0))</f>
        <v>45884</v>
      </c>
      <c r="H516" s="0" t="str">
        <f aca="false">INDEX(JE_Lines!$I$5:$I$1733,MATCH(A516,JE_Lines!$B$5:$B$1733,0))</f>
        <v>SYS_AR</v>
      </c>
      <c r="I516" s="0" t="str">
        <f aca="false">INDEX(JE_Lines!$J$5:$J$1733,MATCH(A516,JE_Lines!$B$5:$B$1733,0))</f>
        <v>System</v>
      </c>
      <c r="J516" s="0" t="str">
        <f aca="false">IF(LEN(INDEX(JE_Lines!$K$5:$K$1733,MATCH(A516,JE_Lines!$B$5:$B$1733,0)))=0,"",INDEX(JE_Lines!$K$5:$K$1733,MATCH(A516,JE_Lines!$B$5:$B$1733,0)))</f>
        <v>Cost of sales posting</v>
      </c>
      <c r="K516" s="9" t="n">
        <f aca="false">F516-G516</f>
        <v>4</v>
      </c>
      <c r="L516" s="9" t="n">
        <f aca="false">COUNTIFS(JE_Lines!$B$5:$B$1733,A516,JE_Lines!$F$5:$F$1733,"Revenue")</f>
        <v>0</v>
      </c>
      <c r="M516" s="9" t="n">
        <f aca="false">COUNTIFS(JE_Lines!$B$5:$B$1733,A516,JE_Lines!$F$5:$F$1733,"Suspense")</f>
        <v>0</v>
      </c>
      <c r="N516" s="9" t="n">
        <f aca="false">IF(ABS(E516)&gt;Parameters!$B$23,1,0)</f>
        <v>0</v>
      </c>
      <c r="O516" s="9" t="n">
        <f aca="false">IF(WEEKDAY(F516,2)&gt;5,1,0)</f>
        <v>0</v>
      </c>
      <c r="P516" s="9" t="n">
        <f aca="false">IF(K516&gt;Parameters!$B$17,1,0)</f>
        <v>0</v>
      </c>
      <c r="Q516" s="9" t="n">
        <f aca="false">IF(AND(F516&lt;=Parameters!$B$6,F516&gt;Parameters!$B$6-Parameters!$B$18),1,0)</f>
        <v>0</v>
      </c>
      <c r="R516" s="9" t="n">
        <f aca="false">IF(COUNTIF(Parameters!$A$51:$A$58,H516)=0,1,0)</f>
        <v>0</v>
      </c>
      <c r="S516" s="9" t="n">
        <f aca="false">IF(AND(I516="Manual",L516&gt;0),1,0)</f>
        <v>0</v>
      </c>
      <c r="T516" s="9" t="n">
        <f aca="false">IF(AND(C516&gt;=Parameters!$B$22,ROUND(MOD(ROUND(C516,2),Parameters!$B$21),2)=0),1,0)</f>
        <v>0</v>
      </c>
      <c r="U516" s="9" t="n">
        <f aca="false">IF(LEN(TRIM(J516))=0,1,0)</f>
        <v>0</v>
      </c>
      <c r="V516" s="9" t="n">
        <f aca="false">IF(AND(I516="Manual",C516&lt;Parameters!$B$19,C516&gt;=Parameters!$B$19*(1-Parameters!$B$20)),1,0)</f>
        <v>0</v>
      </c>
      <c r="W516" s="9" t="n">
        <f aca="false">IF(AND(I516="Manual",M516&gt;0),1,0)</f>
        <v>0</v>
      </c>
      <c r="X516" s="9" t="n">
        <f aca="false">IF(A516-A515&gt;1,1,0)</f>
        <v>0</v>
      </c>
      <c r="Y516" s="9" t="n">
        <f aca="false">N516*Parameters!$B$38+O516*Parameters!$B$39+P516*Parameters!$B$40+Q516*Parameters!$B$41+R516*Parameters!$B$42+S516*Parameters!$B$43+T516*Parameters!$B$44+U516*Parameters!$B$45+V516*Parameters!$B$46+W516*Parameters!$B$47+X516*Parameters!$B$48</f>
        <v>0</v>
      </c>
      <c r="Z516" s="0" t="str">
        <f aca="false">IF(Y516&gt;=Parameters!$B$25,"High","")</f>
        <v/>
      </c>
    </row>
    <row r="517" customFormat="false" ht="15" hidden="false" customHeight="false" outlineLevel="0" collapsed="false">
      <c r="A517" s="16" t="n">
        <v>1521</v>
      </c>
      <c r="B517" s="9" t="n">
        <f aca="false">COUNTIF(JE_Lines!$B$5:$B$1733,A517)</f>
        <v>2</v>
      </c>
      <c r="C517" s="17" t="n">
        <f aca="false">SUMIFS(JE_Lines!$G$5:$G$1733,JE_Lines!$B$5:$B$1733,A517)</f>
        <v>141110.17</v>
      </c>
      <c r="D517" s="17" t="n">
        <f aca="false">SUMIFS(JE_Lines!$H$5:$H$1733,JE_Lines!$B$5:$B$1733,A517)</f>
        <v>141110.17</v>
      </c>
      <c r="E517" s="17" t="n">
        <f aca="false">C517-D517</f>
        <v>0</v>
      </c>
      <c r="F517" s="18" t="n">
        <f aca="false">INDEX(JE_Lines!$C$5:$C$1733,MATCH(A517,JE_Lines!$B$5:$B$1733,0))</f>
        <v>45888</v>
      </c>
      <c r="G517" s="18" t="n">
        <f aca="false">INDEX(JE_Lines!$D$5:$D$1733,MATCH(A517,JE_Lines!$B$5:$B$1733,0))</f>
        <v>45886</v>
      </c>
      <c r="H517" s="0" t="str">
        <f aca="false">INDEX(JE_Lines!$I$5:$I$1733,MATCH(A517,JE_Lines!$B$5:$B$1733,0))</f>
        <v>SYS_AR</v>
      </c>
      <c r="I517" s="0" t="str">
        <f aca="false">INDEX(JE_Lines!$J$5:$J$1733,MATCH(A517,JE_Lines!$B$5:$B$1733,0))</f>
        <v>System</v>
      </c>
      <c r="J517" s="0" t="str">
        <f aca="false">IF(LEN(INDEX(JE_Lines!$K$5:$K$1733,MATCH(A517,JE_Lines!$B$5:$B$1733,0)))=0,"",INDEX(JE_Lines!$K$5:$K$1733,MATCH(A517,JE_Lines!$B$5:$B$1733,0)))</f>
        <v>Cost of sales posting</v>
      </c>
      <c r="K517" s="9" t="n">
        <f aca="false">F517-G517</f>
        <v>2</v>
      </c>
      <c r="L517" s="9" t="n">
        <f aca="false">COUNTIFS(JE_Lines!$B$5:$B$1733,A517,JE_Lines!$F$5:$F$1733,"Revenue")</f>
        <v>0</v>
      </c>
      <c r="M517" s="9" t="n">
        <f aca="false">COUNTIFS(JE_Lines!$B$5:$B$1733,A517,JE_Lines!$F$5:$F$1733,"Suspense")</f>
        <v>0</v>
      </c>
      <c r="N517" s="9" t="n">
        <f aca="false">IF(ABS(E517)&gt;Parameters!$B$23,1,0)</f>
        <v>0</v>
      </c>
      <c r="O517" s="9" t="n">
        <f aca="false">IF(WEEKDAY(F517,2)&gt;5,1,0)</f>
        <v>0</v>
      </c>
      <c r="P517" s="9" t="n">
        <f aca="false">IF(K517&gt;Parameters!$B$17,1,0)</f>
        <v>0</v>
      </c>
      <c r="Q517" s="9" t="n">
        <f aca="false">IF(AND(F517&lt;=Parameters!$B$6,F517&gt;Parameters!$B$6-Parameters!$B$18),1,0)</f>
        <v>0</v>
      </c>
      <c r="R517" s="9" t="n">
        <f aca="false">IF(COUNTIF(Parameters!$A$51:$A$58,H517)=0,1,0)</f>
        <v>0</v>
      </c>
      <c r="S517" s="9" t="n">
        <f aca="false">IF(AND(I517="Manual",L517&gt;0),1,0)</f>
        <v>0</v>
      </c>
      <c r="T517" s="9" t="n">
        <f aca="false">IF(AND(C517&gt;=Parameters!$B$22,ROUND(MOD(ROUND(C517,2),Parameters!$B$21),2)=0),1,0)</f>
        <v>0</v>
      </c>
      <c r="U517" s="9" t="n">
        <f aca="false">IF(LEN(TRIM(J517))=0,1,0)</f>
        <v>0</v>
      </c>
      <c r="V517" s="9" t="n">
        <f aca="false">IF(AND(I517="Manual",C517&lt;Parameters!$B$19,C517&gt;=Parameters!$B$19*(1-Parameters!$B$20)),1,0)</f>
        <v>0</v>
      </c>
      <c r="W517" s="9" t="n">
        <f aca="false">IF(AND(I517="Manual",M517&gt;0),1,0)</f>
        <v>0</v>
      </c>
      <c r="X517" s="9" t="n">
        <f aca="false">IF(A517-A516&gt;1,1,0)</f>
        <v>0</v>
      </c>
      <c r="Y517" s="9" t="n">
        <f aca="false">N517*Parameters!$B$38+O517*Parameters!$B$39+P517*Parameters!$B$40+Q517*Parameters!$B$41+R517*Parameters!$B$42+S517*Parameters!$B$43+T517*Parameters!$B$44+U517*Parameters!$B$45+V517*Parameters!$B$46+W517*Parameters!$B$47+X517*Parameters!$B$48</f>
        <v>0</v>
      </c>
      <c r="Z517" s="0" t="str">
        <f aca="false">IF(Y517&gt;=Parameters!$B$25,"High","")</f>
        <v/>
      </c>
    </row>
    <row r="518" customFormat="false" ht="15" hidden="false" customHeight="false" outlineLevel="0" collapsed="false">
      <c r="A518" s="16" t="n">
        <v>1522</v>
      </c>
      <c r="B518" s="9" t="n">
        <f aca="false">COUNTIF(JE_Lines!$B$5:$B$1733,A518)</f>
        <v>3</v>
      </c>
      <c r="C518" s="17" t="n">
        <f aca="false">SUMIFS(JE_Lines!$G$5:$G$1733,JE_Lines!$B$5:$B$1733,A518)</f>
        <v>384.03</v>
      </c>
      <c r="D518" s="17" t="n">
        <f aca="false">SUMIFS(JE_Lines!$H$5:$H$1733,JE_Lines!$B$5:$B$1733,A518)</f>
        <v>384.03</v>
      </c>
      <c r="E518" s="17" t="n">
        <f aca="false">C518-D518</f>
        <v>0</v>
      </c>
      <c r="F518" s="18" t="n">
        <f aca="false">INDEX(JE_Lines!$C$5:$C$1733,MATCH(A518,JE_Lines!$B$5:$B$1733,0))</f>
        <v>45888</v>
      </c>
      <c r="G518" s="18" t="n">
        <f aca="false">INDEX(JE_Lines!$D$5:$D$1733,MATCH(A518,JE_Lines!$B$5:$B$1733,0))</f>
        <v>45887</v>
      </c>
      <c r="H518" s="0" t="str">
        <f aca="false">INDEX(JE_Lines!$I$5:$I$1733,MATCH(A518,JE_Lines!$B$5:$B$1733,0))</f>
        <v>FIN03</v>
      </c>
      <c r="I518" s="0" t="str">
        <f aca="false">INDEX(JE_Lines!$J$5:$J$1733,MATCH(A518,JE_Lines!$B$5:$B$1733,0))</f>
        <v>Manual</v>
      </c>
      <c r="J518" s="0" t="str">
        <f aca="false">IF(LEN(INDEX(JE_Lines!$K$5:$K$1733,MATCH(A518,JE_Lines!$B$5:$B$1733,0)))=0,"",INDEX(JE_Lines!$K$5:$K$1733,MATCH(A518,JE_Lines!$B$5:$B$1733,0)))</f>
        <v>Accrual for sundry costs</v>
      </c>
      <c r="K518" s="9" t="n">
        <f aca="false">F518-G518</f>
        <v>1</v>
      </c>
      <c r="L518" s="9" t="n">
        <f aca="false">COUNTIFS(JE_Lines!$B$5:$B$1733,A518,JE_Lines!$F$5:$F$1733,"Revenue")</f>
        <v>0</v>
      </c>
      <c r="M518" s="9" t="n">
        <f aca="false">COUNTIFS(JE_Lines!$B$5:$B$1733,A518,JE_Lines!$F$5:$F$1733,"Suspense")</f>
        <v>0</v>
      </c>
      <c r="N518" s="9" t="n">
        <f aca="false">IF(ABS(E518)&gt;Parameters!$B$23,1,0)</f>
        <v>0</v>
      </c>
      <c r="O518" s="9" t="n">
        <f aca="false">IF(WEEKDAY(F518,2)&gt;5,1,0)</f>
        <v>0</v>
      </c>
      <c r="P518" s="9" t="n">
        <f aca="false">IF(K518&gt;Parameters!$B$17,1,0)</f>
        <v>0</v>
      </c>
      <c r="Q518" s="9" t="n">
        <f aca="false">IF(AND(F518&lt;=Parameters!$B$6,F518&gt;Parameters!$B$6-Parameters!$B$18),1,0)</f>
        <v>0</v>
      </c>
      <c r="R518" s="9" t="n">
        <f aca="false">IF(COUNTIF(Parameters!$A$51:$A$58,H518)=0,1,0)</f>
        <v>0</v>
      </c>
      <c r="S518" s="9" t="n">
        <f aca="false">IF(AND(I518="Manual",L518&gt;0),1,0)</f>
        <v>0</v>
      </c>
      <c r="T518" s="9" t="n">
        <f aca="false">IF(AND(C518&gt;=Parameters!$B$22,ROUND(MOD(ROUND(C518,2),Parameters!$B$21),2)=0),1,0)</f>
        <v>0</v>
      </c>
      <c r="U518" s="9" t="n">
        <f aca="false">IF(LEN(TRIM(J518))=0,1,0)</f>
        <v>0</v>
      </c>
      <c r="V518" s="9" t="n">
        <f aca="false">IF(AND(I518="Manual",C518&lt;Parameters!$B$19,C518&gt;=Parameters!$B$19*(1-Parameters!$B$20)),1,0)</f>
        <v>0</v>
      </c>
      <c r="W518" s="9" t="n">
        <f aca="false">IF(AND(I518="Manual",M518&gt;0),1,0)</f>
        <v>0</v>
      </c>
      <c r="X518" s="9" t="n">
        <f aca="false">IF(A518-A517&gt;1,1,0)</f>
        <v>0</v>
      </c>
      <c r="Y518" s="9" t="n">
        <f aca="false">N518*Parameters!$B$38+O518*Parameters!$B$39+P518*Parameters!$B$40+Q518*Parameters!$B$41+R518*Parameters!$B$42+S518*Parameters!$B$43+T518*Parameters!$B$44+U518*Parameters!$B$45+V518*Parameters!$B$46+W518*Parameters!$B$47+X518*Parameters!$B$48</f>
        <v>0</v>
      </c>
      <c r="Z518" s="0" t="str">
        <f aca="false">IF(Y518&gt;=Parameters!$B$25,"High","")</f>
        <v/>
      </c>
    </row>
    <row r="519" customFormat="false" ht="15" hidden="false" customHeight="false" outlineLevel="0" collapsed="false">
      <c r="A519" s="16" t="n">
        <v>1523</v>
      </c>
      <c r="B519" s="9" t="n">
        <f aca="false">COUNTIF(JE_Lines!$B$5:$B$1733,A519)</f>
        <v>2</v>
      </c>
      <c r="C519" s="17" t="n">
        <f aca="false">SUMIFS(JE_Lines!$G$5:$G$1733,JE_Lines!$B$5:$B$1733,A519)</f>
        <v>49207.29</v>
      </c>
      <c r="D519" s="17" t="n">
        <f aca="false">SUMIFS(JE_Lines!$H$5:$H$1733,JE_Lines!$B$5:$B$1733,A519)</f>
        <v>49207.29</v>
      </c>
      <c r="E519" s="17" t="n">
        <f aca="false">C519-D519</f>
        <v>0</v>
      </c>
      <c r="F519" s="18" t="n">
        <f aca="false">INDEX(JE_Lines!$C$5:$C$1733,MATCH(A519,JE_Lines!$B$5:$B$1733,0))</f>
        <v>45889</v>
      </c>
      <c r="G519" s="18" t="n">
        <f aca="false">INDEX(JE_Lines!$D$5:$D$1733,MATCH(A519,JE_Lines!$B$5:$B$1733,0))</f>
        <v>45889</v>
      </c>
      <c r="H519" s="0" t="str">
        <f aca="false">INDEX(JE_Lines!$I$5:$I$1733,MATCH(A519,JE_Lines!$B$5:$B$1733,0))</f>
        <v>FIN05</v>
      </c>
      <c r="I519" s="0" t="str">
        <f aca="false">INDEX(JE_Lines!$J$5:$J$1733,MATCH(A519,JE_Lines!$B$5:$B$1733,0))</f>
        <v>Manual</v>
      </c>
      <c r="J519" s="0" t="str">
        <f aca="false">IF(LEN(INDEX(JE_Lines!$K$5:$K$1733,MATCH(A519,JE_Lines!$B$5:$B$1733,0)))=0,"",INDEX(JE_Lines!$K$5:$K$1733,MATCH(A519,JE_Lines!$B$5:$B$1733,0)))</f>
        <v>Manual accrual 2</v>
      </c>
      <c r="K519" s="9" t="n">
        <f aca="false">F519-G519</f>
        <v>0</v>
      </c>
      <c r="L519" s="9" t="n">
        <f aca="false">COUNTIFS(JE_Lines!$B$5:$B$1733,A519,JE_Lines!$F$5:$F$1733,"Revenue")</f>
        <v>0</v>
      </c>
      <c r="M519" s="9" t="n">
        <f aca="false">COUNTIFS(JE_Lines!$B$5:$B$1733,A519,JE_Lines!$F$5:$F$1733,"Suspense")</f>
        <v>0</v>
      </c>
      <c r="N519" s="9" t="n">
        <f aca="false">IF(ABS(E519)&gt;Parameters!$B$23,1,0)</f>
        <v>0</v>
      </c>
      <c r="O519" s="9" t="n">
        <f aca="false">IF(WEEKDAY(F519,2)&gt;5,1,0)</f>
        <v>0</v>
      </c>
      <c r="P519" s="9" t="n">
        <f aca="false">IF(K519&gt;Parameters!$B$17,1,0)</f>
        <v>0</v>
      </c>
      <c r="Q519" s="9" t="n">
        <f aca="false">IF(AND(F519&lt;=Parameters!$B$6,F519&gt;Parameters!$B$6-Parameters!$B$18),1,0)</f>
        <v>0</v>
      </c>
      <c r="R519" s="9" t="n">
        <f aca="false">IF(COUNTIF(Parameters!$A$51:$A$58,H519)=0,1,0)</f>
        <v>0</v>
      </c>
      <c r="S519" s="9" t="n">
        <f aca="false">IF(AND(I519="Manual",L519&gt;0),1,0)</f>
        <v>0</v>
      </c>
      <c r="T519" s="9" t="n">
        <f aca="false">IF(AND(C519&gt;=Parameters!$B$22,ROUND(MOD(ROUND(C519,2),Parameters!$B$21),2)=0),1,0)</f>
        <v>0</v>
      </c>
      <c r="U519" s="9" t="n">
        <f aca="false">IF(LEN(TRIM(J519))=0,1,0)</f>
        <v>0</v>
      </c>
      <c r="V519" s="9" t="n">
        <f aca="false">IF(AND(I519="Manual",C519&lt;Parameters!$B$19,C519&gt;=Parameters!$B$19*(1-Parameters!$B$20)),1,0)</f>
        <v>1</v>
      </c>
      <c r="W519" s="9" t="n">
        <f aca="false">IF(AND(I519="Manual",M519&gt;0),1,0)</f>
        <v>0</v>
      </c>
      <c r="X519" s="9" t="n">
        <f aca="false">IF(A519-A518&gt;1,1,0)</f>
        <v>0</v>
      </c>
      <c r="Y519" s="9" t="n">
        <f aca="false">N519*Parameters!$B$38+O519*Parameters!$B$39+P519*Parameters!$B$40+Q519*Parameters!$B$41+R519*Parameters!$B$42+S519*Parameters!$B$43+T519*Parameters!$B$44+U519*Parameters!$B$45+V519*Parameters!$B$46+W519*Parameters!$B$47+X519*Parameters!$B$48</f>
        <v>3</v>
      </c>
      <c r="Z519" s="0" t="str">
        <f aca="false">IF(Y519&gt;=Parameters!$B$25,"High","")</f>
        <v/>
      </c>
    </row>
    <row r="520" customFormat="false" ht="15" hidden="false" customHeight="false" outlineLevel="0" collapsed="false">
      <c r="A520" s="16" t="n">
        <v>1524</v>
      </c>
      <c r="B520" s="9" t="n">
        <f aca="false">COUNTIF(JE_Lines!$B$5:$B$1733,A520)</f>
        <v>3</v>
      </c>
      <c r="C520" s="17" t="n">
        <f aca="false">SUMIFS(JE_Lines!$G$5:$G$1733,JE_Lines!$B$5:$B$1733,A520)</f>
        <v>10653.3</v>
      </c>
      <c r="D520" s="17" t="n">
        <f aca="false">SUMIFS(JE_Lines!$H$5:$H$1733,JE_Lines!$B$5:$B$1733,A520)</f>
        <v>10653.3</v>
      </c>
      <c r="E520" s="17" t="n">
        <f aca="false">C520-D520</f>
        <v>0</v>
      </c>
      <c r="F520" s="18" t="n">
        <f aca="false">INDEX(JE_Lines!$C$5:$C$1733,MATCH(A520,JE_Lines!$B$5:$B$1733,0))</f>
        <v>45889</v>
      </c>
      <c r="G520" s="18" t="n">
        <f aca="false">INDEX(JE_Lines!$D$5:$D$1733,MATCH(A520,JE_Lines!$B$5:$B$1733,0))</f>
        <v>45887</v>
      </c>
      <c r="H520" s="0" t="str">
        <f aca="false">INDEX(JE_Lines!$I$5:$I$1733,MATCH(A520,JE_Lines!$B$5:$B$1733,0))</f>
        <v>FIN03</v>
      </c>
      <c r="I520" s="0" t="str">
        <f aca="false">INDEX(JE_Lines!$J$5:$J$1733,MATCH(A520,JE_Lines!$B$5:$B$1733,0))</f>
        <v>Manual</v>
      </c>
      <c r="J520" s="0" t="str">
        <f aca="false">IF(LEN(INDEX(JE_Lines!$K$5:$K$1733,MATCH(A520,JE_Lines!$B$5:$B$1733,0)))=0,"",INDEX(JE_Lines!$K$5:$K$1733,MATCH(A520,JE_Lines!$B$5:$B$1733,0)))</f>
        <v>Accrual reversal</v>
      </c>
      <c r="K520" s="9" t="n">
        <f aca="false">F520-G520</f>
        <v>2</v>
      </c>
      <c r="L520" s="9" t="n">
        <f aca="false">COUNTIFS(JE_Lines!$B$5:$B$1733,A520,JE_Lines!$F$5:$F$1733,"Revenue")</f>
        <v>0</v>
      </c>
      <c r="M520" s="9" t="n">
        <f aca="false">COUNTIFS(JE_Lines!$B$5:$B$1733,A520,JE_Lines!$F$5:$F$1733,"Suspense")</f>
        <v>0</v>
      </c>
      <c r="N520" s="9" t="n">
        <f aca="false">IF(ABS(E520)&gt;Parameters!$B$23,1,0)</f>
        <v>0</v>
      </c>
      <c r="O520" s="9" t="n">
        <f aca="false">IF(WEEKDAY(F520,2)&gt;5,1,0)</f>
        <v>0</v>
      </c>
      <c r="P520" s="9" t="n">
        <f aca="false">IF(K520&gt;Parameters!$B$17,1,0)</f>
        <v>0</v>
      </c>
      <c r="Q520" s="9" t="n">
        <f aca="false">IF(AND(F520&lt;=Parameters!$B$6,F520&gt;Parameters!$B$6-Parameters!$B$18),1,0)</f>
        <v>0</v>
      </c>
      <c r="R520" s="9" t="n">
        <f aca="false">IF(COUNTIF(Parameters!$A$51:$A$58,H520)=0,1,0)</f>
        <v>0</v>
      </c>
      <c r="S520" s="9" t="n">
        <f aca="false">IF(AND(I520="Manual",L520&gt;0),1,0)</f>
        <v>0</v>
      </c>
      <c r="T520" s="9" t="n">
        <f aca="false">IF(AND(C520&gt;=Parameters!$B$22,ROUND(MOD(ROUND(C520,2),Parameters!$B$21),2)=0),1,0)</f>
        <v>0</v>
      </c>
      <c r="U520" s="9" t="n">
        <f aca="false">IF(LEN(TRIM(J520))=0,1,0)</f>
        <v>0</v>
      </c>
      <c r="V520" s="9" t="n">
        <f aca="false">IF(AND(I520="Manual",C520&lt;Parameters!$B$19,C520&gt;=Parameters!$B$19*(1-Parameters!$B$20)),1,0)</f>
        <v>0</v>
      </c>
      <c r="W520" s="9" t="n">
        <f aca="false">IF(AND(I520="Manual",M520&gt;0),1,0)</f>
        <v>0</v>
      </c>
      <c r="X520" s="9" t="n">
        <f aca="false">IF(A520-A519&gt;1,1,0)</f>
        <v>0</v>
      </c>
      <c r="Y520" s="9" t="n">
        <f aca="false">N520*Parameters!$B$38+O520*Parameters!$B$39+P520*Parameters!$B$40+Q520*Parameters!$B$41+R520*Parameters!$B$42+S520*Parameters!$B$43+T520*Parameters!$B$44+U520*Parameters!$B$45+V520*Parameters!$B$46+W520*Parameters!$B$47+X520*Parameters!$B$48</f>
        <v>0</v>
      </c>
      <c r="Z520" s="0" t="str">
        <f aca="false">IF(Y520&gt;=Parameters!$B$25,"High","")</f>
        <v/>
      </c>
    </row>
    <row r="521" customFormat="false" ht="15" hidden="false" customHeight="false" outlineLevel="0" collapsed="false">
      <c r="A521" s="16" t="n">
        <v>1525</v>
      </c>
      <c r="B521" s="9" t="n">
        <f aca="false">COUNTIF(JE_Lines!$B$5:$B$1733,A521)</f>
        <v>3</v>
      </c>
      <c r="C521" s="17" t="n">
        <f aca="false">SUMIFS(JE_Lines!$G$5:$G$1733,JE_Lines!$B$5:$B$1733,A521)</f>
        <v>125997.77</v>
      </c>
      <c r="D521" s="17" t="n">
        <f aca="false">SUMIFS(JE_Lines!$H$5:$H$1733,JE_Lines!$B$5:$B$1733,A521)</f>
        <v>125997.77</v>
      </c>
      <c r="E521" s="17" t="n">
        <f aca="false">C521-D521</f>
        <v>0</v>
      </c>
      <c r="F521" s="18" t="n">
        <f aca="false">INDEX(JE_Lines!$C$5:$C$1733,MATCH(A521,JE_Lines!$B$5:$B$1733,0))</f>
        <v>45889</v>
      </c>
      <c r="G521" s="18" t="n">
        <f aca="false">INDEX(JE_Lines!$D$5:$D$1733,MATCH(A521,JE_Lines!$B$5:$B$1733,0))</f>
        <v>45885</v>
      </c>
      <c r="H521" s="0" t="str">
        <f aca="false">INDEX(JE_Lines!$I$5:$I$1733,MATCH(A521,JE_Lines!$B$5:$B$1733,0))</f>
        <v>SYS_PAY</v>
      </c>
      <c r="I521" s="0" t="str">
        <f aca="false">INDEX(JE_Lines!$J$5:$J$1733,MATCH(A521,JE_Lines!$B$5:$B$1733,0))</f>
        <v>System</v>
      </c>
      <c r="J521" s="0" t="str">
        <f aca="false">IF(LEN(INDEX(JE_Lines!$K$5:$K$1733,MATCH(A521,JE_Lines!$B$5:$B$1733,0)))=0,"",INDEX(JE_Lines!$K$5:$K$1733,MATCH(A521,JE_Lines!$B$5:$B$1733,0)))</f>
        <v>Supplier payments</v>
      </c>
      <c r="K521" s="9" t="n">
        <f aca="false">F521-G521</f>
        <v>4</v>
      </c>
      <c r="L521" s="9" t="n">
        <f aca="false">COUNTIFS(JE_Lines!$B$5:$B$1733,A521,JE_Lines!$F$5:$F$1733,"Revenue")</f>
        <v>0</v>
      </c>
      <c r="M521" s="9" t="n">
        <f aca="false">COUNTIFS(JE_Lines!$B$5:$B$1733,A521,JE_Lines!$F$5:$F$1733,"Suspense")</f>
        <v>0</v>
      </c>
      <c r="N521" s="9" t="n">
        <f aca="false">IF(ABS(E521)&gt;Parameters!$B$23,1,0)</f>
        <v>0</v>
      </c>
      <c r="O521" s="9" t="n">
        <f aca="false">IF(WEEKDAY(F521,2)&gt;5,1,0)</f>
        <v>0</v>
      </c>
      <c r="P521" s="9" t="n">
        <f aca="false">IF(K521&gt;Parameters!$B$17,1,0)</f>
        <v>0</v>
      </c>
      <c r="Q521" s="9" t="n">
        <f aca="false">IF(AND(F521&lt;=Parameters!$B$6,F521&gt;Parameters!$B$6-Parameters!$B$18),1,0)</f>
        <v>0</v>
      </c>
      <c r="R521" s="9" t="n">
        <f aca="false">IF(COUNTIF(Parameters!$A$51:$A$58,H521)=0,1,0)</f>
        <v>0</v>
      </c>
      <c r="S521" s="9" t="n">
        <f aca="false">IF(AND(I521="Manual",L521&gt;0),1,0)</f>
        <v>0</v>
      </c>
      <c r="T521" s="9" t="n">
        <f aca="false">IF(AND(C521&gt;=Parameters!$B$22,ROUND(MOD(ROUND(C521,2),Parameters!$B$21),2)=0),1,0)</f>
        <v>0</v>
      </c>
      <c r="U521" s="9" t="n">
        <f aca="false">IF(LEN(TRIM(J521))=0,1,0)</f>
        <v>0</v>
      </c>
      <c r="V521" s="9" t="n">
        <f aca="false">IF(AND(I521="Manual",C521&lt;Parameters!$B$19,C521&gt;=Parameters!$B$19*(1-Parameters!$B$20)),1,0)</f>
        <v>0</v>
      </c>
      <c r="W521" s="9" t="n">
        <f aca="false">IF(AND(I521="Manual",M521&gt;0),1,0)</f>
        <v>0</v>
      </c>
      <c r="X521" s="9" t="n">
        <f aca="false">IF(A521-A520&gt;1,1,0)</f>
        <v>0</v>
      </c>
      <c r="Y521" s="9" t="n">
        <f aca="false">N521*Parameters!$B$38+O521*Parameters!$B$39+P521*Parameters!$B$40+Q521*Parameters!$B$41+R521*Parameters!$B$42+S521*Parameters!$B$43+T521*Parameters!$B$44+U521*Parameters!$B$45+V521*Parameters!$B$46+W521*Parameters!$B$47+X521*Parameters!$B$48</f>
        <v>0</v>
      </c>
      <c r="Z521" s="0" t="str">
        <f aca="false">IF(Y521&gt;=Parameters!$B$25,"High","")</f>
        <v/>
      </c>
    </row>
    <row r="522" customFormat="false" ht="15" hidden="false" customHeight="false" outlineLevel="0" collapsed="false">
      <c r="A522" s="16" t="n">
        <v>1526</v>
      </c>
      <c r="B522" s="9" t="n">
        <f aca="false">COUNTIF(JE_Lines!$B$5:$B$1733,A522)</f>
        <v>2</v>
      </c>
      <c r="C522" s="17" t="n">
        <f aca="false">SUMIFS(JE_Lines!$G$5:$G$1733,JE_Lines!$B$5:$B$1733,A522)</f>
        <v>4805.48</v>
      </c>
      <c r="D522" s="17" t="n">
        <f aca="false">SUMIFS(JE_Lines!$H$5:$H$1733,JE_Lines!$B$5:$B$1733,A522)</f>
        <v>4805.48</v>
      </c>
      <c r="E522" s="17" t="n">
        <f aca="false">C522-D522</f>
        <v>0</v>
      </c>
      <c r="F522" s="18" t="n">
        <f aca="false">INDEX(JE_Lines!$C$5:$C$1733,MATCH(A522,JE_Lines!$B$5:$B$1733,0))</f>
        <v>45889</v>
      </c>
      <c r="G522" s="18" t="n">
        <f aca="false">INDEX(JE_Lines!$D$5:$D$1733,MATCH(A522,JE_Lines!$B$5:$B$1733,0))</f>
        <v>45889</v>
      </c>
      <c r="H522" s="0" t="str">
        <f aca="false">INDEX(JE_Lines!$I$5:$I$1733,MATCH(A522,JE_Lines!$B$5:$B$1733,0))</f>
        <v>SYS_AP</v>
      </c>
      <c r="I522" s="0" t="str">
        <f aca="false">INDEX(JE_Lines!$J$5:$J$1733,MATCH(A522,JE_Lines!$B$5:$B$1733,0))</f>
        <v>System</v>
      </c>
      <c r="J522" s="0" t="str">
        <f aca="false">IF(LEN(INDEX(JE_Lines!$K$5:$K$1733,MATCH(A522,JE_Lines!$B$5:$B$1733,0)))=0,"",INDEX(JE_Lines!$K$5:$K$1733,MATCH(A522,JE_Lines!$B$5:$B$1733,0)))</f>
        <v>Supplier invoices</v>
      </c>
      <c r="K522" s="9" t="n">
        <f aca="false">F522-G522</f>
        <v>0</v>
      </c>
      <c r="L522" s="9" t="n">
        <f aca="false">COUNTIFS(JE_Lines!$B$5:$B$1733,A522,JE_Lines!$F$5:$F$1733,"Revenue")</f>
        <v>0</v>
      </c>
      <c r="M522" s="9" t="n">
        <f aca="false">COUNTIFS(JE_Lines!$B$5:$B$1733,A522,JE_Lines!$F$5:$F$1733,"Suspense")</f>
        <v>0</v>
      </c>
      <c r="N522" s="9" t="n">
        <f aca="false">IF(ABS(E522)&gt;Parameters!$B$23,1,0)</f>
        <v>0</v>
      </c>
      <c r="O522" s="9" t="n">
        <f aca="false">IF(WEEKDAY(F522,2)&gt;5,1,0)</f>
        <v>0</v>
      </c>
      <c r="P522" s="9" t="n">
        <f aca="false">IF(K522&gt;Parameters!$B$17,1,0)</f>
        <v>0</v>
      </c>
      <c r="Q522" s="9" t="n">
        <f aca="false">IF(AND(F522&lt;=Parameters!$B$6,F522&gt;Parameters!$B$6-Parameters!$B$18),1,0)</f>
        <v>0</v>
      </c>
      <c r="R522" s="9" t="n">
        <f aca="false">IF(COUNTIF(Parameters!$A$51:$A$58,H522)=0,1,0)</f>
        <v>0</v>
      </c>
      <c r="S522" s="9" t="n">
        <f aca="false">IF(AND(I522="Manual",L522&gt;0),1,0)</f>
        <v>0</v>
      </c>
      <c r="T522" s="9" t="n">
        <f aca="false">IF(AND(C522&gt;=Parameters!$B$22,ROUND(MOD(ROUND(C522,2),Parameters!$B$21),2)=0),1,0)</f>
        <v>0</v>
      </c>
      <c r="U522" s="9" t="n">
        <f aca="false">IF(LEN(TRIM(J522))=0,1,0)</f>
        <v>0</v>
      </c>
      <c r="V522" s="9" t="n">
        <f aca="false">IF(AND(I522="Manual",C522&lt;Parameters!$B$19,C522&gt;=Parameters!$B$19*(1-Parameters!$B$20)),1,0)</f>
        <v>0</v>
      </c>
      <c r="W522" s="9" t="n">
        <f aca="false">IF(AND(I522="Manual",M522&gt;0),1,0)</f>
        <v>0</v>
      </c>
      <c r="X522" s="9" t="n">
        <f aca="false">IF(A522-A521&gt;1,1,0)</f>
        <v>0</v>
      </c>
      <c r="Y522" s="9" t="n">
        <f aca="false">N522*Parameters!$B$38+O522*Parameters!$B$39+P522*Parameters!$B$40+Q522*Parameters!$B$41+R522*Parameters!$B$42+S522*Parameters!$B$43+T522*Parameters!$B$44+U522*Parameters!$B$45+V522*Parameters!$B$46+W522*Parameters!$B$47+X522*Parameters!$B$48</f>
        <v>0</v>
      </c>
      <c r="Z522" s="0" t="str">
        <f aca="false">IF(Y522&gt;=Parameters!$B$25,"High","")</f>
        <v/>
      </c>
    </row>
    <row r="523" customFormat="false" ht="15" hidden="false" customHeight="false" outlineLevel="0" collapsed="false">
      <c r="A523" s="16" t="n">
        <v>1527</v>
      </c>
      <c r="B523" s="9" t="n">
        <f aca="false">COUNTIF(JE_Lines!$B$5:$B$1733,A523)</f>
        <v>3</v>
      </c>
      <c r="C523" s="17" t="n">
        <f aca="false">SUMIFS(JE_Lines!$G$5:$G$1733,JE_Lines!$B$5:$B$1733,A523)</f>
        <v>376.54</v>
      </c>
      <c r="D523" s="17" t="n">
        <f aca="false">SUMIFS(JE_Lines!$H$5:$H$1733,JE_Lines!$B$5:$B$1733,A523)</f>
        <v>376.54</v>
      </c>
      <c r="E523" s="17" t="n">
        <f aca="false">C523-D523</f>
        <v>0</v>
      </c>
      <c r="F523" s="18" t="n">
        <f aca="false">INDEX(JE_Lines!$C$5:$C$1733,MATCH(A523,JE_Lines!$B$5:$B$1733,0))</f>
        <v>45889</v>
      </c>
      <c r="G523" s="18" t="n">
        <f aca="false">INDEX(JE_Lines!$D$5:$D$1733,MATCH(A523,JE_Lines!$B$5:$B$1733,0))</f>
        <v>45888</v>
      </c>
      <c r="H523" s="0" t="str">
        <f aca="false">INDEX(JE_Lines!$I$5:$I$1733,MATCH(A523,JE_Lines!$B$5:$B$1733,0))</f>
        <v>SYS_PAY</v>
      </c>
      <c r="I523" s="0" t="str">
        <f aca="false">INDEX(JE_Lines!$J$5:$J$1733,MATCH(A523,JE_Lines!$B$5:$B$1733,0))</f>
        <v>System</v>
      </c>
      <c r="J523" s="0" t="str">
        <f aca="false">IF(LEN(INDEX(JE_Lines!$K$5:$K$1733,MATCH(A523,JE_Lines!$B$5:$B$1733,0)))=0,"",INDEX(JE_Lines!$K$5:$K$1733,MATCH(A523,JE_Lines!$B$5:$B$1733,0)))</f>
        <v>Supplier payments</v>
      </c>
      <c r="K523" s="9" t="n">
        <f aca="false">F523-G523</f>
        <v>1</v>
      </c>
      <c r="L523" s="9" t="n">
        <f aca="false">COUNTIFS(JE_Lines!$B$5:$B$1733,A523,JE_Lines!$F$5:$F$1733,"Revenue")</f>
        <v>0</v>
      </c>
      <c r="M523" s="9" t="n">
        <f aca="false">COUNTIFS(JE_Lines!$B$5:$B$1733,A523,JE_Lines!$F$5:$F$1733,"Suspense")</f>
        <v>0</v>
      </c>
      <c r="N523" s="9" t="n">
        <f aca="false">IF(ABS(E523)&gt;Parameters!$B$23,1,0)</f>
        <v>0</v>
      </c>
      <c r="O523" s="9" t="n">
        <f aca="false">IF(WEEKDAY(F523,2)&gt;5,1,0)</f>
        <v>0</v>
      </c>
      <c r="P523" s="9" t="n">
        <f aca="false">IF(K523&gt;Parameters!$B$17,1,0)</f>
        <v>0</v>
      </c>
      <c r="Q523" s="9" t="n">
        <f aca="false">IF(AND(F523&lt;=Parameters!$B$6,F523&gt;Parameters!$B$6-Parameters!$B$18),1,0)</f>
        <v>0</v>
      </c>
      <c r="R523" s="9" t="n">
        <f aca="false">IF(COUNTIF(Parameters!$A$51:$A$58,H523)=0,1,0)</f>
        <v>0</v>
      </c>
      <c r="S523" s="9" t="n">
        <f aca="false">IF(AND(I523="Manual",L523&gt;0),1,0)</f>
        <v>0</v>
      </c>
      <c r="T523" s="9" t="n">
        <f aca="false">IF(AND(C523&gt;=Parameters!$B$22,ROUND(MOD(ROUND(C523,2),Parameters!$B$21),2)=0),1,0)</f>
        <v>0</v>
      </c>
      <c r="U523" s="9" t="n">
        <f aca="false">IF(LEN(TRIM(J523))=0,1,0)</f>
        <v>0</v>
      </c>
      <c r="V523" s="9" t="n">
        <f aca="false">IF(AND(I523="Manual",C523&lt;Parameters!$B$19,C523&gt;=Parameters!$B$19*(1-Parameters!$B$20)),1,0)</f>
        <v>0</v>
      </c>
      <c r="W523" s="9" t="n">
        <f aca="false">IF(AND(I523="Manual",M523&gt;0),1,0)</f>
        <v>0</v>
      </c>
      <c r="X523" s="9" t="n">
        <f aca="false">IF(A523-A522&gt;1,1,0)</f>
        <v>0</v>
      </c>
      <c r="Y523" s="9" t="n">
        <f aca="false">N523*Parameters!$B$38+O523*Parameters!$B$39+P523*Parameters!$B$40+Q523*Parameters!$B$41+R523*Parameters!$B$42+S523*Parameters!$B$43+T523*Parameters!$B$44+U523*Parameters!$B$45+V523*Parameters!$B$46+W523*Parameters!$B$47+X523*Parameters!$B$48</f>
        <v>0</v>
      </c>
      <c r="Z523" s="0" t="str">
        <f aca="false">IF(Y523&gt;=Parameters!$B$25,"High","")</f>
        <v/>
      </c>
    </row>
    <row r="524" customFormat="false" ht="15" hidden="false" customHeight="false" outlineLevel="0" collapsed="false">
      <c r="A524" s="16" t="n">
        <v>1528</v>
      </c>
      <c r="B524" s="9" t="n">
        <f aca="false">COUNTIF(JE_Lines!$B$5:$B$1733,A524)</f>
        <v>2</v>
      </c>
      <c r="C524" s="17" t="n">
        <f aca="false">SUMIFS(JE_Lines!$G$5:$G$1733,JE_Lines!$B$5:$B$1733,A524)</f>
        <v>1106.81</v>
      </c>
      <c r="D524" s="17" t="n">
        <f aca="false">SUMIFS(JE_Lines!$H$5:$H$1733,JE_Lines!$B$5:$B$1733,A524)</f>
        <v>1106.81</v>
      </c>
      <c r="E524" s="17" t="n">
        <f aca="false">C524-D524</f>
        <v>0</v>
      </c>
      <c r="F524" s="18" t="n">
        <f aca="false">INDEX(JE_Lines!$C$5:$C$1733,MATCH(A524,JE_Lines!$B$5:$B$1733,0))</f>
        <v>45891</v>
      </c>
      <c r="G524" s="18" t="n">
        <f aca="false">INDEX(JE_Lines!$D$5:$D$1733,MATCH(A524,JE_Lines!$B$5:$B$1733,0))</f>
        <v>45890</v>
      </c>
      <c r="H524" s="0" t="str">
        <f aca="false">INDEX(JE_Lines!$I$5:$I$1733,MATCH(A524,JE_Lines!$B$5:$B$1733,0))</f>
        <v>SYS_PAY</v>
      </c>
      <c r="I524" s="0" t="str">
        <f aca="false">INDEX(JE_Lines!$J$5:$J$1733,MATCH(A524,JE_Lines!$B$5:$B$1733,0))</f>
        <v>System</v>
      </c>
      <c r="J524" s="0" t="str">
        <f aca="false">IF(LEN(INDEX(JE_Lines!$K$5:$K$1733,MATCH(A524,JE_Lines!$B$5:$B$1733,0)))=0,"",INDEX(JE_Lines!$K$5:$K$1733,MATCH(A524,JE_Lines!$B$5:$B$1733,0)))</f>
        <v>Supplier payments</v>
      </c>
      <c r="K524" s="9" t="n">
        <f aca="false">F524-G524</f>
        <v>1</v>
      </c>
      <c r="L524" s="9" t="n">
        <f aca="false">COUNTIFS(JE_Lines!$B$5:$B$1733,A524,JE_Lines!$F$5:$F$1733,"Revenue")</f>
        <v>0</v>
      </c>
      <c r="M524" s="9" t="n">
        <f aca="false">COUNTIFS(JE_Lines!$B$5:$B$1733,A524,JE_Lines!$F$5:$F$1733,"Suspense")</f>
        <v>0</v>
      </c>
      <c r="N524" s="9" t="n">
        <f aca="false">IF(ABS(E524)&gt;Parameters!$B$23,1,0)</f>
        <v>0</v>
      </c>
      <c r="O524" s="9" t="n">
        <f aca="false">IF(WEEKDAY(F524,2)&gt;5,1,0)</f>
        <v>0</v>
      </c>
      <c r="P524" s="9" t="n">
        <f aca="false">IF(K524&gt;Parameters!$B$17,1,0)</f>
        <v>0</v>
      </c>
      <c r="Q524" s="9" t="n">
        <f aca="false">IF(AND(F524&lt;=Parameters!$B$6,F524&gt;Parameters!$B$6-Parameters!$B$18),1,0)</f>
        <v>0</v>
      </c>
      <c r="R524" s="9" t="n">
        <f aca="false">IF(COUNTIF(Parameters!$A$51:$A$58,H524)=0,1,0)</f>
        <v>0</v>
      </c>
      <c r="S524" s="9" t="n">
        <f aca="false">IF(AND(I524="Manual",L524&gt;0),1,0)</f>
        <v>0</v>
      </c>
      <c r="T524" s="9" t="n">
        <f aca="false">IF(AND(C524&gt;=Parameters!$B$22,ROUND(MOD(ROUND(C524,2),Parameters!$B$21),2)=0),1,0)</f>
        <v>0</v>
      </c>
      <c r="U524" s="9" t="n">
        <f aca="false">IF(LEN(TRIM(J524))=0,1,0)</f>
        <v>0</v>
      </c>
      <c r="V524" s="9" t="n">
        <f aca="false">IF(AND(I524="Manual",C524&lt;Parameters!$B$19,C524&gt;=Parameters!$B$19*(1-Parameters!$B$20)),1,0)</f>
        <v>0</v>
      </c>
      <c r="W524" s="9" t="n">
        <f aca="false">IF(AND(I524="Manual",M524&gt;0),1,0)</f>
        <v>0</v>
      </c>
      <c r="X524" s="9" t="n">
        <f aca="false">IF(A524-A523&gt;1,1,0)</f>
        <v>0</v>
      </c>
      <c r="Y524" s="9" t="n">
        <f aca="false">N524*Parameters!$B$38+O524*Parameters!$B$39+P524*Parameters!$B$40+Q524*Parameters!$B$41+R524*Parameters!$B$42+S524*Parameters!$B$43+T524*Parameters!$B$44+U524*Parameters!$B$45+V524*Parameters!$B$46+W524*Parameters!$B$47+X524*Parameters!$B$48</f>
        <v>0</v>
      </c>
      <c r="Z524" s="0" t="str">
        <f aca="false">IF(Y524&gt;=Parameters!$B$25,"High","")</f>
        <v/>
      </c>
    </row>
    <row r="525" customFormat="false" ht="15" hidden="false" customHeight="false" outlineLevel="0" collapsed="false">
      <c r="A525" s="16" t="n">
        <v>1529</v>
      </c>
      <c r="B525" s="9" t="n">
        <f aca="false">COUNTIF(JE_Lines!$B$5:$B$1733,A525)</f>
        <v>2</v>
      </c>
      <c r="C525" s="17" t="n">
        <f aca="false">SUMIFS(JE_Lines!$G$5:$G$1733,JE_Lines!$B$5:$B$1733,A525)</f>
        <v>14522.4</v>
      </c>
      <c r="D525" s="17" t="n">
        <f aca="false">SUMIFS(JE_Lines!$H$5:$H$1733,JE_Lines!$B$5:$B$1733,A525)</f>
        <v>14522.4</v>
      </c>
      <c r="E525" s="17" t="n">
        <f aca="false">C525-D525</f>
        <v>0</v>
      </c>
      <c r="F525" s="18" t="n">
        <f aca="false">INDEX(JE_Lines!$C$5:$C$1733,MATCH(A525,JE_Lines!$B$5:$B$1733,0))</f>
        <v>45891</v>
      </c>
      <c r="G525" s="18" t="n">
        <f aca="false">INDEX(JE_Lines!$D$5:$D$1733,MATCH(A525,JE_Lines!$B$5:$B$1733,0))</f>
        <v>45887</v>
      </c>
      <c r="H525" s="0" t="str">
        <f aca="false">INDEX(JE_Lines!$I$5:$I$1733,MATCH(A525,JE_Lines!$B$5:$B$1733,0))</f>
        <v>SYS_AR</v>
      </c>
      <c r="I525" s="0" t="str">
        <f aca="false">INDEX(JE_Lines!$J$5:$J$1733,MATCH(A525,JE_Lines!$B$5:$B$1733,0))</f>
        <v>System</v>
      </c>
      <c r="J525" s="0" t="str">
        <f aca="false">IF(LEN(INDEX(JE_Lines!$K$5:$K$1733,MATCH(A525,JE_Lines!$B$5:$B$1733,0)))=0,"",INDEX(JE_Lines!$K$5:$K$1733,MATCH(A525,JE_Lines!$B$5:$B$1733,0)))</f>
        <v>Cost of sales posting</v>
      </c>
      <c r="K525" s="9" t="n">
        <f aca="false">F525-G525</f>
        <v>4</v>
      </c>
      <c r="L525" s="9" t="n">
        <f aca="false">COUNTIFS(JE_Lines!$B$5:$B$1733,A525,JE_Lines!$F$5:$F$1733,"Revenue")</f>
        <v>0</v>
      </c>
      <c r="M525" s="9" t="n">
        <f aca="false">COUNTIFS(JE_Lines!$B$5:$B$1733,A525,JE_Lines!$F$5:$F$1733,"Suspense")</f>
        <v>0</v>
      </c>
      <c r="N525" s="9" t="n">
        <f aca="false">IF(ABS(E525)&gt;Parameters!$B$23,1,0)</f>
        <v>0</v>
      </c>
      <c r="O525" s="9" t="n">
        <f aca="false">IF(WEEKDAY(F525,2)&gt;5,1,0)</f>
        <v>0</v>
      </c>
      <c r="P525" s="9" t="n">
        <f aca="false">IF(K525&gt;Parameters!$B$17,1,0)</f>
        <v>0</v>
      </c>
      <c r="Q525" s="9" t="n">
        <f aca="false">IF(AND(F525&lt;=Parameters!$B$6,F525&gt;Parameters!$B$6-Parameters!$B$18),1,0)</f>
        <v>0</v>
      </c>
      <c r="R525" s="9" t="n">
        <f aca="false">IF(COUNTIF(Parameters!$A$51:$A$58,H525)=0,1,0)</f>
        <v>0</v>
      </c>
      <c r="S525" s="9" t="n">
        <f aca="false">IF(AND(I525="Manual",L525&gt;0),1,0)</f>
        <v>0</v>
      </c>
      <c r="T525" s="9" t="n">
        <f aca="false">IF(AND(C525&gt;=Parameters!$B$22,ROUND(MOD(ROUND(C525,2),Parameters!$B$21),2)=0),1,0)</f>
        <v>0</v>
      </c>
      <c r="U525" s="9" t="n">
        <f aca="false">IF(LEN(TRIM(J525))=0,1,0)</f>
        <v>0</v>
      </c>
      <c r="V525" s="9" t="n">
        <f aca="false">IF(AND(I525="Manual",C525&lt;Parameters!$B$19,C525&gt;=Parameters!$B$19*(1-Parameters!$B$20)),1,0)</f>
        <v>0</v>
      </c>
      <c r="W525" s="9" t="n">
        <f aca="false">IF(AND(I525="Manual",M525&gt;0),1,0)</f>
        <v>0</v>
      </c>
      <c r="X525" s="9" t="n">
        <f aca="false">IF(A525-A524&gt;1,1,0)</f>
        <v>0</v>
      </c>
      <c r="Y525" s="9" t="n">
        <f aca="false">N525*Parameters!$B$38+O525*Parameters!$B$39+P525*Parameters!$B$40+Q525*Parameters!$B$41+R525*Parameters!$B$42+S525*Parameters!$B$43+T525*Parameters!$B$44+U525*Parameters!$B$45+V525*Parameters!$B$46+W525*Parameters!$B$47+X525*Parameters!$B$48</f>
        <v>0</v>
      </c>
      <c r="Z525" s="0" t="str">
        <f aca="false">IF(Y525&gt;=Parameters!$B$25,"High","")</f>
        <v/>
      </c>
    </row>
    <row r="526" customFormat="false" ht="15" hidden="false" customHeight="false" outlineLevel="0" collapsed="false">
      <c r="A526" s="16" t="n">
        <v>1530</v>
      </c>
      <c r="B526" s="9" t="n">
        <f aca="false">COUNTIF(JE_Lines!$B$5:$B$1733,A526)</f>
        <v>3</v>
      </c>
      <c r="C526" s="17" t="n">
        <f aca="false">SUMIFS(JE_Lines!$G$5:$G$1733,JE_Lines!$B$5:$B$1733,A526)</f>
        <v>326.65</v>
      </c>
      <c r="D526" s="17" t="n">
        <f aca="false">SUMIFS(JE_Lines!$H$5:$H$1733,JE_Lines!$B$5:$B$1733,A526)</f>
        <v>326.65</v>
      </c>
      <c r="E526" s="17" t="n">
        <f aca="false">C526-D526</f>
        <v>0</v>
      </c>
      <c r="F526" s="18" t="n">
        <f aca="false">INDEX(JE_Lines!$C$5:$C$1733,MATCH(A526,JE_Lines!$B$5:$B$1733,0))</f>
        <v>45894</v>
      </c>
      <c r="G526" s="18" t="n">
        <f aca="false">INDEX(JE_Lines!$D$5:$D$1733,MATCH(A526,JE_Lines!$B$5:$B$1733,0))</f>
        <v>45892</v>
      </c>
      <c r="H526" s="0" t="str">
        <f aca="false">INDEX(JE_Lines!$I$5:$I$1733,MATCH(A526,JE_Lines!$B$5:$B$1733,0))</f>
        <v>SYS_AP</v>
      </c>
      <c r="I526" s="0" t="str">
        <f aca="false">INDEX(JE_Lines!$J$5:$J$1733,MATCH(A526,JE_Lines!$B$5:$B$1733,0))</f>
        <v>System</v>
      </c>
      <c r="J526" s="0" t="str">
        <f aca="false">IF(LEN(INDEX(JE_Lines!$K$5:$K$1733,MATCH(A526,JE_Lines!$B$5:$B$1733,0)))=0,"",INDEX(JE_Lines!$K$5:$K$1733,MATCH(A526,JE_Lines!$B$5:$B$1733,0)))</f>
        <v>Supplier invoices</v>
      </c>
      <c r="K526" s="9" t="n">
        <f aca="false">F526-G526</f>
        <v>2</v>
      </c>
      <c r="L526" s="9" t="n">
        <f aca="false">COUNTIFS(JE_Lines!$B$5:$B$1733,A526,JE_Lines!$F$5:$F$1733,"Revenue")</f>
        <v>0</v>
      </c>
      <c r="M526" s="9" t="n">
        <f aca="false">COUNTIFS(JE_Lines!$B$5:$B$1733,A526,JE_Lines!$F$5:$F$1733,"Suspense")</f>
        <v>0</v>
      </c>
      <c r="N526" s="9" t="n">
        <f aca="false">IF(ABS(E526)&gt;Parameters!$B$23,1,0)</f>
        <v>0</v>
      </c>
      <c r="O526" s="9" t="n">
        <f aca="false">IF(WEEKDAY(F526,2)&gt;5,1,0)</f>
        <v>0</v>
      </c>
      <c r="P526" s="9" t="n">
        <f aca="false">IF(K526&gt;Parameters!$B$17,1,0)</f>
        <v>0</v>
      </c>
      <c r="Q526" s="9" t="n">
        <f aca="false">IF(AND(F526&lt;=Parameters!$B$6,F526&gt;Parameters!$B$6-Parameters!$B$18),1,0)</f>
        <v>0</v>
      </c>
      <c r="R526" s="9" t="n">
        <f aca="false">IF(COUNTIF(Parameters!$A$51:$A$58,H526)=0,1,0)</f>
        <v>0</v>
      </c>
      <c r="S526" s="9" t="n">
        <f aca="false">IF(AND(I526="Manual",L526&gt;0),1,0)</f>
        <v>0</v>
      </c>
      <c r="T526" s="9" t="n">
        <f aca="false">IF(AND(C526&gt;=Parameters!$B$22,ROUND(MOD(ROUND(C526,2),Parameters!$B$21),2)=0),1,0)</f>
        <v>0</v>
      </c>
      <c r="U526" s="9" t="n">
        <f aca="false">IF(LEN(TRIM(J526))=0,1,0)</f>
        <v>0</v>
      </c>
      <c r="V526" s="9" t="n">
        <f aca="false">IF(AND(I526="Manual",C526&lt;Parameters!$B$19,C526&gt;=Parameters!$B$19*(1-Parameters!$B$20)),1,0)</f>
        <v>0</v>
      </c>
      <c r="W526" s="9" t="n">
        <f aca="false">IF(AND(I526="Manual",M526&gt;0),1,0)</f>
        <v>0</v>
      </c>
      <c r="X526" s="9" t="n">
        <f aca="false">IF(A526-A525&gt;1,1,0)</f>
        <v>0</v>
      </c>
      <c r="Y526" s="9" t="n">
        <f aca="false">N526*Parameters!$B$38+O526*Parameters!$B$39+P526*Parameters!$B$40+Q526*Parameters!$B$41+R526*Parameters!$B$42+S526*Parameters!$B$43+T526*Parameters!$B$44+U526*Parameters!$B$45+V526*Parameters!$B$46+W526*Parameters!$B$47+X526*Parameters!$B$48</f>
        <v>0</v>
      </c>
      <c r="Z526" s="0" t="str">
        <f aca="false">IF(Y526&gt;=Parameters!$B$25,"High","")</f>
        <v/>
      </c>
    </row>
    <row r="527" customFormat="false" ht="15" hidden="false" customHeight="false" outlineLevel="0" collapsed="false">
      <c r="A527" s="16" t="n">
        <v>1531</v>
      </c>
      <c r="B527" s="9" t="n">
        <f aca="false">COUNTIF(JE_Lines!$B$5:$B$1733,A527)</f>
        <v>2</v>
      </c>
      <c r="C527" s="17" t="n">
        <f aca="false">SUMIFS(JE_Lines!$G$5:$G$1733,JE_Lines!$B$5:$B$1733,A527)</f>
        <v>123863.7</v>
      </c>
      <c r="D527" s="17" t="n">
        <f aca="false">SUMIFS(JE_Lines!$H$5:$H$1733,JE_Lines!$B$5:$B$1733,A527)</f>
        <v>123863.7</v>
      </c>
      <c r="E527" s="17" t="n">
        <f aca="false">C527-D527</f>
        <v>0</v>
      </c>
      <c r="F527" s="18" t="n">
        <f aca="false">INDEX(JE_Lines!$C$5:$C$1733,MATCH(A527,JE_Lines!$B$5:$B$1733,0))</f>
        <v>45894</v>
      </c>
      <c r="G527" s="18" t="n">
        <f aca="false">INDEX(JE_Lines!$D$5:$D$1733,MATCH(A527,JE_Lines!$B$5:$B$1733,0))</f>
        <v>45892</v>
      </c>
      <c r="H527" s="0" t="str">
        <f aca="false">INDEX(JE_Lines!$I$5:$I$1733,MATCH(A527,JE_Lines!$B$5:$B$1733,0))</f>
        <v>SYS_AR</v>
      </c>
      <c r="I527" s="0" t="str">
        <f aca="false">INDEX(JE_Lines!$J$5:$J$1733,MATCH(A527,JE_Lines!$B$5:$B$1733,0))</f>
        <v>System</v>
      </c>
      <c r="J527" s="0" t="str">
        <f aca="false">IF(LEN(INDEX(JE_Lines!$K$5:$K$1733,MATCH(A527,JE_Lines!$B$5:$B$1733,0)))=0,"",INDEX(JE_Lines!$K$5:$K$1733,MATCH(A527,JE_Lines!$B$5:$B$1733,0)))</f>
        <v>Customer receipts</v>
      </c>
      <c r="K527" s="9" t="n">
        <f aca="false">F527-G527</f>
        <v>2</v>
      </c>
      <c r="L527" s="9" t="n">
        <f aca="false">COUNTIFS(JE_Lines!$B$5:$B$1733,A527,JE_Lines!$F$5:$F$1733,"Revenue")</f>
        <v>0</v>
      </c>
      <c r="M527" s="9" t="n">
        <f aca="false">COUNTIFS(JE_Lines!$B$5:$B$1733,A527,JE_Lines!$F$5:$F$1733,"Suspense")</f>
        <v>0</v>
      </c>
      <c r="N527" s="9" t="n">
        <f aca="false">IF(ABS(E527)&gt;Parameters!$B$23,1,0)</f>
        <v>0</v>
      </c>
      <c r="O527" s="9" t="n">
        <f aca="false">IF(WEEKDAY(F527,2)&gt;5,1,0)</f>
        <v>0</v>
      </c>
      <c r="P527" s="9" t="n">
        <f aca="false">IF(K527&gt;Parameters!$B$17,1,0)</f>
        <v>0</v>
      </c>
      <c r="Q527" s="9" t="n">
        <f aca="false">IF(AND(F527&lt;=Parameters!$B$6,F527&gt;Parameters!$B$6-Parameters!$B$18),1,0)</f>
        <v>0</v>
      </c>
      <c r="R527" s="9" t="n">
        <f aca="false">IF(COUNTIF(Parameters!$A$51:$A$58,H527)=0,1,0)</f>
        <v>0</v>
      </c>
      <c r="S527" s="9" t="n">
        <f aca="false">IF(AND(I527="Manual",L527&gt;0),1,0)</f>
        <v>0</v>
      </c>
      <c r="T527" s="9" t="n">
        <f aca="false">IF(AND(C527&gt;=Parameters!$B$22,ROUND(MOD(ROUND(C527,2),Parameters!$B$21),2)=0),1,0)</f>
        <v>0</v>
      </c>
      <c r="U527" s="9" t="n">
        <f aca="false">IF(LEN(TRIM(J527))=0,1,0)</f>
        <v>0</v>
      </c>
      <c r="V527" s="9" t="n">
        <f aca="false">IF(AND(I527="Manual",C527&lt;Parameters!$B$19,C527&gt;=Parameters!$B$19*(1-Parameters!$B$20)),1,0)</f>
        <v>0</v>
      </c>
      <c r="W527" s="9" t="n">
        <f aca="false">IF(AND(I527="Manual",M527&gt;0),1,0)</f>
        <v>0</v>
      </c>
      <c r="X527" s="9" t="n">
        <f aca="false">IF(A527-A526&gt;1,1,0)</f>
        <v>0</v>
      </c>
      <c r="Y527" s="9" t="n">
        <f aca="false">N527*Parameters!$B$38+O527*Parameters!$B$39+P527*Parameters!$B$40+Q527*Parameters!$B$41+R527*Parameters!$B$42+S527*Parameters!$B$43+T527*Parameters!$B$44+U527*Parameters!$B$45+V527*Parameters!$B$46+W527*Parameters!$B$47+X527*Parameters!$B$48</f>
        <v>0</v>
      </c>
      <c r="Z527" s="0" t="str">
        <f aca="false">IF(Y527&gt;=Parameters!$B$25,"High","")</f>
        <v/>
      </c>
    </row>
    <row r="528" customFormat="false" ht="15" hidden="false" customHeight="false" outlineLevel="0" collapsed="false">
      <c r="A528" s="16" t="n">
        <v>1532</v>
      </c>
      <c r="B528" s="9" t="n">
        <f aca="false">COUNTIF(JE_Lines!$B$5:$B$1733,A528)</f>
        <v>2</v>
      </c>
      <c r="C528" s="17" t="n">
        <f aca="false">SUMIFS(JE_Lines!$G$5:$G$1733,JE_Lines!$B$5:$B$1733,A528)</f>
        <v>25000</v>
      </c>
      <c r="D528" s="17" t="n">
        <f aca="false">SUMIFS(JE_Lines!$H$5:$H$1733,JE_Lines!$B$5:$B$1733,A528)</f>
        <v>25000</v>
      </c>
      <c r="E528" s="17" t="n">
        <f aca="false">C528-D528</f>
        <v>0</v>
      </c>
      <c r="F528" s="18" t="n">
        <f aca="false">INDEX(JE_Lines!$C$5:$C$1733,MATCH(A528,JE_Lines!$B$5:$B$1733,0))</f>
        <v>45894</v>
      </c>
      <c r="G528" s="18" t="n">
        <f aca="false">INDEX(JE_Lines!$D$5:$D$1733,MATCH(A528,JE_Lines!$B$5:$B$1733,0))</f>
        <v>45894</v>
      </c>
      <c r="H528" s="0" t="str">
        <f aca="false">INDEX(JE_Lines!$I$5:$I$1733,MATCH(A528,JE_Lines!$B$5:$B$1733,0))</f>
        <v>FIN04</v>
      </c>
      <c r="I528" s="0" t="str">
        <f aca="false">INDEX(JE_Lines!$J$5:$J$1733,MATCH(A528,JE_Lines!$B$5:$B$1733,0))</f>
        <v>Manual</v>
      </c>
      <c r="J528" s="0" t="str">
        <f aca="false">IF(LEN(INDEX(JE_Lines!$K$5:$K$1733,MATCH(A528,JE_Lines!$B$5:$B$1733,0)))=0,"",INDEX(JE_Lines!$K$5:$K$1733,MATCH(A528,JE_Lines!$B$5:$B$1733,0)))</f>
        <v>Round accrual 6</v>
      </c>
      <c r="K528" s="9" t="n">
        <f aca="false">F528-G528</f>
        <v>0</v>
      </c>
      <c r="L528" s="9" t="n">
        <f aca="false">COUNTIFS(JE_Lines!$B$5:$B$1733,A528,JE_Lines!$F$5:$F$1733,"Revenue")</f>
        <v>0</v>
      </c>
      <c r="M528" s="9" t="n">
        <f aca="false">COUNTIFS(JE_Lines!$B$5:$B$1733,A528,JE_Lines!$F$5:$F$1733,"Suspense")</f>
        <v>0</v>
      </c>
      <c r="N528" s="9" t="n">
        <f aca="false">IF(ABS(E528)&gt;Parameters!$B$23,1,0)</f>
        <v>0</v>
      </c>
      <c r="O528" s="9" t="n">
        <f aca="false">IF(WEEKDAY(F528,2)&gt;5,1,0)</f>
        <v>0</v>
      </c>
      <c r="P528" s="9" t="n">
        <f aca="false">IF(K528&gt;Parameters!$B$17,1,0)</f>
        <v>0</v>
      </c>
      <c r="Q528" s="9" t="n">
        <f aca="false">IF(AND(F528&lt;=Parameters!$B$6,F528&gt;Parameters!$B$6-Parameters!$B$18),1,0)</f>
        <v>0</v>
      </c>
      <c r="R528" s="9" t="n">
        <f aca="false">IF(COUNTIF(Parameters!$A$51:$A$58,H528)=0,1,0)</f>
        <v>0</v>
      </c>
      <c r="S528" s="9" t="n">
        <f aca="false">IF(AND(I528="Manual",L528&gt;0),1,0)</f>
        <v>0</v>
      </c>
      <c r="T528" s="9" t="n">
        <f aca="false">IF(AND(C528&gt;=Parameters!$B$22,ROUND(MOD(ROUND(C528,2),Parameters!$B$21),2)=0),1,0)</f>
        <v>1</v>
      </c>
      <c r="U528" s="9" t="n">
        <f aca="false">IF(LEN(TRIM(J528))=0,1,0)</f>
        <v>0</v>
      </c>
      <c r="V528" s="9" t="n">
        <f aca="false">IF(AND(I528="Manual",C528&lt;Parameters!$B$19,C528&gt;=Parameters!$B$19*(1-Parameters!$B$20)),1,0)</f>
        <v>0</v>
      </c>
      <c r="W528" s="9" t="n">
        <f aca="false">IF(AND(I528="Manual",M528&gt;0),1,0)</f>
        <v>0</v>
      </c>
      <c r="X528" s="9" t="n">
        <f aca="false">IF(A528-A527&gt;1,1,0)</f>
        <v>0</v>
      </c>
      <c r="Y528" s="9" t="n">
        <f aca="false">N528*Parameters!$B$38+O528*Parameters!$B$39+P528*Parameters!$B$40+Q528*Parameters!$B$41+R528*Parameters!$B$42+S528*Parameters!$B$43+T528*Parameters!$B$44+U528*Parameters!$B$45+V528*Parameters!$B$46+W528*Parameters!$B$47+X528*Parameters!$B$48</f>
        <v>2</v>
      </c>
      <c r="Z528" s="0" t="str">
        <f aca="false">IF(Y528&gt;=Parameters!$B$25,"High","")</f>
        <v/>
      </c>
    </row>
    <row r="529" customFormat="false" ht="15" hidden="false" customHeight="false" outlineLevel="0" collapsed="false">
      <c r="A529" s="16" t="n">
        <v>1533</v>
      </c>
      <c r="B529" s="9" t="n">
        <f aca="false">COUNTIF(JE_Lines!$B$5:$B$1733,A529)</f>
        <v>2</v>
      </c>
      <c r="C529" s="17" t="n">
        <f aca="false">SUMIFS(JE_Lines!$G$5:$G$1733,JE_Lines!$B$5:$B$1733,A529)</f>
        <v>256000</v>
      </c>
      <c r="D529" s="17" t="n">
        <f aca="false">SUMIFS(JE_Lines!$H$5:$H$1733,JE_Lines!$B$5:$B$1733,A529)</f>
        <v>256000</v>
      </c>
      <c r="E529" s="17" t="n">
        <f aca="false">C529-D529</f>
        <v>0</v>
      </c>
      <c r="F529" s="18" t="n">
        <f aca="false">INDEX(JE_Lines!$C$5:$C$1733,MATCH(A529,JE_Lines!$B$5:$B$1733,0))</f>
        <v>45894</v>
      </c>
      <c r="G529" s="18" t="n">
        <f aca="false">INDEX(JE_Lines!$D$5:$D$1733,MATCH(A529,JE_Lines!$B$5:$B$1733,0))</f>
        <v>45894</v>
      </c>
      <c r="H529" s="0" t="str">
        <f aca="false">INDEX(JE_Lines!$I$5:$I$1733,MATCH(A529,JE_Lines!$B$5:$B$1733,0))</f>
        <v>SYS_PAY</v>
      </c>
      <c r="I529" s="0" t="str">
        <f aca="false">INDEX(JE_Lines!$J$5:$J$1733,MATCH(A529,JE_Lines!$B$5:$B$1733,0))</f>
        <v>System</v>
      </c>
      <c r="J529" s="0" t="str">
        <f aca="false">IF(LEN(INDEX(JE_Lines!$K$5:$K$1733,MATCH(A529,JE_Lines!$B$5:$B$1733,0)))=0,"",INDEX(JE_Lines!$K$5:$K$1733,MATCH(A529,JE_Lines!$B$5:$B$1733,0)))</f>
        <v>Monthly payroll</v>
      </c>
      <c r="K529" s="9" t="n">
        <f aca="false">F529-G529</f>
        <v>0</v>
      </c>
      <c r="L529" s="9" t="n">
        <f aca="false">COUNTIFS(JE_Lines!$B$5:$B$1733,A529,JE_Lines!$F$5:$F$1733,"Revenue")</f>
        <v>0</v>
      </c>
      <c r="M529" s="9" t="n">
        <f aca="false">COUNTIFS(JE_Lines!$B$5:$B$1733,A529,JE_Lines!$F$5:$F$1733,"Suspense")</f>
        <v>0</v>
      </c>
      <c r="N529" s="9" t="n">
        <f aca="false">IF(ABS(E529)&gt;Parameters!$B$23,1,0)</f>
        <v>0</v>
      </c>
      <c r="O529" s="9" t="n">
        <f aca="false">IF(WEEKDAY(F529,2)&gt;5,1,0)</f>
        <v>0</v>
      </c>
      <c r="P529" s="9" t="n">
        <f aca="false">IF(K529&gt;Parameters!$B$17,1,0)</f>
        <v>0</v>
      </c>
      <c r="Q529" s="9" t="n">
        <f aca="false">IF(AND(F529&lt;=Parameters!$B$6,F529&gt;Parameters!$B$6-Parameters!$B$18),1,0)</f>
        <v>0</v>
      </c>
      <c r="R529" s="9" t="n">
        <f aca="false">IF(COUNTIF(Parameters!$A$51:$A$58,H529)=0,1,0)</f>
        <v>0</v>
      </c>
      <c r="S529" s="9" t="n">
        <f aca="false">IF(AND(I529="Manual",L529&gt;0),1,0)</f>
        <v>0</v>
      </c>
      <c r="T529" s="9" t="n">
        <f aca="false">IF(AND(C529&gt;=Parameters!$B$22,ROUND(MOD(ROUND(C529,2),Parameters!$B$21),2)=0),1,0)</f>
        <v>1</v>
      </c>
      <c r="U529" s="9" t="n">
        <f aca="false">IF(LEN(TRIM(J529))=0,1,0)</f>
        <v>0</v>
      </c>
      <c r="V529" s="9" t="n">
        <f aca="false">IF(AND(I529="Manual",C529&lt;Parameters!$B$19,C529&gt;=Parameters!$B$19*(1-Parameters!$B$20)),1,0)</f>
        <v>0</v>
      </c>
      <c r="W529" s="9" t="n">
        <f aca="false">IF(AND(I529="Manual",M529&gt;0),1,0)</f>
        <v>0</v>
      </c>
      <c r="X529" s="9" t="n">
        <f aca="false">IF(A529-A528&gt;1,1,0)</f>
        <v>0</v>
      </c>
      <c r="Y529" s="9" t="n">
        <f aca="false">N529*Parameters!$B$38+O529*Parameters!$B$39+P529*Parameters!$B$40+Q529*Parameters!$B$41+R529*Parameters!$B$42+S529*Parameters!$B$43+T529*Parameters!$B$44+U529*Parameters!$B$45+V529*Parameters!$B$46+W529*Parameters!$B$47+X529*Parameters!$B$48</f>
        <v>2</v>
      </c>
      <c r="Z529" s="0" t="str">
        <f aca="false">IF(Y529&gt;=Parameters!$B$25,"High","")</f>
        <v/>
      </c>
    </row>
    <row r="530" customFormat="false" ht="15" hidden="false" customHeight="false" outlineLevel="0" collapsed="false">
      <c r="A530" s="16" t="n">
        <v>1534</v>
      </c>
      <c r="B530" s="9" t="n">
        <f aca="false">COUNTIF(JE_Lines!$B$5:$B$1733,A530)</f>
        <v>2</v>
      </c>
      <c r="C530" s="17" t="n">
        <f aca="false">SUMIFS(JE_Lines!$G$5:$G$1733,JE_Lines!$B$5:$B$1733,A530)</f>
        <v>305.17</v>
      </c>
      <c r="D530" s="17" t="n">
        <f aca="false">SUMIFS(JE_Lines!$H$5:$H$1733,JE_Lines!$B$5:$B$1733,A530)</f>
        <v>305.17</v>
      </c>
      <c r="E530" s="17" t="n">
        <f aca="false">C530-D530</f>
        <v>0</v>
      </c>
      <c r="F530" s="18" t="n">
        <f aca="false">INDEX(JE_Lines!$C$5:$C$1733,MATCH(A530,JE_Lines!$B$5:$B$1733,0))</f>
        <v>45895</v>
      </c>
      <c r="G530" s="18" t="n">
        <f aca="false">INDEX(JE_Lines!$D$5:$D$1733,MATCH(A530,JE_Lines!$B$5:$B$1733,0))</f>
        <v>45893</v>
      </c>
      <c r="H530" s="0" t="str">
        <f aca="false">INDEX(JE_Lines!$I$5:$I$1733,MATCH(A530,JE_Lines!$B$5:$B$1733,0))</f>
        <v>SYS_AR</v>
      </c>
      <c r="I530" s="0" t="str">
        <f aca="false">INDEX(JE_Lines!$J$5:$J$1733,MATCH(A530,JE_Lines!$B$5:$B$1733,0))</f>
        <v>System</v>
      </c>
      <c r="J530" s="0" t="str">
        <f aca="false">IF(LEN(INDEX(JE_Lines!$K$5:$K$1733,MATCH(A530,JE_Lines!$B$5:$B$1733,0)))=0,"",INDEX(JE_Lines!$K$5:$K$1733,MATCH(A530,JE_Lines!$B$5:$B$1733,0)))</f>
        <v>Sales invoice batch</v>
      </c>
      <c r="K530" s="9" t="n">
        <f aca="false">F530-G530</f>
        <v>2</v>
      </c>
      <c r="L530" s="9" t="n">
        <f aca="false">COUNTIFS(JE_Lines!$B$5:$B$1733,A530,JE_Lines!$F$5:$F$1733,"Revenue")</f>
        <v>1</v>
      </c>
      <c r="M530" s="9" t="n">
        <f aca="false">COUNTIFS(JE_Lines!$B$5:$B$1733,A530,JE_Lines!$F$5:$F$1733,"Suspense")</f>
        <v>0</v>
      </c>
      <c r="N530" s="9" t="n">
        <f aca="false">IF(ABS(E530)&gt;Parameters!$B$23,1,0)</f>
        <v>0</v>
      </c>
      <c r="O530" s="9" t="n">
        <f aca="false">IF(WEEKDAY(F530,2)&gt;5,1,0)</f>
        <v>0</v>
      </c>
      <c r="P530" s="9" t="n">
        <f aca="false">IF(K530&gt;Parameters!$B$17,1,0)</f>
        <v>0</v>
      </c>
      <c r="Q530" s="9" t="n">
        <f aca="false">IF(AND(F530&lt;=Parameters!$B$6,F530&gt;Parameters!$B$6-Parameters!$B$18),1,0)</f>
        <v>0</v>
      </c>
      <c r="R530" s="9" t="n">
        <f aca="false">IF(COUNTIF(Parameters!$A$51:$A$58,H530)=0,1,0)</f>
        <v>0</v>
      </c>
      <c r="S530" s="9" t="n">
        <f aca="false">IF(AND(I530="Manual",L530&gt;0),1,0)</f>
        <v>0</v>
      </c>
      <c r="T530" s="9" t="n">
        <f aca="false">IF(AND(C530&gt;=Parameters!$B$22,ROUND(MOD(ROUND(C530,2),Parameters!$B$21),2)=0),1,0)</f>
        <v>0</v>
      </c>
      <c r="U530" s="9" t="n">
        <f aca="false">IF(LEN(TRIM(J530))=0,1,0)</f>
        <v>0</v>
      </c>
      <c r="V530" s="9" t="n">
        <f aca="false">IF(AND(I530="Manual",C530&lt;Parameters!$B$19,C530&gt;=Parameters!$B$19*(1-Parameters!$B$20)),1,0)</f>
        <v>0</v>
      </c>
      <c r="W530" s="9" t="n">
        <f aca="false">IF(AND(I530="Manual",M530&gt;0),1,0)</f>
        <v>0</v>
      </c>
      <c r="X530" s="9" t="n">
        <f aca="false">IF(A530-A529&gt;1,1,0)</f>
        <v>0</v>
      </c>
      <c r="Y530" s="9" t="n">
        <f aca="false">N530*Parameters!$B$38+O530*Parameters!$B$39+P530*Parameters!$B$40+Q530*Parameters!$B$41+R530*Parameters!$B$42+S530*Parameters!$B$43+T530*Parameters!$B$44+U530*Parameters!$B$45+V530*Parameters!$B$46+W530*Parameters!$B$47+X530*Parameters!$B$48</f>
        <v>0</v>
      </c>
      <c r="Z530" s="0" t="str">
        <f aca="false">IF(Y530&gt;=Parameters!$B$25,"High","")</f>
        <v/>
      </c>
    </row>
    <row r="531" customFormat="false" ht="15" hidden="false" customHeight="false" outlineLevel="0" collapsed="false">
      <c r="A531" s="16" t="n">
        <v>1535</v>
      </c>
      <c r="B531" s="9" t="n">
        <f aca="false">COUNTIF(JE_Lines!$B$5:$B$1733,A531)</f>
        <v>3</v>
      </c>
      <c r="C531" s="17" t="n">
        <f aca="false">SUMIFS(JE_Lines!$G$5:$G$1733,JE_Lines!$B$5:$B$1733,A531)</f>
        <v>105529.57</v>
      </c>
      <c r="D531" s="17" t="n">
        <f aca="false">SUMIFS(JE_Lines!$H$5:$H$1733,JE_Lines!$B$5:$B$1733,A531)</f>
        <v>105529.57</v>
      </c>
      <c r="E531" s="17" t="n">
        <f aca="false">C531-D531</f>
        <v>0</v>
      </c>
      <c r="F531" s="18" t="n">
        <f aca="false">INDEX(JE_Lines!$C$5:$C$1733,MATCH(A531,JE_Lines!$B$5:$B$1733,0))</f>
        <v>45896</v>
      </c>
      <c r="G531" s="18" t="n">
        <f aca="false">INDEX(JE_Lines!$D$5:$D$1733,MATCH(A531,JE_Lines!$B$5:$B$1733,0))</f>
        <v>45892</v>
      </c>
      <c r="H531" s="0" t="str">
        <f aca="false">INDEX(JE_Lines!$I$5:$I$1733,MATCH(A531,JE_Lines!$B$5:$B$1733,0))</f>
        <v>SYS_AR</v>
      </c>
      <c r="I531" s="0" t="str">
        <f aca="false">INDEX(JE_Lines!$J$5:$J$1733,MATCH(A531,JE_Lines!$B$5:$B$1733,0))</f>
        <v>System</v>
      </c>
      <c r="J531" s="0" t="str">
        <f aca="false">IF(LEN(INDEX(JE_Lines!$K$5:$K$1733,MATCH(A531,JE_Lines!$B$5:$B$1733,0)))=0,"",INDEX(JE_Lines!$K$5:$K$1733,MATCH(A531,JE_Lines!$B$5:$B$1733,0)))</f>
        <v>Sales invoice batch</v>
      </c>
      <c r="K531" s="9" t="n">
        <f aca="false">F531-G531</f>
        <v>4</v>
      </c>
      <c r="L531" s="9" t="n">
        <f aca="false">COUNTIFS(JE_Lines!$B$5:$B$1733,A531,JE_Lines!$F$5:$F$1733,"Revenue")</f>
        <v>1</v>
      </c>
      <c r="M531" s="9" t="n">
        <f aca="false">COUNTIFS(JE_Lines!$B$5:$B$1733,A531,JE_Lines!$F$5:$F$1733,"Suspense")</f>
        <v>0</v>
      </c>
      <c r="N531" s="9" t="n">
        <f aca="false">IF(ABS(E531)&gt;Parameters!$B$23,1,0)</f>
        <v>0</v>
      </c>
      <c r="O531" s="9" t="n">
        <f aca="false">IF(WEEKDAY(F531,2)&gt;5,1,0)</f>
        <v>0</v>
      </c>
      <c r="P531" s="9" t="n">
        <f aca="false">IF(K531&gt;Parameters!$B$17,1,0)</f>
        <v>0</v>
      </c>
      <c r="Q531" s="9" t="n">
        <f aca="false">IF(AND(F531&lt;=Parameters!$B$6,F531&gt;Parameters!$B$6-Parameters!$B$18),1,0)</f>
        <v>0</v>
      </c>
      <c r="R531" s="9" t="n">
        <f aca="false">IF(COUNTIF(Parameters!$A$51:$A$58,H531)=0,1,0)</f>
        <v>0</v>
      </c>
      <c r="S531" s="9" t="n">
        <f aca="false">IF(AND(I531="Manual",L531&gt;0),1,0)</f>
        <v>0</v>
      </c>
      <c r="T531" s="9" t="n">
        <f aca="false">IF(AND(C531&gt;=Parameters!$B$22,ROUND(MOD(ROUND(C531,2),Parameters!$B$21),2)=0),1,0)</f>
        <v>0</v>
      </c>
      <c r="U531" s="9" t="n">
        <f aca="false">IF(LEN(TRIM(J531))=0,1,0)</f>
        <v>0</v>
      </c>
      <c r="V531" s="9" t="n">
        <f aca="false">IF(AND(I531="Manual",C531&lt;Parameters!$B$19,C531&gt;=Parameters!$B$19*(1-Parameters!$B$20)),1,0)</f>
        <v>0</v>
      </c>
      <c r="W531" s="9" t="n">
        <f aca="false">IF(AND(I531="Manual",M531&gt;0),1,0)</f>
        <v>0</v>
      </c>
      <c r="X531" s="9" t="n">
        <f aca="false">IF(A531-A530&gt;1,1,0)</f>
        <v>0</v>
      </c>
      <c r="Y531" s="9" t="n">
        <f aca="false">N531*Parameters!$B$38+O531*Parameters!$B$39+P531*Parameters!$B$40+Q531*Parameters!$B$41+R531*Parameters!$B$42+S531*Parameters!$B$43+T531*Parameters!$B$44+U531*Parameters!$B$45+V531*Parameters!$B$46+W531*Parameters!$B$47+X531*Parameters!$B$48</f>
        <v>0</v>
      </c>
      <c r="Z531" s="0" t="str">
        <f aca="false">IF(Y531&gt;=Parameters!$B$25,"High","")</f>
        <v/>
      </c>
    </row>
    <row r="532" customFormat="false" ht="15" hidden="false" customHeight="false" outlineLevel="0" collapsed="false">
      <c r="A532" s="16" t="n">
        <v>1536</v>
      </c>
      <c r="B532" s="9" t="n">
        <f aca="false">COUNTIF(JE_Lines!$B$5:$B$1733,A532)</f>
        <v>2</v>
      </c>
      <c r="C532" s="17" t="n">
        <f aca="false">SUMIFS(JE_Lines!$G$5:$G$1733,JE_Lines!$B$5:$B$1733,A532)</f>
        <v>108375.18</v>
      </c>
      <c r="D532" s="17" t="n">
        <f aca="false">SUMIFS(JE_Lines!$H$5:$H$1733,JE_Lines!$B$5:$B$1733,A532)</f>
        <v>108375.18</v>
      </c>
      <c r="E532" s="17" t="n">
        <f aca="false">C532-D532</f>
        <v>0</v>
      </c>
      <c r="F532" s="18" t="n">
        <f aca="false">INDEX(JE_Lines!$C$5:$C$1733,MATCH(A532,JE_Lines!$B$5:$B$1733,0))</f>
        <v>45897</v>
      </c>
      <c r="G532" s="18" t="n">
        <f aca="false">INDEX(JE_Lines!$D$5:$D$1733,MATCH(A532,JE_Lines!$B$5:$B$1733,0))</f>
        <v>45894</v>
      </c>
      <c r="H532" s="0" t="str">
        <f aca="false">INDEX(JE_Lines!$I$5:$I$1733,MATCH(A532,JE_Lines!$B$5:$B$1733,0))</f>
        <v>SYS_AR</v>
      </c>
      <c r="I532" s="0" t="str">
        <f aca="false">INDEX(JE_Lines!$J$5:$J$1733,MATCH(A532,JE_Lines!$B$5:$B$1733,0))</f>
        <v>System</v>
      </c>
      <c r="J532" s="0" t="str">
        <f aca="false">IF(LEN(INDEX(JE_Lines!$K$5:$K$1733,MATCH(A532,JE_Lines!$B$5:$B$1733,0)))=0,"",INDEX(JE_Lines!$K$5:$K$1733,MATCH(A532,JE_Lines!$B$5:$B$1733,0)))</f>
        <v>Cost of sales posting</v>
      </c>
      <c r="K532" s="9" t="n">
        <f aca="false">F532-G532</f>
        <v>3</v>
      </c>
      <c r="L532" s="9" t="n">
        <f aca="false">COUNTIFS(JE_Lines!$B$5:$B$1733,A532,JE_Lines!$F$5:$F$1733,"Revenue")</f>
        <v>0</v>
      </c>
      <c r="M532" s="9" t="n">
        <f aca="false">COUNTIFS(JE_Lines!$B$5:$B$1733,A532,JE_Lines!$F$5:$F$1733,"Suspense")</f>
        <v>0</v>
      </c>
      <c r="N532" s="9" t="n">
        <f aca="false">IF(ABS(E532)&gt;Parameters!$B$23,1,0)</f>
        <v>0</v>
      </c>
      <c r="O532" s="9" t="n">
        <f aca="false">IF(WEEKDAY(F532,2)&gt;5,1,0)</f>
        <v>0</v>
      </c>
      <c r="P532" s="9" t="n">
        <f aca="false">IF(K532&gt;Parameters!$B$17,1,0)</f>
        <v>0</v>
      </c>
      <c r="Q532" s="9" t="n">
        <f aca="false">IF(AND(F532&lt;=Parameters!$B$6,F532&gt;Parameters!$B$6-Parameters!$B$18),1,0)</f>
        <v>0</v>
      </c>
      <c r="R532" s="9" t="n">
        <f aca="false">IF(COUNTIF(Parameters!$A$51:$A$58,H532)=0,1,0)</f>
        <v>0</v>
      </c>
      <c r="S532" s="9" t="n">
        <f aca="false">IF(AND(I532="Manual",L532&gt;0),1,0)</f>
        <v>0</v>
      </c>
      <c r="T532" s="9" t="n">
        <f aca="false">IF(AND(C532&gt;=Parameters!$B$22,ROUND(MOD(ROUND(C532,2),Parameters!$B$21),2)=0),1,0)</f>
        <v>0</v>
      </c>
      <c r="U532" s="9" t="n">
        <f aca="false">IF(LEN(TRIM(J532))=0,1,0)</f>
        <v>0</v>
      </c>
      <c r="V532" s="9" t="n">
        <f aca="false">IF(AND(I532="Manual",C532&lt;Parameters!$B$19,C532&gt;=Parameters!$B$19*(1-Parameters!$B$20)),1,0)</f>
        <v>0</v>
      </c>
      <c r="W532" s="9" t="n">
        <f aca="false">IF(AND(I532="Manual",M532&gt;0),1,0)</f>
        <v>0</v>
      </c>
      <c r="X532" s="9" t="n">
        <f aca="false">IF(A532-A531&gt;1,1,0)</f>
        <v>0</v>
      </c>
      <c r="Y532" s="9" t="n">
        <f aca="false">N532*Parameters!$B$38+O532*Parameters!$B$39+P532*Parameters!$B$40+Q532*Parameters!$B$41+R532*Parameters!$B$42+S532*Parameters!$B$43+T532*Parameters!$B$44+U532*Parameters!$B$45+V532*Parameters!$B$46+W532*Parameters!$B$47+X532*Parameters!$B$48</f>
        <v>0</v>
      </c>
      <c r="Z532" s="0" t="str">
        <f aca="false">IF(Y532&gt;=Parameters!$B$25,"High","")</f>
        <v/>
      </c>
    </row>
    <row r="533" customFormat="false" ht="15" hidden="false" customHeight="false" outlineLevel="0" collapsed="false">
      <c r="A533" s="16" t="n">
        <v>1537</v>
      </c>
      <c r="B533" s="9" t="n">
        <f aca="false">COUNTIF(JE_Lines!$B$5:$B$1733,A533)</f>
        <v>2</v>
      </c>
      <c r="C533" s="17" t="n">
        <f aca="false">SUMIFS(JE_Lines!$G$5:$G$1733,JE_Lines!$B$5:$B$1733,A533)</f>
        <v>29320.53</v>
      </c>
      <c r="D533" s="17" t="n">
        <f aca="false">SUMIFS(JE_Lines!$H$5:$H$1733,JE_Lines!$B$5:$B$1733,A533)</f>
        <v>29320.53</v>
      </c>
      <c r="E533" s="17" t="n">
        <f aca="false">C533-D533</f>
        <v>0</v>
      </c>
      <c r="F533" s="18" t="n">
        <f aca="false">INDEX(JE_Lines!$C$5:$C$1733,MATCH(A533,JE_Lines!$B$5:$B$1733,0))</f>
        <v>45897</v>
      </c>
      <c r="G533" s="18" t="n">
        <f aca="false">INDEX(JE_Lines!$D$5:$D$1733,MATCH(A533,JE_Lines!$B$5:$B$1733,0))</f>
        <v>45897</v>
      </c>
      <c r="H533" s="0" t="str">
        <f aca="false">INDEX(JE_Lines!$I$5:$I$1733,MATCH(A533,JE_Lines!$B$5:$B$1733,0))</f>
        <v>SYS_PAY</v>
      </c>
      <c r="I533" s="0" t="str">
        <f aca="false">INDEX(JE_Lines!$J$5:$J$1733,MATCH(A533,JE_Lines!$B$5:$B$1733,0))</f>
        <v>System</v>
      </c>
      <c r="J533" s="0" t="str">
        <f aca="false">IF(LEN(INDEX(JE_Lines!$K$5:$K$1733,MATCH(A533,JE_Lines!$B$5:$B$1733,0)))=0,"",INDEX(JE_Lines!$K$5:$K$1733,MATCH(A533,JE_Lines!$B$5:$B$1733,0)))</f>
        <v>Supplier payments</v>
      </c>
      <c r="K533" s="9" t="n">
        <f aca="false">F533-G533</f>
        <v>0</v>
      </c>
      <c r="L533" s="9" t="n">
        <f aca="false">COUNTIFS(JE_Lines!$B$5:$B$1733,A533,JE_Lines!$F$5:$F$1733,"Revenue")</f>
        <v>0</v>
      </c>
      <c r="M533" s="9" t="n">
        <f aca="false">COUNTIFS(JE_Lines!$B$5:$B$1733,A533,JE_Lines!$F$5:$F$1733,"Suspense")</f>
        <v>0</v>
      </c>
      <c r="N533" s="9" t="n">
        <f aca="false">IF(ABS(E533)&gt;Parameters!$B$23,1,0)</f>
        <v>0</v>
      </c>
      <c r="O533" s="9" t="n">
        <f aca="false">IF(WEEKDAY(F533,2)&gt;5,1,0)</f>
        <v>0</v>
      </c>
      <c r="P533" s="9" t="n">
        <f aca="false">IF(K533&gt;Parameters!$B$17,1,0)</f>
        <v>0</v>
      </c>
      <c r="Q533" s="9" t="n">
        <f aca="false">IF(AND(F533&lt;=Parameters!$B$6,F533&gt;Parameters!$B$6-Parameters!$B$18),1,0)</f>
        <v>0</v>
      </c>
      <c r="R533" s="9" t="n">
        <f aca="false">IF(COUNTIF(Parameters!$A$51:$A$58,H533)=0,1,0)</f>
        <v>0</v>
      </c>
      <c r="S533" s="9" t="n">
        <f aca="false">IF(AND(I533="Manual",L533&gt;0),1,0)</f>
        <v>0</v>
      </c>
      <c r="T533" s="9" t="n">
        <f aca="false">IF(AND(C533&gt;=Parameters!$B$22,ROUND(MOD(ROUND(C533,2),Parameters!$B$21),2)=0),1,0)</f>
        <v>0</v>
      </c>
      <c r="U533" s="9" t="n">
        <f aca="false">IF(LEN(TRIM(J533))=0,1,0)</f>
        <v>0</v>
      </c>
      <c r="V533" s="9" t="n">
        <f aca="false">IF(AND(I533="Manual",C533&lt;Parameters!$B$19,C533&gt;=Parameters!$B$19*(1-Parameters!$B$20)),1,0)</f>
        <v>0</v>
      </c>
      <c r="W533" s="9" t="n">
        <f aca="false">IF(AND(I533="Manual",M533&gt;0),1,0)</f>
        <v>0</v>
      </c>
      <c r="X533" s="9" t="n">
        <f aca="false">IF(A533-A532&gt;1,1,0)</f>
        <v>0</v>
      </c>
      <c r="Y533" s="9" t="n">
        <f aca="false">N533*Parameters!$B$38+O533*Parameters!$B$39+P533*Parameters!$B$40+Q533*Parameters!$B$41+R533*Parameters!$B$42+S533*Parameters!$B$43+T533*Parameters!$B$44+U533*Parameters!$B$45+V533*Parameters!$B$46+W533*Parameters!$B$47+X533*Parameters!$B$48</f>
        <v>0</v>
      </c>
      <c r="Z533" s="0" t="str">
        <f aca="false">IF(Y533&gt;=Parameters!$B$25,"High","")</f>
        <v/>
      </c>
    </row>
    <row r="534" customFormat="false" ht="15" hidden="false" customHeight="false" outlineLevel="0" collapsed="false">
      <c r="A534" s="16" t="n">
        <v>1538</v>
      </c>
      <c r="B534" s="9" t="n">
        <f aca="false">COUNTIF(JE_Lines!$B$5:$B$1733,A534)</f>
        <v>2</v>
      </c>
      <c r="C534" s="17" t="n">
        <f aca="false">SUMIFS(JE_Lines!$G$5:$G$1733,JE_Lines!$B$5:$B$1733,A534)</f>
        <v>66741.23</v>
      </c>
      <c r="D534" s="17" t="n">
        <f aca="false">SUMIFS(JE_Lines!$H$5:$H$1733,JE_Lines!$B$5:$B$1733,A534)</f>
        <v>66741.23</v>
      </c>
      <c r="E534" s="17" t="n">
        <f aca="false">C534-D534</f>
        <v>0</v>
      </c>
      <c r="F534" s="18" t="n">
        <f aca="false">INDEX(JE_Lines!$C$5:$C$1733,MATCH(A534,JE_Lines!$B$5:$B$1733,0))</f>
        <v>45898</v>
      </c>
      <c r="G534" s="18" t="n">
        <f aca="false">INDEX(JE_Lines!$D$5:$D$1733,MATCH(A534,JE_Lines!$B$5:$B$1733,0))</f>
        <v>45896</v>
      </c>
      <c r="H534" s="0" t="str">
        <f aca="false">INDEX(JE_Lines!$I$5:$I$1733,MATCH(A534,JE_Lines!$B$5:$B$1733,0))</f>
        <v>SYS_AR</v>
      </c>
      <c r="I534" s="0" t="str">
        <f aca="false">INDEX(JE_Lines!$J$5:$J$1733,MATCH(A534,JE_Lines!$B$5:$B$1733,0))</f>
        <v>System</v>
      </c>
      <c r="J534" s="0" t="str">
        <f aca="false">IF(LEN(INDEX(JE_Lines!$K$5:$K$1733,MATCH(A534,JE_Lines!$B$5:$B$1733,0)))=0,"",INDEX(JE_Lines!$K$5:$K$1733,MATCH(A534,JE_Lines!$B$5:$B$1733,0)))</f>
        <v>Cost of sales posting</v>
      </c>
      <c r="K534" s="9" t="n">
        <f aca="false">F534-G534</f>
        <v>2</v>
      </c>
      <c r="L534" s="9" t="n">
        <f aca="false">COUNTIFS(JE_Lines!$B$5:$B$1733,A534,JE_Lines!$F$5:$F$1733,"Revenue")</f>
        <v>0</v>
      </c>
      <c r="M534" s="9" t="n">
        <f aca="false">COUNTIFS(JE_Lines!$B$5:$B$1733,A534,JE_Lines!$F$5:$F$1733,"Suspense")</f>
        <v>0</v>
      </c>
      <c r="N534" s="9" t="n">
        <f aca="false">IF(ABS(E534)&gt;Parameters!$B$23,1,0)</f>
        <v>0</v>
      </c>
      <c r="O534" s="9" t="n">
        <f aca="false">IF(WEEKDAY(F534,2)&gt;5,1,0)</f>
        <v>0</v>
      </c>
      <c r="P534" s="9" t="n">
        <f aca="false">IF(K534&gt;Parameters!$B$17,1,0)</f>
        <v>0</v>
      </c>
      <c r="Q534" s="9" t="n">
        <f aca="false">IF(AND(F534&lt;=Parameters!$B$6,F534&gt;Parameters!$B$6-Parameters!$B$18),1,0)</f>
        <v>0</v>
      </c>
      <c r="R534" s="9" t="n">
        <f aca="false">IF(COUNTIF(Parameters!$A$51:$A$58,H534)=0,1,0)</f>
        <v>0</v>
      </c>
      <c r="S534" s="9" t="n">
        <f aca="false">IF(AND(I534="Manual",L534&gt;0),1,0)</f>
        <v>0</v>
      </c>
      <c r="T534" s="9" t="n">
        <f aca="false">IF(AND(C534&gt;=Parameters!$B$22,ROUND(MOD(ROUND(C534,2),Parameters!$B$21),2)=0),1,0)</f>
        <v>0</v>
      </c>
      <c r="U534" s="9" t="n">
        <f aca="false">IF(LEN(TRIM(J534))=0,1,0)</f>
        <v>0</v>
      </c>
      <c r="V534" s="9" t="n">
        <f aca="false">IF(AND(I534="Manual",C534&lt;Parameters!$B$19,C534&gt;=Parameters!$B$19*(1-Parameters!$B$20)),1,0)</f>
        <v>0</v>
      </c>
      <c r="W534" s="9" t="n">
        <f aca="false">IF(AND(I534="Manual",M534&gt;0),1,0)</f>
        <v>0</v>
      </c>
      <c r="X534" s="9" t="n">
        <f aca="false">IF(A534-A533&gt;1,1,0)</f>
        <v>0</v>
      </c>
      <c r="Y534" s="9" t="n">
        <f aca="false">N534*Parameters!$B$38+O534*Parameters!$B$39+P534*Parameters!$B$40+Q534*Parameters!$B$41+R534*Parameters!$B$42+S534*Parameters!$B$43+T534*Parameters!$B$44+U534*Parameters!$B$45+V534*Parameters!$B$46+W534*Parameters!$B$47+X534*Parameters!$B$48</f>
        <v>0</v>
      </c>
      <c r="Z534" s="0" t="str">
        <f aca="false">IF(Y534&gt;=Parameters!$B$25,"High","")</f>
        <v/>
      </c>
    </row>
    <row r="535" customFormat="false" ht="15" hidden="false" customHeight="false" outlineLevel="0" collapsed="false">
      <c r="A535" s="16" t="n">
        <v>1539</v>
      </c>
      <c r="B535" s="9" t="n">
        <f aca="false">COUNTIF(JE_Lines!$B$5:$B$1733,A535)</f>
        <v>2</v>
      </c>
      <c r="C535" s="17" t="n">
        <f aca="false">SUMIFS(JE_Lines!$G$5:$G$1733,JE_Lines!$B$5:$B$1733,A535)</f>
        <v>2170.15</v>
      </c>
      <c r="D535" s="17" t="n">
        <f aca="false">SUMIFS(JE_Lines!$H$5:$H$1733,JE_Lines!$B$5:$B$1733,A535)</f>
        <v>2170.15</v>
      </c>
      <c r="E535" s="17" t="n">
        <f aca="false">C535-D535</f>
        <v>0</v>
      </c>
      <c r="F535" s="18" t="n">
        <f aca="false">INDEX(JE_Lines!$C$5:$C$1733,MATCH(A535,JE_Lines!$B$5:$B$1733,0))</f>
        <v>45898</v>
      </c>
      <c r="G535" s="18" t="n">
        <f aca="false">INDEX(JE_Lines!$D$5:$D$1733,MATCH(A535,JE_Lines!$B$5:$B$1733,0))</f>
        <v>45894</v>
      </c>
      <c r="H535" s="0" t="str">
        <f aca="false">INDEX(JE_Lines!$I$5:$I$1733,MATCH(A535,JE_Lines!$B$5:$B$1733,0))</f>
        <v>SYS_AR</v>
      </c>
      <c r="I535" s="0" t="str">
        <f aca="false">INDEX(JE_Lines!$J$5:$J$1733,MATCH(A535,JE_Lines!$B$5:$B$1733,0))</f>
        <v>System</v>
      </c>
      <c r="J535" s="0" t="str">
        <f aca="false">IF(LEN(INDEX(JE_Lines!$K$5:$K$1733,MATCH(A535,JE_Lines!$B$5:$B$1733,0)))=0,"",INDEX(JE_Lines!$K$5:$K$1733,MATCH(A535,JE_Lines!$B$5:$B$1733,0)))</f>
        <v>Customer receipts</v>
      </c>
      <c r="K535" s="9" t="n">
        <f aca="false">F535-G535</f>
        <v>4</v>
      </c>
      <c r="L535" s="9" t="n">
        <f aca="false">COUNTIFS(JE_Lines!$B$5:$B$1733,A535,JE_Lines!$F$5:$F$1733,"Revenue")</f>
        <v>0</v>
      </c>
      <c r="M535" s="9" t="n">
        <f aca="false">COUNTIFS(JE_Lines!$B$5:$B$1733,A535,JE_Lines!$F$5:$F$1733,"Suspense")</f>
        <v>0</v>
      </c>
      <c r="N535" s="9" t="n">
        <f aca="false">IF(ABS(E535)&gt;Parameters!$B$23,1,0)</f>
        <v>0</v>
      </c>
      <c r="O535" s="9" t="n">
        <f aca="false">IF(WEEKDAY(F535,2)&gt;5,1,0)</f>
        <v>0</v>
      </c>
      <c r="P535" s="9" t="n">
        <f aca="false">IF(K535&gt;Parameters!$B$17,1,0)</f>
        <v>0</v>
      </c>
      <c r="Q535" s="9" t="n">
        <f aca="false">IF(AND(F535&lt;=Parameters!$B$6,F535&gt;Parameters!$B$6-Parameters!$B$18),1,0)</f>
        <v>0</v>
      </c>
      <c r="R535" s="9" t="n">
        <f aca="false">IF(COUNTIF(Parameters!$A$51:$A$58,H535)=0,1,0)</f>
        <v>0</v>
      </c>
      <c r="S535" s="9" t="n">
        <f aca="false">IF(AND(I535="Manual",L535&gt;0),1,0)</f>
        <v>0</v>
      </c>
      <c r="T535" s="9" t="n">
        <f aca="false">IF(AND(C535&gt;=Parameters!$B$22,ROUND(MOD(ROUND(C535,2),Parameters!$B$21),2)=0),1,0)</f>
        <v>0</v>
      </c>
      <c r="U535" s="9" t="n">
        <f aca="false">IF(LEN(TRIM(J535))=0,1,0)</f>
        <v>0</v>
      </c>
      <c r="V535" s="9" t="n">
        <f aca="false">IF(AND(I535="Manual",C535&lt;Parameters!$B$19,C535&gt;=Parameters!$B$19*(1-Parameters!$B$20)),1,0)</f>
        <v>0</v>
      </c>
      <c r="W535" s="9" t="n">
        <f aca="false">IF(AND(I535="Manual",M535&gt;0),1,0)</f>
        <v>0</v>
      </c>
      <c r="X535" s="9" t="n">
        <f aca="false">IF(A535-A534&gt;1,1,0)</f>
        <v>0</v>
      </c>
      <c r="Y535" s="9" t="n">
        <f aca="false">N535*Parameters!$B$38+O535*Parameters!$B$39+P535*Parameters!$B$40+Q535*Parameters!$B$41+R535*Parameters!$B$42+S535*Parameters!$B$43+T535*Parameters!$B$44+U535*Parameters!$B$45+V535*Parameters!$B$46+W535*Parameters!$B$47+X535*Parameters!$B$48</f>
        <v>0</v>
      </c>
      <c r="Z535" s="0" t="str">
        <f aca="false">IF(Y535&gt;=Parameters!$B$25,"High","")</f>
        <v/>
      </c>
    </row>
    <row r="536" customFormat="false" ht="15" hidden="false" customHeight="false" outlineLevel="0" collapsed="false">
      <c r="A536" s="16" t="n">
        <v>1540</v>
      </c>
      <c r="B536" s="9" t="n">
        <f aca="false">COUNTIF(JE_Lines!$B$5:$B$1733,A536)</f>
        <v>2</v>
      </c>
      <c r="C536" s="17" t="n">
        <f aca="false">SUMIFS(JE_Lines!$G$5:$G$1733,JE_Lines!$B$5:$B$1733,A536)</f>
        <v>236.7</v>
      </c>
      <c r="D536" s="17" t="n">
        <f aca="false">SUMIFS(JE_Lines!$H$5:$H$1733,JE_Lines!$B$5:$B$1733,A536)</f>
        <v>236.7</v>
      </c>
      <c r="E536" s="17" t="n">
        <f aca="false">C536-D536</f>
        <v>0</v>
      </c>
      <c r="F536" s="18" t="n">
        <f aca="false">INDEX(JE_Lines!$C$5:$C$1733,MATCH(A536,JE_Lines!$B$5:$B$1733,0))</f>
        <v>45898</v>
      </c>
      <c r="G536" s="18" t="n">
        <f aca="false">INDEX(JE_Lines!$D$5:$D$1733,MATCH(A536,JE_Lines!$B$5:$B$1733,0))</f>
        <v>45894</v>
      </c>
      <c r="H536" s="0" t="str">
        <f aca="false">INDEX(JE_Lines!$I$5:$I$1733,MATCH(A536,JE_Lines!$B$5:$B$1733,0))</f>
        <v>SYS_PAY</v>
      </c>
      <c r="I536" s="0" t="str">
        <f aca="false">INDEX(JE_Lines!$J$5:$J$1733,MATCH(A536,JE_Lines!$B$5:$B$1733,0))</f>
        <v>System</v>
      </c>
      <c r="J536" s="0" t="str">
        <f aca="false">IF(LEN(INDEX(JE_Lines!$K$5:$K$1733,MATCH(A536,JE_Lines!$B$5:$B$1733,0)))=0,"",INDEX(JE_Lines!$K$5:$K$1733,MATCH(A536,JE_Lines!$B$5:$B$1733,0)))</f>
        <v>Supplier payments</v>
      </c>
      <c r="K536" s="9" t="n">
        <f aca="false">F536-G536</f>
        <v>4</v>
      </c>
      <c r="L536" s="9" t="n">
        <f aca="false">COUNTIFS(JE_Lines!$B$5:$B$1733,A536,JE_Lines!$F$5:$F$1733,"Revenue")</f>
        <v>0</v>
      </c>
      <c r="M536" s="9" t="n">
        <f aca="false">COUNTIFS(JE_Lines!$B$5:$B$1733,A536,JE_Lines!$F$5:$F$1733,"Suspense")</f>
        <v>0</v>
      </c>
      <c r="N536" s="9" t="n">
        <f aca="false">IF(ABS(E536)&gt;Parameters!$B$23,1,0)</f>
        <v>0</v>
      </c>
      <c r="O536" s="9" t="n">
        <f aca="false">IF(WEEKDAY(F536,2)&gt;5,1,0)</f>
        <v>0</v>
      </c>
      <c r="P536" s="9" t="n">
        <f aca="false">IF(K536&gt;Parameters!$B$17,1,0)</f>
        <v>0</v>
      </c>
      <c r="Q536" s="9" t="n">
        <f aca="false">IF(AND(F536&lt;=Parameters!$B$6,F536&gt;Parameters!$B$6-Parameters!$B$18),1,0)</f>
        <v>0</v>
      </c>
      <c r="R536" s="9" t="n">
        <f aca="false">IF(COUNTIF(Parameters!$A$51:$A$58,H536)=0,1,0)</f>
        <v>0</v>
      </c>
      <c r="S536" s="9" t="n">
        <f aca="false">IF(AND(I536="Manual",L536&gt;0),1,0)</f>
        <v>0</v>
      </c>
      <c r="T536" s="9" t="n">
        <f aca="false">IF(AND(C536&gt;=Parameters!$B$22,ROUND(MOD(ROUND(C536,2),Parameters!$B$21),2)=0),1,0)</f>
        <v>0</v>
      </c>
      <c r="U536" s="9" t="n">
        <f aca="false">IF(LEN(TRIM(J536))=0,1,0)</f>
        <v>0</v>
      </c>
      <c r="V536" s="9" t="n">
        <f aca="false">IF(AND(I536="Manual",C536&lt;Parameters!$B$19,C536&gt;=Parameters!$B$19*(1-Parameters!$B$20)),1,0)</f>
        <v>0</v>
      </c>
      <c r="W536" s="9" t="n">
        <f aca="false">IF(AND(I536="Manual",M536&gt;0),1,0)</f>
        <v>0</v>
      </c>
      <c r="X536" s="9" t="n">
        <f aca="false">IF(A536-A535&gt;1,1,0)</f>
        <v>0</v>
      </c>
      <c r="Y536" s="9" t="n">
        <f aca="false">N536*Parameters!$B$38+O536*Parameters!$B$39+P536*Parameters!$B$40+Q536*Parameters!$B$41+R536*Parameters!$B$42+S536*Parameters!$B$43+T536*Parameters!$B$44+U536*Parameters!$B$45+V536*Parameters!$B$46+W536*Parameters!$B$47+X536*Parameters!$B$48</f>
        <v>0</v>
      </c>
      <c r="Z536" s="0" t="str">
        <f aca="false">IF(Y536&gt;=Parameters!$B$25,"High","")</f>
        <v/>
      </c>
    </row>
    <row r="537" customFormat="false" ht="15" hidden="false" customHeight="false" outlineLevel="0" collapsed="false">
      <c r="A537" s="16" t="n">
        <v>1541</v>
      </c>
      <c r="B537" s="9" t="n">
        <f aca="false">COUNTIF(JE_Lines!$B$5:$B$1733,A537)</f>
        <v>2</v>
      </c>
      <c r="C537" s="17" t="n">
        <f aca="false">SUMIFS(JE_Lines!$G$5:$G$1733,JE_Lines!$B$5:$B$1733,A537)</f>
        <v>334.8</v>
      </c>
      <c r="D537" s="17" t="n">
        <f aca="false">SUMIFS(JE_Lines!$H$5:$H$1733,JE_Lines!$B$5:$B$1733,A537)</f>
        <v>334.8</v>
      </c>
      <c r="E537" s="17" t="n">
        <f aca="false">C537-D537</f>
        <v>0</v>
      </c>
      <c r="F537" s="18" t="n">
        <f aca="false">INDEX(JE_Lines!$C$5:$C$1733,MATCH(A537,JE_Lines!$B$5:$B$1733,0))</f>
        <v>45900</v>
      </c>
      <c r="G537" s="18" t="n">
        <f aca="false">INDEX(JE_Lines!$D$5:$D$1733,MATCH(A537,JE_Lines!$B$5:$B$1733,0))</f>
        <v>45897</v>
      </c>
      <c r="H537" s="0" t="str">
        <f aca="false">INDEX(JE_Lines!$I$5:$I$1733,MATCH(A537,JE_Lines!$B$5:$B$1733,0))</f>
        <v>SYS_AP</v>
      </c>
      <c r="I537" s="0" t="str">
        <f aca="false">INDEX(JE_Lines!$J$5:$J$1733,MATCH(A537,JE_Lines!$B$5:$B$1733,0))</f>
        <v>System</v>
      </c>
      <c r="J537" s="0" t="str">
        <f aca="false">IF(LEN(INDEX(JE_Lines!$K$5:$K$1733,MATCH(A537,JE_Lines!$B$5:$B$1733,0)))=0,"",INDEX(JE_Lines!$K$5:$K$1733,MATCH(A537,JE_Lines!$B$5:$B$1733,0)))</f>
        <v>Utilities invoices</v>
      </c>
      <c r="K537" s="9" t="n">
        <f aca="false">F537-G537</f>
        <v>3</v>
      </c>
      <c r="L537" s="9" t="n">
        <f aca="false">COUNTIFS(JE_Lines!$B$5:$B$1733,A537,JE_Lines!$F$5:$F$1733,"Revenue")</f>
        <v>0</v>
      </c>
      <c r="M537" s="9" t="n">
        <f aca="false">COUNTIFS(JE_Lines!$B$5:$B$1733,A537,JE_Lines!$F$5:$F$1733,"Suspense")</f>
        <v>0</v>
      </c>
      <c r="N537" s="9" t="n">
        <f aca="false">IF(ABS(E537)&gt;Parameters!$B$23,1,0)</f>
        <v>0</v>
      </c>
      <c r="O537" s="9" t="n">
        <f aca="false">IF(WEEKDAY(F537,2)&gt;5,1,0)</f>
        <v>1</v>
      </c>
      <c r="P537" s="9" t="n">
        <f aca="false">IF(K537&gt;Parameters!$B$17,1,0)</f>
        <v>0</v>
      </c>
      <c r="Q537" s="9" t="n">
        <f aca="false">IF(AND(F537&lt;=Parameters!$B$6,F537&gt;Parameters!$B$6-Parameters!$B$18),1,0)</f>
        <v>0</v>
      </c>
      <c r="R537" s="9" t="n">
        <f aca="false">IF(COUNTIF(Parameters!$A$51:$A$58,H537)=0,1,0)</f>
        <v>0</v>
      </c>
      <c r="S537" s="9" t="n">
        <f aca="false">IF(AND(I537="Manual",L537&gt;0),1,0)</f>
        <v>0</v>
      </c>
      <c r="T537" s="9" t="n">
        <f aca="false">IF(AND(C537&gt;=Parameters!$B$22,ROUND(MOD(ROUND(C537,2),Parameters!$B$21),2)=0),1,0)</f>
        <v>0</v>
      </c>
      <c r="U537" s="9" t="n">
        <f aca="false">IF(LEN(TRIM(J537))=0,1,0)</f>
        <v>0</v>
      </c>
      <c r="V537" s="9" t="n">
        <f aca="false">IF(AND(I537="Manual",C537&lt;Parameters!$B$19,C537&gt;=Parameters!$B$19*(1-Parameters!$B$20)),1,0)</f>
        <v>0</v>
      </c>
      <c r="W537" s="9" t="n">
        <f aca="false">IF(AND(I537="Manual",M537&gt;0),1,0)</f>
        <v>0</v>
      </c>
      <c r="X537" s="9" t="n">
        <f aca="false">IF(A537-A536&gt;1,1,0)</f>
        <v>0</v>
      </c>
      <c r="Y537" s="9" t="n">
        <f aca="false">N537*Parameters!$B$38+O537*Parameters!$B$39+P537*Parameters!$B$40+Q537*Parameters!$B$41+R537*Parameters!$B$42+S537*Parameters!$B$43+T537*Parameters!$B$44+U537*Parameters!$B$45+V537*Parameters!$B$46+W537*Parameters!$B$47+X537*Parameters!$B$48</f>
        <v>2</v>
      </c>
      <c r="Z537" s="0" t="str">
        <f aca="false">IF(Y537&gt;=Parameters!$B$25,"High","")</f>
        <v/>
      </c>
    </row>
    <row r="538" customFormat="false" ht="15" hidden="false" customHeight="false" outlineLevel="0" collapsed="false">
      <c r="A538" s="16" t="n">
        <v>1542</v>
      </c>
      <c r="B538" s="9" t="n">
        <f aca="false">COUNTIF(JE_Lines!$B$5:$B$1733,A538)</f>
        <v>2</v>
      </c>
      <c r="C538" s="17" t="n">
        <f aca="false">SUMIFS(JE_Lines!$G$5:$G$1733,JE_Lines!$B$5:$B$1733,A538)</f>
        <v>7059.04</v>
      </c>
      <c r="D538" s="17" t="n">
        <f aca="false">SUMIFS(JE_Lines!$H$5:$H$1733,JE_Lines!$B$5:$B$1733,A538)</f>
        <v>7059.04</v>
      </c>
      <c r="E538" s="17" t="n">
        <f aca="false">C538-D538</f>
        <v>0</v>
      </c>
      <c r="F538" s="18" t="n">
        <f aca="false">INDEX(JE_Lines!$C$5:$C$1733,MATCH(A538,JE_Lines!$B$5:$B$1733,0))</f>
        <v>45900</v>
      </c>
      <c r="G538" s="18" t="n">
        <f aca="false">INDEX(JE_Lines!$D$5:$D$1733,MATCH(A538,JE_Lines!$B$5:$B$1733,0))</f>
        <v>45900</v>
      </c>
      <c r="H538" s="0" t="str">
        <f aca="false">INDEX(JE_Lines!$I$5:$I$1733,MATCH(A538,JE_Lines!$B$5:$B$1733,0))</f>
        <v>FIN01</v>
      </c>
      <c r="I538" s="0" t="str">
        <f aca="false">INDEX(JE_Lines!$J$5:$J$1733,MATCH(A538,JE_Lines!$B$5:$B$1733,0))</f>
        <v>Manual</v>
      </c>
      <c r="J538" s="0" t="str">
        <f aca="false">IF(LEN(INDEX(JE_Lines!$K$5:$K$1733,MATCH(A538,JE_Lines!$B$5:$B$1733,0)))=0,"",INDEX(JE_Lines!$K$5:$K$1733,MATCH(A538,JE_Lines!$B$5:$B$1733,0)))</f>
        <v>Weekend adjustment 1</v>
      </c>
      <c r="K538" s="9" t="n">
        <f aca="false">F538-G538</f>
        <v>0</v>
      </c>
      <c r="L538" s="9" t="n">
        <f aca="false">COUNTIFS(JE_Lines!$B$5:$B$1733,A538,JE_Lines!$F$5:$F$1733,"Revenue")</f>
        <v>0</v>
      </c>
      <c r="M538" s="9" t="n">
        <f aca="false">COUNTIFS(JE_Lines!$B$5:$B$1733,A538,JE_Lines!$F$5:$F$1733,"Suspense")</f>
        <v>0</v>
      </c>
      <c r="N538" s="9" t="n">
        <f aca="false">IF(ABS(E538)&gt;Parameters!$B$23,1,0)</f>
        <v>0</v>
      </c>
      <c r="O538" s="9" t="n">
        <f aca="false">IF(WEEKDAY(F538,2)&gt;5,1,0)</f>
        <v>1</v>
      </c>
      <c r="P538" s="9" t="n">
        <f aca="false">IF(K538&gt;Parameters!$B$17,1,0)</f>
        <v>0</v>
      </c>
      <c r="Q538" s="9" t="n">
        <f aca="false">IF(AND(F538&lt;=Parameters!$B$6,F538&gt;Parameters!$B$6-Parameters!$B$18),1,0)</f>
        <v>0</v>
      </c>
      <c r="R538" s="9" t="n">
        <f aca="false">IF(COUNTIF(Parameters!$A$51:$A$58,H538)=0,1,0)</f>
        <v>0</v>
      </c>
      <c r="S538" s="9" t="n">
        <f aca="false">IF(AND(I538="Manual",L538&gt;0),1,0)</f>
        <v>0</v>
      </c>
      <c r="T538" s="9" t="n">
        <f aca="false">IF(AND(C538&gt;=Parameters!$B$22,ROUND(MOD(ROUND(C538,2),Parameters!$B$21),2)=0),1,0)</f>
        <v>0</v>
      </c>
      <c r="U538" s="9" t="n">
        <f aca="false">IF(LEN(TRIM(J538))=0,1,0)</f>
        <v>0</v>
      </c>
      <c r="V538" s="9" t="n">
        <f aca="false">IF(AND(I538="Manual",C538&lt;Parameters!$B$19,C538&gt;=Parameters!$B$19*(1-Parameters!$B$20)),1,0)</f>
        <v>0</v>
      </c>
      <c r="W538" s="9" t="n">
        <f aca="false">IF(AND(I538="Manual",M538&gt;0),1,0)</f>
        <v>0</v>
      </c>
      <c r="X538" s="9" t="n">
        <f aca="false">IF(A538-A537&gt;1,1,0)</f>
        <v>0</v>
      </c>
      <c r="Y538" s="9" t="n">
        <f aca="false">N538*Parameters!$B$38+O538*Parameters!$B$39+P538*Parameters!$B$40+Q538*Parameters!$B$41+R538*Parameters!$B$42+S538*Parameters!$B$43+T538*Parameters!$B$44+U538*Parameters!$B$45+V538*Parameters!$B$46+W538*Parameters!$B$47+X538*Parameters!$B$48</f>
        <v>2</v>
      </c>
      <c r="Z538" s="0" t="str">
        <f aca="false">IF(Y538&gt;=Parameters!$B$25,"High","")</f>
        <v/>
      </c>
    </row>
    <row r="539" customFormat="false" ht="15" hidden="false" customHeight="false" outlineLevel="0" collapsed="false">
      <c r="A539" s="16" t="n">
        <v>1543</v>
      </c>
      <c r="B539" s="9" t="n">
        <f aca="false">COUNTIF(JE_Lines!$B$5:$B$1733,A539)</f>
        <v>2</v>
      </c>
      <c r="C539" s="17" t="n">
        <f aca="false">SUMIFS(JE_Lines!$G$5:$G$1733,JE_Lines!$B$5:$B$1733,A539)</f>
        <v>686.47</v>
      </c>
      <c r="D539" s="17" t="n">
        <f aca="false">SUMIFS(JE_Lines!$H$5:$H$1733,JE_Lines!$B$5:$B$1733,A539)</f>
        <v>686.47</v>
      </c>
      <c r="E539" s="17" t="n">
        <f aca="false">C539-D539</f>
        <v>0</v>
      </c>
      <c r="F539" s="18" t="n">
        <f aca="false">INDEX(JE_Lines!$C$5:$C$1733,MATCH(A539,JE_Lines!$B$5:$B$1733,0))</f>
        <v>45901</v>
      </c>
      <c r="G539" s="18" t="n">
        <f aca="false">INDEX(JE_Lines!$D$5:$D$1733,MATCH(A539,JE_Lines!$B$5:$B$1733,0))</f>
        <v>45899</v>
      </c>
      <c r="H539" s="0" t="str">
        <f aca="false">INDEX(JE_Lines!$I$5:$I$1733,MATCH(A539,JE_Lines!$B$5:$B$1733,0))</f>
        <v>SYS_AP</v>
      </c>
      <c r="I539" s="0" t="str">
        <f aca="false">INDEX(JE_Lines!$J$5:$J$1733,MATCH(A539,JE_Lines!$B$5:$B$1733,0))</f>
        <v>System</v>
      </c>
      <c r="J539" s="0" t="str">
        <f aca="false">IF(LEN(INDEX(JE_Lines!$K$5:$K$1733,MATCH(A539,JE_Lines!$B$5:$B$1733,0)))=0,"",INDEX(JE_Lines!$K$5:$K$1733,MATCH(A539,JE_Lines!$B$5:$B$1733,0)))</f>
        <v>Supplier invoices</v>
      </c>
      <c r="K539" s="9" t="n">
        <f aca="false">F539-G539</f>
        <v>2</v>
      </c>
      <c r="L539" s="9" t="n">
        <f aca="false">COUNTIFS(JE_Lines!$B$5:$B$1733,A539,JE_Lines!$F$5:$F$1733,"Revenue")</f>
        <v>0</v>
      </c>
      <c r="M539" s="9" t="n">
        <f aca="false">COUNTIFS(JE_Lines!$B$5:$B$1733,A539,JE_Lines!$F$5:$F$1733,"Suspense")</f>
        <v>0</v>
      </c>
      <c r="N539" s="9" t="n">
        <f aca="false">IF(ABS(E539)&gt;Parameters!$B$23,1,0)</f>
        <v>0</v>
      </c>
      <c r="O539" s="9" t="n">
        <f aca="false">IF(WEEKDAY(F539,2)&gt;5,1,0)</f>
        <v>0</v>
      </c>
      <c r="P539" s="9" t="n">
        <f aca="false">IF(K539&gt;Parameters!$B$17,1,0)</f>
        <v>0</v>
      </c>
      <c r="Q539" s="9" t="n">
        <f aca="false">IF(AND(F539&lt;=Parameters!$B$6,F539&gt;Parameters!$B$6-Parameters!$B$18),1,0)</f>
        <v>0</v>
      </c>
      <c r="R539" s="9" t="n">
        <f aca="false">IF(COUNTIF(Parameters!$A$51:$A$58,H539)=0,1,0)</f>
        <v>0</v>
      </c>
      <c r="S539" s="9" t="n">
        <f aca="false">IF(AND(I539="Manual",L539&gt;0),1,0)</f>
        <v>0</v>
      </c>
      <c r="T539" s="9" t="n">
        <f aca="false">IF(AND(C539&gt;=Parameters!$B$22,ROUND(MOD(ROUND(C539,2),Parameters!$B$21),2)=0),1,0)</f>
        <v>0</v>
      </c>
      <c r="U539" s="9" t="n">
        <f aca="false">IF(LEN(TRIM(J539))=0,1,0)</f>
        <v>0</v>
      </c>
      <c r="V539" s="9" t="n">
        <f aca="false">IF(AND(I539="Manual",C539&lt;Parameters!$B$19,C539&gt;=Parameters!$B$19*(1-Parameters!$B$20)),1,0)</f>
        <v>0</v>
      </c>
      <c r="W539" s="9" t="n">
        <f aca="false">IF(AND(I539="Manual",M539&gt;0),1,0)</f>
        <v>0</v>
      </c>
      <c r="X539" s="9" t="n">
        <f aca="false">IF(A539-A538&gt;1,1,0)</f>
        <v>0</v>
      </c>
      <c r="Y539" s="9" t="n">
        <f aca="false">N539*Parameters!$B$38+O539*Parameters!$B$39+P539*Parameters!$B$40+Q539*Parameters!$B$41+R539*Parameters!$B$42+S539*Parameters!$B$43+T539*Parameters!$B$44+U539*Parameters!$B$45+V539*Parameters!$B$46+W539*Parameters!$B$47+X539*Parameters!$B$48</f>
        <v>0</v>
      </c>
      <c r="Z539" s="0" t="str">
        <f aca="false">IF(Y539&gt;=Parameters!$B$25,"High","")</f>
        <v/>
      </c>
    </row>
    <row r="540" customFormat="false" ht="15" hidden="false" customHeight="false" outlineLevel="0" collapsed="false">
      <c r="A540" s="16" t="n">
        <v>1544</v>
      </c>
      <c r="B540" s="9" t="n">
        <f aca="false">COUNTIF(JE_Lines!$B$5:$B$1733,A540)</f>
        <v>2</v>
      </c>
      <c r="C540" s="17" t="n">
        <f aca="false">SUMIFS(JE_Lines!$G$5:$G$1733,JE_Lines!$B$5:$B$1733,A540)</f>
        <v>315.77</v>
      </c>
      <c r="D540" s="17" t="n">
        <f aca="false">SUMIFS(JE_Lines!$H$5:$H$1733,JE_Lines!$B$5:$B$1733,A540)</f>
        <v>315.77</v>
      </c>
      <c r="E540" s="17" t="n">
        <f aca="false">C540-D540</f>
        <v>0</v>
      </c>
      <c r="F540" s="18" t="n">
        <f aca="false">INDEX(JE_Lines!$C$5:$C$1733,MATCH(A540,JE_Lines!$B$5:$B$1733,0))</f>
        <v>45901</v>
      </c>
      <c r="G540" s="18" t="n">
        <f aca="false">INDEX(JE_Lines!$D$5:$D$1733,MATCH(A540,JE_Lines!$B$5:$B$1733,0))</f>
        <v>45900</v>
      </c>
      <c r="H540" s="0" t="str">
        <f aca="false">INDEX(JE_Lines!$I$5:$I$1733,MATCH(A540,JE_Lines!$B$5:$B$1733,0))</f>
        <v>SYS_AP</v>
      </c>
      <c r="I540" s="0" t="str">
        <f aca="false">INDEX(JE_Lines!$J$5:$J$1733,MATCH(A540,JE_Lines!$B$5:$B$1733,0))</f>
        <v>System</v>
      </c>
      <c r="J540" s="0" t="str">
        <f aca="false">IF(LEN(INDEX(JE_Lines!$K$5:$K$1733,MATCH(A540,JE_Lines!$B$5:$B$1733,0)))=0,"",INDEX(JE_Lines!$K$5:$K$1733,MATCH(A540,JE_Lines!$B$5:$B$1733,0)))</f>
        <v>Supplier invoices</v>
      </c>
      <c r="K540" s="9" t="n">
        <f aca="false">F540-G540</f>
        <v>1</v>
      </c>
      <c r="L540" s="9" t="n">
        <f aca="false">COUNTIFS(JE_Lines!$B$5:$B$1733,A540,JE_Lines!$F$5:$F$1733,"Revenue")</f>
        <v>0</v>
      </c>
      <c r="M540" s="9" t="n">
        <f aca="false">COUNTIFS(JE_Lines!$B$5:$B$1733,A540,JE_Lines!$F$5:$F$1733,"Suspense")</f>
        <v>0</v>
      </c>
      <c r="N540" s="9" t="n">
        <f aca="false">IF(ABS(E540)&gt;Parameters!$B$23,1,0)</f>
        <v>0</v>
      </c>
      <c r="O540" s="9" t="n">
        <f aca="false">IF(WEEKDAY(F540,2)&gt;5,1,0)</f>
        <v>0</v>
      </c>
      <c r="P540" s="9" t="n">
        <f aca="false">IF(K540&gt;Parameters!$B$17,1,0)</f>
        <v>0</v>
      </c>
      <c r="Q540" s="9" t="n">
        <f aca="false">IF(AND(F540&lt;=Parameters!$B$6,F540&gt;Parameters!$B$6-Parameters!$B$18),1,0)</f>
        <v>0</v>
      </c>
      <c r="R540" s="9" t="n">
        <f aca="false">IF(COUNTIF(Parameters!$A$51:$A$58,H540)=0,1,0)</f>
        <v>0</v>
      </c>
      <c r="S540" s="9" t="n">
        <f aca="false">IF(AND(I540="Manual",L540&gt;0),1,0)</f>
        <v>0</v>
      </c>
      <c r="T540" s="9" t="n">
        <f aca="false">IF(AND(C540&gt;=Parameters!$B$22,ROUND(MOD(ROUND(C540,2),Parameters!$B$21),2)=0),1,0)</f>
        <v>0</v>
      </c>
      <c r="U540" s="9" t="n">
        <f aca="false">IF(LEN(TRIM(J540))=0,1,0)</f>
        <v>0</v>
      </c>
      <c r="V540" s="9" t="n">
        <f aca="false">IF(AND(I540="Manual",C540&lt;Parameters!$B$19,C540&gt;=Parameters!$B$19*(1-Parameters!$B$20)),1,0)</f>
        <v>0</v>
      </c>
      <c r="W540" s="9" t="n">
        <f aca="false">IF(AND(I540="Manual",M540&gt;0),1,0)</f>
        <v>0</v>
      </c>
      <c r="X540" s="9" t="n">
        <f aca="false">IF(A540-A539&gt;1,1,0)</f>
        <v>0</v>
      </c>
      <c r="Y540" s="9" t="n">
        <f aca="false">N540*Parameters!$B$38+O540*Parameters!$B$39+P540*Parameters!$B$40+Q540*Parameters!$B$41+R540*Parameters!$B$42+S540*Parameters!$B$43+T540*Parameters!$B$44+U540*Parameters!$B$45+V540*Parameters!$B$46+W540*Parameters!$B$47+X540*Parameters!$B$48</f>
        <v>0</v>
      </c>
      <c r="Z540" s="0" t="str">
        <f aca="false">IF(Y540&gt;=Parameters!$B$25,"High","")</f>
        <v/>
      </c>
    </row>
    <row r="541" customFormat="false" ht="15" hidden="false" customHeight="false" outlineLevel="0" collapsed="false">
      <c r="A541" s="16" t="n">
        <v>1545</v>
      </c>
      <c r="B541" s="9" t="n">
        <f aca="false">COUNTIF(JE_Lines!$B$5:$B$1733,A541)</f>
        <v>2</v>
      </c>
      <c r="C541" s="17" t="n">
        <f aca="false">SUMIFS(JE_Lines!$G$5:$G$1733,JE_Lines!$B$5:$B$1733,A541)</f>
        <v>3739.69</v>
      </c>
      <c r="D541" s="17" t="n">
        <f aca="false">SUMIFS(JE_Lines!$H$5:$H$1733,JE_Lines!$B$5:$B$1733,A541)</f>
        <v>3739.69</v>
      </c>
      <c r="E541" s="17" t="n">
        <f aca="false">C541-D541</f>
        <v>0</v>
      </c>
      <c r="F541" s="18" t="n">
        <f aca="false">INDEX(JE_Lines!$C$5:$C$1733,MATCH(A541,JE_Lines!$B$5:$B$1733,0))</f>
        <v>45901</v>
      </c>
      <c r="G541" s="18" t="n">
        <f aca="false">INDEX(JE_Lines!$D$5:$D$1733,MATCH(A541,JE_Lines!$B$5:$B$1733,0))</f>
        <v>45897</v>
      </c>
      <c r="H541" s="0" t="str">
        <f aca="false">INDEX(JE_Lines!$I$5:$I$1733,MATCH(A541,JE_Lines!$B$5:$B$1733,0))</f>
        <v>SYS_AR</v>
      </c>
      <c r="I541" s="0" t="str">
        <f aca="false">INDEX(JE_Lines!$J$5:$J$1733,MATCH(A541,JE_Lines!$B$5:$B$1733,0))</f>
        <v>System</v>
      </c>
      <c r="J541" s="0" t="str">
        <f aca="false">IF(LEN(INDEX(JE_Lines!$K$5:$K$1733,MATCH(A541,JE_Lines!$B$5:$B$1733,0)))=0,"",INDEX(JE_Lines!$K$5:$K$1733,MATCH(A541,JE_Lines!$B$5:$B$1733,0)))</f>
        <v>Sales invoice batch</v>
      </c>
      <c r="K541" s="9" t="n">
        <f aca="false">F541-G541</f>
        <v>4</v>
      </c>
      <c r="L541" s="9" t="n">
        <f aca="false">COUNTIFS(JE_Lines!$B$5:$B$1733,A541,JE_Lines!$F$5:$F$1733,"Revenue")</f>
        <v>1</v>
      </c>
      <c r="M541" s="9" t="n">
        <f aca="false">COUNTIFS(JE_Lines!$B$5:$B$1733,A541,JE_Lines!$F$5:$F$1733,"Suspense")</f>
        <v>0</v>
      </c>
      <c r="N541" s="9" t="n">
        <f aca="false">IF(ABS(E541)&gt;Parameters!$B$23,1,0)</f>
        <v>0</v>
      </c>
      <c r="O541" s="9" t="n">
        <f aca="false">IF(WEEKDAY(F541,2)&gt;5,1,0)</f>
        <v>0</v>
      </c>
      <c r="P541" s="9" t="n">
        <f aca="false">IF(K541&gt;Parameters!$B$17,1,0)</f>
        <v>0</v>
      </c>
      <c r="Q541" s="9" t="n">
        <f aca="false">IF(AND(F541&lt;=Parameters!$B$6,F541&gt;Parameters!$B$6-Parameters!$B$18),1,0)</f>
        <v>0</v>
      </c>
      <c r="R541" s="9" t="n">
        <f aca="false">IF(COUNTIF(Parameters!$A$51:$A$58,H541)=0,1,0)</f>
        <v>0</v>
      </c>
      <c r="S541" s="9" t="n">
        <f aca="false">IF(AND(I541="Manual",L541&gt;0),1,0)</f>
        <v>0</v>
      </c>
      <c r="T541" s="9" t="n">
        <f aca="false">IF(AND(C541&gt;=Parameters!$B$22,ROUND(MOD(ROUND(C541,2),Parameters!$B$21),2)=0),1,0)</f>
        <v>0</v>
      </c>
      <c r="U541" s="9" t="n">
        <f aca="false">IF(LEN(TRIM(J541))=0,1,0)</f>
        <v>0</v>
      </c>
      <c r="V541" s="9" t="n">
        <f aca="false">IF(AND(I541="Manual",C541&lt;Parameters!$B$19,C541&gt;=Parameters!$B$19*(1-Parameters!$B$20)),1,0)</f>
        <v>0</v>
      </c>
      <c r="W541" s="9" t="n">
        <f aca="false">IF(AND(I541="Manual",M541&gt;0),1,0)</f>
        <v>0</v>
      </c>
      <c r="X541" s="9" t="n">
        <f aca="false">IF(A541-A540&gt;1,1,0)</f>
        <v>0</v>
      </c>
      <c r="Y541" s="9" t="n">
        <f aca="false">N541*Parameters!$B$38+O541*Parameters!$B$39+P541*Parameters!$B$40+Q541*Parameters!$B$41+R541*Parameters!$B$42+S541*Parameters!$B$43+T541*Parameters!$B$44+U541*Parameters!$B$45+V541*Parameters!$B$46+W541*Parameters!$B$47+X541*Parameters!$B$48</f>
        <v>0</v>
      </c>
      <c r="Z541" s="0" t="str">
        <f aca="false">IF(Y541&gt;=Parameters!$B$25,"High","")</f>
        <v/>
      </c>
    </row>
    <row r="542" customFormat="false" ht="15" hidden="false" customHeight="false" outlineLevel="0" collapsed="false">
      <c r="A542" s="16" t="n">
        <v>1546</v>
      </c>
      <c r="B542" s="9" t="n">
        <f aca="false">COUNTIF(JE_Lines!$B$5:$B$1733,A542)</f>
        <v>3</v>
      </c>
      <c r="C542" s="17" t="n">
        <f aca="false">SUMIFS(JE_Lines!$G$5:$G$1733,JE_Lines!$B$5:$B$1733,A542)</f>
        <v>354.97</v>
      </c>
      <c r="D542" s="17" t="n">
        <f aca="false">SUMIFS(JE_Lines!$H$5:$H$1733,JE_Lines!$B$5:$B$1733,A542)</f>
        <v>354.97</v>
      </c>
      <c r="E542" s="17" t="n">
        <f aca="false">C542-D542</f>
        <v>0</v>
      </c>
      <c r="F542" s="18" t="n">
        <f aca="false">INDEX(JE_Lines!$C$5:$C$1733,MATCH(A542,JE_Lines!$B$5:$B$1733,0))</f>
        <v>45902</v>
      </c>
      <c r="G542" s="18" t="n">
        <f aca="false">INDEX(JE_Lines!$D$5:$D$1733,MATCH(A542,JE_Lines!$B$5:$B$1733,0))</f>
        <v>45900</v>
      </c>
      <c r="H542" s="0" t="str">
        <f aca="false">INDEX(JE_Lines!$I$5:$I$1733,MATCH(A542,JE_Lines!$B$5:$B$1733,0))</f>
        <v>SYS_AR</v>
      </c>
      <c r="I542" s="0" t="str">
        <f aca="false">INDEX(JE_Lines!$J$5:$J$1733,MATCH(A542,JE_Lines!$B$5:$B$1733,0))</f>
        <v>System</v>
      </c>
      <c r="J542" s="0" t="str">
        <f aca="false">IF(LEN(INDEX(JE_Lines!$K$5:$K$1733,MATCH(A542,JE_Lines!$B$5:$B$1733,0)))=0,"",INDEX(JE_Lines!$K$5:$K$1733,MATCH(A542,JE_Lines!$B$5:$B$1733,0)))</f>
        <v>Cost of sales posting</v>
      </c>
      <c r="K542" s="9" t="n">
        <f aca="false">F542-G542</f>
        <v>2</v>
      </c>
      <c r="L542" s="9" t="n">
        <f aca="false">COUNTIFS(JE_Lines!$B$5:$B$1733,A542,JE_Lines!$F$5:$F$1733,"Revenue")</f>
        <v>0</v>
      </c>
      <c r="M542" s="9" t="n">
        <f aca="false">COUNTIFS(JE_Lines!$B$5:$B$1733,A542,JE_Lines!$F$5:$F$1733,"Suspense")</f>
        <v>0</v>
      </c>
      <c r="N542" s="9" t="n">
        <f aca="false">IF(ABS(E542)&gt;Parameters!$B$23,1,0)</f>
        <v>0</v>
      </c>
      <c r="O542" s="9" t="n">
        <f aca="false">IF(WEEKDAY(F542,2)&gt;5,1,0)</f>
        <v>0</v>
      </c>
      <c r="P542" s="9" t="n">
        <f aca="false">IF(K542&gt;Parameters!$B$17,1,0)</f>
        <v>0</v>
      </c>
      <c r="Q542" s="9" t="n">
        <f aca="false">IF(AND(F542&lt;=Parameters!$B$6,F542&gt;Parameters!$B$6-Parameters!$B$18),1,0)</f>
        <v>0</v>
      </c>
      <c r="R542" s="9" t="n">
        <f aca="false">IF(COUNTIF(Parameters!$A$51:$A$58,H542)=0,1,0)</f>
        <v>0</v>
      </c>
      <c r="S542" s="9" t="n">
        <f aca="false">IF(AND(I542="Manual",L542&gt;0),1,0)</f>
        <v>0</v>
      </c>
      <c r="T542" s="9" t="n">
        <f aca="false">IF(AND(C542&gt;=Parameters!$B$22,ROUND(MOD(ROUND(C542,2),Parameters!$B$21),2)=0),1,0)</f>
        <v>0</v>
      </c>
      <c r="U542" s="9" t="n">
        <f aca="false">IF(LEN(TRIM(J542))=0,1,0)</f>
        <v>0</v>
      </c>
      <c r="V542" s="9" t="n">
        <f aca="false">IF(AND(I542="Manual",C542&lt;Parameters!$B$19,C542&gt;=Parameters!$B$19*(1-Parameters!$B$20)),1,0)</f>
        <v>0</v>
      </c>
      <c r="W542" s="9" t="n">
        <f aca="false">IF(AND(I542="Manual",M542&gt;0),1,0)</f>
        <v>0</v>
      </c>
      <c r="X542" s="9" t="n">
        <f aca="false">IF(A542-A541&gt;1,1,0)</f>
        <v>0</v>
      </c>
      <c r="Y542" s="9" t="n">
        <f aca="false">N542*Parameters!$B$38+O542*Parameters!$B$39+P542*Parameters!$B$40+Q542*Parameters!$B$41+R542*Parameters!$B$42+S542*Parameters!$B$43+T542*Parameters!$B$44+U542*Parameters!$B$45+V542*Parameters!$B$46+W542*Parameters!$B$47+X542*Parameters!$B$48</f>
        <v>0</v>
      </c>
      <c r="Z542" s="0" t="str">
        <f aca="false">IF(Y542&gt;=Parameters!$B$25,"High","")</f>
        <v/>
      </c>
    </row>
    <row r="543" customFormat="false" ht="15" hidden="false" customHeight="false" outlineLevel="0" collapsed="false">
      <c r="A543" s="16" t="n">
        <v>1547</v>
      </c>
      <c r="B543" s="9" t="n">
        <f aca="false">COUNTIF(JE_Lines!$B$5:$B$1733,A543)</f>
        <v>2</v>
      </c>
      <c r="C543" s="17" t="n">
        <f aca="false">SUMIFS(JE_Lines!$G$5:$G$1733,JE_Lines!$B$5:$B$1733,A543)</f>
        <v>19294.15</v>
      </c>
      <c r="D543" s="17" t="n">
        <f aca="false">SUMIFS(JE_Lines!$H$5:$H$1733,JE_Lines!$B$5:$B$1733,A543)</f>
        <v>19294.15</v>
      </c>
      <c r="E543" s="17" t="n">
        <f aca="false">C543-D543</f>
        <v>0</v>
      </c>
      <c r="F543" s="18" t="n">
        <f aca="false">INDEX(JE_Lines!$C$5:$C$1733,MATCH(A543,JE_Lines!$B$5:$B$1733,0))</f>
        <v>45903</v>
      </c>
      <c r="G543" s="18" t="n">
        <f aca="false">INDEX(JE_Lines!$D$5:$D$1733,MATCH(A543,JE_Lines!$B$5:$B$1733,0))</f>
        <v>45901</v>
      </c>
      <c r="H543" s="0" t="str">
        <f aca="false">INDEX(JE_Lines!$I$5:$I$1733,MATCH(A543,JE_Lines!$B$5:$B$1733,0))</f>
        <v>SYS_AR</v>
      </c>
      <c r="I543" s="0" t="str">
        <f aca="false">INDEX(JE_Lines!$J$5:$J$1733,MATCH(A543,JE_Lines!$B$5:$B$1733,0))</f>
        <v>System</v>
      </c>
      <c r="J543" s="0" t="str">
        <f aca="false">IF(LEN(INDEX(JE_Lines!$K$5:$K$1733,MATCH(A543,JE_Lines!$B$5:$B$1733,0)))=0,"",INDEX(JE_Lines!$K$5:$K$1733,MATCH(A543,JE_Lines!$B$5:$B$1733,0)))</f>
        <v>Cost of sales posting</v>
      </c>
      <c r="K543" s="9" t="n">
        <f aca="false">F543-G543</f>
        <v>2</v>
      </c>
      <c r="L543" s="9" t="n">
        <f aca="false">COUNTIFS(JE_Lines!$B$5:$B$1733,A543,JE_Lines!$F$5:$F$1733,"Revenue")</f>
        <v>0</v>
      </c>
      <c r="M543" s="9" t="n">
        <f aca="false">COUNTIFS(JE_Lines!$B$5:$B$1733,A543,JE_Lines!$F$5:$F$1733,"Suspense")</f>
        <v>0</v>
      </c>
      <c r="N543" s="9" t="n">
        <f aca="false">IF(ABS(E543)&gt;Parameters!$B$23,1,0)</f>
        <v>0</v>
      </c>
      <c r="O543" s="9" t="n">
        <f aca="false">IF(WEEKDAY(F543,2)&gt;5,1,0)</f>
        <v>0</v>
      </c>
      <c r="P543" s="9" t="n">
        <f aca="false">IF(K543&gt;Parameters!$B$17,1,0)</f>
        <v>0</v>
      </c>
      <c r="Q543" s="9" t="n">
        <f aca="false">IF(AND(F543&lt;=Parameters!$B$6,F543&gt;Parameters!$B$6-Parameters!$B$18),1,0)</f>
        <v>0</v>
      </c>
      <c r="R543" s="9" t="n">
        <f aca="false">IF(COUNTIF(Parameters!$A$51:$A$58,H543)=0,1,0)</f>
        <v>0</v>
      </c>
      <c r="S543" s="9" t="n">
        <f aca="false">IF(AND(I543="Manual",L543&gt;0),1,0)</f>
        <v>0</v>
      </c>
      <c r="T543" s="9" t="n">
        <f aca="false">IF(AND(C543&gt;=Parameters!$B$22,ROUND(MOD(ROUND(C543,2),Parameters!$B$21),2)=0),1,0)</f>
        <v>0</v>
      </c>
      <c r="U543" s="9" t="n">
        <f aca="false">IF(LEN(TRIM(J543))=0,1,0)</f>
        <v>0</v>
      </c>
      <c r="V543" s="9" t="n">
        <f aca="false">IF(AND(I543="Manual",C543&lt;Parameters!$B$19,C543&gt;=Parameters!$B$19*(1-Parameters!$B$20)),1,0)</f>
        <v>0</v>
      </c>
      <c r="W543" s="9" t="n">
        <f aca="false">IF(AND(I543="Manual",M543&gt;0),1,0)</f>
        <v>0</v>
      </c>
      <c r="X543" s="9" t="n">
        <f aca="false">IF(A543-A542&gt;1,1,0)</f>
        <v>0</v>
      </c>
      <c r="Y543" s="9" t="n">
        <f aca="false">N543*Parameters!$B$38+O543*Parameters!$B$39+P543*Parameters!$B$40+Q543*Parameters!$B$41+R543*Parameters!$B$42+S543*Parameters!$B$43+T543*Parameters!$B$44+U543*Parameters!$B$45+V543*Parameters!$B$46+W543*Parameters!$B$47+X543*Parameters!$B$48</f>
        <v>0</v>
      </c>
      <c r="Z543" s="0" t="str">
        <f aca="false">IF(Y543&gt;=Parameters!$B$25,"High","")</f>
        <v/>
      </c>
    </row>
    <row r="544" customFormat="false" ht="15" hidden="false" customHeight="false" outlineLevel="0" collapsed="false">
      <c r="A544" s="16" t="n">
        <v>1548</v>
      </c>
      <c r="B544" s="9" t="n">
        <f aca="false">COUNTIF(JE_Lines!$B$5:$B$1733,A544)</f>
        <v>2</v>
      </c>
      <c r="C544" s="17" t="n">
        <f aca="false">SUMIFS(JE_Lines!$G$5:$G$1733,JE_Lines!$B$5:$B$1733,A544)</f>
        <v>4913.61</v>
      </c>
      <c r="D544" s="17" t="n">
        <f aca="false">SUMIFS(JE_Lines!$H$5:$H$1733,JE_Lines!$B$5:$B$1733,A544)</f>
        <v>4913.61</v>
      </c>
      <c r="E544" s="17" t="n">
        <f aca="false">C544-D544</f>
        <v>0</v>
      </c>
      <c r="F544" s="18" t="n">
        <f aca="false">INDEX(JE_Lines!$C$5:$C$1733,MATCH(A544,JE_Lines!$B$5:$B$1733,0))</f>
        <v>45903</v>
      </c>
      <c r="G544" s="18" t="n">
        <f aca="false">INDEX(JE_Lines!$D$5:$D$1733,MATCH(A544,JE_Lines!$B$5:$B$1733,0))</f>
        <v>45900</v>
      </c>
      <c r="H544" s="0" t="str">
        <f aca="false">INDEX(JE_Lines!$I$5:$I$1733,MATCH(A544,JE_Lines!$B$5:$B$1733,0))</f>
        <v>SYS_PAY</v>
      </c>
      <c r="I544" s="0" t="str">
        <f aca="false">INDEX(JE_Lines!$J$5:$J$1733,MATCH(A544,JE_Lines!$B$5:$B$1733,0))</f>
        <v>System</v>
      </c>
      <c r="J544" s="0" t="str">
        <f aca="false">IF(LEN(INDEX(JE_Lines!$K$5:$K$1733,MATCH(A544,JE_Lines!$B$5:$B$1733,0)))=0,"",INDEX(JE_Lines!$K$5:$K$1733,MATCH(A544,JE_Lines!$B$5:$B$1733,0)))</f>
        <v>Supplier payments</v>
      </c>
      <c r="K544" s="9" t="n">
        <f aca="false">F544-G544</f>
        <v>3</v>
      </c>
      <c r="L544" s="9" t="n">
        <f aca="false">COUNTIFS(JE_Lines!$B$5:$B$1733,A544,JE_Lines!$F$5:$F$1733,"Revenue")</f>
        <v>0</v>
      </c>
      <c r="M544" s="9" t="n">
        <f aca="false">COUNTIFS(JE_Lines!$B$5:$B$1733,A544,JE_Lines!$F$5:$F$1733,"Suspense")</f>
        <v>0</v>
      </c>
      <c r="N544" s="9" t="n">
        <f aca="false">IF(ABS(E544)&gt;Parameters!$B$23,1,0)</f>
        <v>0</v>
      </c>
      <c r="O544" s="9" t="n">
        <f aca="false">IF(WEEKDAY(F544,2)&gt;5,1,0)</f>
        <v>0</v>
      </c>
      <c r="P544" s="9" t="n">
        <f aca="false">IF(K544&gt;Parameters!$B$17,1,0)</f>
        <v>0</v>
      </c>
      <c r="Q544" s="9" t="n">
        <f aca="false">IF(AND(F544&lt;=Parameters!$B$6,F544&gt;Parameters!$B$6-Parameters!$B$18),1,0)</f>
        <v>0</v>
      </c>
      <c r="R544" s="9" t="n">
        <f aca="false">IF(COUNTIF(Parameters!$A$51:$A$58,H544)=0,1,0)</f>
        <v>0</v>
      </c>
      <c r="S544" s="9" t="n">
        <f aca="false">IF(AND(I544="Manual",L544&gt;0),1,0)</f>
        <v>0</v>
      </c>
      <c r="T544" s="9" t="n">
        <f aca="false">IF(AND(C544&gt;=Parameters!$B$22,ROUND(MOD(ROUND(C544,2),Parameters!$B$21),2)=0),1,0)</f>
        <v>0</v>
      </c>
      <c r="U544" s="9" t="n">
        <f aca="false">IF(LEN(TRIM(J544))=0,1,0)</f>
        <v>0</v>
      </c>
      <c r="V544" s="9" t="n">
        <f aca="false">IF(AND(I544="Manual",C544&lt;Parameters!$B$19,C544&gt;=Parameters!$B$19*(1-Parameters!$B$20)),1,0)</f>
        <v>0</v>
      </c>
      <c r="W544" s="9" t="n">
        <f aca="false">IF(AND(I544="Manual",M544&gt;0),1,0)</f>
        <v>0</v>
      </c>
      <c r="X544" s="9" t="n">
        <f aca="false">IF(A544-A543&gt;1,1,0)</f>
        <v>0</v>
      </c>
      <c r="Y544" s="9" t="n">
        <f aca="false">N544*Parameters!$B$38+O544*Parameters!$B$39+P544*Parameters!$B$40+Q544*Parameters!$B$41+R544*Parameters!$B$42+S544*Parameters!$B$43+T544*Parameters!$B$44+U544*Parameters!$B$45+V544*Parameters!$B$46+W544*Parameters!$B$47+X544*Parameters!$B$48</f>
        <v>0</v>
      </c>
      <c r="Z544" s="0" t="str">
        <f aca="false">IF(Y544&gt;=Parameters!$B$25,"High","")</f>
        <v/>
      </c>
    </row>
    <row r="545" customFormat="false" ht="15" hidden="false" customHeight="false" outlineLevel="0" collapsed="false">
      <c r="A545" s="16" t="n">
        <v>1549</v>
      </c>
      <c r="B545" s="9" t="n">
        <f aca="false">COUNTIF(JE_Lines!$B$5:$B$1733,A545)</f>
        <v>2</v>
      </c>
      <c r="C545" s="17" t="n">
        <f aca="false">SUMIFS(JE_Lines!$G$5:$G$1733,JE_Lines!$B$5:$B$1733,A545)</f>
        <v>3151.18</v>
      </c>
      <c r="D545" s="17" t="n">
        <f aca="false">SUMIFS(JE_Lines!$H$5:$H$1733,JE_Lines!$B$5:$B$1733,A545)</f>
        <v>3151.18</v>
      </c>
      <c r="E545" s="17" t="n">
        <f aca="false">C545-D545</f>
        <v>0</v>
      </c>
      <c r="F545" s="18" t="n">
        <f aca="false">INDEX(JE_Lines!$C$5:$C$1733,MATCH(A545,JE_Lines!$B$5:$B$1733,0))</f>
        <v>45904</v>
      </c>
      <c r="G545" s="18" t="n">
        <f aca="false">INDEX(JE_Lines!$D$5:$D$1733,MATCH(A545,JE_Lines!$B$5:$B$1733,0))</f>
        <v>45902</v>
      </c>
      <c r="H545" s="0" t="str">
        <f aca="false">INDEX(JE_Lines!$I$5:$I$1733,MATCH(A545,JE_Lines!$B$5:$B$1733,0))</f>
        <v>SYS_AP</v>
      </c>
      <c r="I545" s="0" t="str">
        <f aca="false">INDEX(JE_Lines!$J$5:$J$1733,MATCH(A545,JE_Lines!$B$5:$B$1733,0))</f>
        <v>System</v>
      </c>
      <c r="J545" s="0" t="str">
        <f aca="false">IF(LEN(INDEX(JE_Lines!$K$5:$K$1733,MATCH(A545,JE_Lines!$B$5:$B$1733,0)))=0,"",INDEX(JE_Lines!$K$5:$K$1733,MATCH(A545,JE_Lines!$B$5:$B$1733,0)))</f>
        <v>Utilities invoices</v>
      </c>
      <c r="K545" s="9" t="n">
        <f aca="false">F545-G545</f>
        <v>2</v>
      </c>
      <c r="L545" s="9" t="n">
        <f aca="false">COUNTIFS(JE_Lines!$B$5:$B$1733,A545,JE_Lines!$F$5:$F$1733,"Revenue")</f>
        <v>0</v>
      </c>
      <c r="M545" s="9" t="n">
        <f aca="false">COUNTIFS(JE_Lines!$B$5:$B$1733,A545,JE_Lines!$F$5:$F$1733,"Suspense")</f>
        <v>0</v>
      </c>
      <c r="N545" s="9" t="n">
        <f aca="false">IF(ABS(E545)&gt;Parameters!$B$23,1,0)</f>
        <v>0</v>
      </c>
      <c r="O545" s="9" t="n">
        <f aca="false">IF(WEEKDAY(F545,2)&gt;5,1,0)</f>
        <v>0</v>
      </c>
      <c r="P545" s="9" t="n">
        <f aca="false">IF(K545&gt;Parameters!$B$17,1,0)</f>
        <v>0</v>
      </c>
      <c r="Q545" s="9" t="n">
        <f aca="false">IF(AND(F545&lt;=Parameters!$B$6,F545&gt;Parameters!$B$6-Parameters!$B$18),1,0)</f>
        <v>0</v>
      </c>
      <c r="R545" s="9" t="n">
        <f aca="false">IF(COUNTIF(Parameters!$A$51:$A$58,H545)=0,1,0)</f>
        <v>0</v>
      </c>
      <c r="S545" s="9" t="n">
        <f aca="false">IF(AND(I545="Manual",L545&gt;0),1,0)</f>
        <v>0</v>
      </c>
      <c r="T545" s="9" t="n">
        <f aca="false">IF(AND(C545&gt;=Parameters!$B$22,ROUND(MOD(ROUND(C545,2),Parameters!$B$21),2)=0),1,0)</f>
        <v>0</v>
      </c>
      <c r="U545" s="9" t="n">
        <f aca="false">IF(LEN(TRIM(J545))=0,1,0)</f>
        <v>0</v>
      </c>
      <c r="V545" s="9" t="n">
        <f aca="false">IF(AND(I545="Manual",C545&lt;Parameters!$B$19,C545&gt;=Parameters!$B$19*(1-Parameters!$B$20)),1,0)</f>
        <v>0</v>
      </c>
      <c r="W545" s="9" t="n">
        <f aca="false">IF(AND(I545="Manual",M545&gt;0),1,0)</f>
        <v>0</v>
      </c>
      <c r="X545" s="9" t="n">
        <f aca="false">IF(A545-A544&gt;1,1,0)</f>
        <v>0</v>
      </c>
      <c r="Y545" s="9" t="n">
        <f aca="false">N545*Parameters!$B$38+O545*Parameters!$B$39+P545*Parameters!$B$40+Q545*Parameters!$B$41+R545*Parameters!$B$42+S545*Parameters!$B$43+T545*Parameters!$B$44+U545*Parameters!$B$45+V545*Parameters!$B$46+W545*Parameters!$B$47+X545*Parameters!$B$48</f>
        <v>0</v>
      </c>
      <c r="Z545" s="0" t="str">
        <f aca="false">IF(Y545&gt;=Parameters!$B$25,"High","")</f>
        <v/>
      </c>
    </row>
    <row r="546" customFormat="false" ht="15" hidden="false" customHeight="false" outlineLevel="0" collapsed="false">
      <c r="A546" s="16" t="n">
        <v>1550</v>
      </c>
      <c r="B546" s="9" t="n">
        <f aca="false">COUNTIF(JE_Lines!$B$5:$B$1733,A546)</f>
        <v>2</v>
      </c>
      <c r="C546" s="17" t="n">
        <f aca="false">SUMIFS(JE_Lines!$G$5:$G$1733,JE_Lines!$B$5:$B$1733,A546)</f>
        <v>51548.39</v>
      </c>
      <c r="D546" s="17" t="n">
        <f aca="false">SUMIFS(JE_Lines!$H$5:$H$1733,JE_Lines!$B$5:$B$1733,A546)</f>
        <v>51548.39</v>
      </c>
      <c r="E546" s="17" t="n">
        <f aca="false">C546-D546</f>
        <v>0</v>
      </c>
      <c r="F546" s="18" t="n">
        <f aca="false">INDEX(JE_Lines!$C$5:$C$1733,MATCH(A546,JE_Lines!$B$5:$B$1733,0))</f>
        <v>45904</v>
      </c>
      <c r="G546" s="18" t="n">
        <f aca="false">INDEX(JE_Lines!$D$5:$D$1733,MATCH(A546,JE_Lines!$B$5:$B$1733,0))</f>
        <v>45902</v>
      </c>
      <c r="H546" s="0" t="str">
        <f aca="false">INDEX(JE_Lines!$I$5:$I$1733,MATCH(A546,JE_Lines!$B$5:$B$1733,0))</f>
        <v>SYS_AR</v>
      </c>
      <c r="I546" s="0" t="str">
        <f aca="false">INDEX(JE_Lines!$J$5:$J$1733,MATCH(A546,JE_Lines!$B$5:$B$1733,0))</f>
        <v>System</v>
      </c>
      <c r="J546" s="0" t="str">
        <f aca="false">IF(LEN(INDEX(JE_Lines!$K$5:$K$1733,MATCH(A546,JE_Lines!$B$5:$B$1733,0)))=0,"",INDEX(JE_Lines!$K$5:$K$1733,MATCH(A546,JE_Lines!$B$5:$B$1733,0)))</f>
        <v>Sales invoice batch</v>
      </c>
      <c r="K546" s="9" t="n">
        <f aca="false">F546-G546</f>
        <v>2</v>
      </c>
      <c r="L546" s="9" t="n">
        <f aca="false">COUNTIFS(JE_Lines!$B$5:$B$1733,A546,JE_Lines!$F$5:$F$1733,"Revenue")</f>
        <v>1</v>
      </c>
      <c r="M546" s="9" t="n">
        <f aca="false">COUNTIFS(JE_Lines!$B$5:$B$1733,A546,JE_Lines!$F$5:$F$1733,"Suspense")</f>
        <v>0</v>
      </c>
      <c r="N546" s="9" t="n">
        <f aca="false">IF(ABS(E546)&gt;Parameters!$B$23,1,0)</f>
        <v>0</v>
      </c>
      <c r="O546" s="9" t="n">
        <f aca="false">IF(WEEKDAY(F546,2)&gt;5,1,0)</f>
        <v>0</v>
      </c>
      <c r="P546" s="9" t="n">
        <f aca="false">IF(K546&gt;Parameters!$B$17,1,0)</f>
        <v>0</v>
      </c>
      <c r="Q546" s="9" t="n">
        <f aca="false">IF(AND(F546&lt;=Parameters!$B$6,F546&gt;Parameters!$B$6-Parameters!$B$18),1,0)</f>
        <v>0</v>
      </c>
      <c r="R546" s="9" t="n">
        <f aca="false">IF(COUNTIF(Parameters!$A$51:$A$58,H546)=0,1,0)</f>
        <v>0</v>
      </c>
      <c r="S546" s="9" t="n">
        <f aca="false">IF(AND(I546="Manual",L546&gt;0),1,0)</f>
        <v>0</v>
      </c>
      <c r="T546" s="9" t="n">
        <f aca="false">IF(AND(C546&gt;=Parameters!$B$22,ROUND(MOD(ROUND(C546,2),Parameters!$B$21),2)=0),1,0)</f>
        <v>0</v>
      </c>
      <c r="U546" s="9" t="n">
        <f aca="false">IF(LEN(TRIM(J546))=0,1,0)</f>
        <v>0</v>
      </c>
      <c r="V546" s="9" t="n">
        <f aca="false">IF(AND(I546="Manual",C546&lt;Parameters!$B$19,C546&gt;=Parameters!$B$19*(1-Parameters!$B$20)),1,0)</f>
        <v>0</v>
      </c>
      <c r="W546" s="9" t="n">
        <f aca="false">IF(AND(I546="Manual",M546&gt;0),1,0)</f>
        <v>0</v>
      </c>
      <c r="X546" s="9" t="n">
        <f aca="false">IF(A546-A545&gt;1,1,0)</f>
        <v>0</v>
      </c>
      <c r="Y546" s="9" t="n">
        <f aca="false">N546*Parameters!$B$38+O546*Parameters!$B$39+P546*Parameters!$B$40+Q546*Parameters!$B$41+R546*Parameters!$B$42+S546*Parameters!$B$43+T546*Parameters!$B$44+U546*Parameters!$B$45+V546*Parameters!$B$46+W546*Parameters!$B$47+X546*Parameters!$B$48</f>
        <v>0</v>
      </c>
      <c r="Z546" s="0" t="str">
        <f aca="false">IF(Y546&gt;=Parameters!$B$25,"High","")</f>
        <v/>
      </c>
    </row>
    <row r="547" customFormat="false" ht="15" hidden="false" customHeight="false" outlineLevel="0" collapsed="false">
      <c r="A547" s="16" t="n">
        <v>1551</v>
      </c>
      <c r="B547" s="9" t="n">
        <f aca="false">COUNTIF(JE_Lines!$B$5:$B$1733,A547)</f>
        <v>2</v>
      </c>
      <c r="C547" s="17" t="n">
        <f aca="false">SUMIFS(JE_Lines!$G$5:$G$1733,JE_Lines!$B$5:$B$1733,A547)</f>
        <v>932.65</v>
      </c>
      <c r="D547" s="17" t="n">
        <f aca="false">SUMIFS(JE_Lines!$H$5:$H$1733,JE_Lines!$B$5:$B$1733,A547)</f>
        <v>932.65</v>
      </c>
      <c r="E547" s="17" t="n">
        <f aca="false">C547-D547</f>
        <v>0</v>
      </c>
      <c r="F547" s="18" t="n">
        <f aca="false">INDEX(JE_Lines!$C$5:$C$1733,MATCH(A547,JE_Lines!$B$5:$B$1733,0))</f>
        <v>45904</v>
      </c>
      <c r="G547" s="18" t="n">
        <f aca="false">INDEX(JE_Lines!$D$5:$D$1733,MATCH(A547,JE_Lines!$B$5:$B$1733,0))</f>
        <v>45903</v>
      </c>
      <c r="H547" s="0" t="str">
        <f aca="false">INDEX(JE_Lines!$I$5:$I$1733,MATCH(A547,JE_Lines!$B$5:$B$1733,0))</f>
        <v>SYS_AR</v>
      </c>
      <c r="I547" s="0" t="str">
        <f aca="false">INDEX(JE_Lines!$J$5:$J$1733,MATCH(A547,JE_Lines!$B$5:$B$1733,0))</f>
        <v>System</v>
      </c>
      <c r="J547" s="0" t="str">
        <f aca="false">IF(LEN(INDEX(JE_Lines!$K$5:$K$1733,MATCH(A547,JE_Lines!$B$5:$B$1733,0)))=0,"",INDEX(JE_Lines!$K$5:$K$1733,MATCH(A547,JE_Lines!$B$5:$B$1733,0)))</f>
        <v>Customer receipts</v>
      </c>
      <c r="K547" s="9" t="n">
        <f aca="false">F547-G547</f>
        <v>1</v>
      </c>
      <c r="L547" s="9" t="n">
        <f aca="false">COUNTIFS(JE_Lines!$B$5:$B$1733,A547,JE_Lines!$F$5:$F$1733,"Revenue")</f>
        <v>0</v>
      </c>
      <c r="M547" s="9" t="n">
        <f aca="false">COUNTIFS(JE_Lines!$B$5:$B$1733,A547,JE_Lines!$F$5:$F$1733,"Suspense")</f>
        <v>0</v>
      </c>
      <c r="N547" s="9" t="n">
        <f aca="false">IF(ABS(E547)&gt;Parameters!$B$23,1,0)</f>
        <v>0</v>
      </c>
      <c r="O547" s="9" t="n">
        <f aca="false">IF(WEEKDAY(F547,2)&gt;5,1,0)</f>
        <v>0</v>
      </c>
      <c r="P547" s="9" t="n">
        <f aca="false">IF(K547&gt;Parameters!$B$17,1,0)</f>
        <v>0</v>
      </c>
      <c r="Q547" s="9" t="n">
        <f aca="false">IF(AND(F547&lt;=Parameters!$B$6,F547&gt;Parameters!$B$6-Parameters!$B$18),1,0)</f>
        <v>0</v>
      </c>
      <c r="R547" s="9" t="n">
        <f aca="false">IF(COUNTIF(Parameters!$A$51:$A$58,H547)=0,1,0)</f>
        <v>0</v>
      </c>
      <c r="S547" s="9" t="n">
        <f aca="false">IF(AND(I547="Manual",L547&gt;0),1,0)</f>
        <v>0</v>
      </c>
      <c r="T547" s="9" t="n">
        <f aca="false">IF(AND(C547&gt;=Parameters!$B$22,ROUND(MOD(ROUND(C547,2),Parameters!$B$21),2)=0),1,0)</f>
        <v>0</v>
      </c>
      <c r="U547" s="9" t="n">
        <f aca="false">IF(LEN(TRIM(J547))=0,1,0)</f>
        <v>0</v>
      </c>
      <c r="V547" s="9" t="n">
        <f aca="false">IF(AND(I547="Manual",C547&lt;Parameters!$B$19,C547&gt;=Parameters!$B$19*(1-Parameters!$B$20)),1,0)</f>
        <v>0</v>
      </c>
      <c r="W547" s="9" t="n">
        <f aca="false">IF(AND(I547="Manual",M547&gt;0),1,0)</f>
        <v>0</v>
      </c>
      <c r="X547" s="9" t="n">
        <f aca="false">IF(A547-A546&gt;1,1,0)</f>
        <v>0</v>
      </c>
      <c r="Y547" s="9" t="n">
        <f aca="false">N547*Parameters!$B$38+O547*Parameters!$B$39+P547*Parameters!$B$40+Q547*Parameters!$B$41+R547*Parameters!$B$42+S547*Parameters!$B$43+T547*Parameters!$B$44+U547*Parameters!$B$45+V547*Parameters!$B$46+W547*Parameters!$B$47+X547*Parameters!$B$48</f>
        <v>0</v>
      </c>
      <c r="Z547" s="0" t="str">
        <f aca="false">IF(Y547&gt;=Parameters!$B$25,"High","")</f>
        <v/>
      </c>
    </row>
    <row r="548" customFormat="false" ht="15" hidden="false" customHeight="false" outlineLevel="0" collapsed="false">
      <c r="A548" s="16" t="n">
        <v>1552</v>
      </c>
      <c r="B548" s="9" t="n">
        <f aca="false">COUNTIF(JE_Lines!$B$5:$B$1733,A548)</f>
        <v>2</v>
      </c>
      <c r="C548" s="17" t="n">
        <f aca="false">SUMIFS(JE_Lines!$G$5:$G$1733,JE_Lines!$B$5:$B$1733,A548)</f>
        <v>18704.09</v>
      </c>
      <c r="D548" s="17" t="n">
        <f aca="false">SUMIFS(JE_Lines!$H$5:$H$1733,JE_Lines!$B$5:$B$1733,A548)</f>
        <v>18704.09</v>
      </c>
      <c r="E548" s="17" t="n">
        <f aca="false">C548-D548</f>
        <v>0</v>
      </c>
      <c r="F548" s="18" t="n">
        <f aca="false">INDEX(JE_Lines!$C$5:$C$1733,MATCH(A548,JE_Lines!$B$5:$B$1733,0))</f>
        <v>45904</v>
      </c>
      <c r="G548" s="18" t="n">
        <f aca="false">INDEX(JE_Lines!$D$5:$D$1733,MATCH(A548,JE_Lines!$B$5:$B$1733,0))</f>
        <v>45902</v>
      </c>
      <c r="H548" s="0" t="str">
        <f aca="false">INDEX(JE_Lines!$I$5:$I$1733,MATCH(A548,JE_Lines!$B$5:$B$1733,0))</f>
        <v>SYS_AP</v>
      </c>
      <c r="I548" s="0" t="str">
        <f aca="false">INDEX(JE_Lines!$J$5:$J$1733,MATCH(A548,JE_Lines!$B$5:$B$1733,0))</f>
        <v>System</v>
      </c>
      <c r="J548" s="0" t="str">
        <f aca="false">IF(LEN(INDEX(JE_Lines!$K$5:$K$1733,MATCH(A548,JE_Lines!$B$5:$B$1733,0)))=0,"",INDEX(JE_Lines!$K$5:$K$1733,MATCH(A548,JE_Lines!$B$5:$B$1733,0)))</f>
        <v>Utilities invoices</v>
      </c>
      <c r="K548" s="9" t="n">
        <f aca="false">F548-G548</f>
        <v>2</v>
      </c>
      <c r="L548" s="9" t="n">
        <f aca="false">COUNTIFS(JE_Lines!$B$5:$B$1733,A548,JE_Lines!$F$5:$F$1733,"Revenue")</f>
        <v>0</v>
      </c>
      <c r="M548" s="9" t="n">
        <f aca="false">COUNTIFS(JE_Lines!$B$5:$B$1733,A548,JE_Lines!$F$5:$F$1733,"Suspense")</f>
        <v>0</v>
      </c>
      <c r="N548" s="9" t="n">
        <f aca="false">IF(ABS(E548)&gt;Parameters!$B$23,1,0)</f>
        <v>0</v>
      </c>
      <c r="O548" s="9" t="n">
        <f aca="false">IF(WEEKDAY(F548,2)&gt;5,1,0)</f>
        <v>0</v>
      </c>
      <c r="P548" s="9" t="n">
        <f aca="false">IF(K548&gt;Parameters!$B$17,1,0)</f>
        <v>0</v>
      </c>
      <c r="Q548" s="9" t="n">
        <f aca="false">IF(AND(F548&lt;=Parameters!$B$6,F548&gt;Parameters!$B$6-Parameters!$B$18),1,0)</f>
        <v>0</v>
      </c>
      <c r="R548" s="9" t="n">
        <f aca="false">IF(COUNTIF(Parameters!$A$51:$A$58,H548)=0,1,0)</f>
        <v>0</v>
      </c>
      <c r="S548" s="9" t="n">
        <f aca="false">IF(AND(I548="Manual",L548&gt;0),1,0)</f>
        <v>0</v>
      </c>
      <c r="T548" s="9" t="n">
        <f aca="false">IF(AND(C548&gt;=Parameters!$B$22,ROUND(MOD(ROUND(C548,2),Parameters!$B$21),2)=0),1,0)</f>
        <v>0</v>
      </c>
      <c r="U548" s="9" t="n">
        <f aca="false">IF(LEN(TRIM(J548))=0,1,0)</f>
        <v>0</v>
      </c>
      <c r="V548" s="9" t="n">
        <f aca="false">IF(AND(I548="Manual",C548&lt;Parameters!$B$19,C548&gt;=Parameters!$B$19*(1-Parameters!$B$20)),1,0)</f>
        <v>0</v>
      </c>
      <c r="W548" s="9" t="n">
        <f aca="false">IF(AND(I548="Manual",M548&gt;0),1,0)</f>
        <v>0</v>
      </c>
      <c r="X548" s="9" t="n">
        <f aca="false">IF(A548-A547&gt;1,1,0)</f>
        <v>0</v>
      </c>
      <c r="Y548" s="9" t="n">
        <f aca="false">N548*Parameters!$B$38+O548*Parameters!$B$39+P548*Parameters!$B$40+Q548*Parameters!$B$41+R548*Parameters!$B$42+S548*Parameters!$B$43+T548*Parameters!$B$44+U548*Parameters!$B$45+V548*Parameters!$B$46+W548*Parameters!$B$47+X548*Parameters!$B$48</f>
        <v>0</v>
      </c>
      <c r="Z548" s="0" t="str">
        <f aca="false">IF(Y548&gt;=Parameters!$B$25,"High","")</f>
        <v/>
      </c>
    </row>
    <row r="549" customFormat="false" ht="15" hidden="false" customHeight="false" outlineLevel="0" collapsed="false">
      <c r="A549" s="16" t="n">
        <v>1553</v>
      </c>
      <c r="B549" s="9" t="n">
        <f aca="false">COUNTIF(JE_Lines!$B$5:$B$1733,A549)</f>
        <v>2</v>
      </c>
      <c r="C549" s="17" t="n">
        <f aca="false">SUMIFS(JE_Lines!$G$5:$G$1733,JE_Lines!$B$5:$B$1733,A549)</f>
        <v>36605.51</v>
      </c>
      <c r="D549" s="17" t="n">
        <f aca="false">SUMIFS(JE_Lines!$H$5:$H$1733,JE_Lines!$B$5:$B$1733,A549)</f>
        <v>36605.51</v>
      </c>
      <c r="E549" s="17" t="n">
        <f aca="false">C549-D549</f>
        <v>0</v>
      </c>
      <c r="F549" s="18" t="n">
        <f aca="false">INDEX(JE_Lines!$C$5:$C$1733,MATCH(A549,JE_Lines!$B$5:$B$1733,0))</f>
        <v>45904</v>
      </c>
      <c r="G549" s="18" t="n">
        <f aca="false">INDEX(JE_Lines!$D$5:$D$1733,MATCH(A549,JE_Lines!$B$5:$B$1733,0))</f>
        <v>45902</v>
      </c>
      <c r="H549" s="0" t="str">
        <f aca="false">INDEX(JE_Lines!$I$5:$I$1733,MATCH(A549,JE_Lines!$B$5:$B$1733,0))</f>
        <v>SYS_AP</v>
      </c>
      <c r="I549" s="0" t="str">
        <f aca="false">INDEX(JE_Lines!$J$5:$J$1733,MATCH(A549,JE_Lines!$B$5:$B$1733,0))</f>
        <v>System</v>
      </c>
      <c r="J549" s="0" t="str">
        <f aca="false">IF(LEN(INDEX(JE_Lines!$K$5:$K$1733,MATCH(A549,JE_Lines!$B$5:$B$1733,0)))=0,"",INDEX(JE_Lines!$K$5:$K$1733,MATCH(A549,JE_Lines!$B$5:$B$1733,0)))</f>
        <v>Fixed asset additions</v>
      </c>
      <c r="K549" s="9" t="n">
        <f aca="false">F549-G549</f>
        <v>2</v>
      </c>
      <c r="L549" s="9" t="n">
        <f aca="false">COUNTIFS(JE_Lines!$B$5:$B$1733,A549,JE_Lines!$F$5:$F$1733,"Revenue")</f>
        <v>0</v>
      </c>
      <c r="M549" s="9" t="n">
        <f aca="false">COUNTIFS(JE_Lines!$B$5:$B$1733,A549,JE_Lines!$F$5:$F$1733,"Suspense")</f>
        <v>0</v>
      </c>
      <c r="N549" s="9" t="n">
        <f aca="false">IF(ABS(E549)&gt;Parameters!$B$23,1,0)</f>
        <v>0</v>
      </c>
      <c r="O549" s="9" t="n">
        <f aca="false">IF(WEEKDAY(F549,2)&gt;5,1,0)</f>
        <v>0</v>
      </c>
      <c r="P549" s="9" t="n">
        <f aca="false">IF(K549&gt;Parameters!$B$17,1,0)</f>
        <v>0</v>
      </c>
      <c r="Q549" s="9" t="n">
        <f aca="false">IF(AND(F549&lt;=Parameters!$B$6,F549&gt;Parameters!$B$6-Parameters!$B$18),1,0)</f>
        <v>0</v>
      </c>
      <c r="R549" s="9" t="n">
        <f aca="false">IF(COUNTIF(Parameters!$A$51:$A$58,H549)=0,1,0)</f>
        <v>0</v>
      </c>
      <c r="S549" s="9" t="n">
        <f aca="false">IF(AND(I549="Manual",L549&gt;0),1,0)</f>
        <v>0</v>
      </c>
      <c r="T549" s="9" t="n">
        <f aca="false">IF(AND(C549&gt;=Parameters!$B$22,ROUND(MOD(ROUND(C549,2),Parameters!$B$21),2)=0),1,0)</f>
        <v>0</v>
      </c>
      <c r="U549" s="9" t="n">
        <f aca="false">IF(LEN(TRIM(J549))=0,1,0)</f>
        <v>0</v>
      </c>
      <c r="V549" s="9" t="n">
        <f aca="false">IF(AND(I549="Manual",C549&lt;Parameters!$B$19,C549&gt;=Parameters!$B$19*(1-Parameters!$B$20)),1,0)</f>
        <v>0</v>
      </c>
      <c r="W549" s="9" t="n">
        <f aca="false">IF(AND(I549="Manual",M549&gt;0),1,0)</f>
        <v>0</v>
      </c>
      <c r="X549" s="9" t="n">
        <f aca="false">IF(A549-A548&gt;1,1,0)</f>
        <v>0</v>
      </c>
      <c r="Y549" s="9" t="n">
        <f aca="false">N549*Parameters!$B$38+O549*Parameters!$B$39+P549*Parameters!$B$40+Q549*Parameters!$B$41+R549*Parameters!$B$42+S549*Parameters!$B$43+T549*Parameters!$B$44+U549*Parameters!$B$45+V549*Parameters!$B$46+W549*Parameters!$B$47+X549*Parameters!$B$48</f>
        <v>0</v>
      </c>
      <c r="Z549" s="0" t="str">
        <f aca="false">IF(Y549&gt;=Parameters!$B$25,"High","")</f>
        <v/>
      </c>
    </row>
    <row r="550" customFormat="false" ht="15" hidden="false" customHeight="false" outlineLevel="0" collapsed="false">
      <c r="A550" s="16" t="n">
        <v>1554</v>
      </c>
      <c r="B550" s="9" t="n">
        <f aca="false">COUNTIF(JE_Lines!$B$5:$B$1733,A550)</f>
        <v>2</v>
      </c>
      <c r="C550" s="17" t="n">
        <f aca="false">SUMIFS(JE_Lines!$G$5:$G$1733,JE_Lines!$B$5:$B$1733,A550)</f>
        <v>6549.49</v>
      </c>
      <c r="D550" s="17" t="n">
        <f aca="false">SUMIFS(JE_Lines!$H$5:$H$1733,JE_Lines!$B$5:$B$1733,A550)</f>
        <v>6549.49</v>
      </c>
      <c r="E550" s="17" t="n">
        <f aca="false">C550-D550</f>
        <v>0</v>
      </c>
      <c r="F550" s="18" t="n">
        <f aca="false">INDEX(JE_Lines!$C$5:$C$1733,MATCH(A550,JE_Lines!$B$5:$B$1733,0))</f>
        <v>45904</v>
      </c>
      <c r="G550" s="18" t="n">
        <f aca="false">INDEX(JE_Lines!$D$5:$D$1733,MATCH(A550,JE_Lines!$B$5:$B$1733,0))</f>
        <v>45904</v>
      </c>
      <c r="H550" s="0" t="str">
        <f aca="false">INDEX(JE_Lines!$I$5:$I$1733,MATCH(A550,JE_Lines!$B$5:$B$1733,0))</f>
        <v>SYS_AP</v>
      </c>
      <c r="I550" s="0" t="str">
        <f aca="false">INDEX(JE_Lines!$J$5:$J$1733,MATCH(A550,JE_Lines!$B$5:$B$1733,0))</f>
        <v>System</v>
      </c>
      <c r="J550" s="0" t="str">
        <f aca="false">IF(LEN(INDEX(JE_Lines!$K$5:$K$1733,MATCH(A550,JE_Lines!$B$5:$B$1733,0)))=0,"",INDEX(JE_Lines!$K$5:$K$1733,MATCH(A550,JE_Lines!$B$5:$B$1733,0)))</f>
        <v>Supplier invoices</v>
      </c>
      <c r="K550" s="9" t="n">
        <f aca="false">F550-G550</f>
        <v>0</v>
      </c>
      <c r="L550" s="9" t="n">
        <f aca="false">COUNTIFS(JE_Lines!$B$5:$B$1733,A550,JE_Lines!$F$5:$F$1733,"Revenue")</f>
        <v>0</v>
      </c>
      <c r="M550" s="9" t="n">
        <f aca="false">COUNTIFS(JE_Lines!$B$5:$B$1733,A550,JE_Lines!$F$5:$F$1733,"Suspense")</f>
        <v>0</v>
      </c>
      <c r="N550" s="9" t="n">
        <f aca="false">IF(ABS(E550)&gt;Parameters!$B$23,1,0)</f>
        <v>0</v>
      </c>
      <c r="O550" s="9" t="n">
        <f aca="false">IF(WEEKDAY(F550,2)&gt;5,1,0)</f>
        <v>0</v>
      </c>
      <c r="P550" s="9" t="n">
        <f aca="false">IF(K550&gt;Parameters!$B$17,1,0)</f>
        <v>0</v>
      </c>
      <c r="Q550" s="9" t="n">
        <f aca="false">IF(AND(F550&lt;=Parameters!$B$6,F550&gt;Parameters!$B$6-Parameters!$B$18),1,0)</f>
        <v>0</v>
      </c>
      <c r="R550" s="9" t="n">
        <f aca="false">IF(COUNTIF(Parameters!$A$51:$A$58,H550)=0,1,0)</f>
        <v>0</v>
      </c>
      <c r="S550" s="9" t="n">
        <f aca="false">IF(AND(I550="Manual",L550&gt;0),1,0)</f>
        <v>0</v>
      </c>
      <c r="T550" s="9" t="n">
        <f aca="false">IF(AND(C550&gt;=Parameters!$B$22,ROUND(MOD(ROUND(C550,2),Parameters!$B$21),2)=0),1,0)</f>
        <v>0</v>
      </c>
      <c r="U550" s="9" t="n">
        <f aca="false">IF(LEN(TRIM(J550))=0,1,0)</f>
        <v>0</v>
      </c>
      <c r="V550" s="9" t="n">
        <f aca="false">IF(AND(I550="Manual",C550&lt;Parameters!$B$19,C550&gt;=Parameters!$B$19*(1-Parameters!$B$20)),1,0)</f>
        <v>0</v>
      </c>
      <c r="W550" s="9" t="n">
        <f aca="false">IF(AND(I550="Manual",M550&gt;0),1,0)</f>
        <v>0</v>
      </c>
      <c r="X550" s="9" t="n">
        <f aca="false">IF(A550-A549&gt;1,1,0)</f>
        <v>0</v>
      </c>
      <c r="Y550" s="9" t="n">
        <f aca="false">N550*Parameters!$B$38+O550*Parameters!$B$39+P550*Parameters!$B$40+Q550*Parameters!$B$41+R550*Parameters!$B$42+S550*Parameters!$B$43+T550*Parameters!$B$44+U550*Parameters!$B$45+V550*Parameters!$B$46+W550*Parameters!$B$47+X550*Parameters!$B$48</f>
        <v>0</v>
      </c>
      <c r="Z550" s="0" t="str">
        <f aca="false">IF(Y550&gt;=Parameters!$B$25,"High","")</f>
        <v/>
      </c>
    </row>
    <row r="551" customFormat="false" ht="15" hidden="false" customHeight="false" outlineLevel="0" collapsed="false">
      <c r="A551" s="16" t="n">
        <v>1555</v>
      </c>
      <c r="B551" s="9" t="n">
        <f aca="false">COUNTIF(JE_Lines!$B$5:$B$1733,A551)</f>
        <v>2</v>
      </c>
      <c r="C551" s="17" t="n">
        <f aca="false">SUMIFS(JE_Lines!$G$5:$G$1733,JE_Lines!$B$5:$B$1733,A551)</f>
        <v>32537.92</v>
      </c>
      <c r="D551" s="17" t="n">
        <f aca="false">SUMIFS(JE_Lines!$H$5:$H$1733,JE_Lines!$B$5:$B$1733,A551)</f>
        <v>32537.92</v>
      </c>
      <c r="E551" s="17" t="n">
        <f aca="false">C551-D551</f>
        <v>0</v>
      </c>
      <c r="F551" s="18" t="n">
        <f aca="false">INDEX(JE_Lines!$C$5:$C$1733,MATCH(A551,JE_Lines!$B$5:$B$1733,0))</f>
        <v>45905</v>
      </c>
      <c r="G551" s="18" t="n">
        <f aca="false">INDEX(JE_Lines!$D$5:$D$1733,MATCH(A551,JE_Lines!$B$5:$B$1733,0))</f>
        <v>45902</v>
      </c>
      <c r="H551" s="0" t="str">
        <f aca="false">INDEX(JE_Lines!$I$5:$I$1733,MATCH(A551,JE_Lines!$B$5:$B$1733,0))</f>
        <v>SYS_AR</v>
      </c>
      <c r="I551" s="0" t="str">
        <f aca="false">INDEX(JE_Lines!$J$5:$J$1733,MATCH(A551,JE_Lines!$B$5:$B$1733,0))</f>
        <v>System</v>
      </c>
      <c r="J551" s="0" t="str">
        <f aca="false">IF(LEN(INDEX(JE_Lines!$K$5:$K$1733,MATCH(A551,JE_Lines!$B$5:$B$1733,0)))=0,"",INDEX(JE_Lines!$K$5:$K$1733,MATCH(A551,JE_Lines!$B$5:$B$1733,0)))</f>
        <v>Customer receipts</v>
      </c>
      <c r="K551" s="9" t="n">
        <f aca="false">F551-G551</f>
        <v>3</v>
      </c>
      <c r="L551" s="9" t="n">
        <f aca="false">COUNTIFS(JE_Lines!$B$5:$B$1733,A551,JE_Lines!$F$5:$F$1733,"Revenue")</f>
        <v>0</v>
      </c>
      <c r="M551" s="9" t="n">
        <f aca="false">COUNTIFS(JE_Lines!$B$5:$B$1733,A551,JE_Lines!$F$5:$F$1733,"Suspense")</f>
        <v>0</v>
      </c>
      <c r="N551" s="9" t="n">
        <f aca="false">IF(ABS(E551)&gt;Parameters!$B$23,1,0)</f>
        <v>0</v>
      </c>
      <c r="O551" s="9" t="n">
        <f aca="false">IF(WEEKDAY(F551,2)&gt;5,1,0)</f>
        <v>0</v>
      </c>
      <c r="P551" s="9" t="n">
        <f aca="false">IF(K551&gt;Parameters!$B$17,1,0)</f>
        <v>0</v>
      </c>
      <c r="Q551" s="9" t="n">
        <f aca="false">IF(AND(F551&lt;=Parameters!$B$6,F551&gt;Parameters!$B$6-Parameters!$B$18),1,0)</f>
        <v>0</v>
      </c>
      <c r="R551" s="9" t="n">
        <f aca="false">IF(COUNTIF(Parameters!$A$51:$A$58,H551)=0,1,0)</f>
        <v>0</v>
      </c>
      <c r="S551" s="9" t="n">
        <f aca="false">IF(AND(I551="Manual",L551&gt;0),1,0)</f>
        <v>0</v>
      </c>
      <c r="T551" s="9" t="n">
        <f aca="false">IF(AND(C551&gt;=Parameters!$B$22,ROUND(MOD(ROUND(C551,2),Parameters!$B$21),2)=0),1,0)</f>
        <v>0</v>
      </c>
      <c r="U551" s="9" t="n">
        <f aca="false">IF(LEN(TRIM(J551))=0,1,0)</f>
        <v>0</v>
      </c>
      <c r="V551" s="9" t="n">
        <f aca="false">IF(AND(I551="Manual",C551&lt;Parameters!$B$19,C551&gt;=Parameters!$B$19*(1-Parameters!$B$20)),1,0)</f>
        <v>0</v>
      </c>
      <c r="W551" s="9" t="n">
        <f aca="false">IF(AND(I551="Manual",M551&gt;0),1,0)</f>
        <v>0</v>
      </c>
      <c r="X551" s="9" t="n">
        <f aca="false">IF(A551-A550&gt;1,1,0)</f>
        <v>0</v>
      </c>
      <c r="Y551" s="9" t="n">
        <f aca="false">N551*Parameters!$B$38+O551*Parameters!$B$39+P551*Parameters!$B$40+Q551*Parameters!$B$41+R551*Parameters!$B$42+S551*Parameters!$B$43+T551*Parameters!$B$44+U551*Parameters!$B$45+V551*Parameters!$B$46+W551*Parameters!$B$47+X551*Parameters!$B$48</f>
        <v>0</v>
      </c>
      <c r="Z551" s="0" t="str">
        <f aca="false">IF(Y551&gt;=Parameters!$B$25,"High","")</f>
        <v/>
      </c>
    </row>
    <row r="552" customFormat="false" ht="15" hidden="false" customHeight="false" outlineLevel="0" collapsed="false">
      <c r="A552" s="16" t="n">
        <v>1556</v>
      </c>
      <c r="B552" s="9" t="n">
        <f aca="false">COUNTIF(JE_Lines!$B$5:$B$1733,A552)</f>
        <v>2</v>
      </c>
      <c r="C552" s="17" t="n">
        <f aca="false">SUMIFS(JE_Lines!$G$5:$G$1733,JE_Lines!$B$5:$B$1733,A552)</f>
        <v>14668.6</v>
      </c>
      <c r="D552" s="17" t="n">
        <f aca="false">SUMIFS(JE_Lines!$H$5:$H$1733,JE_Lines!$B$5:$B$1733,A552)</f>
        <v>14668.6</v>
      </c>
      <c r="E552" s="17" t="n">
        <f aca="false">C552-D552</f>
        <v>0</v>
      </c>
      <c r="F552" s="18" t="n">
        <f aca="false">INDEX(JE_Lines!$C$5:$C$1733,MATCH(A552,JE_Lines!$B$5:$B$1733,0))</f>
        <v>45905</v>
      </c>
      <c r="G552" s="18" t="n">
        <f aca="false">INDEX(JE_Lines!$D$5:$D$1733,MATCH(A552,JE_Lines!$B$5:$B$1733,0))</f>
        <v>45905</v>
      </c>
      <c r="H552" s="0" t="str">
        <f aca="false">INDEX(JE_Lines!$I$5:$I$1733,MATCH(A552,JE_Lines!$B$5:$B$1733,0))</f>
        <v>SYS_AP</v>
      </c>
      <c r="I552" s="0" t="str">
        <f aca="false">INDEX(JE_Lines!$J$5:$J$1733,MATCH(A552,JE_Lines!$B$5:$B$1733,0))</f>
        <v>System</v>
      </c>
      <c r="J552" s="0" t="str">
        <f aca="false">IF(LEN(INDEX(JE_Lines!$K$5:$K$1733,MATCH(A552,JE_Lines!$B$5:$B$1733,0)))=0,"",INDEX(JE_Lines!$K$5:$K$1733,MATCH(A552,JE_Lines!$B$5:$B$1733,0)))</f>
        <v>Supplier invoices</v>
      </c>
      <c r="K552" s="9" t="n">
        <f aca="false">F552-G552</f>
        <v>0</v>
      </c>
      <c r="L552" s="9" t="n">
        <f aca="false">COUNTIFS(JE_Lines!$B$5:$B$1733,A552,JE_Lines!$F$5:$F$1733,"Revenue")</f>
        <v>0</v>
      </c>
      <c r="M552" s="9" t="n">
        <f aca="false">COUNTIFS(JE_Lines!$B$5:$B$1733,A552,JE_Lines!$F$5:$F$1733,"Suspense")</f>
        <v>0</v>
      </c>
      <c r="N552" s="9" t="n">
        <f aca="false">IF(ABS(E552)&gt;Parameters!$B$23,1,0)</f>
        <v>0</v>
      </c>
      <c r="O552" s="9" t="n">
        <f aca="false">IF(WEEKDAY(F552,2)&gt;5,1,0)</f>
        <v>0</v>
      </c>
      <c r="P552" s="9" t="n">
        <f aca="false">IF(K552&gt;Parameters!$B$17,1,0)</f>
        <v>0</v>
      </c>
      <c r="Q552" s="9" t="n">
        <f aca="false">IF(AND(F552&lt;=Parameters!$B$6,F552&gt;Parameters!$B$6-Parameters!$B$18),1,0)</f>
        <v>0</v>
      </c>
      <c r="R552" s="9" t="n">
        <f aca="false">IF(COUNTIF(Parameters!$A$51:$A$58,H552)=0,1,0)</f>
        <v>0</v>
      </c>
      <c r="S552" s="9" t="n">
        <f aca="false">IF(AND(I552="Manual",L552&gt;0),1,0)</f>
        <v>0</v>
      </c>
      <c r="T552" s="9" t="n">
        <f aca="false">IF(AND(C552&gt;=Parameters!$B$22,ROUND(MOD(ROUND(C552,2),Parameters!$B$21),2)=0),1,0)</f>
        <v>0</v>
      </c>
      <c r="U552" s="9" t="n">
        <f aca="false">IF(LEN(TRIM(J552))=0,1,0)</f>
        <v>0</v>
      </c>
      <c r="V552" s="9" t="n">
        <f aca="false">IF(AND(I552="Manual",C552&lt;Parameters!$B$19,C552&gt;=Parameters!$B$19*(1-Parameters!$B$20)),1,0)</f>
        <v>0</v>
      </c>
      <c r="W552" s="9" t="n">
        <f aca="false">IF(AND(I552="Manual",M552&gt;0),1,0)</f>
        <v>0</v>
      </c>
      <c r="X552" s="9" t="n">
        <f aca="false">IF(A552-A551&gt;1,1,0)</f>
        <v>0</v>
      </c>
      <c r="Y552" s="9" t="n">
        <f aca="false">N552*Parameters!$B$38+O552*Parameters!$B$39+P552*Parameters!$B$40+Q552*Parameters!$B$41+R552*Parameters!$B$42+S552*Parameters!$B$43+T552*Parameters!$B$44+U552*Parameters!$B$45+V552*Parameters!$B$46+W552*Parameters!$B$47+X552*Parameters!$B$48</f>
        <v>0</v>
      </c>
      <c r="Z552" s="0" t="str">
        <f aca="false">IF(Y552&gt;=Parameters!$B$25,"High","")</f>
        <v/>
      </c>
    </row>
    <row r="553" customFormat="false" ht="15" hidden="false" customHeight="false" outlineLevel="0" collapsed="false">
      <c r="A553" s="16" t="n">
        <v>1557</v>
      </c>
      <c r="B553" s="9" t="n">
        <f aca="false">COUNTIF(JE_Lines!$B$5:$B$1733,A553)</f>
        <v>2</v>
      </c>
      <c r="C553" s="17" t="n">
        <f aca="false">SUMIFS(JE_Lines!$G$5:$G$1733,JE_Lines!$B$5:$B$1733,A553)</f>
        <v>3845.61</v>
      </c>
      <c r="D553" s="17" t="n">
        <f aca="false">SUMIFS(JE_Lines!$H$5:$H$1733,JE_Lines!$B$5:$B$1733,A553)</f>
        <v>3845.61</v>
      </c>
      <c r="E553" s="17" t="n">
        <f aca="false">C553-D553</f>
        <v>0</v>
      </c>
      <c r="F553" s="18" t="n">
        <f aca="false">INDEX(JE_Lines!$C$5:$C$1733,MATCH(A553,JE_Lines!$B$5:$B$1733,0))</f>
        <v>45905</v>
      </c>
      <c r="G553" s="18" t="n">
        <f aca="false">INDEX(JE_Lines!$D$5:$D$1733,MATCH(A553,JE_Lines!$B$5:$B$1733,0))</f>
        <v>45902</v>
      </c>
      <c r="H553" s="0" t="str">
        <f aca="false">INDEX(JE_Lines!$I$5:$I$1733,MATCH(A553,JE_Lines!$B$5:$B$1733,0))</f>
        <v>SYS_AR</v>
      </c>
      <c r="I553" s="0" t="str">
        <f aca="false">INDEX(JE_Lines!$J$5:$J$1733,MATCH(A553,JE_Lines!$B$5:$B$1733,0))</f>
        <v>System</v>
      </c>
      <c r="J553" s="0" t="str">
        <f aca="false">IF(LEN(INDEX(JE_Lines!$K$5:$K$1733,MATCH(A553,JE_Lines!$B$5:$B$1733,0)))=0,"",INDEX(JE_Lines!$K$5:$K$1733,MATCH(A553,JE_Lines!$B$5:$B$1733,0)))</f>
        <v>Customer receipts</v>
      </c>
      <c r="K553" s="9" t="n">
        <f aca="false">F553-G553</f>
        <v>3</v>
      </c>
      <c r="L553" s="9" t="n">
        <f aca="false">COUNTIFS(JE_Lines!$B$5:$B$1733,A553,JE_Lines!$F$5:$F$1733,"Revenue")</f>
        <v>0</v>
      </c>
      <c r="M553" s="9" t="n">
        <f aca="false">COUNTIFS(JE_Lines!$B$5:$B$1733,A553,JE_Lines!$F$5:$F$1733,"Suspense")</f>
        <v>0</v>
      </c>
      <c r="N553" s="9" t="n">
        <f aca="false">IF(ABS(E553)&gt;Parameters!$B$23,1,0)</f>
        <v>0</v>
      </c>
      <c r="O553" s="9" t="n">
        <f aca="false">IF(WEEKDAY(F553,2)&gt;5,1,0)</f>
        <v>0</v>
      </c>
      <c r="P553" s="9" t="n">
        <f aca="false">IF(K553&gt;Parameters!$B$17,1,0)</f>
        <v>0</v>
      </c>
      <c r="Q553" s="9" t="n">
        <f aca="false">IF(AND(F553&lt;=Parameters!$B$6,F553&gt;Parameters!$B$6-Parameters!$B$18),1,0)</f>
        <v>0</v>
      </c>
      <c r="R553" s="9" t="n">
        <f aca="false">IF(COUNTIF(Parameters!$A$51:$A$58,H553)=0,1,0)</f>
        <v>0</v>
      </c>
      <c r="S553" s="9" t="n">
        <f aca="false">IF(AND(I553="Manual",L553&gt;0),1,0)</f>
        <v>0</v>
      </c>
      <c r="T553" s="9" t="n">
        <f aca="false">IF(AND(C553&gt;=Parameters!$B$22,ROUND(MOD(ROUND(C553,2),Parameters!$B$21),2)=0),1,0)</f>
        <v>0</v>
      </c>
      <c r="U553" s="9" t="n">
        <f aca="false">IF(LEN(TRIM(J553))=0,1,0)</f>
        <v>0</v>
      </c>
      <c r="V553" s="9" t="n">
        <f aca="false">IF(AND(I553="Manual",C553&lt;Parameters!$B$19,C553&gt;=Parameters!$B$19*(1-Parameters!$B$20)),1,0)</f>
        <v>0</v>
      </c>
      <c r="W553" s="9" t="n">
        <f aca="false">IF(AND(I553="Manual",M553&gt;0),1,0)</f>
        <v>0</v>
      </c>
      <c r="X553" s="9" t="n">
        <f aca="false">IF(A553-A552&gt;1,1,0)</f>
        <v>0</v>
      </c>
      <c r="Y553" s="9" t="n">
        <f aca="false">N553*Parameters!$B$38+O553*Parameters!$B$39+P553*Parameters!$B$40+Q553*Parameters!$B$41+R553*Parameters!$B$42+S553*Parameters!$B$43+T553*Parameters!$B$44+U553*Parameters!$B$45+V553*Parameters!$B$46+W553*Parameters!$B$47+X553*Parameters!$B$48</f>
        <v>0</v>
      </c>
      <c r="Z553" s="0" t="str">
        <f aca="false">IF(Y553&gt;=Parameters!$B$25,"High","")</f>
        <v/>
      </c>
    </row>
    <row r="554" customFormat="false" ht="15" hidden="false" customHeight="false" outlineLevel="0" collapsed="false">
      <c r="A554" s="16" t="n">
        <v>1558</v>
      </c>
      <c r="B554" s="9" t="n">
        <f aca="false">COUNTIF(JE_Lines!$B$5:$B$1733,A554)</f>
        <v>2</v>
      </c>
      <c r="C554" s="17" t="n">
        <f aca="false">SUMIFS(JE_Lines!$G$5:$G$1733,JE_Lines!$B$5:$B$1733,A554)</f>
        <v>478.89</v>
      </c>
      <c r="D554" s="17" t="n">
        <f aca="false">SUMIFS(JE_Lines!$H$5:$H$1733,JE_Lines!$B$5:$B$1733,A554)</f>
        <v>478.89</v>
      </c>
      <c r="E554" s="17" t="n">
        <f aca="false">C554-D554</f>
        <v>0</v>
      </c>
      <c r="F554" s="18" t="n">
        <f aca="false">INDEX(JE_Lines!$C$5:$C$1733,MATCH(A554,JE_Lines!$B$5:$B$1733,0))</f>
        <v>45906</v>
      </c>
      <c r="G554" s="18" t="n">
        <f aca="false">INDEX(JE_Lines!$D$5:$D$1733,MATCH(A554,JE_Lines!$B$5:$B$1733,0))</f>
        <v>45906</v>
      </c>
      <c r="H554" s="0" t="str">
        <f aca="false">INDEX(JE_Lines!$I$5:$I$1733,MATCH(A554,JE_Lines!$B$5:$B$1733,0))</f>
        <v>FIN04</v>
      </c>
      <c r="I554" s="0" t="str">
        <f aca="false">INDEX(JE_Lines!$J$5:$J$1733,MATCH(A554,JE_Lines!$B$5:$B$1733,0))</f>
        <v>Manual</v>
      </c>
      <c r="J554" s="0" t="str">
        <f aca="false">IF(LEN(INDEX(JE_Lines!$K$5:$K$1733,MATCH(A554,JE_Lines!$B$5:$B$1733,0)))=0,"",INDEX(JE_Lines!$K$5:$K$1733,MATCH(A554,JE_Lines!$B$5:$B$1733,0)))</f>
        <v>Weekend adjustment 6</v>
      </c>
      <c r="K554" s="9" t="n">
        <f aca="false">F554-G554</f>
        <v>0</v>
      </c>
      <c r="L554" s="9" t="n">
        <f aca="false">COUNTIFS(JE_Lines!$B$5:$B$1733,A554,JE_Lines!$F$5:$F$1733,"Revenue")</f>
        <v>0</v>
      </c>
      <c r="M554" s="9" t="n">
        <f aca="false">COUNTIFS(JE_Lines!$B$5:$B$1733,A554,JE_Lines!$F$5:$F$1733,"Suspense")</f>
        <v>0</v>
      </c>
      <c r="N554" s="9" t="n">
        <f aca="false">IF(ABS(E554)&gt;Parameters!$B$23,1,0)</f>
        <v>0</v>
      </c>
      <c r="O554" s="9" t="n">
        <f aca="false">IF(WEEKDAY(F554,2)&gt;5,1,0)</f>
        <v>1</v>
      </c>
      <c r="P554" s="9" t="n">
        <f aca="false">IF(K554&gt;Parameters!$B$17,1,0)</f>
        <v>0</v>
      </c>
      <c r="Q554" s="9" t="n">
        <f aca="false">IF(AND(F554&lt;=Parameters!$B$6,F554&gt;Parameters!$B$6-Parameters!$B$18),1,0)</f>
        <v>0</v>
      </c>
      <c r="R554" s="9" t="n">
        <f aca="false">IF(COUNTIF(Parameters!$A$51:$A$58,H554)=0,1,0)</f>
        <v>0</v>
      </c>
      <c r="S554" s="9" t="n">
        <f aca="false">IF(AND(I554="Manual",L554&gt;0),1,0)</f>
        <v>0</v>
      </c>
      <c r="T554" s="9" t="n">
        <f aca="false">IF(AND(C554&gt;=Parameters!$B$22,ROUND(MOD(ROUND(C554,2),Parameters!$B$21),2)=0),1,0)</f>
        <v>0</v>
      </c>
      <c r="U554" s="9" t="n">
        <f aca="false">IF(LEN(TRIM(J554))=0,1,0)</f>
        <v>0</v>
      </c>
      <c r="V554" s="9" t="n">
        <f aca="false">IF(AND(I554="Manual",C554&lt;Parameters!$B$19,C554&gt;=Parameters!$B$19*(1-Parameters!$B$20)),1,0)</f>
        <v>0</v>
      </c>
      <c r="W554" s="9" t="n">
        <f aca="false">IF(AND(I554="Manual",M554&gt;0),1,0)</f>
        <v>0</v>
      </c>
      <c r="X554" s="9" t="n">
        <f aca="false">IF(A554-A553&gt;1,1,0)</f>
        <v>0</v>
      </c>
      <c r="Y554" s="9" t="n">
        <f aca="false">N554*Parameters!$B$38+O554*Parameters!$B$39+P554*Parameters!$B$40+Q554*Parameters!$B$41+R554*Parameters!$B$42+S554*Parameters!$B$43+T554*Parameters!$B$44+U554*Parameters!$B$45+V554*Parameters!$B$46+W554*Parameters!$B$47+X554*Parameters!$B$48</f>
        <v>2</v>
      </c>
      <c r="Z554" s="0" t="str">
        <f aca="false">IF(Y554&gt;=Parameters!$B$25,"High","")</f>
        <v/>
      </c>
    </row>
    <row r="555" customFormat="false" ht="15" hidden="false" customHeight="false" outlineLevel="0" collapsed="false">
      <c r="A555" s="16" t="n">
        <v>1559</v>
      </c>
      <c r="B555" s="9" t="n">
        <f aca="false">COUNTIF(JE_Lines!$B$5:$B$1733,A555)</f>
        <v>2</v>
      </c>
      <c r="C555" s="17" t="n">
        <f aca="false">SUMIFS(JE_Lines!$G$5:$G$1733,JE_Lines!$B$5:$B$1733,A555)</f>
        <v>3764.48</v>
      </c>
      <c r="D555" s="17" t="n">
        <f aca="false">SUMIFS(JE_Lines!$H$5:$H$1733,JE_Lines!$B$5:$B$1733,A555)</f>
        <v>3764.48</v>
      </c>
      <c r="E555" s="17" t="n">
        <f aca="false">C555-D555</f>
        <v>0</v>
      </c>
      <c r="F555" s="18" t="n">
        <f aca="false">INDEX(JE_Lines!$C$5:$C$1733,MATCH(A555,JE_Lines!$B$5:$B$1733,0))</f>
        <v>45908</v>
      </c>
      <c r="G555" s="18" t="n">
        <f aca="false">INDEX(JE_Lines!$D$5:$D$1733,MATCH(A555,JE_Lines!$B$5:$B$1733,0))</f>
        <v>45904</v>
      </c>
      <c r="H555" s="0" t="str">
        <f aca="false">INDEX(JE_Lines!$I$5:$I$1733,MATCH(A555,JE_Lines!$B$5:$B$1733,0))</f>
        <v>SYS_PAY</v>
      </c>
      <c r="I555" s="0" t="str">
        <f aca="false">INDEX(JE_Lines!$J$5:$J$1733,MATCH(A555,JE_Lines!$B$5:$B$1733,0))</f>
        <v>System</v>
      </c>
      <c r="J555" s="0" t="str">
        <f aca="false">IF(LEN(INDEX(JE_Lines!$K$5:$K$1733,MATCH(A555,JE_Lines!$B$5:$B$1733,0)))=0,"",INDEX(JE_Lines!$K$5:$K$1733,MATCH(A555,JE_Lines!$B$5:$B$1733,0)))</f>
        <v>Supplier payments</v>
      </c>
      <c r="K555" s="9" t="n">
        <f aca="false">F555-G555</f>
        <v>4</v>
      </c>
      <c r="L555" s="9" t="n">
        <f aca="false">COUNTIFS(JE_Lines!$B$5:$B$1733,A555,JE_Lines!$F$5:$F$1733,"Revenue")</f>
        <v>0</v>
      </c>
      <c r="M555" s="9" t="n">
        <f aca="false">COUNTIFS(JE_Lines!$B$5:$B$1733,A555,JE_Lines!$F$5:$F$1733,"Suspense")</f>
        <v>0</v>
      </c>
      <c r="N555" s="9" t="n">
        <f aca="false">IF(ABS(E555)&gt;Parameters!$B$23,1,0)</f>
        <v>0</v>
      </c>
      <c r="O555" s="9" t="n">
        <f aca="false">IF(WEEKDAY(F555,2)&gt;5,1,0)</f>
        <v>0</v>
      </c>
      <c r="P555" s="9" t="n">
        <f aca="false">IF(K555&gt;Parameters!$B$17,1,0)</f>
        <v>0</v>
      </c>
      <c r="Q555" s="9" t="n">
        <f aca="false">IF(AND(F555&lt;=Parameters!$B$6,F555&gt;Parameters!$B$6-Parameters!$B$18),1,0)</f>
        <v>0</v>
      </c>
      <c r="R555" s="9" t="n">
        <f aca="false">IF(COUNTIF(Parameters!$A$51:$A$58,H555)=0,1,0)</f>
        <v>0</v>
      </c>
      <c r="S555" s="9" t="n">
        <f aca="false">IF(AND(I555="Manual",L555&gt;0),1,0)</f>
        <v>0</v>
      </c>
      <c r="T555" s="9" t="n">
        <f aca="false">IF(AND(C555&gt;=Parameters!$B$22,ROUND(MOD(ROUND(C555,2),Parameters!$B$21),2)=0),1,0)</f>
        <v>0</v>
      </c>
      <c r="U555" s="9" t="n">
        <f aca="false">IF(LEN(TRIM(J555))=0,1,0)</f>
        <v>0</v>
      </c>
      <c r="V555" s="9" t="n">
        <f aca="false">IF(AND(I555="Manual",C555&lt;Parameters!$B$19,C555&gt;=Parameters!$B$19*(1-Parameters!$B$20)),1,0)</f>
        <v>0</v>
      </c>
      <c r="W555" s="9" t="n">
        <f aca="false">IF(AND(I555="Manual",M555&gt;0),1,0)</f>
        <v>0</v>
      </c>
      <c r="X555" s="9" t="n">
        <f aca="false">IF(A555-A554&gt;1,1,0)</f>
        <v>0</v>
      </c>
      <c r="Y555" s="9" t="n">
        <f aca="false">N555*Parameters!$B$38+O555*Parameters!$B$39+P555*Parameters!$B$40+Q555*Parameters!$B$41+R555*Parameters!$B$42+S555*Parameters!$B$43+T555*Parameters!$B$44+U555*Parameters!$B$45+V555*Parameters!$B$46+W555*Parameters!$B$47+X555*Parameters!$B$48</f>
        <v>0</v>
      </c>
      <c r="Z555" s="0" t="str">
        <f aca="false">IF(Y555&gt;=Parameters!$B$25,"High","")</f>
        <v/>
      </c>
    </row>
    <row r="556" customFormat="false" ht="15" hidden="false" customHeight="false" outlineLevel="0" collapsed="false">
      <c r="A556" s="16" t="n">
        <v>1560</v>
      </c>
      <c r="B556" s="9" t="n">
        <f aca="false">COUNTIF(JE_Lines!$B$5:$B$1733,A556)</f>
        <v>2</v>
      </c>
      <c r="C556" s="17" t="n">
        <f aca="false">SUMIFS(JE_Lines!$G$5:$G$1733,JE_Lines!$B$5:$B$1733,A556)</f>
        <v>74425</v>
      </c>
      <c r="D556" s="17" t="n">
        <f aca="false">SUMIFS(JE_Lines!$H$5:$H$1733,JE_Lines!$B$5:$B$1733,A556)</f>
        <v>74425</v>
      </c>
      <c r="E556" s="17" t="n">
        <f aca="false">C556-D556</f>
        <v>0</v>
      </c>
      <c r="F556" s="18" t="n">
        <f aca="false">INDEX(JE_Lines!$C$5:$C$1733,MATCH(A556,JE_Lines!$B$5:$B$1733,0))</f>
        <v>45908</v>
      </c>
      <c r="G556" s="18" t="n">
        <f aca="false">INDEX(JE_Lines!$D$5:$D$1733,MATCH(A556,JE_Lines!$B$5:$B$1733,0))</f>
        <v>45905</v>
      </c>
      <c r="H556" s="0" t="str">
        <f aca="false">INDEX(JE_Lines!$I$5:$I$1733,MATCH(A556,JE_Lines!$B$5:$B$1733,0))</f>
        <v>SYS_PAY</v>
      </c>
      <c r="I556" s="0" t="str">
        <f aca="false">INDEX(JE_Lines!$J$5:$J$1733,MATCH(A556,JE_Lines!$B$5:$B$1733,0))</f>
        <v>System</v>
      </c>
      <c r="J556" s="0" t="str">
        <f aca="false">IF(LEN(INDEX(JE_Lines!$K$5:$K$1733,MATCH(A556,JE_Lines!$B$5:$B$1733,0)))=0,"",INDEX(JE_Lines!$K$5:$K$1733,MATCH(A556,JE_Lines!$B$5:$B$1733,0)))</f>
        <v>Supplier payments</v>
      </c>
      <c r="K556" s="9" t="n">
        <f aca="false">F556-G556</f>
        <v>3</v>
      </c>
      <c r="L556" s="9" t="n">
        <f aca="false">COUNTIFS(JE_Lines!$B$5:$B$1733,A556,JE_Lines!$F$5:$F$1733,"Revenue")</f>
        <v>0</v>
      </c>
      <c r="M556" s="9" t="n">
        <f aca="false">COUNTIFS(JE_Lines!$B$5:$B$1733,A556,JE_Lines!$F$5:$F$1733,"Suspense")</f>
        <v>0</v>
      </c>
      <c r="N556" s="9" t="n">
        <f aca="false">IF(ABS(E556)&gt;Parameters!$B$23,1,0)</f>
        <v>0</v>
      </c>
      <c r="O556" s="9" t="n">
        <f aca="false">IF(WEEKDAY(F556,2)&gt;5,1,0)</f>
        <v>0</v>
      </c>
      <c r="P556" s="9" t="n">
        <f aca="false">IF(K556&gt;Parameters!$B$17,1,0)</f>
        <v>0</v>
      </c>
      <c r="Q556" s="9" t="n">
        <f aca="false">IF(AND(F556&lt;=Parameters!$B$6,F556&gt;Parameters!$B$6-Parameters!$B$18),1,0)</f>
        <v>0</v>
      </c>
      <c r="R556" s="9" t="n">
        <f aca="false">IF(COUNTIF(Parameters!$A$51:$A$58,H556)=0,1,0)</f>
        <v>0</v>
      </c>
      <c r="S556" s="9" t="n">
        <f aca="false">IF(AND(I556="Manual",L556&gt;0),1,0)</f>
        <v>0</v>
      </c>
      <c r="T556" s="9" t="n">
        <f aca="false">IF(AND(C556&gt;=Parameters!$B$22,ROUND(MOD(ROUND(C556,2),Parameters!$B$21),2)=0),1,0)</f>
        <v>0</v>
      </c>
      <c r="U556" s="9" t="n">
        <f aca="false">IF(LEN(TRIM(J556))=0,1,0)</f>
        <v>0</v>
      </c>
      <c r="V556" s="9" t="n">
        <f aca="false">IF(AND(I556="Manual",C556&lt;Parameters!$B$19,C556&gt;=Parameters!$B$19*(1-Parameters!$B$20)),1,0)</f>
        <v>0</v>
      </c>
      <c r="W556" s="9" t="n">
        <f aca="false">IF(AND(I556="Manual",M556&gt;0),1,0)</f>
        <v>0</v>
      </c>
      <c r="X556" s="9" t="n">
        <f aca="false">IF(A556-A555&gt;1,1,0)</f>
        <v>0</v>
      </c>
      <c r="Y556" s="9" t="n">
        <f aca="false">N556*Parameters!$B$38+O556*Parameters!$B$39+P556*Parameters!$B$40+Q556*Parameters!$B$41+R556*Parameters!$B$42+S556*Parameters!$B$43+T556*Parameters!$B$44+U556*Parameters!$B$45+V556*Parameters!$B$46+W556*Parameters!$B$47+X556*Parameters!$B$48</f>
        <v>0</v>
      </c>
      <c r="Z556" s="0" t="str">
        <f aca="false">IF(Y556&gt;=Parameters!$B$25,"High","")</f>
        <v/>
      </c>
    </row>
    <row r="557" customFormat="false" ht="15" hidden="false" customHeight="false" outlineLevel="0" collapsed="false">
      <c r="A557" s="16" t="n">
        <v>1561</v>
      </c>
      <c r="B557" s="9" t="n">
        <f aca="false">COUNTIF(JE_Lines!$B$5:$B$1733,A557)</f>
        <v>2</v>
      </c>
      <c r="C557" s="17" t="n">
        <f aca="false">SUMIFS(JE_Lines!$G$5:$G$1733,JE_Lines!$B$5:$B$1733,A557)</f>
        <v>10468.05</v>
      </c>
      <c r="D557" s="17" t="n">
        <f aca="false">SUMIFS(JE_Lines!$H$5:$H$1733,JE_Lines!$B$5:$B$1733,A557)</f>
        <v>10468.05</v>
      </c>
      <c r="E557" s="17" t="n">
        <f aca="false">C557-D557</f>
        <v>0</v>
      </c>
      <c r="F557" s="18" t="n">
        <f aca="false">INDEX(JE_Lines!$C$5:$C$1733,MATCH(A557,JE_Lines!$B$5:$B$1733,0))</f>
        <v>45908</v>
      </c>
      <c r="G557" s="18" t="n">
        <f aca="false">INDEX(JE_Lines!$D$5:$D$1733,MATCH(A557,JE_Lines!$B$5:$B$1733,0))</f>
        <v>45905</v>
      </c>
      <c r="H557" s="0" t="str">
        <f aca="false">INDEX(JE_Lines!$I$5:$I$1733,MATCH(A557,JE_Lines!$B$5:$B$1733,0))</f>
        <v>SYS_AR</v>
      </c>
      <c r="I557" s="0" t="str">
        <f aca="false">INDEX(JE_Lines!$J$5:$J$1733,MATCH(A557,JE_Lines!$B$5:$B$1733,0))</f>
        <v>System</v>
      </c>
      <c r="J557" s="0" t="str">
        <f aca="false">IF(LEN(INDEX(JE_Lines!$K$5:$K$1733,MATCH(A557,JE_Lines!$B$5:$B$1733,0)))=0,"",INDEX(JE_Lines!$K$5:$K$1733,MATCH(A557,JE_Lines!$B$5:$B$1733,0)))</f>
        <v>Sales invoice batch</v>
      </c>
      <c r="K557" s="9" t="n">
        <f aca="false">F557-G557</f>
        <v>3</v>
      </c>
      <c r="L557" s="9" t="n">
        <f aca="false">COUNTIFS(JE_Lines!$B$5:$B$1733,A557,JE_Lines!$F$5:$F$1733,"Revenue")</f>
        <v>1</v>
      </c>
      <c r="M557" s="9" t="n">
        <f aca="false">COUNTIFS(JE_Lines!$B$5:$B$1733,A557,JE_Lines!$F$5:$F$1733,"Suspense")</f>
        <v>0</v>
      </c>
      <c r="N557" s="9" t="n">
        <f aca="false">IF(ABS(E557)&gt;Parameters!$B$23,1,0)</f>
        <v>0</v>
      </c>
      <c r="O557" s="9" t="n">
        <f aca="false">IF(WEEKDAY(F557,2)&gt;5,1,0)</f>
        <v>0</v>
      </c>
      <c r="P557" s="9" t="n">
        <f aca="false">IF(K557&gt;Parameters!$B$17,1,0)</f>
        <v>0</v>
      </c>
      <c r="Q557" s="9" t="n">
        <f aca="false">IF(AND(F557&lt;=Parameters!$B$6,F557&gt;Parameters!$B$6-Parameters!$B$18),1,0)</f>
        <v>0</v>
      </c>
      <c r="R557" s="9" t="n">
        <f aca="false">IF(COUNTIF(Parameters!$A$51:$A$58,H557)=0,1,0)</f>
        <v>0</v>
      </c>
      <c r="S557" s="9" t="n">
        <f aca="false">IF(AND(I557="Manual",L557&gt;0),1,0)</f>
        <v>0</v>
      </c>
      <c r="T557" s="9" t="n">
        <f aca="false">IF(AND(C557&gt;=Parameters!$B$22,ROUND(MOD(ROUND(C557,2),Parameters!$B$21),2)=0),1,0)</f>
        <v>0</v>
      </c>
      <c r="U557" s="9" t="n">
        <f aca="false">IF(LEN(TRIM(J557))=0,1,0)</f>
        <v>0</v>
      </c>
      <c r="V557" s="9" t="n">
        <f aca="false">IF(AND(I557="Manual",C557&lt;Parameters!$B$19,C557&gt;=Parameters!$B$19*(1-Parameters!$B$20)),1,0)</f>
        <v>0</v>
      </c>
      <c r="W557" s="9" t="n">
        <f aca="false">IF(AND(I557="Manual",M557&gt;0),1,0)</f>
        <v>0</v>
      </c>
      <c r="X557" s="9" t="n">
        <f aca="false">IF(A557-A556&gt;1,1,0)</f>
        <v>0</v>
      </c>
      <c r="Y557" s="9" t="n">
        <f aca="false">N557*Parameters!$B$38+O557*Parameters!$B$39+P557*Parameters!$B$40+Q557*Parameters!$B$41+R557*Parameters!$B$42+S557*Parameters!$B$43+T557*Parameters!$B$44+U557*Parameters!$B$45+V557*Parameters!$B$46+W557*Parameters!$B$47+X557*Parameters!$B$48</f>
        <v>0</v>
      </c>
      <c r="Z557" s="0" t="str">
        <f aca="false">IF(Y557&gt;=Parameters!$B$25,"High","")</f>
        <v/>
      </c>
    </row>
    <row r="558" customFormat="false" ht="15" hidden="false" customHeight="false" outlineLevel="0" collapsed="false">
      <c r="A558" s="16" t="n">
        <v>1562</v>
      </c>
      <c r="B558" s="9" t="n">
        <f aca="false">COUNTIF(JE_Lines!$B$5:$B$1733,A558)</f>
        <v>2</v>
      </c>
      <c r="C558" s="17" t="n">
        <f aca="false">SUMIFS(JE_Lines!$G$5:$G$1733,JE_Lines!$B$5:$B$1733,A558)</f>
        <v>2056.79</v>
      </c>
      <c r="D558" s="17" t="n">
        <f aca="false">SUMIFS(JE_Lines!$H$5:$H$1733,JE_Lines!$B$5:$B$1733,A558)</f>
        <v>2056.79</v>
      </c>
      <c r="E558" s="17" t="n">
        <f aca="false">C558-D558</f>
        <v>0</v>
      </c>
      <c r="F558" s="18" t="n">
        <f aca="false">INDEX(JE_Lines!$C$5:$C$1733,MATCH(A558,JE_Lines!$B$5:$B$1733,0))</f>
        <v>45908</v>
      </c>
      <c r="G558" s="18" t="n">
        <f aca="false">INDEX(JE_Lines!$D$5:$D$1733,MATCH(A558,JE_Lines!$B$5:$B$1733,0))</f>
        <v>45904</v>
      </c>
      <c r="H558" s="0" t="str">
        <f aca="false">INDEX(JE_Lines!$I$5:$I$1733,MATCH(A558,JE_Lines!$B$5:$B$1733,0))</f>
        <v>SYS_AP</v>
      </c>
      <c r="I558" s="0" t="str">
        <f aca="false">INDEX(JE_Lines!$J$5:$J$1733,MATCH(A558,JE_Lines!$B$5:$B$1733,0))</f>
        <v>System</v>
      </c>
      <c r="J558" s="0" t="str">
        <f aca="false">IF(LEN(INDEX(JE_Lines!$K$5:$K$1733,MATCH(A558,JE_Lines!$B$5:$B$1733,0)))=0,"",INDEX(JE_Lines!$K$5:$K$1733,MATCH(A558,JE_Lines!$B$5:$B$1733,0)))</f>
        <v>Utilities invoices</v>
      </c>
      <c r="K558" s="9" t="n">
        <f aca="false">F558-G558</f>
        <v>4</v>
      </c>
      <c r="L558" s="9" t="n">
        <f aca="false">COUNTIFS(JE_Lines!$B$5:$B$1733,A558,JE_Lines!$F$5:$F$1733,"Revenue")</f>
        <v>0</v>
      </c>
      <c r="M558" s="9" t="n">
        <f aca="false">COUNTIFS(JE_Lines!$B$5:$B$1733,A558,JE_Lines!$F$5:$F$1733,"Suspense")</f>
        <v>0</v>
      </c>
      <c r="N558" s="9" t="n">
        <f aca="false">IF(ABS(E558)&gt;Parameters!$B$23,1,0)</f>
        <v>0</v>
      </c>
      <c r="O558" s="9" t="n">
        <f aca="false">IF(WEEKDAY(F558,2)&gt;5,1,0)</f>
        <v>0</v>
      </c>
      <c r="P558" s="9" t="n">
        <f aca="false">IF(K558&gt;Parameters!$B$17,1,0)</f>
        <v>0</v>
      </c>
      <c r="Q558" s="9" t="n">
        <f aca="false">IF(AND(F558&lt;=Parameters!$B$6,F558&gt;Parameters!$B$6-Parameters!$B$18),1,0)</f>
        <v>0</v>
      </c>
      <c r="R558" s="9" t="n">
        <f aca="false">IF(COUNTIF(Parameters!$A$51:$A$58,H558)=0,1,0)</f>
        <v>0</v>
      </c>
      <c r="S558" s="9" t="n">
        <f aca="false">IF(AND(I558="Manual",L558&gt;0),1,0)</f>
        <v>0</v>
      </c>
      <c r="T558" s="9" t="n">
        <f aca="false">IF(AND(C558&gt;=Parameters!$B$22,ROUND(MOD(ROUND(C558,2),Parameters!$B$21),2)=0),1,0)</f>
        <v>0</v>
      </c>
      <c r="U558" s="9" t="n">
        <f aca="false">IF(LEN(TRIM(J558))=0,1,0)</f>
        <v>0</v>
      </c>
      <c r="V558" s="9" t="n">
        <f aca="false">IF(AND(I558="Manual",C558&lt;Parameters!$B$19,C558&gt;=Parameters!$B$19*(1-Parameters!$B$20)),1,0)</f>
        <v>0</v>
      </c>
      <c r="W558" s="9" t="n">
        <f aca="false">IF(AND(I558="Manual",M558&gt;0),1,0)</f>
        <v>0</v>
      </c>
      <c r="X558" s="9" t="n">
        <f aca="false">IF(A558-A557&gt;1,1,0)</f>
        <v>0</v>
      </c>
      <c r="Y558" s="9" t="n">
        <f aca="false">N558*Parameters!$B$38+O558*Parameters!$B$39+P558*Parameters!$B$40+Q558*Parameters!$B$41+R558*Parameters!$B$42+S558*Parameters!$B$43+T558*Parameters!$B$44+U558*Parameters!$B$45+V558*Parameters!$B$46+W558*Parameters!$B$47+X558*Parameters!$B$48</f>
        <v>0</v>
      </c>
      <c r="Z558" s="0" t="str">
        <f aca="false">IF(Y558&gt;=Parameters!$B$25,"High","")</f>
        <v/>
      </c>
    </row>
    <row r="559" customFormat="false" ht="15" hidden="false" customHeight="false" outlineLevel="0" collapsed="false">
      <c r="A559" s="16" t="n">
        <v>1563</v>
      </c>
      <c r="B559" s="9" t="n">
        <f aca="false">COUNTIF(JE_Lines!$B$5:$B$1733,A559)</f>
        <v>2</v>
      </c>
      <c r="C559" s="17" t="n">
        <f aca="false">SUMIFS(JE_Lines!$G$5:$G$1733,JE_Lines!$B$5:$B$1733,A559)</f>
        <v>66129.46</v>
      </c>
      <c r="D559" s="17" t="n">
        <f aca="false">SUMIFS(JE_Lines!$H$5:$H$1733,JE_Lines!$B$5:$B$1733,A559)</f>
        <v>66129.46</v>
      </c>
      <c r="E559" s="17" t="n">
        <f aca="false">C559-D559</f>
        <v>0</v>
      </c>
      <c r="F559" s="18" t="n">
        <f aca="false">INDEX(JE_Lines!$C$5:$C$1733,MATCH(A559,JE_Lines!$B$5:$B$1733,0))</f>
        <v>45909</v>
      </c>
      <c r="G559" s="18" t="n">
        <f aca="false">INDEX(JE_Lines!$D$5:$D$1733,MATCH(A559,JE_Lines!$B$5:$B$1733,0))</f>
        <v>45907</v>
      </c>
      <c r="H559" s="0" t="str">
        <f aca="false">INDEX(JE_Lines!$I$5:$I$1733,MATCH(A559,JE_Lines!$B$5:$B$1733,0))</f>
        <v>SYS_AR</v>
      </c>
      <c r="I559" s="0" t="str">
        <f aca="false">INDEX(JE_Lines!$J$5:$J$1733,MATCH(A559,JE_Lines!$B$5:$B$1733,0))</f>
        <v>System</v>
      </c>
      <c r="J559" s="0" t="str">
        <f aca="false">IF(LEN(INDEX(JE_Lines!$K$5:$K$1733,MATCH(A559,JE_Lines!$B$5:$B$1733,0)))=0,"",INDEX(JE_Lines!$K$5:$K$1733,MATCH(A559,JE_Lines!$B$5:$B$1733,0)))</f>
        <v>Sales invoice batch</v>
      </c>
      <c r="K559" s="9" t="n">
        <f aca="false">F559-G559</f>
        <v>2</v>
      </c>
      <c r="L559" s="9" t="n">
        <f aca="false">COUNTIFS(JE_Lines!$B$5:$B$1733,A559,JE_Lines!$F$5:$F$1733,"Revenue")</f>
        <v>1</v>
      </c>
      <c r="M559" s="9" t="n">
        <f aca="false">COUNTIFS(JE_Lines!$B$5:$B$1733,A559,JE_Lines!$F$5:$F$1733,"Suspense")</f>
        <v>0</v>
      </c>
      <c r="N559" s="9" t="n">
        <f aca="false">IF(ABS(E559)&gt;Parameters!$B$23,1,0)</f>
        <v>0</v>
      </c>
      <c r="O559" s="9" t="n">
        <f aca="false">IF(WEEKDAY(F559,2)&gt;5,1,0)</f>
        <v>0</v>
      </c>
      <c r="P559" s="9" t="n">
        <f aca="false">IF(K559&gt;Parameters!$B$17,1,0)</f>
        <v>0</v>
      </c>
      <c r="Q559" s="9" t="n">
        <f aca="false">IF(AND(F559&lt;=Parameters!$B$6,F559&gt;Parameters!$B$6-Parameters!$B$18),1,0)</f>
        <v>0</v>
      </c>
      <c r="R559" s="9" t="n">
        <f aca="false">IF(COUNTIF(Parameters!$A$51:$A$58,H559)=0,1,0)</f>
        <v>0</v>
      </c>
      <c r="S559" s="9" t="n">
        <f aca="false">IF(AND(I559="Manual",L559&gt;0),1,0)</f>
        <v>0</v>
      </c>
      <c r="T559" s="9" t="n">
        <f aca="false">IF(AND(C559&gt;=Parameters!$B$22,ROUND(MOD(ROUND(C559,2),Parameters!$B$21),2)=0),1,0)</f>
        <v>0</v>
      </c>
      <c r="U559" s="9" t="n">
        <f aca="false">IF(LEN(TRIM(J559))=0,1,0)</f>
        <v>0</v>
      </c>
      <c r="V559" s="9" t="n">
        <f aca="false">IF(AND(I559="Manual",C559&lt;Parameters!$B$19,C559&gt;=Parameters!$B$19*(1-Parameters!$B$20)),1,0)</f>
        <v>0</v>
      </c>
      <c r="W559" s="9" t="n">
        <f aca="false">IF(AND(I559="Manual",M559&gt;0),1,0)</f>
        <v>0</v>
      </c>
      <c r="X559" s="9" t="n">
        <f aca="false">IF(A559-A558&gt;1,1,0)</f>
        <v>0</v>
      </c>
      <c r="Y559" s="9" t="n">
        <f aca="false">N559*Parameters!$B$38+O559*Parameters!$B$39+P559*Parameters!$B$40+Q559*Parameters!$B$41+R559*Parameters!$B$42+S559*Parameters!$B$43+T559*Parameters!$B$44+U559*Parameters!$B$45+V559*Parameters!$B$46+W559*Parameters!$B$47+X559*Parameters!$B$48</f>
        <v>0</v>
      </c>
      <c r="Z559" s="0" t="str">
        <f aca="false">IF(Y559&gt;=Parameters!$B$25,"High","")</f>
        <v/>
      </c>
    </row>
    <row r="560" customFormat="false" ht="15" hidden="false" customHeight="false" outlineLevel="0" collapsed="false">
      <c r="A560" s="16" t="n">
        <v>1564</v>
      </c>
      <c r="B560" s="9" t="n">
        <f aca="false">COUNTIF(JE_Lines!$B$5:$B$1733,A560)</f>
        <v>2</v>
      </c>
      <c r="C560" s="17" t="n">
        <f aca="false">SUMIFS(JE_Lines!$G$5:$G$1733,JE_Lines!$B$5:$B$1733,A560)</f>
        <v>1200.7</v>
      </c>
      <c r="D560" s="17" t="n">
        <f aca="false">SUMIFS(JE_Lines!$H$5:$H$1733,JE_Lines!$B$5:$B$1733,A560)</f>
        <v>1200.7</v>
      </c>
      <c r="E560" s="17" t="n">
        <f aca="false">C560-D560</f>
        <v>0</v>
      </c>
      <c r="F560" s="18" t="n">
        <f aca="false">INDEX(JE_Lines!$C$5:$C$1733,MATCH(A560,JE_Lines!$B$5:$B$1733,0))</f>
        <v>45909</v>
      </c>
      <c r="G560" s="18" t="n">
        <f aca="false">INDEX(JE_Lines!$D$5:$D$1733,MATCH(A560,JE_Lines!$B$5:$B$1733,0))</f>
        <v>45905</v>
      </c>
      <c r="H560" s="0" t="str">
        <f aca="false">INDEX(JE_Lines!$I$5:$I$1733,MATCH(A560,JE_Lines!$B$5:$B$1733,0))</f>
        <v>SYS_AR</v>
      </c>
      <c r="I560" s="0" t="str">
        <f aca="false">INDEX(JE_Lines!$J$5:$J$1733,MATCH(A560,JE_Lines!$B$5:$B$1733,0))</f>
        <v>System</v>
      </c>
      <c r="J560" s="0" t="str">
        <f aca="false">IF(LEN(INDEX(JE_Lines!$K$5:$K$1733,MATCH(A560,JE_Lines!$B$5:$B$1733,0)))=0,"",INDEX(JE_Lines!$K$5:$K$1733,MATCH(A560,JE_Lines!$B$5:$B$1733,0)))</f>
        <v>Sales invoice batch</v>
      </c>
      <c r="K560" s="9" t="n">
        <f aca="false">F560-G560</f>
        <v>4</v>
      </c>
      <c r="L560" s="9" t="n">
        <f aca="false">COUNTIFS(JE_Lines!$B$5:$B$1733,A560,JE_Lines!$F$5:$F$1733,"Revenue")</f>
        <v>1</v>
      </c>
      <c r="M560" s="9" t="n">
        <f aca="false">COUNTIFS(JE_Lines!$B$5:$B$1733,A560,JE_Lines!$F$5:$F$1733,"Suspense")</f>
        <v>0</v>
      </c>
      <c r="N560" s="9" t="n">
        <f aca="false">IF(ABS(E560)&gt;Parameters!$B$23,1,0)</f>
        <v>0</v>
      </c>
      <c r="O560" s="9" t="n">
        <f aca="false">IF(WEEKDAY(F560,2)&gt;5,1,0)</f>
        <v>0</v>
      </c>
      <c r="P560" s="9" t="n">
        <f aca="false">IF(K560&gt;Parameters!$B$17,1,0)</f>
        <v>0</v>
      </c>
      <c r="Q560" s="9" t="n">
        <f aca="false">IF(AND(F560&lt;=Parameters!$B$6,F560&gt;Parameters!$B$6-Parameters!$B$18),1,0)</f>
        <v>0</v>
      </c>
      <c r="R560" s="9" t="n">
        <f aca="false">IF(COUNTIF(Parameters!$A$51:$A$58,H560)=0,1,0)</f>
        <v>0</v>
      </c>
      <c r="S560" s="9" t="n">
        <f aca="false">IF(AND(I560="Manual",L560&gt;0),1,0)</f>
        <v>0</v>
      </c>
      <c r="T560" s="9" t="n">
        <f aca="false">IF(AND(C560&gt;=Parameters!$B$22,ROUND(MOD(ROUND(C560,2),Parameters!$B$21),2)=0),1,0)</f>
        <v>0</v>
      </c>
      <c r="U560" s="9" t="n">
        <f aca="false">IF(LEN(TRIM(J560))=0,1,0)</f>
        <v>0</v>
      </c>
      <c r="V560" s="9" t="n">
        <f aca="false">IF(AND(I560="Manual",C560&lt;Parameters!$B$19,C560&gt;=Parameters!$B$19*(1-Parameters!$B$20)),1,0)</f>
        <v>0</v>
      </c>
      <c r="W560" s="9" t="n">
        <f aca="false">IF(AND(I560="Manual",M560&gt;0),1,0)</f>
        <v>0</v>
      </c>
      <c r="X560" s="9" t="n">
        <f aca="false">IF(A560-A559&gt;1,1,0)</f>
        <v>0</v>
      </c>
      <c r="Y560" s="9" t="n">
        <f aca="false">N560*Parameters!$B$38+O560*Parameters!$B$39+P560*Parameters!$B$40+Q560*Parameters!$B$41+R560*Parameters!$B$42+S560*Parameters!$B$43+T560*Parameters!$B$44+U560*Parameters!$B$45+V560*Parameters!$B$46+W560*Parameters!$B$47+X560*Parameters!$B$48</f>
        <v>0</v>
      </c>
      <c r="Z560" s="0" t="str">
        <f aca="false">IF(Y560&gt;=Parameters!$B$25,"High","")</f>
        <v/>
      </c>
    </row>
    <row r="561" customFormat="false" ht="15" hidden="false" customHeight="false" outlineLevel="0" collapsed="false">
      <c r="A561" s="16" t="n">
        <v>1565</v>
      </c>
      <c r="B561" s="9" t="n">
        <f aca="false">COUNTIF(JE_Lines!$B$5:$B$1733,A561)</f>
        <v>2</v>
      </c>
      <c r="C561" s="17" t="n">
        <f aca="false">SUMIFS(JE_Lines!$G$5:$G$1733,JE_Lines!$B$5:$B$1733,A561)</f>
        <v>18545.18</v>
      </c>
      <c r="D561" s="17" t="n">
        <f aca="false">SUMIFS(JE_Lines!$H$5:$H$1733,JE_Lines!$B$5:$B$1733,A561)</f>
        <v>18545.18</v>
      </c>
      <c r="E561" s="17" t="n">
        <f aca="false">C561-D561</f>
        <v>0</v>
      </c>
      <c r="F561" s="18" t="n">
        <f aca="false">INDEX(JE_Lines!$C$5:$C$1733,MATCH(A561,JE_Lines!$B$5:$B$1733,0))</f>
        <v>45909</v>
      </c>
      <c r="G561" s="18" t="n">
        <f aca="false">INDEX(JE_Lines!$D$5:$D$1733,MATCH(A561,JE_Lines!$B$5:$B$1733,0))</f>
        <v>45905</v>
      </c>
      <c r="H561" s="0" t="str">
        <f aca="false">INDEX(JE_Lines!$I$5:$I$1733,MATCH(A561,JE_Lines!$B$5:$B$1733,0))</f>
        <v>FIN03</v>
      </c>
      <c r="I561" s="0" t="str">
        <f aca="false">INDEX(JE_Lines!$J$5:$J$1733,MATCH(A561,JE_Lines!$B$5:$B$1733,0))</f>
        <v>Manual</v>
      </c>
      <c r="J561" s="0" t="str">
        <f aca="false">IF(LEN(INDEX(JE_Lines!$K$5:$K$1733,MATCH(A561,JE_Lines!$B$5:$B$1733,0)))=0,"",INDEX(JE_Lines!$K$5:$K$1733,MATCH(A561,JE_Lines!$B$5:$B$1733,0)))</f>
        <v>Accrual for sundry costs</v>
      </c>
      <c r="K561" s="9" t="n">
        <f aca="false">F561-G561</f>
        <v>4</v>
      </c>
      <c r="L561" s="9" t="n">
        <f aca="false">COUNTIFS(JE_Lines!$B$5:$B$1733,A561,JE_Lines!$F$5:$F$1733,"Revenue")</f>
        <v>0</v>
      </c>
      <c r="M561" s="9" t="n">
        <f aca="false">COUNTIFS(JE_Lines!$B$5:$B$1733,A561,JE_Lines!$F$5:$F$1733,"Suspense")</f>
        <v>0</v>
      </c>
      <c r="N561" s="9" t="n">
        <f aca="false">IF(ABS(E561)&gt;Parameters!$B$23,1,0)</f>
        <v>0</v>
      </c>
      <c r="O561" s="9" t="n">
        <f aca="false">IF(WEEKDAY(F561,2)&gt;5,1,0)</f>
        <v>0</v>
      </c>
      <c r="P561" s="9" t="n">
        <f aca="false">IF(K561&gt;Parameters!$B$17,1,0)</f>
        <v>0</v>
      </c>
      <c r="Q561" s="9" t="n">
        <f aca="false">IF(AND(F561&lt;=Parameters!$B$6,F561&gt;Parameters!$B$6-Parameters!$B$18),1,0)</f>
        <v>0</v>
      </c>
      <c r="R561" s="9" t="n">
        <f aca="false">IF(COUNTIF(Parameters!$A$51:$A$58,H561)=0,1,0)</f>
        <v>0</v>
      </c>
      <c r="S561" s="9" t="n">
        <f aca="false">IF(AND(I561="Manual",L561&gt;0),1,0)</f>
        <v>0</v>
      </c>
      <c r="T561" s="9" t="n">
        <f aca="false">IF(AND(C561&gt;=Parameters!$B$22,ROUND(MOD(ROUND(C561,2),Parameters!$B$21),2)=0),1,0)</f>
        <v>0</v>
      </c>
      <c r="U561" s="9" t="n">
        <f aca="false">IF(LEN(TRIM(J561))=0,1,0)</f>
        <v>0</v>
      </c>
      <c r="V561" s="9" t="n">
        <f aca="false">IF(AND(I561="Manual",C561&lt;Parameters!$B$19,C561&gt;=Parameters!$B$19*(1-Parameters!$B$20)),1,0)</f>
        <v>0</v>
      </c>
      <c r="W561" s="9" t="n">
        <f aca="false">IF(AND(I561="Manual",M561&gt;0),1,0)</f>
        <v>0</v>
      </c>
      <c r="X561" s="9" t="n">
        <f aca="false">IF(A561-A560&gt;1,1,0)</f>
        <v>0</v>
      </c>
      <c r="Y561" s="9" t="n">
        <f aca="false">N561*Parameters!$B$38+O561*Parameters!$B$39+P561*Parameters!$B$40+Q561*Parameters!$B$41+R561*Parameters!$B$42+S561*Parameters!$B$43+T561*Parameters!$B$44+U561*Parameters!$B$45+V561*Parameters!$B$46+W561*Parameters!$B$47+X561*Parameters!$B$48</f>
        <v>0</v>
      </c>
      <c r="Z561" s="0" t="str">
        <f aca="false">IF(Y561&gt;=Parameters!$B$25,"High","")</f>
        <v/>
      </c>
    </row>
    <row r="562" customFormat="false" ht="15" hidden="false" customHeight="false" outlineLevel="0" collapsed="false">
      <c r="A562" s="16" t="n">
        <v>1566</v>
      </c>
      <c r="B562" s="9" t="n">
        <f aca="false">COUNTIF(JE_Lines!$B$5:$B$1733,A562)</f>
        <v>3</v>
      </c>
      <c r="C562" s="17" t="n">
        <f aca="false">SUMIFS(JE_Lines!$G$5:$G$1733,JE_Lines!$B$5:$B$1733,A562)</f>
        <v>3295.01</v>
      </c>
      <c r="D562" s="17" t="n">
        <f aca="false">SUMIFS(JE_Lines!$H$5:$H$1733,JE_Lines!$B$5:$B$1733,A562)</f>
        <v>3295.01</v>
      </c>
      <c r="E562" s="17" t="n">
        <f aca="false">C562-D562</f>
        <v>0</v>
      </c>
      <c r="F562" s="18" t="n">
        <f aca="false">INDEX(JE_Lines!$C$5:$C$1733,MATCH(A562,JE_Lines!$B$5:$B$1733,0))</f>
        <v>45909</v>
      </c>
      <c r="G562" s="18" t="n">
        <f aca="false">INDEX(JE_Lines!$D$5:$D$1733,MATCH(A562,JE_Lines!$B$5:$B$1733,0))</f>
        <v>45909</v>
      </c>
      <c r="H562" s="0" t="str">
        <f aca="false">INDEX(JE_Lines!$I$5:$I$1733,MATCH(A562,JE_Lines!$B$5:$B$1733,0))</f>
        <v>SYS_AR</v>
      </c>
      <c r="I562" s="0" t="str">
        <f aca="false">INDEX(JE_Lines!$J$5:$J$1733,MATCH(A562,JE_Lines!$B$5:$B$1733,0))</f>
        <v>System</v>
      </c>
      <c r="J562" s="0" t="str">
        <f aca="false">IF(LEN(INDEX(JE_Lines!$K$5:$K$1733,MATCH(A562,JE_Lines!$B$5:$B$1733,0)))=0,"",INDEX(JE_Lines!$K$5:$K$1733,MATCH(A562,JE_Lines!$B$5:$B$1733,0)))</f>
        <v>Sales invoice batch</v>
      </c>
      <c r="K562" s="9" t="n">
        <f aca="false">F562-G562</f>
        <v>0</v>
      </c>
      <c r="L562" s="9" t="n">
        <f aca="false">COUNTIFS(JE_Lines!$B$5:$B$1733,A562,JE_Lines!$F$5:$F$1733,"Revenue")</f>
        <v>1</v>
      </c>
      <c r="M562" s="9" t="n">
        <f aca="false">COUNTIFS(JE_Lines!$B$5:$B$1733,A562,JE_Lines!$F$5:$F$1733,"Suspense")</f>
        <v>0</v>
      </c>
      <c r="N562" s="9" t="n">
        <f aca="false">IF(ABS(E562)&gt;Parameters!$B$23,1,0)</f>
        <v>0</v>
      </c>
      <c r="O562" s="9" t="n">
        <f aca="false">IF(WEEKDAY(F562,2)&gt;5,1,0)</f>
        <v>0</v>
      </c>
      <c r="P562" s="9" t="n">
        <f aca="false">IF(K562&gt;Parameters!$B$17,1,0)</f>
        <v>0</v>
      </c>
      <c r="Q562" s="9" t="n">
        <f aca="false">IF(AND(F562&lt;=Parameters!$B$6,F562&gt;Parameters!$B$6-Parameters!$B$18),1,0)</f>
        <v>0</v>
      </c>
      <c r="R562" s="9" t="n">
        <f aca="false">IF(COUNTIF(Parameters!$A$51:$A$58,H562)=0,1,0)</f>
        <v>0</v>
      </c>
      <c r="S562" s="9" t="n">
        <f aca="false">IF(AND(I562="Manual",L562&gt;0),1,0)</f>
        <v>0</v>
      </c>
      <c r="T562" s="9" t="n">
        <f aca="false">IF(AND(C562&gt;=Parameters!$B$22,ROUND(MOD(ROUND(C562,2),Parameters!$B$21),2)=0),1,0)</f>
        <v>0</v>
      </c>
      <c r="U562" s="9" t="n">
        <f aca="false">IF(LEN(TRIM(J562))=0,1,0)</f>
        <v>0</v>
      </c>
      <c r="V562" s="9" t="n">
        <f aca="false">IF(AND(I562="Manual",C562&lt;Parameters!$B$19,C562&gt;=Parameters!$B$19*(1-Parameters!$B$20)),1,0)</f>
        <v>0</v>
      </c>
      <c r="W562" s="9" t="n">
        <f aca="false">IF(AND(I562="Manual",M562&gt;0),1,0)</f>
        <v>0</v>
      </c>
      <c r="X562" s="9" t="n">
        <f aca="false">IF(A562-A561&gt;1,1,0)</f>
        <v>0</v>
      </c>
      <c r="Y562" s="9" t="n">
        <f aca="false">N562*Parameters!$B$38+O562*Parameters!$B$39+P562*Parameters!$B$40+Q562*Parameters!$B$41+R562*Parameters!$B$42+S562*Parameters!$B$43+T562*Parameters!$B$44+U562*Parameters!$B$45+V562*Parameters!$B$46+W562*Parameters!$B$47+X562*Parameters!$B$48</f>
        <v>0</v>
      </c>
      <c r="Z562" s="0" t="str">
        <f aca="false">IF(Y562&gt;=Parameters!$B$25,"High","")</f>
        <v/>
      </c>
    </row>
    <row r="563" customFormat="false" ht="15" hidden="false" customHeight="false" outlineLevel="0" collapsed="false">
      <c r="A563" s="16" t="n">
        <v>1567</v>
      </c>
      <c r="B563" s="9" t="n">
        <f aca="false">COUNTIF(JE_Lines!$B$5:$B$1733,A563)</f>
        <v>3</v>
      </c>
      <c r="C563" s="17" t="n">
        <f aca="false">SUMIFS(JE_Lines!$G$5:$G$1733,JE_Lines!$B$5:$B$1733,A563)</f>
        <v>787.41</v>
      </c>
      <c r="D563" s="17" t="n">
        <f aca="false">SUMIFS(JE_Lines!$H$5:$H$1733,JE_Lines!$B$5:$B$1733,A563)</f>
        <v>787.41</v>
      </c>
      <c r="E563" s="17" t="n">
        <f aca="false">C563-D563</f>
        <v>0</v>
      </c>
      <c r="F563" s="18" t="n">
        <f aca="false">INDEX(JE_Lines!$C$5:$C$1733,MATCH(A563,JE_Lines!$B$5:$B$1733,0))</f>
        <v>45909</v>
      </c>
      <c r="G563" s="18" t="n">
        <f aca="false">INDEX(JE_Lines!$D$5:$D$1733,MATCH(A563,JE_Lines!$B$5:$B$1733,0))</f>
        <v>45906</v>
      </c>
      <c r="H563" s="0" t="str">
        <f aca="false">INDEX(JE_Lines!$I$5:$I$1733,MATCH(A563,JE_Lines!$B$5:$B$1733,0))</f>
        <v>SYS_AR</v>
      </c>
      <c r="I563" s="0" t="str">
        <f aca="false">INDEX(JE_Lines!$J$5:$J$1733,MATCH(A563,JE_Lines!$B$5:$B$1733,0))</f>
        <v>System</v>
      </c>
      <c r="J563" s="0" t="str">
        <f aca="false">IF(LEN(INDEX(JE_Lines!$K$5:$K$1733,MATCH(A563,JE_Lines!$B$5:$B$1733,0)))=0,"",INDEX(JE_Lines!$K$5:$K$1733,MATCH(A563,JE_Lines!$B$5:$B$1733,0)))</f>
        <v>Customer receipts</v>
      </c>
      <c r="K563" s="9" t="n">
        <f aca="false">F563-G563</f>
        <v>3</v>
      </c>
      <c r="L563" s="9" t="n">
        <f aca="false">COUNTIFS(JE_Lines!$B$5:$B$1733,A563,JE_Lines!$F$5:$F$1733,"Revenue")</f>
        <v>0</v>
      </c>
      <c r="M563" s="9" t="n">
        <f aca="false">COUNTIFS(JE_Lines!$B$5:$B$1733,A563,JE_Lines!$F$5:$F$1733,"Suspense")</f>
        <v>0</v>
      </c>
      <c r="N563" s="9" t="n">
        <f aca="false">IF(ABS(E563)&gt;Parameters!$B$23,1,0)</f>
        <v>0</v>
      </c>
      <c r="O563" s="9" t="n">
        <f aca="false">IF(WEEKDAY(F563,2)&gt;5,1,0)</f>
        <v>0</v>
      </c>
      <c r="P563" s="9" t="n">
        <f aca="false">IF(K563&gt;Parameters!$B$17,1,0)</f>
        <v>0</v>
      </c>
      <c r="Q563" s="9" t="n">
        <f aca="false">IF(AND(F563&lt;=Parameters!$B$6,F563&gt;Parameters!$B$6-Parameters!$B$18),1,0)</f>
        <v>0</v>
      </c>
      <c r="R563" s="9" t="n">
        <f aca="false">IF(COUNTIF(Parameters!$A$51:$A$58,H563)=0,1,0)</f>
        <v>0</v>
      </c>
      <c r="S563" s="9" t="n">
        <f aca="false">IF(AND(I563="Manual",L563&gt;0),1,0)</f>
        <v>0</v>
      </c>
      <c r="T563" s="9" t="n">
        <f aca="false">IF(AND(C563&gt;=Parameters!$B$22,ROUND(MOD(ROUND(C563,2),Parameters!$B$21),2)=0),1,0)</f>
        <v>0</v>
      </c>
      <c r="U563" s="9" t="n">
        <f aca="false">IF(LEN(TRIM(J563))=0,1,0)</f>
        <v>0</v>
      </c>
      <c r="V563" s="9" t="n">
        <f aca="false">IF(AND(I563="Manual",C563&lt;Parameters!$B$19,C563&gt;=Parameters!$B$19*(1-Parameters!$B$20)),1,0)</f>
        <v>0</v>
      </c>
      <c r="W563" s="9" t="n">
        <f aca="false">IF(AND(I563="Manual",M563&gt;0),1,0)</f>
        <v>0</v>
      </c>
      <c r="X563" s="9" t="n">
        <f aca="false">IF(A563-A562&gt;1,1,0)</f>
        <v>0</v>
      </c>
      <c r="Y563" s="9" t="n">
        <f aca="false">N563*Parameters!$B$38+O563*Parameters!$B$39+P563*Parameters!$B$40+Q563*Parameters!$B$41+R563*Parameters!$B$42+S563*Parameters!$B$43+T563*Parameters!$B$44+U563*Parameters!$B$45+V563*Parameters!$B$46+W563*Parameters!$B$47+X563*Parameters!$B$48</f>
        <v>0</v>
      </c>
      <c r="Z563" s="0" t="str">
        <f aca="false">IF(Y563&gt;=Parameters!$B$25,"High","")</f>
        <v/>
      </c>
    </row>
    <row r="564" customFormat="false" ht="15" hidden="false" customHeight="false" outlineLevel="0" collapsed="false">
      <c r="A564" s="16" t="n">
        <v>1568</v>
      </c>
      <c r="B564" s="9" t="n">
        <f aca="false">COUNTIF(JE_Lines!$B$5:$B$1733,A564)</f>
        <v>3</v>
      </c>
      <c r="C564" s="17" t="n">
        <f aca="false">SUMIFS(JE_Lines!$G$5:$G$1733,JE_Lines!$B$5:$B$1733,A564)</f>
        <v>1220.97</v>
      </c>
      <c r="D564" s="17" t="n">
        <f aca="false">SUMIFS(JE_Lines!$H$5:$H$1733,JE_Lines!$B$5:$B$1733,A564)</f>
        <v>1220.97</v>
      </c>
      <c r="E564" s="17" t="n">
        <f aca="false">C564-D564</f>
        <v>0</v>
      </c>
      <c r="F564" s="18" t="n">
        <f aca="false">INDEX(JE_Lines!$C$5:$C$1733,MATCH(A564,JE_Lines!$B$5:$B$1733,0))</f>
        <v>45909</v>
      </c>
      <c r="G564" s="18" t="n">
        <f aca="false">INDEX(JE_Lines!$D$5:$D$1733,MATCH(A564,JE_Lines!$B$5:$B$1733,0))</f>
        <v>45905</v>
      </c>
      <c r="H564" s="0" t="str">
        <f aca="false">INDEX(JE_Lines!$I$5:$I$1733,MATCH(A564,JE_Lines!$B$5:$B$1733,0))</f>
        <v>SYS_PAY</v>
      </c>
      <c r="I564" s="0" t="str">
        <f aca="false">INDEX(JE_Lines!$J$5:$J$1733,MATCH(A564,JE_Lines!$B$5:$B$1733,0))</f>
        <v>System</v>
      </c>
      <c r="J564" s="0" t="str">
        <f aca="false">IF(LEN(INDEX(JE_Lines!$K$5:$K$1733,MATCH(A564,JE_Lines!$B$5:$B$1733,0)))=0,"",INDEX(JE_Lines!$K$5:$K$1733,MATCH(A564,JE_Lines!$B$5:$B$1733,0)))</f>
        <v>Supplier payments</v>
      </c>
      <c r="K564" s="9" t="n">
        <f aca="false">F564-G564</f>
        <v>4</v>
      </c>
      <c r="L564" s="9" t="n">
        <f aca="false">COUNTIFS(JE_Lines!$B$5:$B$1733,A564,JE_Lines!$F$5:$F$1733,"Revenue")</f>
        <v>0</v>
      </c>
      <c r="M564" s="9" t="n">
        <f aca="false">COUNTIFS(JE_Lines!$B$5:$B$1733,A564,JE_Lines!$F$5:$F$1733,"Suspense")</f>
        <v>0</v>
      </c>
      <c r="N564" s="9" t="n">
        <f aca="false">IF(ABS(E564)&gt;Parameters!$B$23,1,0)</f>
        <v>0</v>
      </c>
      <c r="O564" s="9" t="n">
        <f aca="false">IF(WEEKDAY(F564,2)&gt;5,1,0)</f>
        <v>0</v>
      </c>
      <c r="P564" s="9" t="n">
        <f aca="false">IF(K564&gt;Parameters!$B$17,1,0)</f>
        <v>0</v>
      </c>
      <c r="Q564" s="9" t="n">
        <f aca="false">IF(AND(F564&lt;=Parameters!$B$6,F564&gt;Parameters!$B$6-Parameters!$B$18),1,0)</f>
        <v>0</v>
      </c>
      <c r="R564" s="9" t="n">
        <f aca="false">IF(COUNTIF(Parameters!$A$51:$A$58,H564)=0,1,0)</f>
        <v>0</v>
      </c>
      <c r="S564" s="9" t="n">
        <f aca="false">IF(AND(I564="Manual",L564&gt;0),1,0)</f>
        <v>0</v>
      </c>
      <c r="T564" s="9" t="n">
        <f aca="false">IF(AND(C564&gt;=Parameters!$B$22,ROUND(MOD(ROUND(C564,2),Parameters!$B$21),2)=0),1,0)</f>
        <v>0</v>
      </c>
      <c r="U564" s="9" t="n">
        <f aca="false">IF(LEN(TRIM(J564))=0,1,0)</f>
        <v>0</v>
      </c>
      <c r="V564" s="9" t="n">
        <f aca="false">IF(AND(I564="Manual",C564&lt;Parameters!$B$19,C564&gt;=Parameters!$B$19*(1-Parameters!$B$20)),1,0)</f>
        <v>0</v>
      </c>
      <c r="W564" s="9" t="n">
        <f aca="false">IF(AND(I564="Manual",M564&gt;0),1,0)</f>
        <v>0</v>
      </c>
      <c r="X564" s="9" t="n">
        <f aca="false">IF(A564-A563&gt;1,1,0)</f>
        <v>0</v>
      </c>
      <c r="Y564" s="9" t="n">
        <f aca="false">N564*Parameters!$B$38+O564*Parameters!$B$39+P564*Parameters!$B$40+Q564*Parameters!$B$41+R564*Parameters!$B$42+S564*Parameters!$B$43+T564*Parameters!$B$44+U564*Parameters!$B$45+V564*Parameters!$B$46+W564*Parameters!$B$47+X564*Parameters!$B$48</f>
        <v>0</v>
      </c>
      <c r="Z564" s="0" t="str">
        <f aca="false">IF(Y564&gt;=Parameters!$B$25,"High","")</f>
        <v/>
      </c>
    </row>
    <row r="565" customFormat="false" ht="15" hidden="false" customHeight="false" outlineLevel="0" collapsed="false">
      <c r="A565" s="16" t="n">
        <v>1569</v>
      </c>
      <c r="B565" s="9" t="n">
        <f aca="false">COUNTIF(JE_Lines!$B$5:$B$1733,A565)</f>
        <v>2</v>
      </c>
      <c r="C565" s="17" t="n">
        <f aca="false">SUMIFS(JE_Lines!$G$5:$G$1733,JE_Lines!$B$5:$B$1733,A565)</f>
        <v>9761.28</v>
      </c>
      <c r="D565" s="17" t="n">
        <f aca="false">SUMIFS(JE_Lines!$H$5:$H$1733,JE_Lines!$B$5:$B$1733,A565)</f>
        <v>9761.28</v>
      </c>
      <c r="E565" s="17" t="n">
        <f aca="false">C565-D565</f>
        <v>0</v>
      </c>
      <c r="F565" s="18" t="n">
        <f aca="false">INDEX(JE_Lines!$C$5:$C$1733,MATCH(A565,JE_Lines!$B$5:$B$1733,0))</f>
        <v>45911</v>
      </c>
      <c r="G565" s="18" t="n">
        <f aca="false">INDEX(JE_Lines!$D$5:$D$1733,MATCH(A565,JE_Lines!$B$5:$B$1733,0))</f>
        <v>45909</v>
      </c>
      <c r="H565" s="0" t="str">
        <f aca="false">INDEX(JE_Lines!$I$5:$I$1733,MATCH(A565,JE_Lines!$B$5:$B$1733,0))</f>
        <v>SYS_AR</v>
      </c>
      <c r="I565" s="0" t="str">
        <f aca="false">INDEX(JE_Lines!$J$5:$J$1733,MATCH(A565,JE_Lines!$B$5:$B$1733,0))</f>
        <v>System</v>
      </c>
      <c r="J565" s="0" t="str">
        <f aca="false">IF(LEN(INDEX(JE_Lines!$K$5:$K$1733,MATCH(A565,JE_Lines!$B$5:$B$1733,0)))=0,"",INDEX(JE_Lines!$K$5:$K$1733,MATCH(A565,JE_Lines!$B$5:$B$1733,0)))</f>
        <v>Customer receipts</v>
      </c>
      <c r="K565" s="9" t="n">
        <f aca="false">F565-G565</f>
        <v>2</v>
      </c>
      <c r="L565" s="9" t="n">
        <f aca="false">COUNTIFS(JE_Lines!$B$5:$B$1733,A565,JE_Lines!$F$5:$F$1733,"Revenue")</f>
        <v>0</v>
      </c>
      <c r="M565" s="9" t="n">
        <f aca="false">COUNTIFS(JE_Lines!$B$5:$B$1733,A565,JE_Lines!$F$5:$F$1733,"Suspense")</f>
        <v>0</v>
      </c>
      <c r="N565" s="9" t="n">
        <f aca="false">IF(ABS(E565)&gt;Parameters!$B$23,1,0)</f>
        <v>0</v>
      </c>
      <c r="O565" s="9" t="n">
        <f aca="false">IF(WEEKDAY(F565,2)&gt;5,1,0)</f>
        <v>0</v>
      </c>
      <c r="P565" s="9" t="n">
        <f aca="false">IF(K565&gt;Parameters!$B$17,1,0)</f>
        <v>0</v>
      </c>
      <c r="Q565" s="9" t="n">
        <f aca="false">IF(AND(F565&lt;=Parameters!$B$6,F565&gt;Parameters!$B$6-Parameters!$B$18),1,0)</f>
        <v>0</v>
      </c>
      <c r="R565" s="9" t="n">
        <f aca="false">IF(COUNTIF(Parameters!$A$51:$A$58,H565)=0,1,0)</f>
        <v>0</v>
      </c>
      <c r="S565" s="9" t="n">
        <f aca="false">IF(AND(I565="Manual",L565&gt;0),1,0)</f>
        <v>0</v>
      </c>
      <c r="T565" s="9" t="n">
        <f aca="false">IF(AND(C565&gt;=Parameters!$B$22,ROUND(MOD(ROUND(C565,2),Parameters!$B$21),2)=0),1,0)</f>
        <v>0</v>
      </c>
      <c r="U565" s="9" t="n">
        <f aca="false">IF(LEN(TRIM(J565))=0,1,0)</f>
        <v>0</v>
      </c>
      <c r="V565" s="9" t="n">
        <f aca="false">IF(AND(I565="Manual",C565&lt;Parameters!$B$19,C565&gt;=Parameters!$B$19*(1-Parameters!$B$20)),1,0)</f>
        <v>0</v>
      </c>
      <c r="W565" s="9" t="n">
        <f aca="false">IF(AND(I565="Manual",M565&gt;0),1,0)</f>
        <v>0</v>
      </c>
      <c r="X565" s="9" t="n">
        <f aca="false">IF(A565-A564&gt;1,1,0)</f>
        <v>0</v>
      </c>
      <c r="Y565" s="9" t="n">
        <f aca="false">N565*Parameters!$B$38+O565*Parameters!$B$39+P565*Parameters!$B$40+Q565*Parameters!$B$41+R565*Parameters!$B$42+S565*Parameters!$B$43+T565*Parameters!$B$44+U565*Parameters!$B$45+V565*Parameters!$B$46+W565*Parameters!$B$47+X565*Parameters!$B$48</f>
        <v>0</v>
      </c>
      <c r="Z565" s="0" t="str">
        <f aca="false">IF(Y565&gt;=Parameters!$B$25,"High","")</f>
        <v/>
      </c>
    </row>
    <row r="566" customFormat="false" ht="15" hidden="false" customHeight="false" outlineLevel="0" collapsed="false">
      <c r="A566" s="16" t="n">
        <v>1570</v>
      </c>
      <c r="B566" s="9" t="n">
        <f aca="false">COUNTIF(JE_Lines!$B$5:$B$1733,A566)</f>
        <v>3</v>
      </c>
      <c r="C566" s="17" t="n">
        <f aca="false">SUMIFS(JE_Lines!$G$5:$G$1733,JE_Lines!$B$5:$B$1733,A566)</f>
        <v>1331.27</v>
      </c>
      <c r="D566" s="17" t="n">
        <f aca="false">SUMIFS(JE_Lines!$H$5:$H$1733,JE_Lines!$B$5:$B$1733,A566)</f>
        <v>1331.27</v>
      </c>
      <c r="E566" s="17" t="n">
        <f aca="false">C566-D566</f>
        <v>0</v>
      </c>
      <c r="F566" s="18" t="n">
        <f aca="false">INDEX(JE_Lines!$C$5:$C$1733,MATCH(A566,JE_Lines!$B$5:$B$1733,0))</f>
        <v>45911</v>
      </c>
      <c r="G566" s="18" t="n">
        <f aca="false">INDEX(JE_Lines!$D$5:$D$1733,MATCH(A566,JE_Lines!$B$5:$B$1733,0))</f>
        <v>45907</v>
      </c>
      <c r="H566" s="0" t="str">
        <f aca="false">INDEX(JE_Lines!$I$5:$I$1733,MATCH(A566,JE_Lines!$B$5:$B$1733,0))</f>
        <v>SYS_PAY</v>
      </c>
      <c r="I566" s="0" t="str">
        <f aca="false">INDEX(JE_Lines!$J$5:$J$1733,MATCH(A566,JE_Lines!$B$5:$B$1733,0))</f>
        <v>System</v>
      </c>
      <c r="J566" s="0" t="str">
        <f aca="false">IF(LEN(INDEX(JE_Lines!$K$5:$K$1733,MATCH(A566,JE_Lines!$B$5:$B$1733,0)))=0,"",INDEX(JE_Lines!$K$5:$K$1733,MATCH(A566,JE_Lines!$B$5:$B$1733,0)))</f>
        <v>Supplier payments</v>
      </c>
      <c r="K566" s="9" t="n">
        <f aca="false">F566-G566</f>
        <v>4</v>
      </c>
      <c r="L566" s="9" t="n">
        <f aca="false">COUNTIFS(JE_Lines!$B$5:$B$1733,A566,JE_Lines!$F$5:$F$1733,"Revenue")</f>
        <v>0</v>
      </c>
      <c r="M566" s="9" t="n">
        <f aca="false">COUNTIFS(JE_Lines!$B$5:$B$1733,A566,JE_Lines!$F$5:$F$1733,"Suspense")</f>
        <v>0</v>
      </c>
      <c r="N566" s="9" t="n">
        <f aca="false">IF(ABS(E566)&gt;Parameters!$B$23,1,0)</f>
        <v>0</v>
      </c>
      <c r="O566" s="9" t="n">
        <f aca="false">IF(WEEKDAY(F566,2)&gt;5,1,0)</f>
        <v>0</v>
      </c>
      <c r="P566" s="9" t="n">
        <f aca="false">IF(K566&gt;Parameters!$B$17,1,0)</f>
        <v>0</v>
      </c>
      <c r="Q566" s="9" t="n">
        <f aca="false">IF(AND(F566&lt;=Parameters!$B$6,F566&gt;Parameters!$B$6-Parameters!$B$18),1,0)</f>
        <v>0</v>
      </c>
      <c r="R566" s="9" t="n">
        <f aca="false">IF(COUNTIF(Parameters!$A$51:$A$58,H566)=0,1,0)</f>
        <v>0</v>
      </c>
      <c r="S566" s="9" t="n">
        <f aca="false">IF(AND(I566="Manual",L566&gt;0),1,0)</f>
        <v>0</v>
      </c>
      <c r="T566" s="9" t="n">
        <f aca="false">IF(AND(C566&gt;=Parameters!$B$22,ROUND(MOD(ROUND(C566,2),Parameters!$B$21),2)=0),1,0)</f>
        <v>0</v>
      </c>
      <c r="U566" s="9" t="n">
        <f aca="false">IF(LEN(TRIM(J566))=0,1,0)</f>
        <v>0</v>
      </c>
      <c r="V566" s="9" t="n">
        <f aca="false">IF(AND(I566="Manual",C566&lt;Parameters!$B$19,C566&gt;=Parameters!$B$19*(1-Parameters!$B$20)),1,0)</f>
        <v>0</v>
      </c>
      <c r="W566" s="9" t="n">
        <f aca="false">IF(AND(I566="Manual",M566&gt;0),1,0)</f>
        <v>0</v>
      </c>
      <c r="X566" s="9" t="n">
        <f aca="false">IF(A566-A565&gt;1,1,0)</f>
        <v>0</v>
      </c>
      <c r="Y566" s="9" t="n">
        <f aca="false">N566*Parameters!$B$38+O566*Parameters!$B$39+P566*Parameters!$B$40+Q566*Parameters!$B$41+R566*Parameters!$B$42+S566*Parameters!$B$43+T566*Parameters!$B$44+U566*Parameters!$B$45+V566*Parameters!$B$46+W566*Parameters!$B$47+X566*Parameters!$B$48</f>
        <v>0</v>
      </c>
      <c r="Z566" s="0" t="str">
        <f aca="false">IF(Y566&gt;=Parameters!$B$25,"High","")</f>
        <v/>
      </c>
    </row>
    <row r="567" customFormat="false" ht="15" hidden="false" customHeight="false" outlineLevel="0" collapsed="false">
      <c r="A567" s="16" t="n">
        <v>1571</v>
      </c>
      <c r="B567" s="9" t="n">
        <f aca="false">COUNTIF(JE_Lines!$B$5:$B$1733,A567)</f>
        <v>2</v>
      </c>
      <c r="C567" s="17" t="n">
        <f aca="false">SUMIFS(JE_Lines!$G$5:$G$1733,JE_Lines!$B$5:$B$1733,A567)</f>
        <v>2813.09</v>
      </c>
      <c r="D567" s="17" t="n">
        <f aca="false">SUMIFS(JE_Lines!$H$5:$H$1733,JE_Lines!$B$5:$B$1733,A567)</f>
        <v>2813.09</v>
      </c>
      <c r="E567" s="17" t="n">
        <f aca="false">C567-D567</f>
        <v>0</v>
      </c>
      <c r="F567" s="18" t="n">
        <f aca="false">INDEX(JE_Lines!$C$5:$C$1733,MATCH(A567,JE_Lines!$B$5:$B$1733,0))</f>
        <v>45912</v>
      </c>
      <c r="G567" s="18" t="n">
        <f aca="false">INDEX(JE_Lines!$D$5:$D$1733,MATCH(A567,JE_Lines!$B$5:$B$1733,0))</f>
        <v>45911</v>
      </c>
      <c r="H567" s="0" t="str">
        <f aca="false">INDEX(JE_Lines!$I$5:$I$1733,MATCH(A567,JE_Lines!$B$5:$B$1733,0))</f>
        <v>SYS_AR</v>
      </c>
      <c r="I567" s="0" t="str">
        <f aca="false">INDEX(JE_Lines!$J$5:$J$1733,MATCH(A567,JE_Lines!$B$5:$B$1733,0))</f>
        <v>System</v>
      </c>
      <c r="J567" s="0" t="str">
        <f aca="false">IF(LEN(INDEX(JE_Lines!$K$5:$K$1733,MATCH(A567,JE_Lines!$B$5:$B$1733,0)))=0,"",INDEX(JE_Lines!$K$5:$K$1733,MATCH(A567,JE_Lines!$B$5:$B$1733,0)))</f>
        <v>Customer receipts</v>
      </c>
      <c r="K567" s="9" t="n">
        <f aca="false">F567-G567</f>
        <v>1</v>
      </c>
      <c r="L567" s="9" t="n">
        <f aca="false">COUNTIFS(JE_Lines!$B$5:$B$1733,A567,JE_Lines!$F$5:$F$1733,"Revenue")</f>
        <v>0</v>
      </c>
      <c r="M567" s="9" t="n">
        <f aca="false">COUNTIFS(JE_Lines!$B$5:$B$1733,A567,JE_Lines!$F$5:$F$1733,"Suspense")</f>
        <v>0</v>
      </c>
      <c r="N567" s="9" t="n">
        <f aca="false">IF(ABS(E567)&gt;Parameters!$B$23,1,0)</f>
        <v>0</v>
      </c>
      <c r="O567" s="9" t="n">
        <f aca="false">IF(WEEKDAY(F567,2)&gt;5,1,0)</f>
        <v>0</v>
      </c>
      <c r="P567" s="9" t="n">
        <f aca="false">IF(K567&gt;Parameters!$B$17,1,0)</f>
        <v>0</v>
      </c>
      <c r="Q567" s="9" t="n">
        <f aca="false">IF(AND(F567&lt;=Parameters!$B$6,F567&gt;Parameters!$B$6-Parameters!$B$18),1,0)</f>
        <v>0</v>
      </c>
      <c r="R567" s="9" t="n">
        <f aca="false">IF(COUNTIF(Parameters!$A$51:$A$58,H567)=0,1,0)</f>
        <v>0</v>
      </c>
      <c r="S567" s="9" t="n">
        <f aca="false">IF(AND(I567="Manual",L567&gt;0),1,0)</f>
        <v>0</v>
      </c>
      <c r="T567" s="9" t="n">
        <f aca="false">IF(AND(C567&gt;=Parameters!$B$22,ROUND(MOD(ROUND(C567,2),Parameters!$B$21),2)=0),1,0)</f>
        <v>0</v>
      </c>
      <c r="U567" s="9" t="n">
        <f aca="false">IF(LEN(TRIM(J567))=0,1,0)</f>
        <v>0</v>
      </c>
      <c r="V567" s="9" t="n">
        <f aca="false">IF(AND(I567="Manual",C567&lt;Parameters!$B$19,C567&gt;=Parameters!$B$19*(1-Parameters!$B$20)),1,0)</f>
        <v>0</v>
      </c>
      <c r="W567" s="9" t="n">
        <f aca="false">IF(AND(I567="Manual",M567&gt;0),1,0)</f>
        <v>0</v>
      </c>
      <c r="X567" s="9" t="n">
        <f aca="false">IF(A567-A566&gt;1,1,0)</f>
        <v>0</v>
      </c>
      <c r="Y567" s="9" t="n">
        <f aca="false">N567*Parameters!$B$38+O567*Parameters!$B$39+P567*Parameters!$B$40+Q567*Parameters!$B$41+R567*Parameters!$B$42+S567*Parameters!$B$43+T567*Parameters!$B$44+U567*Parameters!$B$45+V567*Parameters!$B$46+W567*Parameters!$B$47+X567*Parameters!$B$48</f>
        <v>0</v>
      </c>
      <c r="Z567" s="0" t="str">
        <f aca="false">IF(Y567&gt;=Parameters!$B$25,"High","")</f>
        <v/>
      </c>
    </row>
    <row r="568" customFormat="false" ht="15" hidden="false" customHeight="false" outlineLevel="0" collapsed="false">
      <c r="A568" s="16" t="n">
        <v>1572</v>
      </c>
      <c r="B568" s="9" t="n">
        <f aca="false">COUNTIF(JE_Lines!$B$5:$B$1733,A568)</f>
        <v>2</v>
      </c>
      <c r="C568" s="17" t="n">
        <f aca="false">SUMIFS(JE_Lines!$G$5:$G$1733,JE_Lines!$B$5:$B$1733,A568)</f>
        <v>49628.45</v>
      </c>
      <c r="D568" s="17" t="n">
        <f aca="false">SUMIFS(JE_Lines!$H$5:$H$1733,JE_Lines!$B$5:$B$1733,A568)</f>
        <v>49628.45</v>
      </c>
      <c r="E568" s="17" t="n">
        <f aca="false">C568-D568</f>
        <v>0</v>
      </c>
      <c r="F568" s="18" t="n">
        <f aca="false">INDEX(JE_Lines!$C$5:$C$1733,MATCH(A568,JE_Lines!$B$5:$B$1733,0))</f>
        <v>45912</v>
      </c>
      <c r="G568" s="18" t="n">
        <f aca="false">INDEX(JE_Lines!$D$5:$D$1733,MATCH(A568,JE_Lines!$B$5:$B$1733,0))</f>
        <v>45911</v>
      </c>
      <c r="H568" s="0" t="str">
        <f aca="false">INDEX(JE_Lines!$I$5:$I$1733,MATCH(A568,JE_Lines!$B$5:$B$1733,0))</f>
        <v>SYS_AR</v>
      </c>
      <c r="I568" s="0" t="str">
        <f aca="false">INDEX(JE_Lines!$J$5:$J$1733,MATCH(A568,JE_Lines!$B$5:$B$1733,0))</f>
        <v>System</v>
      </c>
      <c r="J568" s="0" t="str">
        <f aca="false">IF(LEN(INDEX(JE_Lines!$K$5:$K$1733,MATCH(A568,JE_Lines!$B$5:$B$1733,0)))=0,"",INDEX(JE_Lines!$K$5:$K$1733,MATCH(A568,JE_Lines!$B$5:$B$1733,0)))</f>
        <v>Sales invoice batch</v>
      </c>
      <c r="K568" s="9" t="n">
        <f aca="false">F568-G568</f>
        <v>1</v>
      </c>
      <c r="L568" s="9" t="n">
        <f aca="false">COUNTIFS(JE_Lines!$B$5:$B$1733,A568,JE_Lines!$F$5:$F$1733,"Revenue")</f>
        <v>1</v>
      </c>
      <c r="M568" s="9" t="n">
        <f aca="false">COUNTIFS(JE_Lines!$B$5:$B$1733,A568,JE_Lines!$F$5:$F$1733,"Suspense")</f>
        <v>0</v>
      </c>
      <c r="N568" s="9" t="n">
        <f aca="false">IF(ABS(E568)&gt;Parameters!$B$23,1,0)</f>
        <v>0</v>
      </c>
      <c r="O568" s="9" t="n">
        <f aca="false">IF(WEEKDAY(F568,2)&gt;5,1,0)</f>
        <v>0</v>
      </c>
      <c r="P568" s="9" t="n">
        <f aca="false">IF(K568&gt;Parameters!$B$17,1,0)</f>
        <v>0</v>
      </c>
      <c r="Q568" s="9" t="n">
        <f aca="false">IF(AND(F568&lt;=Parameters!$B$6,F568&gt;Parameters!$B$6-Parameters!$B$18),1,0)</f>
        <v>0</v>
      </c>
      <c r="R568" s="9" t="n">
        <f aca="false">IF(COUNTIF(Parameters!$A$51:$A$58,H568)=0,1,0)</f>
        <v>0</v>
      </c>
      <c r="S568" s="9" t="n">
        <f aca="false">IF(AND(I568="Manual",L568&gt;0),1,0)</f>
        <v>0</v>
      </c>
      <c r="T568" s="9" t="n">
        <f aca="false">IF(AND(C568&gt;=Parameters!$B$22,ROUND(MOD(ROUND(C568,2),Parameters!$B$21),2)=0),1,0)</f>
        <v>0</v>
      </c>
      <c r="U568" s="9" t="n">
        <f aca="false">IF(LEN(TRIM(J568))=0,1,0)</f>
        <v>0</v>
      </c>
      <c r="V568" s="9" t="n">
        <f aca="false">IF(AND(I568="Manual",C568&lt;Parameters!$B$19,C568&gt;=Parameters!$B$19*(1-Parameters!$B$20)),1,0)</f>
        <v>0</v>
      </c>
      <c r="W568" s="9" t="n">
        <f aca="false">IF(AND(I568="Manual",M568&gt;0),1,0)</f>
        <v>0</v>
      </c>
      <c r="X568" s="9" t="n">
        <f aca="false">IF(A568-A567&gt;1,1,0)</f>
        <v>0</v>
      </c>
      <c r="Y568" s="9" t="n">
        <f aca="false">N568*Parameters!$B$38+O568*Parameters!$B$39+P568*Parameters!$B$40+Q568*Parameters!$B$41+R568*Parameters!$B$42+S568*Parameters!$B$43+T568*Parameters!$B$44+U568*Parameters!$B$45+V568*Parameters!$B$46+W568*Parameters!$B$47+X568*Parameters!$B$48</f>
        <v>0</v>
      </c>
      <c r="Z568" s="0" t="str">
        <f aca="false">IF(Y568&gt;=Parameters!$B$25,"High","")</f>
        <v/>
      </c>
    </row>
    <row r="569" customFormat="false" ht="15" hidden="false" customHeight="false" outlineLevel="0" collapsed="false">
      <c r="A569" s="16" t="n">
        <v>1573</v>
      </c>
      <c r="B569" s="9" t="n">
        <f aca="false">COUNTIF(JE_Lines!$B$5:$B$1733,A569)</f>
        <v>2</v>
      </c>
      <c r="C569" s="17" t="n">
        <f aca="false">SUMIFS(JE_Lines!$G$5:$G$1733,JE_Lines!$B$5:$B$1733,A569)</f>
        <v>984.28</v>
      </c>
      <c r="D569" s="17" t="n">
        <f aca="false">SUMIFS(JE_Lines!$H$5:$H$1733,JE_Lines!$B$5:$B$1733,A569)</f>
        <v>984.28</v>
      </c>
      <c r="E569" s="17" t="n">
        <f aca="false">C569-D569</f>
        <v>0</v>
      </c>
      <c r="F569" s="18" t="n">
        <f aca="false">INDEX(JE_Lines!$C$5:$C$1733,MATCH(A569,JE_Lines!$B$5:$B$1733,0))</f>
        <v>45914</v>
      </c>
      <c r="G569" s="18" t="n">
        <f aca="false">INDEX(JE_Lines!$D$5:$D$1733,MATCH(A569,JE_Lines!$B$5:$B$1733,0))</f>
        <v>45913</v>
      </c>
      <c r="H569" s="0" t="str">
        <f aca="false">INDEX(JE_Lines!$I$5:$I$1733,MATCH(A569,JE_Lines!$B$5:$B$1733,0))</f>
        <v>SYS_AR</v>
      </c>
      <c r="I569" s="0" t="str">
        <f aca="false">INDEX(JE_Lines!$J$5:$J$1733,MATCH(A569,JE_Lines!$B$5:$B$1733,0))</f>
        <v>System</v>
      </c>
      <c r="J569" s="0" t="str">
        <f aca="false">IF(LEN(INDEX(JE_Lines!$K$5:$K$1733,MATCH(A569,JE_Lines!$B$5:$B$1733,0)))=0,"",INDEX(JE_Lines!$K$5:$K$1733,MATCH(A569,JE_Lines!$B$5:$B$1733,0)))</f>
        <v>Cost of sales posting</v>
      </c>
      <c r="K569" s="9" t="n">
        <f aca="false">F569-G569</f>
        <v>1</v>
      </c>
      <c r="L569" s="9" t="n">
        <f aca="false">COUNTIFS(JE_Lines!$B$5:$B$1733,A569,JE_Lines!$F$5:$F$1733,"Revenue")</f>
        <v>0</v>
      </c>
      <c r="M569" s="9" t="n">
        <f aca="false">COUNTIFS(JE_Lines!$B$5:$B$1733,A569,JE_Lines!$F$5:$F$1733,"Suspense")</f>
        <v>0</v>
      </c>
      <c r="N569" s="9" t="n">
        <f aca="false">IF(ABS(E569)&gt;Parameters!$B$23,1,0)</f>
        <v>0</v>
      </c>
      <c r="O569" s="9" t="n">
        <f aca="false">IF(WEEKDAY(F569,2)&gt;5,1,0)</f>
        <v>1</v>
      </c>
      <c r="P569" s="9" t="n">
        <f aca="false">IF(K569&gt;Parameters!$B$17,1,0)</f>
        <v>0</v>
      </c>
      <c r="Q569" s="9" t="n">
        <f aca="false">IF(AND(F569&lt;=Parameters!$B$6,F569&gt;Parameters!$B$6-Parameters!$B$18),1,0)</f>
        <v>0</v>
      </c>
      <c r="R569" s="9" t="n">
        <f aca="false">IF(COUNTIF(Parameters!$A$51:$A$58,H569)=0,1,0)</f>
        <v>0</v>
      </c>
      <c r="S569" s="9" t="n">
        <f aca="false">IF(AND(I569="Manual",L569&gt;0),1,0)</f>
        <v>0</v>
      </c>
      <c r="T569" s="9" t="n">
        <f aca="false">IF(AND(C569&gt;=Parameters!$B$22,ROUND(MOD(ROUND(C569,2),Parameters!$B$21),2)=0),1,0)</f>
        <v>0</v>
      </c>
      <c r="U569" s="9" t="n">
        <f aca="false">IF(LEN(TRIM(J569))=0,1,0)</f>
        <v>0</v>
      </c>
      <c r="V569" s="9" t="n">
        <f aca="false">IF(AND(I569="Manual",C569&lt;Parameters!$B$19,C569&gt;=Parameters!$B$19*(1-Parameters!$B$20)),1,0)</f>
        <v>0</v>
      </c>
      <c r="W569" s="9" t="n">
        <f aca="false">IF(AND(I569="Manual",M569&gt;0),1,0)</f>
        <v>0</v>
      </c>
      <c r="X569" s="9" t="n">
        <f aca="false">IF(A569-A568&gt;1,1,0)</f>
        <v>0</v>
      </c>
      <c r="Y569" s="9" t="n">
        <f aca="false">N569*Parameters!$B$38+O569*Parameters!$B$39+P569*Parameters!$B$40+Q569*Parameters!$B$41+R569*Parameters!$B$42+S569*Parameters!$B$43+T569*Parameters!$B$44+U569*Parameters!$B$45+V569*Parameters!$B$46+W569*Parameters!$B$47+X569*Parameters!$B$48</f>
        <v>2</v>
      </c>
      <c r="Z569" s="0" t="str">
        <f aca="false">IF(Y569&gt;=Parameters!$B$25,"High","")</f>
        <v/>
      </c>
    </row>
    <row r="570" customFormat="false" ht="15" hidden="false" customHeight="false" outlineLevel="0" collapsed="false">
      <c r="A570" s="16" t="n">
        <v>1574</v>
      </c>
      <c r="B570" s="9" t="n">
        <f aca="false">COUNTIF(JE_Lines!$B$5:$B$1733,A570)</f>
        <v>2</v>
      </c>
      <c r="C570" s="17" t="n">
        <f aca="false">SUMIFS(JE_Lines!$G$5:$G$1733,JE_Lines!$B$5:$B$1733,A570)</f>
        <v>233.51</v>
      </c>
      <c r="D570" s="17" t="n">
        <f aca="false">SUMIFS(JE_Lines!$H$5:$H$1733,JE_Lines!$B$5:$B$1733,A570)</f>
        <v>233.51</v>
      </c>
      <c r="E570" s="17" t="n">
        <f aca="false">C570-D570</f>
        <v>0</v>
      </c>
      <c r="F570" s="18" t="n">
        <f aca="false">INDEX(JE_Lines!$C$5:$C$1733,MATCH(A570,JE_Lines!$B$5:$B$1733,0))</f>
        <v>45915</v>
      </c>
      <c r="G570" s="18" t="n">
        <f aca="false">INDEX(JE_Lines!$D$5:$D$1733,MATCH(A570,JE_Lines!$B$5:$B$1733,0))</f>
        <v>45915</v>
      </c>
      <c r="H570" s="0" t="str">
        <f aca="false">INDEX(JE_Lines!$I$5:$I$1733,MATCH(A570,JE_Lines!$B$5:$B$1733,0))</f>
        <v>FIN03</v>
      </c>
      <c r="I570" s="0" t="str">
        <f aca="false">INDEX(JE_Lines!$J$5:$J$1733,MATCH(A570,JE_Lines!$B$5:$B$1733,0))</f>
        <v>Manual</v>
      </c>
      <c r="J570" s="0" t="str">
        <f aca="false">IF(LEN(INDEX(JE_Lines!$K$5:$K$1733,MATCH(A570,JE_Lines!$B$5:$B$1733,0)))=0,"",INDEX(JE_Lines!$K$5:$K$1733,MATCH(A570,JE_Lines!$B$5:$B$1733,0)))</f>
        <v>Suspense clearing 4</v>
      </c>
      <c r="K570" s="9" t="n">
        <f aca="false">F570-G570</f>
        <v>0</v>
      </c>
      <c r="L570" s="9" t="n">
        <f aca="false">COUNTIFS(JE_Lines!$B$5:$B$1733,A570,JE_Lines!$F$5:$F$1733,"Revenue")</f>
        <v>0</v>
      </c>
      <c r="M570" s="9" t="n">
        <f aca="false">COUNTIFS(JE_Lines!$B$5:$B$1733,A570,JE_Lines!$F$5:$F$1733,"Suspense")</f>
        <v>1</v>
      </c>
      <c r="N570" s="9" t="n">
        <f aca="false">IF(ABS(E570)&gt;Parameters!$B$23,1,0)</f>
        <v>0</v>
      </c>
      <c r="O570" s="9" t="n">
        <f aca="false">IF(WEEKDAY(F570,2)&gt;5,1,0)</f>
        <v>0</v>
      </c>
      <c r="P570" s="9" t="n">
        <f aca="false">IF(K570&gt;Parameters!$B$17,1,0)</f>
        <v>0</v>
      </c>
      <c r="Q570" s="9" t="n">
        <f aca="false">IF(AND(F570&lt;=Parameters!$B$6,F570&gt;Parameters!$B$6-Parameters!$B$18),1,0)</f>
        <v>0</v>
      </c>
      <c r="R570" s="9" t="n">
        <f aca="false">IF(COUNTIF(Parameters!$A$51:$A$58,H570)=0,1,0)</f>
        <v>0</v>
      </c>
      <c r="S570" s="9" t="n">
        <f aca="false">IF(AND(I570="Manual",L570&gt;0),1,0)</f>
        <v>0</v>
      </c>
      <c r="T570" s="9" t="n">
        <f aca="false">IF(AND(C570&gt;=Parameters!$B$22,ROUND(MOD(ROUND(C570,2),Parameters!$B$21),2)=0),1,0)</f>
        <v>0</v>
      </c>
      <c r="U570" s="9" t="n">
        <f aca="false">IF(LEN(TRIM(J570))=0,1,0)</f>
        <v>0</v>
      </c>
      <c r="V570" s="9" t="n">
        <f aca="false">IF(AND(I570="Manual",C570&lt;Parameters!$B$19,C570&gt;=Parameters!$B$19*(1-Parameters!$B$20)),1,0)</f>
        <v>0</v>
      </c>
      <c r="W570" s="9" t="n">
        <f aca="false">IF(AND(I570="Manual",M570&gt;0),1,0)</f>
        <v>1</v>
      </c>
      <c r="X570" s="9" t="n">
        <f aca="false">IF(A570-A569&gt;1,1,0)</f>
        <v>0</v>
      </c>
      <c r="Y570" s="9" t="n">
        <f aca="false">N570*Parameters!$B$38+O570*Parameters!$B$39+P570*Parameters!$B$40+Q570*Parameters!$B$41+R570*Parameters!$B$42+S570*Parameters!$B$43+T570*Parameters!$B$44+U570*Parameters!$B$45+V570*Parameters!$B$46+W570*Parameters!$B$47+X570*Parameters!$B$48</f>
        <v>2</v>
      </c>
      <c r="Z570" s="0" t="str">
        <f aca="false">IF(Y570&gt;=Parameters!$B$25,"High","")</f>
        <v/>
      </c>
    </row>
    <row r="571" customFormat="false" ht="15" hidden="false" customHeight="false" outlineLevel="0" collapsed="false">
      <c r="A571" s="16" t="n">
        <v>1575</v>
      </c>
      <c r="B571" s="9" t="n">
        <f aca="false">COUNTIF(JE_Lines!$B$5:$B$1733,A571)</f>
        <v>2</v>
      </c>
      <c r="C571" s="17" t="n">
        <f aca="false">SUMIFS(JE_Lines!$G$5:$G$1733,JE_Lines!$B$5:$B$1733,A571)</f>
        <v>1585.33</v>
      </c>
      <c r="D571" s="17" t="n">
        <f aca="false">SUMIFS(JE_Lines!$H$5:$H$1733,JE_Lines!$B$5:$B$1733,A571)</f>
        <v>1585.33</v>
      </c>
      <c r="E571" s="17" t="n">
        <f aca="false">C571-D571</f>
        <v>0</v>
      </c>
      <c r="F571" s="18" t="n">
        <f aca="false">INDEX(JE_Lines!$C$5:$C$1733,MATCH(A571,JE_Lines!$B$5:$B$1733,0))</f>
        <v>45915</v>
      </c>
      <c r="G571" s="18" t="n">
        <f aca="false">INDEX(JE_Lines!$D$5:$D$1733,MATCH(A571,JE_Lines!$B$5:$B$1733,0))</f>
        <v>45915</v>
      </c>
      <c r="H571" s="0" t="str">
        <f aca="false">INDEX(JE_Lines!$I$5:$I$1733,MATCH(A571,JE_Lines!$B$5:$B$1733,0))</f>
        <v>SYS_PAY</v>
      </c>
      <c r="I571" s="0" t="str">
        <f aca="false">INDEX(JE_Lines!$J$5:$J$1733,MATCH(A571,JE_Lines!$B$5:$B$1733,0))</f>
        <v>System</v>
      </c>
      <c r="J571" s="0" t="str">
        <f aca="false">IF(LEN(INDEX(JE_Lines!$K$5:$K$1733,MATCH(A571,JE_Lines!$B$5:$B$1733,0)))=0,"",INDEX(JE_Lines!$K$5:$K$1733,MATCH(A571,JE_Lines!$B$5:$B$1733,0)))</f>
        <v>Supplier payments</v>
      </c>
      <c r="K571" s="9" t="n">
        <f aca="false">F571-G571</f>
        <v>0</v>
      </c>
      <c r="L571" s="9" t="n">
        <f aca="false">COUNTIFS(JE_Lines!$B$5:$B$1733,A571,JE_Lines!$F$5:$F$1733,"Revenue")</f>
        <v>0</v>
      </c>
      <c r="M571" s="9" t="n">
        <f aca="false">COUNTIFS(JE_Lines!$B$5:$B$1733,A571,JE_Lines!$F$5:$F$1733,"Suspense")</f>
        <v>0</v>
      </c>
      <c r="N571" s="9" t="n">
        <f aca="false">IF(ABS(E571)&gt;Parameters!$B$23,1,0)</f>
        <v>0</v>
      </c>
      <c r="O571" s="9" t="n">
        <f aca="false">IF(WEEKDAY(F571,2)&gt;5,1,0)</f>
        <v>0</v>
      </c>
      <c r="P571" s="9" t="n">
        <f aca="false">IF(K571&gt;Parameters!$B$17,1,0)</f>
        <v>0</v>
      </c>
      <c r="Q571" s="9" t="n">
        <f aca="false">IF(AND(F571&lt;=Parameters!$B$6,F571&gt;Parameters!$B$6-Parameters!$B$18),1,0)</f>
        <v>0</v>
      </c>
      <c r="R571" s="9" t="n">
        <f aca="false">IF(COUNTIF(Parameters!$A$51:$A$58,H571)=0,1,0)</f>
        <v>0</v>
      </c>
      <c r="S571" s="9" t="n">
        <f aca="false">IF(AND(I571="Manual",L571&gt;0),1,0)</f>
        <v>0</v>
      </c>
      <c r="T571" s="9" t="n">
        <f aca="false">IF(AND(C571&gt;=Parameters!$B$22,ROUND(MOD(ROUND(C571,2),Parameters!$B$21),2)=0),1,0)</f>
        <v>0</v>
      </c>
      <c r="U571" s="9" t="n">
        <f aca="false">IF(LEN(TRIM(J571))=0,1,0)</f>
        <v>0</v>
      </c>
      <c r="V571" s="9" t="n">
        <f aca="false">IF(AND(I571="Manual",C571&lt;Parameters!$B$19,C571&gt;=Parameters!$B$19*(1-Parameters!$B$20)),1,0)</f>
        <v>0</v>
      </c>
      <c r="W571" s="9" t="n">
        <f aca="false">IF(AND(I571="Manual",M571&gt;0),1,0)</f>
        <v>0</v>
      </c>
      <c r="X571" s="9" t="n">
        <f aca="false">IF(A571-A570&gt;1,1,0)</f>
        <v>0</v>
      </c>
      <c r="Y571" s="9" t="n">
        <f aca="false">N571*Parameters!$B$38+O571*Parameters!$B$39+P571*Parameters!$B$40+Q571*Parameters!$B$41+R571*Parameters!$B$42+S571*Parameters!$B$43+T571*Parameters!$B$44+U571*Parameters!$B$45+V571*Parameters!$B$46+W571*Parameters!$B$47+X571*Parameters!$B$48</f>
        <v>0</v>
      </c>
      <c r="Z571" s="0" t="str">
        <f aca="false">IF(Y571&gt;=Parameters!$B$25,"High","")</f>
        <v/>
      </c>
    </row>
    <row r="572" customFormat="false" ht="15" hidden="false" customHeight="false" outlineLevel="0" collapsed="false">
      <c r="A572" s="16" t="n">
        <v>1576</v>
      </c>
      <c r="B572" s="9" t="n">
        <f aca="false">COUNTIF(JE_Lines!$B$5:$B$1733,A572)</f>
        <v>2</v>
      </c>
      <c r="C572" s="17" t="n">
        <f aca="false">SUMIFS(JE_Lines!$G$5:$G$1733,JE_Lines!$B$5:$B$1733,A572)</f>
        <v>1561.27</v>
      </c>
      <c r="D572" s="17" t="n">
        <f aca="false">SUMIFS(JE_Lines!$H$5:$H$1733,JE_Lines!$B$5:$B$1733,A572)</f>
        <v>1561.27</v>
      </c>
      <c r="E572" s="17" t="n">
        <f aca="false">C572-D572</f>
        <v>0</v>
      </c>
      <c r="F572" s="18" t="n">
        <f aca="false">INDEX(JE_Lines!$C$5:$C$1733,MATCH(A572,JE_Lines!$B$5:$B$1733,0))</f>
        <v>45916</v>
      </c>
      <c r="G572" s="18" t="n">
        <f aca="false">INDEX(JE_Lines!$D$5:$D$1733,MATCH(A572,JE_Lines!$B$5:$B$1733,0))</f>
        <v>45913</v>
      </c>
      <c r="H572" s="0" t="str">
        <f aca="false">INDEX(JE_Lines!$I$5:$I$1733,MATCH(A572,JE_Lines!$B$5:$B$1733,0))</f>
        <v>SYS_AR</v>
      </c>
      <c r="I572" s="0" t="str">
        <f aca="false">INDEX(JE_Lines!$J$5:$J$1733,MATCH(A572,JE_Lines!$B$5:$B$1733,0))</f>
        <v>System</v>
      </c>
      <c r="J572" s="0" t="str">
        <f aca="false">IF(LEN(INDEX(JE_Lines!$K$5:$K$1733,MATCH(A572,JE_Lines!$B$5:$B$1733,0)))=0,"",INDEX(JE_Lines!$K$5:$K$1733,MATCH(A572,JE_Lines!$B$5:$B$1733,0)))</f>
        <v>Customer receipts</v>
      </c>
      <c r="K572" s="9" t="n">
        <f aca="false">F572-G572</f>
        <v>3</v>
      </c>
      <c r="L572" s="9" t="n">
        <f aca="false">COUNTIFS(JE_Lines!$B$5:$B$1733,A572,JE_Lines!$F$5:$F$1733,"Revenue")</f>
        <v>0</v>
      </c>
      <c r="M572" s="9" t="n">
        <f aca="false">COUNTIFS(JE_Lines!$B$5:$B$1733,A572,JE_Lines!$F$5:$F$1733,"Suspense")</f>
        <v>0</v>
      </c>
      <c r="N572" s="9" t="n">
        <f aca="false">IF(ABS(E572)&gt;Parameters!$B$23,1,0)</f>
        <v>0</v>
      </c>
      <c r="O572" s="9" t="n">
        <f aca="false">IF(WEEKDAY(F572,2)&gt;5,1,0)</f>
        <v>0</v>
      </c>
      <c r="P572" s="9" t="n">
        <f aca="false">IF(K572&gt;Parameters!$B$17,1,0)</f>
        <v>0</v>
      </c>
      <c r="Q572" s="9" t="n">
        <f aca="false">IF(AND(F572&lt;=Parameters!$B$6,F572&gt;Parameters!$B$6-Parameters!$B$18),1,0)</f>
        <v>0</v>
      </c>
      <c r="R572" s="9" t="n">
        <f aca="false">IF(COUNTIF(Parameters!$A$51:$A$58,H572)=0,1,0)</f>
        <v>0</v>
      </c>
      <c r="S572" s="9" t="n">
        <f aca="false">IF(AND(I572="Manual",L572&gt;0),1,0)</f>
        <v>0</v>
      </c>
      <c r="T572" s="9" t="n">
        <f aca="false">IF(AND(C572&gt;=Parameters!$B$22,ROUND(MOD(ROUND(C572,2),Parameters!$B$21),2)=0),1,0)</f>
        <v>0</v>
      </c>
      <c r="U572" s="9" t="n">
        <f aca="false">IF(LEN(TRIM(J572))=0,1,0)</f>
        <v>0</v>
      </c>
      <c r="V572" s="9" t="n">
        <f aca="false">IF(AND(I572="Manual",C572&lt;Parameters!$B$19,C572&gt;=Parameters!$B$19*(1-Parameters!$B$20)),1,0)</f>
        <v>0</v>
      </c>
      <c r="W572" s="9" t="n">
        <f aca="false">IF(AND(I572="Manual",M572&gt;0),1,0)</f>
        <v>0</v>
      </c>
      <c r="X572" s="9" t="n">
        <f aca="false">IF(A572-A571&gt;1,1,0)</f>
        <v>0</v>
      </c>
      <c r="Y572" s="9" t="n">
        <f aca="false">N572*Parameters!$B$38+O572*Parameters!$B$39+P572*Parameters!$B$40+Q572*Parameters!$B$41+R572*Parameters!$B$42+S572*Parameters!$B$43+T572*Parameters!$B$44+U572*Parameters!$B$45+V572*Parameters!$B$46+W572*Parameters!$B$47+X572*Parameters!$B$48</f>
        <v>0</v>
      </c>
      <c r="Z572" s="0" t="str">
        <f aca="false">IF(Y572&gt;=Parameters!$B$25,"High","")</f>
        <v/>
      </c>
    </row>
    <row r="573" customFormat="false" ht="15" hidden="false" customHeight="false" outlineLevel="0" collapsed="false">
      <c r="A573" s="16" t="n">
        <v>1577</v>
      </c>
      <c r="B573" s="9" t="n">
        <f aca="false">COUNTIF(JE_Lines!$B$5:$B$1733,A573)</f>
        <v>2</v>
      </c>
      <c r="C573" s="17" t="n">
        <f aca="false">SUMIFS(JE_Lines!$G$5:$G$1733,JE_Lines!$B$5:$B$1733,A573)</f>
        <v>85842.49</v>
      </c>
      <c r="D573" s="17" t="n">
        <f aca="false">SUMIFS(JE_Lines!$H$5:$H$1733,JE_Lines!$B$5:$B$1733,A573)</f>
        <v>85842.49</v>
      </c>
      <c r="E573" s="17" t="n">
        <f aca="false">C573-D573</f>
        <v>0</v>
      </c>
      <c r="F573" s="18" t="n">
        <f aca="false">INDEX(JE_Lines!$C$5:$C$1733,MATCH(A573,JE_Lines!$B$5:$B$1733,0))</f>
        <v>45916</v>
      </c>
      <c r="G573" s="18" t="n">
        <f aca="false">INDEX(JE_Lines!$D$5:$D$1733,MATCH(A573,JE_Lines!$B$5:$B$1733,0))</f>
        <v>45914</v>
      </c>
      <c r="H573" s="0" t="str">
        <f aca="false">INDEX(JE_Lines!$I$5:$I$1733,MATCH(A573,JE_Lines!$B$5:$B$1733,0))</f>
        <v>SYS_AR</v>
      </c>
      <c r="I573" s="0" t="str">
        <f aca="false">INDEX(JE_Lines!$J$5:$J$1733,MATCH(A573,JE_Lines!$B$5:$B$1733,0))</f>
        <v>System</v>
      </c>
      <c r="J573" s="0" t="str">
        <f aca="false">IF(LEN(INDEX(JE_Lines!$K$5:$K$1733,MATCH(A573,JE_Lines!$B$5:$B$1733,0)))=0,"",INDEX(JE_Lines!$K$5:$K$1733,MATCH(A573,JE_Lines!$B$5:$B$1733,0)))</f>
        <v>Sales invoice batch</v>
      </c>
      <c r="K573" s="9" t="n">
        <f aca="false">F573-G573</f>
        <v>2</v>
      </c>
      <c r="L573" s="9" t="n">
        <f aca="false">COUNTIFS(JE_Lines!$B$5:$B$1733,A573,JE_Lines!$F$5:$F$1733,"Revenue")</f>
        <v>1</v>
      </c>
      <c r="M573" s="9" t="n">
        <f aca="false">COUNTIFS(JE_Lines!$B$5:$B$1733,A573,JE_Lines!$F$5:$F$1733,"Suspense")</f>
        <v>0</v>
      </c>
      <c r="N573" s="9" t="n">
        <f aca="false">IF(ABS(E573)&gt;Parameters!$B$23,1,0)</f>
        <v>0</v>
      </c>
      <c r="O573" s="9" t="n">
        <f aca="false">IF(WEEKDAY(F573,2)&gt;5,1,0)</f>
        <v>0</v>
      </c>
      <c r="P573" s="9" t="n">
        <f aca="false">IF(K573&gt;Parameters!$B$17,1,0)</f>
        <v>0</v>
      </c>
      <c r="Q573" s="9" t="n">
        <f aca="false">IF(AND(F573&lt;=Parameters!$B$6,F573&gt;Parameters!$B$6-Parameters!$B$18),1,0)</f>
        <v>0</v>
      </c>
      <c r="R573" s="9" t="n">
        <f aca="false">IF(COUNTIF(Parameters!$A$51:$A$58,H573)=0,1,0)</f>
        <v>0</v>
      </c>
      <c r="S573" s="9" t="n">
        <f aca="false">IF(AND(I573="Manual",L573&gt;0),1,0)</f>
        <v>0</v>
      </c>
      <c r="T573" s="9" t="n">
        <f aca="false">IF(AND(C573&gt;=Parameters!$B$22,ROUND(MOD(ROUND(C573,2),Parameters!$B$21),2)=0),1,0)</f>
        <v>0</v>
      </c>
      <c r="U573" s="9" t="n">
        <f aca="false">IF(LEN(TRIM(J573))=0,1,0)</f>
        <v>0</v>
      </c>
      <c r="V573" s="9" t="n">
        <f aca="false">IF(AND(I573="Manual",C573&lt;Parameters!$B$19,C573&gt;=Parameters!$B$19*(1-Parameters!$B$20)),1,0)</f>
        <v>0</v>
      </c>
      <c r="W573" s="9" t="n">
        <f aca="false">IF(AND(I573="Manual",M573&gt;0),1,0)</f>
        <v>0</v>
      </c>
      <c r="X573" s="9" t="n">
        <f aca="false">IF(A573-A572&gt;1,1,0)</f>
        <v>0</v>
      </c>
      <c r="Y573" s="9" t="n">
        <f aca="false">N573*Parameters!$B$38+O573*Parameters!$B$39+P573*Parameters!$B$40+Q573*Parameters!$B$41+R573*Parameters!$B$42+S573*Parameters!$B$43+T573*Parameters!$B$44+U573*Parameters!$B$45+V573*Parameters!$B$46+W573*Parameters!$B$47+X573*Parameters!$B$48</f>
        <v>0</v>
      </c>
      <c r="Z573" s="0" t="str">
        <f aca="false">IF(Y573&gt;=Parameters!$B$25,"High","")</f>
        <v/>
      </c>
    </row>
    <row r="574" customFormat="false" ht="15" hidden="false" customHeight="false" outlineLevel="0" collapsed="false">
      <c r="A574" s="16" t="n">
        <v>1578</v>
      </c>
      <c r="B574" s="9" t="n">
        <f aca="false">COUNTIF(JE_Lines!$B$5:$B$1733,A574)</f>
        <v>2</v>
      </c>
      <c r="C574" s="17" t="n">
        <f aca="false">SUMIFS(JE_Lines!$G$5:$G$1733,JE_Lines!$B$5:$B$1733,A574)</f>
        <v>1629.59</v>
      </c>
      <c r="D574" s="17" t="n">
        <f aca="false">SUMIFS(JE_Lines!$H$5:$H$1733,JE_Lines!$B$5:$B$1733,A574)</f>
        <v>1629.59</v>
      </c>
      <c r="E574" s="17" t="n">
        <f aca="false">C574-D574</f>
        <v>0</v>
      </c>
      <c r="F574" s="18" t="n">
        <f aca="false">INDEX(JE_Lines!$C$5:$C$1733,MATCH(A574,JE_Lines!$B$5:$B$1733,0))</f>
        <v>45916</v>
      </c>
      <c r="G574" s="18" t="n">
        <f aca="false">INDEX(JE_Lines!$D$5:$D$1733,MATCH(A574,JE_Lines!$B$5:$B$1733,0))</f>
        <v>45915</v>
      </c>
      <c r="H574" s="0" t="str">
        <f aca="false">INDEX(JE_Lines!$I$5:$I$1733,MATCH(A574,JE_Lines!$B$5:$B$1733,0))</f>
        <v>SYS_AP</v>
      </c>
      <c r="I574" s="0" t="str">
        <f aca="false">INDEX(JE_Lines!$J$5:$J$1733,MATCH(A574,JE_Lines!$B$5:$B$1733,0))</f>
        <v>System</v>
      </c>
      <c r="J574" s="0" t="str">
        <f aca="false">IF(LEN(INDEX(JE_Lines!$K$5:$K$1733,MATCH(A574,JE_Lines!$B$5:$B$1733,0)))=0,"",INDEX(JE_Lines!$K$5:$K$1733,MATCH(A574,JE_Lines!$B$5:$B$1733,0)))</f>
        <v>Supplier invoices</v>
      </c>
      <c r="K574" s="9" t="n">
        <f aca="false">F574-G574</f>
        <v>1</v>
      </c>
      <c r="L574" s="9" t="n">
        <f aca="false">COUNTIFS(JE_Lines!$B$5:$B$1733,A574,JE_Lines!$F$5:$F$1733,"Revenue")</f>
        <v>0</v>
      </c>
      <c r="M574" s="9" t="n">
        <f aca="false">COUNTIFS(JE_Lines!$B$5:$B$1733,A574,JE_Lines!$F$5:$F$1733,"Suspense")</f>
        <v>0</v>
      </c>
      <c r="N574" s="9" t="n">
        <f aca="false">IF(ABS(E574)&gt;Parameters!$B$23,1,0)</f>
        <v>0</v>
      </c>
      <c r="O574" s="9" t="n">
        <f aca="false">IF(WEEKDAY(F574,2)&gt;5,1,0)</f>
        <v>0</v>
      </c>
      <c r="P574" s="9" t="n">
        <f aca="false">IF(K574&gt;Parameters!$B$17,1,0)</f>
        <v>0</v>
      </c>
      <c r="Q574" s="9" t="n">
        <f aca="false">IF(AND(F574&lt;=Parameters!$B$6,F574&gt;Parameters!$B$6-Parameters!$B$18),1,0)</f>
        <v>0</v>
      </c>
      <c r="R574" s="9" t="n">
        <f aca="false">IF(COUNTIF(Parameters!$A$51:$A$58,H574)=0,1,0)</f>
        <v>0</v>
      </c>
      <c r="S574" s="9" t="n">
        <f aca="false">IF(AND(I574="Manual",L574&gt;0),1,0)</f>
        <v>0</v>
      </c>
      <c r="T574" s="9" t="n">
        <f aca="false">IF(AND(C574&gt;=Parameters!$B$22,ROUND(MOD(ROUND(C574,2),Parameters!$B$21),2)=0),1,0)</f>
        <v>0</v>
      </c>
      <c r="U574" s="9" t="n">
        <f aca="false">IF(LEN(TRIM(J574))=0,1,0)</f>
        <v>0</v>
      </c>
      <c r="V574" s="9" t="n">
        <f aca="false">IF(AND(I574="Manual",C574&lt;Parameters!$B$19,C574&gt;=Parameters!$B$19*(1-Parameters!$B$20)),1,0)</f>
        <v>0</v>
      </c>
      <c r="W574" s="9" t="n">
        <f aca="false">IF(AND(I574="Manual",M574&gt;0),1,0)</f>
        <v>0</v>
      </c>
      <c r="X574" s="9" t="n">
        <f aca="false">IF(A574-A573&gt;1,1,0)</f>
        <v>0</v>
      </c>
      <c r="Y574" s="9" t="n">
        <f aca="false">N574*Parameters!$B$38+O574*Parameters!$B$39+P574*Parameters!$B$40+Q574*Parameters!$B$41+R574*Parameters!$B$42+S574*Parameters!$B$43+T574*Parameters!$B$44+U574*Parameters!$B$45+V574*Parameters!$B$46+W574*Parameters!$B$47+X574*Parameters!$B$48</f>
        <v>0</v>
      </c>
      <c r="Z574" s="0" t="str">
        <f aca="false">IF(Y574&gt;=Parameters!$B$25,"High","")</f>
        <v/>
      </c>
    </row>
    <row r="575" customFormat="false" ht="15" hidden="false" customHeight="false" outlineLevel="0" collapsed="false">
      <c r="A575" s="16" t="n">
        <v>1579</v>
      </c>
      <c r="B575" s="9" t="n">
        <f aca="false">COUNTIF(JE_Lines!$B$5:$B$1733,A575)</f>
        <v>2</v>
      </c>
      <c r="C575" s="17" t="n">
        <f aca="false">SUMIFS(JE_Lines!$G$5:$G$1733,JE_Lines!$B$5:$B$1733,A575)</f>
        <v>23276.2</v>
      </c>
      <c r="D575" s="17" t="n">
        <f aca="false">SUMIFS(JE_Lines!$H$5:$H$1733,JE_Lines!$B$5:$B$1733,A575)</f>
        <v>23276.2</v>
      </c>
      <c r="E575" s="17" t="n">
        <f aca="false">C575-D575</f>
        <v>0</v>
      </c>
      <c r="F575" s="18" t="n">
        <f aca="false">INDEX(JE_Lines!$C$5:$C$1733,MATCH(A575,JE_Lines!$B$5:$B$1733,0))</f>
        <v>45917</v>
      </c>
      <c r="G575" s="18" t="n">
        <f aca="false">INDEX(JE_Lines!$D$5:$D$1733,MATCH(A575,JE_Lines!$B$5:$B$1733,0))</f>
        <v>45915</v>
      </c>
      <c r="H575" s="0" t="str">
        <f aca="false">INDEX(JE_Lines!$I$5:$I$1733,MATCH(A575,JE_Lines!$B$5:$B$1733,0))</f>
        <v>SYS_AR</v>
      </c>
      <c r="I575" s="0" t="str">
        <f aca="false">INDEX(JE_Lines!$J$5:$J$1733,MATCH(A575,JE_Lines!$B$5:$B$1733,0))</f>
        <v>System</v>
      </c>
      <c r="J575" s="0" t="str">
        <f aca="false">IF(LEN(INDEX(JE_Lines!$K$5:$K$1733,MATCH(A575,JE_Lines!$B$5:$B$1733,0)))=0,"",INDEX(JE_Lines!$K$5:$K$1733,MATCH(A575,JE_Lines!$B$5:$B$1733,0)))</f>
        <v>Sales invoice batch</v>
      </c>
      <c r="K575" s="9" t="n">
        <f aca="false">F575-G575</f>
        <v>2</v>
      </c>
      <c r="L575" s="9" t="n">
        <f aca="false">COUNTIFS(JE_Lines!$B$5:$B$1733,A575,JE_Lines!$F$5:$F$1733,"Revenue")</f>
        <v>1</v>
      </c>
      <c r="M575" s="9" t="n">
        <f aca="false">COUNTIFS(JE_Lines!$B$5:$B$1733,A575,JE_Lines!$F$5:$F$1733,"Suspense")</f>
        <v>0</v>
      </c>
      <c r="N575" s="9" t="n">
        <f aca="false">IF(ABS(E575)&gt;Parameters!$B$23,1,0)</f>
        <v>0</v>
      </c>
      <c r="O575" s="9" t="n">
        <f aca="false">IF(WEEKDAY(F575,2)&gt;5,1,0)</f>
        <v>0</v>
      </c>
      <c r="P575" s="9" t="n">
        <f aca="false">IF(K575&gt;Parameters!$B$17,1,0)</f>
        <v>0</v>
      </c>
      <c r="Q575" s="9" t="n">
        <f aca="false">IF(AND(F575&lt;=Parameters!$B$6,F575&gt;Parameters!$B$6-Parameters!$B$18),1,0)</f>
        <v>0</v>
      </c>
      <c r="R575" s="9" t="n">
        <f aca="false">IF(COUNTIF(Parameters!$A$51:$A$58,H575)=0,1,0)</f>
        <v>0</v>
      </c>
      <c r="S575" s="9" t="n">
        <f aca="false">IF(AND(I575="Manual",L575&gt;0),1,0)</f>
        <v>0</v>
      </c>
      <c r="T575" s="9" t="n">
        <f aca="false">IF(AND(C575&gt;=Parameters!$B$22,ROUND(MOD(ROUND(C575,2),Parameters!$B$21),2)=0),1,0)</f>
        <v>0</v>
      </c>
      <c r="U575" s="9" t="n">
        <f aca="false">IF(LEN(TRIM(J575))=0,1,0)</f>
        <v>0</v>
      </c>
      <c r="V575" s="9" t="n">
        <f aca="false">IF(AND(I575="Manual",C575&lt;Parameters!$B$19,C575&gt;=Parameters!$B$19*(1-Parameters!$B$20)),1,0)</f>
        <v>0</v>
      </c>
      <c r="W575" s="9" t="n">
        <f aca="false">IF(AND(I575="Manual",M575&gt;0),1,0)</f>
        <v>0</v>
      </c>
      <c r="X575" s="9" t="n">
        <f aca="false">IF(A575-A574&gt;1,1,0)</f>
        <v>0</v>
      </c>
      <c r="Y575" s="9" t="n">
        <f aca="false">N575*Parameters!$B$38+O575*Parameters!$B$39+P575*Parameters!$B$40+Q575*Parameters!$B$41+R575*Parameters!$B$42+S575*Parameters!$B$43+T575*Parameters!$B$44+U575*Parameters!$B$45+V575*Parameters!$B$46+W575*Parameters!$B$47+X575*Parameters!$B$48</f>
        <v>0</v>
      </c>
      <c r="Z575" s="0" t="str">
        <f aca="false">IF(Y575&gt;=Parameters!$B$25,"High","")</f>
        <v/>
      </c>
    </row>
    <row r="576" customFormat="false" ht="15" hidden="false" customHeight="false" outlineLevel="0" collapsed="false">
      <c r="A576" s="16" t="n">
        <v>1580</v>
      </c>
      <c r="B576" s="9" t="n">
        <f aca="false">COUNTIF(JE_Lines!$B$5:$B$1733,A576)</f>
        <v>2</v>
      </c>
      <c r="C576" s="17" t="n">
        <f aca="false">SUMIFS(JE_Lines!$G$5:$G$1733,JE_Lines!$B$5:$B$1733,A576)</f>
        <v>58967.94</v>
      </c>
      <c r="D576" s="17" t="n">
        <f aca="false">SUMIFS(JE_Lines!$H$5:$H$1733,JE_Lines!$B$5:$B$1733,A576)</f>
        <v>58967.94</v>
      </c>
      <c r="E576" s="17" t="n">
        <f aca="false">C576-D576</f>
        <v>0</v>
      </c>
      <c r="F576" s="18" t="n">
        <f aca="false">INDEX(JE_Lines!$C$5:$C$1733,MATCH(A576,JE_Lines!$B$5:$B$1733,0))</f>
        <v>45917</v>
      </c>
      <c r="G576" s="18" t="n">
        <f aca="false">INDEX(JE_Lines!$D$5:$D$1733,MATCH(A576,JE_Lines!$B$5:$B$1733,0))</f>
        <v>45916</v>
      </c>
      <c r="H576" s="0" t="str">
        <f aca="false">INDEX(JE_Lines!$I$5:$I$1733,MATCH(A576,JE_Lines!$B$5:$B$1733,0))</f>
        <v>SYS_AP</v>
      </c>
      <c r="I576" s="0" t="str">
        <f aca="false">INDEX(JE_Lines!$J$5:$J$1733,MATCH(A576,JE_Lines!$B$5:$B$1733,0))</f>
        <v>System</v>
      </c>
      <c r="J576" s="0" t="str">
        <f aca="false">IF(LEN(INDEX(JE_Lines!$K$5:$K$1733,MATCH(A576,JE_Lines!$B$5:$B$1733,0)))=0,"",INDEX(JE_Lines!$K$5:$K$1733,MATCH(A576,JE_Lines!$B$5:$B$1733,0)))</f>
        <v>Supplier invoices</v>
      </c>
      <c r="K576" s="9" t="n">
        <f aca="false">F576-G576</f>
        <v>1</v>
      </c>
      <c r="L576" s="9" t="n">
        <f aca="false">COUNTIFS(JE_Lines!$B$5:$B$1733,A576,JE_Lines!$F$5:$F$1733,"Revenue")</f>
        <v>0</v>
      </c>
      <c r="M576" s="9" t="n">
        <f aca="false">COUNTIFS(JE_Lines!$B$5:$B$1733,A576,JE_Lines!$F$5:$F$1733,"Suspense")</f>
        <v>0</v>
      </c>
      <c r="N576" s="9" t="n">
        <f aca="false">IF(ABS(E576)&gt;Parameters!$B$23,1,0)</f>
        <v>0</v>
      </c>
      <c r="O576" s="9" t="n">
        <f aca="false">IF(WEEKDAY(F576,2)&gt;5,1,0)</f>
        <v>0</v>
      </c>
      <c r="P576" s="9" t="n">
        <f aca="false">IF(K576&gt;Parameters!$B$17,1,0)</f>
        <v>0</v>
      </c>
      <c r="Q576" s="9" t="n">
        <f aca="false">IF(AND(F576&lt;=Parameters!$B$6,F576&gt;Parameters!$B$6-Parameters!$B$18),1,0)</f>
        <v>0</v>
      </c>
      <c r="R576" s="9" t="n">
        <f aca="false">IF(COUNTIF(Parameters!$A$51:$A$58,H576)=0,1,0)</f>
        <v>0</v>
      </c>
      <c r="S576" s="9" t="n">
        <f aca="false">IF(AND(I576="Manual",L576&gt;0),1,0)</f>
        <v>0</v>
      </c>
      <c r="T576" s="9" t="n">
        <f aca="false">IF(AND(C576&gt;=Parameters!$B$22,ROUND(MOD(ROUND(C576,2),Parameters!$B$21),2)=0),1,0)</f>
        <v>0</v>
      </c>
      <c r="U576" s="9" t="n">
        <f aca="false">IF(LEN(TRIM(J576))=0,1,0)</f>
        <v>0</v>
      </c>
      <c r="V576" s="9" t="n">
        <f aca="false">IF(AND(I576="Manual",C576&lt;Parameters!$B$19,C576&gt;=Parameters!$B$19*(1-Parameters!$B$20)),1,0)</f>
        <v>0</v>
      </c>
      <c r="W576" s="9" t="n">
        <f aca="false">IF(AND(I576="Manual",M576&gt;0),1,0)</f>
        <v>0</v>
      </c>
      <c r="X576" s="9" t="n">
        <f aca="false">IF(A576-A575&gt;1,1,0)</f>
        <v>0</v>
      </c>
      <c r="Y576" s="9" t="n">
        <f aca="false">N576*Parameters!$B$38+O576*Parameters!$B$39+P576*Parameters!$B$40+Q576*Parameters!$B$41+R576*Parameters!$B$42+S576*Parameters!$B$43+T576*Parameters!$B$44+U576*Parameters!$B$45+V576*Parameters!$B$46+W576*Parameters!$B$47+X576*Parameters!$B$48</f>
        <v>0</v>
      </c>
      <c r="Z576" s="0" t="str">
        <f aca="false">IF(Y576&gt;=Parameters!$B$25,"High","")</f>
        <v/>
      </c>
    </row>
    <row r="577" customFormat="false" ht="15" hidden="false" customHeight="false" outlineLevel="0" collapsed="false">
      <c r="A577" s="16" t="n">
        <v>1581</v>
      </c>
      <c r="B577" s="9" t="n">
        <f aca="false">COUNTIF(JE_Lines!$B$5:$B$1733,A577)</f>
        <v>2</v>
      </c>
      <c r="C577" s="17" t="n">
        <f aca="false">SUMIFS(JE_Lines!$G$5:$G$1733,JE_Lines!$B$5:$B$1733,A577)</f>
        <v>5835.53</v>
      </c>
      <c r="D577" s="17" t="n">
        <f aca="false">SUMIFS(JE_Lines!$H$5:$H$1733,JE_Lines!$B$5:$B$1733,A577)</f>
        <v>5835.53</v>
      </c>
      <c r="E577" s="17" t="n">
        <f aca="false">C577-D577</f>
        <v>0</v>
      </c>
      <c r="F577" s="18" t="n">
        <f aca="false">INDEX(JE_Lines!$C$5:$C$1733,MATCH(A577,JE_Lines!$B$5:$B$1733,0))</f>
        <v>45917</v>
      </c>
      <c r="G577" s="18" t="n">
        <f aca="false">INDEX(JE_Lines!$D$5:$D$1733,MATCH(A577,JE_Lines!$B$5:$B$1733,0))</f>
        <v>45914</v>
      </c>
      <c r="H577" s="0" t="str">
        <f aca="false">INDEX(JE_Lines!$I$5:$I$1733,MATCH(A577,JE_Lines!$B$5:$B$1733,0))</f>
        <v>SYS_PAY</v>
      </c>
      <c r="I577" s="0" t="str">
        <f aca="false">INDEX(JE_Lines!$J$5:$J$1733,MATCH(A577,JE_Lines!$B$5:$B$1733,0))</f>
        <v>System</v>
      </c>
      <c r="J577" s="0" t="str">
        <f aca="false">IF(LEN(INDEX(JE_Lines!$K$5:$K$1733,MATCH(A577,JE_Lines!$B$5:$B$1733,0)))=0,"",INDEX(JE_Lines!$K$5:$K$1733,MATCH(A577,JE_Lines!$B$5:$B$1733,0)))</f>
        <v>Supplier payments</v>
      </c>
      <c r="K577" s="9" t="n">
        <f aca="false">F577-G577</f>
        <v>3</v>
      </c>
      <c r="L577" s="9" t="n">
        <f aca="false">COUNTIFS(JE_Lines!$B$5:$B$1733,A577,JE_Lines!$F$5:$F$1733,"Revenue")</f>
        <v>0</v>
      </c>
      <c r="M577" s="9" t="n">
        <f aca="false">COUNTIFS(JE_Lines!$B$5:$B$1733,A577,JE_Lines!$F$5:$F$1733,"Suspense")</f>
        <v>0</v>
      </c>
      <c r="N577" s="9" t="n">
        <f aca="false">IF(ABS(E577)&gt;Parameters!$B$23,1,0)</f>
        <v>0</v>
      </c>
      <c r="O577" s="9" t="n">
        <f aca="false">IF(WEEKDAY(F577,2)&gt;5,1,0)</f>
        <v>0</v>
      </c>
      <c r="P577" s="9" t="n">
        <f aca="false">IF(K577&gt;Parameters!$B$17,1,0)</f>
        <v>0</v>
      </c>
      <c r="Q577" s="9" t="n">
        <f aca="false">IF(AND(F577&lt;=Parameters!$B$6,F577&gt;Parameters!$B$6-Parameters!$B$18),1,0)</f>
        <v>0</v>
      </c>
      <c r="R577" s="9" t="n">
        <f aca="false">IF(COUNTIF(Parameters!$A$51:$A$58,H577)=0,1,0)</f>
        <v>0</v>
      </c>
      <c r="S577" s="9" t="n">
        <f aca="false">IF(AND(I577="Manual",L577&gt;0),1,0)</f>
        <v>0</v>
      </c>
      <c r="T577" s="9" t="n">
        <f aca="false">IF(AND(C577&gt;=Parameters!$B$22,ROUND(MOD(ROUND(C577,2),Parameters!$B$21),2)=0),1,0)</f>
        <v>0</v>
      </c>
      <c r="U577" s="9" t="n">
        <f aca="false">IF(LEN(TRIM(J577))=0,1,0)</f>
        <v>0</v>
      </c>
      <c r="V577" s="9" t="n">
        <f aca="false">IF(AND(I577="Manual",C577&lt;Parameters!$B$19,C577&gt;=Parameters!$B$19*(1-Parameters!$B$20)),1,0)</f>
        <v>0</v>
      </c>
      <c r="W577" s="9" t="n">
        <f aca="false">IF(AND(I577="Manual",M577&gt;0),1,0)</f>
        <v>0</v>
      </c>
      <c r="X577" s="9" t="n">
        <f aca="false">IF(A577-A576&gt;1,1,0)</f>
        <v>0</v>
      </c>
      <c r="Y577" s="9" t="n">
        <f aca="false">N577*Parameters!$B$38+O577*Parameters!$B$39+P577*Parameters!$B$40+Q577*Parameters!$B$41+R577*Parameters!$B$42+S577*Parameters!$B$43+T577*Parameters!$B$44+U577*Parameters!$B$45+V577*Parameters!$B$46+W577*Parameters!$B$47+X577*Parameters!$B$48</f>
        <v>0</v>
      </c>
      <c r="Z577" s="0" t="str">
        <f aca="false">IF(Y577&gt;=Parameters!$B$25,"High","")</f>
        <v/>
      </c>
    </row>
    <row r="578" customFormat="false" ht="15" hidden="false" customHeight="false" outlineLevel="0" collapsed="false">
      <c r="A578" s="16" t="n">
        <v>1582</v>
      </c>
      <c r="B578" s="9" t="n">
        <f aca="false">COUNTIF(JE_Lines!$B$5:$B$1733,A578)</f>
        <v>2</v>
      </c>
      <c r="C578" s="17" t="n">
        <f aca="false">SUMIFS(JE_Lines!$G$5:$G$1733,JE_Lines!$B$5:$B$1733,A578)</f>
        <v>393.19</v>
      </c>
      <c r="D578" s="17" t="n">
        <f aca="false">SUMIFS(JE_Lines!$H$5:$H$1733,JE_Lines!$B$5:$B$1733,A578)</f>
        <v>393.19</v>
      </c>
      <c r="E578" s="17" t="n">
        <f aca="false">C578-D578</f>
        <v>0</v>
      </c>
      <c r="F578" s="18" t="n">
        <f aca="false">INDEX(JE_Lines!$C$5:$C$1733,MATCH(A578,JE_Lines!$B$5:$B$1733,0))</f>
        <v>45919</v>
      </c>
      <c r="G578" s="18" t="n">
        <f aca="false">INDEX(JE_Lines!$D$5:$D$1733,MATCH(A578,JE_Lines!$B$5:$B$1733,0))</f>
        <v>45915</v>
      </c>
      <c r="H578" s="0" t="str">
        <f aca="false">INDEX(JE_Lines!$I$5:$I$1733,MATCH(A578,JE_Lines!$B$5:$B$1733,0))</f>
        <v>SYS_PAY</v>
      </c>
      <c r="I578" s="0" t="str">
        <f aca="false">INDEX(JE_Lines!$J$5:$J$1733,MATCH(A578,JE_Lines!$B$5:$B$1733,0))</f>
        <v>System</v>
      </c>
      <c r="J578" s="0" t="str">
        <f aca="false">IF(LEN(INDEX(JE_Lines!$K$5:$K$1733,MATCH(A578,JE_Lines!$B$5:$B$1733,0)))=0,"",INDEX(JE_Lines!$K$5:$K$1733,MATCH(A578,JE_Lines!$B$5:$B$1733,0)))</f>
        <v>Supplier payments</v>
      </c>
      <c r="K578" s="9" t="n">
        <f aca="false">F578-G578</f>
        <v>4</v>
      </c>
      <c r="L578" s="9" t="n">
        <f aca="false">COUNTIFS(JE_Lines!$B$5:$B$1733,A578,JE_Lines!$F$5:$F$1733,"Revenue")</f>
        <v>0</v>
      </c>
      <c r="M578" s="9" t="n">
        <f aca="false">COUNTIFS(JE_Lines!$B$5:$B$1733,A578,JE_Lines!$F$5:$F$1733,"Suspense")</f>
        <v>0</v>
      </c>
      <c r="N578" s="9" t="n">
        <f aca="false">IF(ABS(E578)&gt;Parameters!$B$23,1,0)</f>
        <v>0</v>
      </c>
      <c r="O578" s="9" t="n">
        <f aca="false">IF(WEEKDAY(F578,2)&gt;5,1,0)</f>
        <v>0</v>
      </c>
      <c r="P578" s="9" t="n">
        <f aca="false">IF(K578&gt;Parameters!$B$17,1,0)</f>
        <v>0</v>
      </c>
      <c r="Q578" s="9" t="n">
        <f aca="false">IF(AND(F578&lt;=Parameters!$B$6,F578&gt;Parameters!$B$6-Parameters!$B$18),1,0)</f>
        <v>0</v>
      </c>
      <c r="R578" s="9" t="n">
        <f aca="false">IF(COUNTIF(Parameters!$A$51:$A$58,H578)=0,1,0)</f>
        <v>0</v>
      </c>
      <c r="S578" s="9" t="n">
        <f aca="false">IF(AND(I578="Manual",L578&gt;0),1,0)</f>
        <v>0</v>
      </c>
      <c r="T578" s="9" t="n">
        <f aca="false">IF(AND(C578&gt;=Parameters!$B$22,ROUND(MOD(ROUND(C578,2),Parameters!$B$21),2)=0),1,0)</f>
        <v>0</v>
      </c>
      <c r="U578" s="9" t="n">
        <f aca="false">IF(LEN(TRIM(J578))=0,1,0)</f>
        <v>0</v>
      </c>
      <c r="V578" s="9" t="n">
        <f aca="false">IF(AND(I578="Manual",C578&lt;Parameters!$B$19,C578&gt;=Parameters!$B$19*(1-Parameters!$B$20)),1,0)</f>
        <v>0</v>
      </c>
      <c r="W578" s="9" t="n">
        <f aca="false">IF(AND(I578="Manual",M578&gt;0),1,0)</f>
        <v>0</v>
      </c>
      <c r="X578" s="9" t="n">
        <f aca="false">IF(A578-A577&gt;1,1,0)</f>
        <v>0</v>
      </c>
      <c r="Y578" s="9" t="n">
        <f aca="false">N578*Parameters!$B$38+O578*Parameters!$B$39+P578*Parameters!$B$40+Q578*Parameters!$B$41+R578*Parameters!$B$42+S578*Parameters!$B$43+T578*Parameters!$B$44+U578*Parameters!$B$45+V578*Parameters!$B$46+W578*Parameters!$B$47+X578*Parameters!$B$48</f>
        <v>0</v>
      </c>
      <c r="Z578" s="0" t="str">
        <f aca="false">IF(Y578&gt;=Parameters!$B$25,"High","")</f>
        <v/>
      </c>
    </row>
    <row r="579" customFormat="false" ht="15" hidden="false" customHeight="false" outlineLevel="0" collapsed="false">
      <c r="A579" s="16" t="n">
        <v>1583</v>
      </c>
      <c r="B579" s="9" t="n">
        <f aca="false">COUNTIF(JE_Lines!$B$5:$B$1733,A579)</f>
        <v>3</v>
      </c>
      <c r="C579" s="17" t="n">
        <f aca="false">SUMIFS(JE_Lines!$G$5:$G$1733,JE_Lines!$B$5:$B$1733,A579)</f>
        <v>26671.53</v>
      </c>
      <c r="D579" s="17" t="n">
        <f aca="false">SUMIFS(JE_Lines!$H$5:$H$1733,JE_Lines!$B$5:$B$1733,A579)</f>
        <v>26671.53</v>
      </c>
      <c r="E579" s="17" t="n">
        <f aca="false">C579-D579</f>
        <v>0</v>
      </c>
      <c r="F579" s="18" t="n">
        <f aca="false">INDEX(JE_Lines!$C$5:$C$1733,MATCH(A579,JE_Lines!$B$5:$B$1733,0))</f>
        <v>45922</v>
      </c>
      <c r="G579" s="18" t="n">
        <f aca="false">INDEX(JE_Lines!$D$5:$D$1733,MATCH(A579,JE_Lines!$B$5:$B$1733,0))</f>
        <v>45919</v>
      </c>
      <c r="H579" s="0" t="str">
        <f aca="false">INDEX(JE_Lines!$I$5:$I$1733,MATCH(A579,JE_Lines!$B$5:$B$1733,0))</f>
        <v>FIN03</v>
      </c>
      <c r="I579" s="0" t="str">
        <f aca="false">INDEX(JE_Lines!$J$5:$J$1733,MATCH(A579,JE_Lines!$B$5:$B$1733,0))</f>
        <v>Manual</v>
      </c>
      <c r="J579" s="0" t="str">
        <f aca="false">IF(LEN(INDEX(JE_Lines!$K$5:$K$1733,MATCH(A579,JE_Lines!$B$5:$B$1733,0)))=0,"",INDEX(JE_Lines!$K$5:$K$1733,MATCH(A579,JE_Lines!$B$5:$B$1733,0)))</f>
        <v>Accrual reversal</v>
      </c>
      <c r="K579" s="9" t="n">
        <f aca="false">F579-G579</f>
        <v>3</v>
      </c>
      <c r="L579" s="9" t="n">
        <f aca="false">COUNTIFS(JE_Lines!$B$5:$B$1733,A579,JE_Lines!$F$5:$F$1733,"Revenue")</f>
        <v>0</v>
      </c>
      <c r="M579" s="9" t="n">
        <f aca="false">COUNTIFS(JE_Lines!$B$5:$B$1733,A579,JE_Lines!$F$5:$F$1733,"Suspense")</f>
        <v>0</v>
      </c>
      <c r="N579" s="9" t="n">
        <f aca="false">IF(ABS(E579)&gt;Parameters!$B$23,1,0)</f>
        <v>0</v>
      </c>
      <c r="O579" s="9" t="n">
        <f aca="false">IF(WEEKDAY(F579,2)&gt;5,1,0)</f>
        <v>0</v>
      </c>
      <c r="P579" s="9" t="n">
        <f aca="false">IF(K579&gt;Parameters!$B$17,1,0)</f>
        <v>0</v>
      </c>
      <c r="Q579" s="9" t="n">
        <f aca="false">IF(AND(F579&lt;=Parameters!$B$6,F579&gt;Parameters!$B$6-Parameters!$B$18),1,0)</f>
        <v>0</v>
      </c>
      <c r="R579" s="9" t="n">
        <f aca="false">IF(COUNTIF(Parameters!$A$51:$A$58,H579)=0,1,0)</f>
        <v>0</v>
      </c>
      <c r="S579" s="9" t="n">
        <f aca="false">IF(AND(I579="Manual",L579&gt;0),1,0)</f>
        <v>0</v>
      </c>
      <c r="T579" s="9" t="n">
        <f aca="false">IF(AND(C579&gt;=Parameters!$B$22,ROUND(MOD(ROUND(C579,2),Parameters!$B$21),2)=0),1,0)</f>
        <v>0</v>
      </c>
      <c r="U579" s="9" t="n">
        <f aca="false">IF(LEN(TRIM(J579))=0,1,0)</f>
        <v>0</v>
      </c>
      <c r="V579" s="9" t="n">
        <f aca="false">IF(AND(I579="Manual",C579&lt;Parameters!$B$19,C579&gt;=Parameters!$B$19*(1-Parameters!$B$20)),1,0)</f>
        <v>0</v>
      </c>
      <c r="W579" s="9" t="n">
        <f aca="false">IF(AND(I579="Manual",M579&gt;0),1,0)</f>
        <v>0</v>
      </c>
      <c r="X579" s="9" t="n">
        <f aca="false">IF(A579-A578&gt;1,1,0)</f>
        <v>0</v>
      </c>
      <c r="Y579" s="9" t="n">
        <f aca="false">N579*Parameters!$B$38+O579*Parameters!$B$39+P579*Parameters!$B$40+Q579*Parameters!$B$41+R579*Parameters!$B$42+S579*Parameters!$B$43+T579*Parameters!$B$44+U579*Parameters!$B$45+V579*Parameters!$B$46+W579*Parameters!$B$47+X579*Parameters!$B$48</f>
        <v>0</v>
      </c>
      <c r="Z579" s="0" t="str">
        <f aca="false">IF(Y579&gt;=Parameters!$B$25,"High","")</f>
        <v/>
      </c>
    </row>
    <row r="580" customFormat="false" ht="15" hidden="false" customHeight="false" outlineLevel="0" collapsed="false">
      <c r="A580" s="16" t="n">
        <v>1584</v>
      </c>
      <c r="B580" s="9" t="n">
        <f aca="false">COUNTIF(JE_Lines!$B$5:$B$1733,A580)</f>
        <v>2</v>
      </c>
      <c r="C580" s="17" t="n">
        <f aca="false">SUMIFS(JE_Lines!$G$5:$G$1733,JE_Lines!$B$5:$B$1733,A580)</f>
        <v>464.05</v>
      </c>
      <c r="D580" s="17" t="n">
        <f aca="false">SUMIFS(JE_Lines!$H$5:$H$1733,JE_Lines!$B$5:$B$1733,A580)</f>
        <v>464.05</v>
      </c>
      <c r="E580" s="17" t="n">
        <f aca="false">C580-D580</f>
        <v>0</v>
      </c>
      <c r="F580" s="18" t="n">
        <f aca="false">INDEX(JE_Lines!$C$5:$C$1733,MATCH(A580,JE_Lines!$B$5:$B$1733,0))</f>
        <v>45924</v>
      </c>
      <c r="G580" s="18" t="n">
        <f aca="false">INDEX(JE_Lines!$D$5:$D$1733,MATCH(A580,JE_Lines!$B$5:$B$1733,0))</f>
        <v>45920</v>
      </c>
      <c r="H580" s="0" t="str">
        <f aca="false">INDEX(JE_Lines!$I$5:$I$1733,MATCH(A580,JE_Lines!$B$5:$B$1733,0))</f>
        <v>SYS_AR</v>
      </c>
      <c r="I580" s="0" t="str">
        <f aca="false">INDEX(JE_Lines!$J$5:$J$1733,MATCH(A580,JE_Lines!$B$5:$B$1733,0))</f>
        <v>System</v>
      </c>
      <c r="J580" s="0" t="str">
        <f aca="false">IF(LEN(INDEX(JE_Lines!$K$5:$K$1733,MATCH(A580,JE_Lines!$B$5:$B$1733,0)))=0,"",INDEX(JE_Lines!$K$5:$K$1733,MATCH(A580,JE_Lines!$B$5:$B$1733,0)))</f>
        <v>Customer receipts</v>
      </c>
      <c r="K580" s="9" t="n">
        <f aca="false">F580-G580</f>
        <v>4</v>
      </c>
      <c r="L580" s="9" t="n">
        <f aca="false">COUNTIFS(JE_Lines!$B$5:$B$1733,A580,JE_Lines!$F$5:$F$1733,"Revenue")</f>
        <v>0</v>
      </c>
      <c r="M580" s="9" t="n">
        <f aca="false">COUNTIFS(JE_Lines!$B$5:$B$1733,A580,JE_Lines!$F$5:$F$1733,"Suspense")</f>
        <v>0</v>
      </c>
      <c r="N580" s="9" t="n">
        <f aca="false">IF(ABS(E580)&gt;Parameters!$B$23,1,0)</f>
        <v>0</v>
      </c>
      <c r="O580" s="9" t="n">
        <f aca="false">IF(WEEKDAY(F580,2)&gt;5,1,0)</f>
        <v>0</v>
      </c>
      <c r="P580" s="9" t="n">
        <f aca="false">IF(K580&gt;Parameters!$B$17,1,0)</f>
        <v>0</v>
      </c>
      <c r="Q580" s="9" t="n">
        <f aca="false">IF(AND(F580&lt;=Parameters!$B$6,F580&gt;Parameters!$B$6-Parameters!$B$18),1,0)</f>
        <v>0</v>
      </c>
      <c r="R580" s="9" t="n">
        <f aca="false">IF(COUNTIF(Parameters!$A$51:$A$58,H580)=0,1,0)</f>
        <v>0</v>
      </c>
      <c r="S580" s="9" t="n">
        <f aca="false">IF(AND(I580="Manual",L580&gt;0),1,0)</f>
        <v>0</v>
      </c>
      <c r="T580" s="9" t="n">
        <f aca="false">IF(AND(C580&gt;=Parameters!$B$22,ROUND(MOD(ROUND(C580,2),Parameters!$B$21),2)=0),1,0)</f>
        <v>0</v>
      </c>
      <c r="U580" s="9" t="n">
        <f aca="false">IF(LEN(TRIM(J580))=0,1,0)</f>
        <v>0</v>
      </c>
      <c r="V580" s="9" t="n">
        <f aca="false">IF(AND(I580="Manual",C580&lt;Parameters!$B$19,C580&gt;=Parameters!$B$19*(1-Parameters!$B$20)),1,0)</f>
        <v>0</v>
      </c>
      <c r="W580" s="9" t="n">
        <f aca="false">IF(AND(I580="Manual",M580&gt;0),1,0)</f>
        <v>0</v>
      </c>
      <c r="X580" s="9" t="n">
        <f aca="false">IF(A580-A579&gt;1,1,0)</f>
        <v>0</v>
      </c>
      <c r="Y580" s="9" t="n">
        <f aca="false">N580*Parameters!$B$38+O580*Parameters!$B$39+P580*Parameters!$B$40+Q580*Parameters!$B$41+R580*Parameters!$B$42+S580*Parameters!$B$43+T580*Parameters!$B$44+U580*Parameters!$B$45+V580*Parameters!$B$46+W580*Parameters!$B$47+X580*Parameters!$B$48</f>
        <v>0</v>
      </c>
      <c r="Z580" s="0" t="str">
        <f aca="false">IF(Y580&gt;=Parameters!$B$25,"High","")</f>
        <v/>
      </c>
    </row>
    <row r="581" customFormat="false" ht="15" hidden="false" customHeight="false" outlineLevel="0" collapsed="false">
      <c r="A581" s="16" t="n">
        <v>1585</v>
      </c>
      <c r="B581" s="9" t="n">
        <f aca="false">COUNTIF(JE_Lines!$B$5:$B$1733,A581)</f>
        <v>2</v>
      </c>
      <c r="C581" s="17" t="n">
        <f aca="false">SUMIFS(JE_Lines!$G$5:$G$1733,JE_Lines!$B$5:$B$1733,A581)</f>
        <v>56416.58</v>
      </c>
      <c r="D581" s="17" t="n">
        <f aca="false">SUMIFS(JE_Lines!$H$5:$H$1733,JE_Lines!$B$5:$B$1733,A581)</f>
        <v>56416.58</v>
      </c>
      <c r="E581" s="17" t="n">
        <f aca="false">C581-D581</f>
        <v>0</v>
      </c>
      <c r="F581" s="18" t="n">
        <f aca="false">INDEX(JE_Lines!$C$5:$C$1733,MATCH(A581,JE_Lines!$B$5:$B$1733,0))</f>
        <v>45924</v>
      </c>
      <c r="G581" s="18" t="n">
        <f aca="false">INDEX(JE_Lines!$D$5:$D$1733,MATCH(A581,JE_Lines!$B$5:$B$1733,0))</f>
        <v>45924</v>
      </c>
      <c r="H581" s="0" t="str">
        <f aca="false">INDEX(JE_Lines!$I$5:$I$1733,MATCH(A581,JE_Lines!$B$5:$B$1733,0))</f>
        <v>FIN01</v>
      </c>
      <c r="I581" s="0" t="str">
        <f aca="false">INDEX(JE_Lines!$J$5:$J$1733,MATCH(A581,JE_Lines!$B$5:$B$1733,0))</f>
        <v>Manual</v>
      </c>
      <c r="J581" s="0" t="str">
        <f aca="false">IF(LEN(INDEX(JE_Lines!$K$5:$K$1733,MATCH(A581,JE_Lines!$B$5:$B$1733,0)))=0,"",INDEX(JE_Lines!$K$5:$K$1733,MATCH(A581,JE_Lines!$B$5:$B$1733,0)))</f>
        <v>Accrual reversal</v>
      </c>
      <c r="K581" s="9" t="n">
        <f aca="false">F581-G581</f>
        <v>0</v>
      </c>
      <c r="L581" s="9" t="n">
        <f aca="false">COUNTIFS(JE_Lines!$B$5:$B$1733,A581,JE_Lines!$F$5:$F$1733,"Revenue")</f>
        <v>0</v>
      </c>
      <c r="M581" s="9" t="n">
        <f aca="false">COUNTIFS(JE_Lines!$B$5:$B$1733,A581,JE_Lines!$F$5:$F$1733,"Suspense")</f>
        <v>0</v>
      </c>
      <c r="N581" s="9" t="n">
        <f aca="false">IF(ABS(E581)&gt;Parameters!$B$23,1,0)</f>
        <v>0</v>
      </c>
      <c r="O581" s="9" t="n">
        <f aca="false">IF(WEEKDAY(F581,2)&gt;5,1,0)</f>
        <v>0</v>
      </c>
      <c r="P581" s="9" t="n">
        <f aca="false">IF(K581&gt;Parameters!$B$17,1,0)</f>
        <v>0</v>
      </c>
      <c r="Q581" s="9" t="n">
        <f aca="false">IF(AND(F581&lt;=Parameters!$B$6,F581&gt;Parameters!$B$6-Parameters!$B$18),1,0)</f>
        <v>0</v>
      </c>
      <c r="R581" s="9" t="n">
        <f aca="false">IF(COUNTIF(Parameters!$A$51:$A$58,H581)=0,1,0)</f>
        <v>0</v>
      </c>
      <c r="S581" s="9" t="n">
        <f aca="false">IF(AND(I581="Manual",L581&gt;0),1,0)</f>
        <v>0</v>
      </c>
      <c r="T581" s="9" t="n">
        <f aca="false">IF(AND(C581&gt;=Parameters!$B$22,ROUND(MOD(ROUND(C581,2),Parameters!$B$21),2)=0),1,0)</f>
        <v>0</v>
      </c>
      <c r="U581" s="9" t="n">
        <f aca="false">IF(LEN(TRIM(J581))=0,1,0)</f>
        <v>0</v>
      </c>
      <c r="V581" s="9" t="n">
        <f aca="false">IF(AND(I581="Manual",C581&lt;Parameters!$B$19,C581&gt;=Parameters!$B$19*(1-Parameters!$B$20)),1,0)</f>
        <v>0</v>
      </c>
      <c r="W581" s="9" t="n">
        <f aca="false">IF(AND(I581="Manual",M581&gt;0),1,0)</f>
        <v>0</v>
      </c>
      <c r="X581" s="9" t="n">
        <f aca="false">IF(A581-A580&gt;1,1,0)</f>
        <v>0</v>
      </c>
      <c r="Y581" s="9" t="n">
        <f aca="false">N581*Parameters!$B$38+O581*Parameters!$B$39+P581*Parameters!$B$40+Q581*Parameters!$B$41+R581*Parameters!$B$42+S581*Parameters!$B$43+T581*Parameters!$B$44+U581*Parameters!$B$45+V581*Parameters!$B$46+W581*Parameters!$B$47+X581*Parameters!$B$48</f>
        <v>0</v>
      </c>
      <c r="Z581" s="0" t="str">
        <f aca="false">IF(Y581&gt;=Parameters!$B$25,"High","")</f>
        <v/>
      </c>
    </row>
    <row r="582" customFormat="false" ht="15" hidden="false" customHeight="false" outlineLevel="0" collapsed="false">
      <c r="A582" s="16" t="n">
        <v>1586</v>
      </c>
      <c r="B582" s="9" t="n">
        <f aca="false">COUNTIF(JE_Lines!$B$5:$B$1733,A582)</f>
        <v>2</v>
      </c>
      <c r="C582" s="17" t="n">
        <f aca="false">SUMIFS(JE_Lines!$G$5:$G$1733,JE_Lines!$B$5:$B$1733,A582)</f>
        <v>263000</v>
      </c>
      <c r="D582" s="17" t="n">
        <f aca="false">SUMIFS(JE_Lines!$H$5:$H$1733,JE_Lines!$B$5:$B$1733,A582)</f>
        <v>263000</v>
      </c>
      <c r="E582" s="17" t="n">
        <f aca="false">C582-D582</f>
        <v>0</v>
      </c>
      <c r="F582" s="18" t="n">
        <f aca="false">INDEX(JE_Lines!$C$5:$C$1733,MATCH(A582,JE_Lines!$B$5:$B$1733,0))</f>
        <v>45925</v>
      </c>
      <c r="G582" s="18" t="n">
        <f aca="false">INDEX(JE_Lines!$D$5:$D$1733,MATCH(A582,JE_Lines!$B$5:$B$1733,0))</f>
        <v>45925</v>
      </c>
      <c r="H582" s="0" t="str">
        <f aca="false">INDEX(JE_Lines!$I$5:$I$1733,MATCH(A582,JE_Lines!$B$5:$B$1733,0))</f>
        <v>SYS_PAY</v>
      </c>
      <c r="I582" s="0" t="str">
        <f aca="false">INDEX(JE_Lines!$J$5:$J$1733,MATCH(A582,JE_Lines!$B$5:$B$1733,0))</f>
        <v>System</v>
      </c>
      <c r="J582" s="0" t="str">
        <f aca="false">IF(LEN(INDEX(JE_Lines!$K$5:$K$1733,MATCH(A582,JE_Lines!$B$5:$B$1733,0)))=0,"",INDEX(JE_Lines!$K$5:$K$1733,MATCH(A582,JE_Lines!$B$5:$B$1733,0)))</f>
        <v>Monthly payroll</v>
      </c>
      <c r="K582" s="9" t="n">
        <f aca="false">F582-G582</f>
        <v>0</v>
      </c>
      <c r="L582" s="9" t="n">
        <f aca="false">COUNTIFS(JE_Lines!$B$5:$B$1733,A582,JE_Lines!$F$5:$F$1733,"Revenue")</f>
        <v>0</v>
      </c>
      <c r="M582" s="9" t="n">
        <f aca="false">COUNTIFS(JE_Lines!$B$5:$B$1733,A582,JE_Lines!$F$5:$F$1733,"Suspense")</f>
        <v>0</v>
      </c>
      <c r="N582" s="9" t="n">
        <f aca="false">IF(ABS(E582)&gt;Parameters!$B$23,1,0)</f>
        <v>0</v>
      </c>
      <c r="O582" s="9" t="n">
        <f aca="false">IF(WEEKDAY(F582,2)&gt;5,1,0)</f>
        <v>0</v>
      </c>
      <c r="P582" s="9" t="n">
        <f aca="false">IF(K582&gt;Parameters!$B$17,1,0)</f>
        <v>0</v>
      </c>
      <c r="Q582" s="9" t="n">
        <f aca="false">IF(AND(F582&lt;=Parameters!$B$6,F582&gt;Parameters!$B$6-Parameters!$B$18),1,0)</f>
        <v>0</v>
      </c>
      <c r="R582" s="9" t="n">
        <f aca="false">IF(COUNTIF(Parameters!$A$51:$A$58,H582)=0,1,0)</f>
        <v>0</v>
      </c>
      <c r="S582" s="9" t="n">
        <f aca="false">IF(AND(I582="Manual",L582&gt;0),1,0)</f>
        <v>0</v>
      </c>
      <c r="T582" s="9" t="n">
        <f aca="false">IF(AND(C582&gt;=Parameters!$B$22,ROUND(MOD(ROUND(C582,2),Parameters!$B$21),2)=0),1,0)</f>
        <v>1</v>
      </c>
      <c r="U582" s="9" t="n">
        <f aca="false">IF(LEN(TRIM(J582))=0,1,0)</f>
        <v>0</v>
      </c>
      <c r="V582" s="9" t="n">
        <f aca="false">IF(AND(I582="Manual",C582&lt;Parameters!$B$19,C582&gt;=Parameters!$B$19*(1-Parameters!$B$20)),1,0)</f>
        <v>0</v>
      </c>
      <c r="W582" s="9" t="n">
        <f aca="false">IF(AND(I582="Manual",M582&gt;0),1,0)</f>
        <v>0</v>
      </c>
      <c r="X582" s="9" t="n">
        <f aca="false">IF(A582-A581&gt;1,1,0)</f>
        <v>0</v>
      </c>
      <c r="Y582" s="9" t="n">
        <f aca="false">N582*Parameters!$B$38+O582*Parameters!$B$39+P582*Parameters!$B$40+Q582*Parameters!$B$41+R582*Parameters!$B$42+S582*Parameters!$B$43+T582*Parameters!$B$44+U582*Parameters!$B$45+V582*Parameters!$B$46+W582*Parameters!$B$47+X582*Parameters!$B$48</f>
        <v>2</v>
      </c>
      <c r="Z582" s="0" t="str">
        <f aca="false">IF(Y582&gt;=Parameters!$B$25,"High","")</f>
        <v/>
      </c>
    </row>
    <row r="583" customFormat="false" ht="15" hidden="false" customHeight="false" outlineLevel="0" collapsed="false">
      <c r="A583" s="16" t="n">
        <v>1587</v>
      </c>
      <c r="B583" s="9" t="n">
        <f aca="false">COUNTIF(JE_Lines!$B$5:$B$1733,A583)</f>
        <v>2</v>
      </c>
      <c r="C583" s="17" t="n">
        <f aca="false">SUMIFS(JE_Lines!$G$5:$G$1733,JE_Lines!$B$5:$B$1733,A583)</f>
        <v>37525.71</v>
      </c>
      <c r="D583" s="17" t="n">
        <f aca="false">SUMIFS(JE_Lines!$H$5:$H$1733,JE_Lines!$B$5:$B$1733,A583)</f>
        <v>37525.71</v>
      </c>
      <c r="E583" s="17" t="n">
        <f aca="false">C583-D583</f>
        <v>0</v>
      </c>
      <c r="F583" s="18" t="n">
        <f aca="false">INDEX(JE_Lines!$C$5:$C$1733,MATCH(A583,JE_Lines!$B$5:$B$1733,0))</f>
        <v>45926</v>
      </c>
      <c r="G583" s="18" t="n">
        <f aca="false">INDEX(JE_Lines!$D$5:$D$1733,MATCH(A583,JE_Lines!$B$5:$B$1733,0))</f>
        <v>45926</v>
      </c>
      <c r="H583" s="0" t="str">
        <f aca="false">INDEX(JE_Lines!$I$5:$I$1733,MATCH(A583,JE_Lines!$B$5:$B$1733,0))</f>
        <v>SYS_PAY</v>
      </c>
      <c r="I583" s="0" t="str">
        <f aca="false">INDEX(JE_Lines!$J$5:$J$1733,MATCH(A583,JE_Lines!$B$5:$B$1733,0))</f>
        <v>System</v>
      </c>
      <c r="J583" s="0" t="str">
        <f aca="false">IF(LEN(INDEX(JE_Lines!$K$5:$K$1733,MATCH(A583,JE_Lines!$B$5:$B$1733,0)))=0,"",INDEX(JE_Lines!$K$5:$K$1733,MATCH(A583,JE_Lines!$B$5:$B$1733,0)))</f>
        <v>Supplier payments</v>
      </c>
      <c r="K583" s="9" t="n">
        <f aca="false">F583-G583</f>
        <v>0</v>
      </c>
      <c r="L583" s="9" t="n">
        <f aca="false">COUNTIFS(JE_Lines!$B$5:$B$1733,A583,JE_Lines!$F$5:$F$1733,"Revenue")</f>
        <v>0</v>
      </c>
      <c r="M583" s="9" t="n">
        <f aca="false">COUNTIFS(JE_Lines!$B$5:$B$1733,A583,JE_Lines!$F$5:$F$1733,"Suspense")</f>
        <v>0</v>
      </c>
      <c r="N583" s="9" t="n">
        <f aca="false">IF(ABS(E583)&gt;Parameters!$B$23,1,0)</f>
        <v>0</v>
      </c>
      <c r="O583" s="9" t="n">
        <f aca="false">IF(WEEKDAY(F583,2)&gt;5,1,0)</f>
        <v>0</v>
      </c>
      <c r="P583" s="9" t="n">
        <f aca="false">IF(K583&gt;Parameters!$B$17,1,0)</f>
        <v>0</v>
      </c>
      <c r="Q583" s="9" t="n">
        <f aca="false">IF(AND(F583&lt;=Parameters!$B$6,F583&gt;Parameters!$B$6-Parameters!$B$18),1,0)</f>
        <v>0</v>
      </c>
      <c r="R583" s="9" t="n">
        <f aca="false">IF(COUNTIF(Parameters!$A$51:$A$58,H583)=0,1,0)</f>
        <v>0</v>
      </c>
      <c r="S583" s="9" t="n">
        <f aca="false">IF(AND(I583="Manual",L583&gt;0),1,0)</f>
        <v>0</v>
      </c>
      <c r="T583" s="9" t="n">
        <f aca="false">IF(AND(C583&gt;=Parameters!$B$22,ROUND(MOD(ROUND(C583,2),Parameters!$B$21),2)=0),1,0)</f>
        <v>0</v>
      </c>
      <c r="U583" s="9" t="n">
        <f aca="false">IF(LEN(TRIM(J583))=0,1,0)</f>
        <v>0</v>
      </c>
      <c r="V583" s="9" t="n">
        <f aca="false">IF(AND(I583="Manual",C583&lt;Parameters!$B$19,C583&gt;=Parameters!$B$19*(1-Parameters!$B$20)),1,0)</f>
        <v>0</v>
      </c>
      <c r="W583" s="9" t="n">
        <f aca="false">IF(AND(I583="Manual",M583&gt;0),1,0)</f>
        <v>0</v>
      </c>
      <c r="X583" s="9" t="n">
        <f aca="false">IF(A583-A582&gt;1,1,0)</f>
        <v>0</v>
      </c>
      <c r="Y583" s="9" t="n">
        <f aca="false">N583*Parameters!$B$38+O583*Parameters!$B$39+P583*Parameters!$B$40+Q583*Parameters!$B$41+R583*Parameters!$B$42+S583*Parameters!$B$43+T583*Parameters!$B$44+U583*Parameters!$B$45+V583*Parameters!$B$46+W583*Parameters!$B$47+X583*Parameters!$B$48</f>
        <v>0</v>
      </c>
      <c r="Z583" s="0" t="str">
        <f aca="false">IF(Y583&gt;=Parameters!$B$25,"High","")</f>
        <v/>
      </c>
    </row>
    <row r="584" customFormat="false" ht="15" hidden="false" customHeight="false" outlineLevel="0" collapsed="false">
      <c r="A584" s="16" t="n">
        <v>1588</v>
      </c>
      <c r="B584" s="9" t="n">
        <f aca="false">COUNTIF(JE_Lines!$B$5:$B$1733,A584)</f>
        <v>2</v>
      </c>
      <c r="C584" s="17" t="n">
        <f aca="false">SUMIFS(JE_Lines!$G$5:$G$1733,JE_Lines!$B$5:$B$1733,A584)</f>
        <v>1010.23</v>
      </c>
      <c r="D584" s="17" t="n">
        <f aca="false">SUMIFS(JE_Lines!$H$5:$H$1733,JE_Lines!$B$5:$B$1733,A584)</f>
        <v>1010.23</v>
      </c>
      <c r="E584" s="17" t="n">
        <f aca="false">C584-D584</f>
        <v>0</v>
      </c>
      <c r="F584" s="18" t="n">
        <f aca="false">INDEX(JE_Lines!$C$5:$C$1733,MATCH(A584,JE_Lines!$B$5:$B$1733,0))</f>
        <v>45926</v>
      </c>
      <c r="G584" s="18" t="n">
        <f aca="false">INDEX(JE_Lines!$D$5:$D$1733,MATCH(A584,JE_Lines!$B$5:$B$1733,0))</f>
        <v>45923</v>
      </c>
      <c r="H584" s="0" t="str">
        <f aca="false">INDEX(JE_Lines!$I$5:$I$1733,MATCH(A584,JE_Lines!$B$5:$B$1733,0))</f>
        <v>SYS_PAY</v>
      </c>
      <c r="I584" s="0" t="str">
        <f aca="false">INDEX(JE_Lines!$J$5:$J$1733,MATCH(A584,JE_Lines!$B$5:$B$1733,0))</f>
        <v>System</v>
      </c>
      <c r="J584" s="0" t="str">
        <f aca="false">IF(LEN(INDEX(JE_Lines!$K$5:$K$1733,MATCH(A584,JE_Lines!$B$5:$B$1733,0)))=0,"",INDEX(JE_Lines!$K$5:$K$1733,MATCH(A584,JE_Lines!$B$5:$B$1733,0)))</f>
        <v>Supplier payments</v>
      </c>
      <c r="K584" s="9" t="n">
        <f aca="false">F584-G584</f>
        <v>3</v>
      </c>
      <c r="L584" s="9" t="n">
        <f aca="false">COUNTIFS(JE_Lines!$B$5:$B$1733,A584,JE_Lines!$F$5:$F$1733,"Revenue")</f>
        <v>0</v>
      </c>
      <c r="M584" s="9" t="n">
        <f aca="false">COUNTIFS(JE_Lines!$B$5:$B$1733,A584,JE_Lines!$F$5:$F$1733,"Suspense")</f>
        <v>0</v>
      </c>
      <c r="N584" s="9" t="n">
        <f aca="false">IF(ABS(E584)&gt;Parameters!$B$23,1,0)</f>
        <v>0</v>
      </c>
      <c r="O584" s="9" t="n">
        <f aca="false">IF(WEEKDAY(F584,2)&gt;5,1,0)</f>
        <v>0</v>
      </c>
      <c r="P584" s="9" t="n">
        <f aca="false">IF(K584&gt;Parameters!$B$17,1,0)</f>
        <v>0</v>
      </c>
      <c r="Q584" s="9" t="n">
        <f aca="false">IF(AND(F584&lt;=Parameters!$B$6,F584&gt;Parameters!$B$6-Parameters!$B$18),1,0)</f>
        <v>0</v>
      </c>
      <c r="R584" s="9" t="n">
        <f aca="false">IF(COUNTIF(Parameters!$A$51:$A$58,H584)=0,1,0)</f>
        <v>0</v>
      </c>
      <c r="S584" s="9" t="n">
        <f aca="false">IF(AND(I584="Manual",L584&gt;0),1,0)</f>
        <v>0</v>
      </c>
      <c r="T584" s="9" t="n">
        <f aca="false">IF(AND(C584&gt;=Parameters!$B$22,ROUND(MOD(ROUND(C584,2),Parameters!$B$21),2)=0),1,0)</f>
        <v>0</v>
      </c>
      <c r="U584" s="9" t="n">
        <f aca="false">IF(LEN(TRIM(J584))=0,1,0)</f>
        <v>0</v>
      </c>
      <c r="V584" s="9" t="n">
        <f aca="false">IF(AND(I584="Manual",C584&lt;Parameters!$B$19,C584&gt;=Parameters!$B$19*(1-Parameters!$B$20)),1,0)</f>
        <v>0</v>
      </c>
      <c r="W584" s="9" t="n">
        <f aca="false">IF(AND(I584="Manual",M584&gt;0),1,0)</f>
        <v>0</v>
      </c>
      <c r="X584" s="9" t="n">
        <f aca="false">IF(A584-A583&gt;1,1,0)</f>
        <v>0</v>
      </c>
      <c r="Y584" s="9" t="n">
        <f aca="false">N584*Parameters!$B$38+O584*Parameters!$B$39+P584*Parameters!$B$40+Q584*Parameters!$B$41+R584*Parameters!$B$42+S584*Parameters!$B$43+T584*Parameters!$B$44+U584*Parameters!$B$45+V584*Parameters!$B$46+W584*Parameters!$B$47+X584*Parameters!$B$48</f>
        <v>0</v>
      </c>
      <c r="Z584" s="0" t="str">
        <f aca="false">IF(Y584&gt;=Parameters!$B$25,"High","")</f>
        <v/>
      </c>
    </row>
    <row r="585" customFormat="false" ht="15" hidden="false" customHeight="false" outlineLevel="0" collapsed="false">
      <c r="A585" s="16" t="n">
        <v>1589</v>
      </c>
      <c r="B585" s="9" t="n">
        <f aca="false">COUNTIF(JE_Lines!$B$5:$B$1733,A585)</f>
        <v>2</v>
      </c>
      <c r="C585" s="17" t="n">
        <f aca="false">SUMIFS(JE_Lines!$G$5:$G$1733,JE_Lines!$B$5:$B$1733,A585)</f>
        <v>3183.47</v>
      </c>
      <c r="D585" s="17" t="n">
        <f aca="false">SUMIFS(JE_Lines!$H$5:$H$1733,JE_Lines!$B$5:$B$1733,A585)</f>
        <v>3183.47</v>
      </c>
      <c r="E585" s="17" t="n">
        <f aca="false">C585-D585</f>
        <v>0</v>
      </c>
      <c r="F585" s="18" t="n">
        <f aca="false">INDEX(JE_Lines!$C$5:$C$1733,MATCH(A585,JE_Lines!$B$5:$B$1733,0))</f>
        <v>45926</v>
      </c>
      <c r="G585" s="18" t="n">
        <f aca="false">INDEX(JE_Lines!$D$5:$D$1733,MATCH(A585,JE_Lines!$B$5:$B$1733,0))</f>
        <v>45922</v>
      </c>
      <c r="H585" s="0" t="str">
        <f aca="false">INDEX(JE_Lines!$I$5:$I$1733,MATCH(A585,JE_Lines!$B$5:$B$1733,0))</f>
        <v>SYS_AR</v>
      </c>
      <c r="I585" s="0" t="str">
        <f aca="false">INDEX(JE_Lines!$J$5:$J$1733,MATCH(A585,JE_Lines!$B$5:$B$1733,0))</f>
        <v>System</v>
      </c>
      <c r="J585" s="0" t="str">
        <f aca="false">IF(LEN(INDEX(JE_Lines!$K$5:$K$1733,MATCH(A585,JE_Lines!$B$5:$B$1733,0)))=0,"",INDEX(JE_Lines!$K$5:$K$1733,MATCH(A585,JE_Lines!$B$5:$B$1733,0)))</f>
        <v>Sales invoice batch</v>
      </c>
      <c r="K585" s="9" t="n">
        <f aca="false">F585-G585</f>
        <v>4</v>
      </c>
      <c r="L585" s="9" t="n">
        <f aca="false">COUNTIFS(JE_Lines!$B$5:$B$1733,A585,JE_Lines!$F$5:$F$1733,"Revenue")</f>
        <v>1</v>
      </c>
      <c r="M585" s="9" t="n">
        <f aca="false">COUNTIFS(JE_Lines!$B$5:$B$1733,A585,JE_Lines!$F$5:$F$1733,"Suspense")</f>
        <v>0</v>
      </c>
      <c r="N585" s="9" t="n">
        <f aca="false">IF(ABS(E585)&gt;Parameters!$B$23,1,0)</f>
        <v>0</v>
      </c>
      <c r="O585" s="9" t="n">
        <f aca="false">IF(WEEKDAY(F585,2)&gt;5,1,0)</f>
        <v>0</v>
      </c>
      <c r="P585" s="9" t="n">
        <f aca="false">IF(K585&gt;Parameters!$B$17,1,0)</f>
        <v>0</v>
      </c>
      <c r="Q585" s="9" t="n">
        <f aca="false">IF(AND(F585&lt;=Parameters!$B$6,F585&gt;Parameters!$B$6-Parameters!$B$18),1,0)</f>
        <v>0</v>
      </c>
      <c r="R585" s="9" t="n">
        <f aca="false">IF(COUNTIF(Parameters!$A$51:$A$58,H585)=0,1,0)</f>
        <v>0</v>
      </c>
      <c r="S585" s="9" t="n">
        <f aca="false">IF(AND(I585="Manual",L585&gt;0),1,0)</f>
        <v>0</v>
      </c>
      <c r="T585" s="9" t="n">
        <f aca="false">IF(AND(C585&gt;=Parameters!$B$22,ROUND(MOD(ROUND(C585,2),Parameters!$B$21),2)=0),1,0)</f>
        <v>0</v>
      </c>
      <c r="U585" s="9" t="n">
        <f aca="false">IF(LEN(TRIM(J585))=0,1,0)</f>
        <v>0</v>
      </c>
      <c r="V585" s="9" t="n">
        <f aca="false">IF(AND(I585="Manual",C585&lt;Parameters!$B$19,C585&gt;=Parameters!$B$19*(1-Parameters!$B$20)),1,0)</f>
        <v>0</v>
      </c>
      <c r="W585" s="9" t="n">
        <f aca="false">IF(AND(I585="Manual",M585&gt;0),1,0)</f>
        <v>0</v>
      </c>
      <c r="X585" s="9" t="n">
        <f aca="false">IF(A585-A584&gt;1,1,0)</f>
        <v>0</v>
      </c>
      <c r="Y585" s="9" t="n">
        <f aca="false">N585*Parameters!$B$38+O585*Parameters!$B$39+P585*Parameters!$B$40+Q585*Parameters!$B$41+R585*Parameters!$B$42+S585*Parameters!$B$43+T585*Parameters!$B$44+U585*Parameters!$B$45+V585*Parameters!$B$46+W585*Parameters!$B$47+X585*Parameters!$B$48</f>
        <v>0</v>
      </c>
      <c r="Z585" s="0" t="str">
        <f aca="false">IF(Y585&gt;=Parameters!$B$25,"High","")</f>
        <v/>
      </c>
    </row>
    <row r="586" customFormat="false" ht="15" hidden="false" customHeight="false" outlineLevel="0" collapsed="false">
      <c r="A586" s="16" t="n">
        <v>1590</v>
      </c>
      <c r="B586" s="9" t="n">
        <f aca="false">COUNTIF(JE_Lines!$B$5:$B$1733,A586)</f>
        <v>2</v>
      </c>
      <c r="C586" s="17" t="n">
        <f aca="false">SUMIFS(JE_Lines!$G$5:$G$1733,JE_Lines!$B$5:$B$1733,A586)</f>
        <v>2541.64</v>
      </c>
      <c r="D586" s="17" t="n">
        <f aca="false">SUMIFS(JE_Lines!$H$5:$H$1733,JE_Lines!$B$5:$B$1733,A586)</f>
        <v>2541.64</v>
      </c>
      <c r="E586" s="17" t="n">
        <f aca="false">C586-D586</f>
        <v>0</v>
      </c>
      <c r="F586" s="18" t="n">
        <f aca="false">INDEX(JE_Lines!$C$5:$C$1733,MATCH(A586,JE_Lines!$B$5:$B$1733,0))</f>
        <v>45929</v>
      </c>
      <c r="G586" s="18" t="n">
        <f aca="false">INDEX(JE_Lines!$D$5:$D$1733,MATCH(A586,JE_Lines!$B$5:$B$1733,0))</f>
        <v>45926</v>
      </c>
      <c r="H586" s="0" t="str">
        <f aca="false">INDEX(JE_Lines!$I$5:$I$1733,MATCH(A586,JE_Lines!$B$5:$B$1733,0))</f>
        <v>SYS_PAY</v>
      </c>
      <c r="I586" s="0" t="str">
        <f aca="false">INDEX(JE_Lines!$J$5:$J$1733,MATCH(A586,JE_Lines!$B$5:$B$1733,0))</f>
        <v>System</v>
      </c>
      <c r="J586" s="0" t="str">
        <f aca="false">IF(LEN(INDEX(JE_Lines!$K$5:$K$1733,MATCH(A586,JE_Lines!$B$5:$B$1733,0)))=0,"",INDEX(JE_Lines!$K$5:$K$1733,MATCH(A586,JE_Lines!$B$5:$B$1733,0)))</f>
        <v>Supplier payments</v>
      </c>
      <c r="K586" s="9" t="n">
        <f aca="false">F586-G586</f>
        <v>3</v>
      </c>
      <c r="L586" s="9" t="n">
        <f aca="false">COUNTIFS(JE_Lines!$B$5:$B$1733,A586,JE_Lines!$F$5:$F$1733,"Revenue")</f>
        <v>0</v>
      </c>
      <c r="M586" s="9" t="n">
        <f aca="false">COUNTIFS(JE_Lines!$B$5:$B$1733,A586,JE_Lines!$F$5:$F$1733,"Suspense")</f>
        <v>0</v>
      </c>
      <c r="N586" s="9" t="n">
        <f aca="false">IF(ABS(E586)&gt;Parameters!$B$23,1,0)</f>
        <v>0</v>
      </c>
      <c r="O586" s="9" t="n">
        <f aca="false">IF(WEEKDAY(F586,2)&gt;5,1,0)</f>
        <v>0</v>
      </c>
      <c r="P586" s="9" t="n">
        <f aca="false">IF(K586&gt;Parameters!$B$17,1,0)</f>
        <v>0</v>
      </c>
      <c r="Q586" s="9" t="n">
        <f aca="false">IF(AND(F586&lt;=Parameters!$B$6,F586&gt;Parameters!$B$6-Parameters!$B$18),1,0)</f>
        <v>0</v>
      </c>
      <c r="R586" s="9" t="n">
        <f aca="false">IF(COUNTIF(Parameters!$A$51:$A$58,H586)=0,1,0)</f>
        <v>0</v>
      </c>
      <c r="S586" s="9" t="n">
        <f aca="false">IF(AND(I586="Manual",L586&gt;0),1,0)</f>
        <v>0</v>
      </c>
      <c r="T586" s="9" t="n">
        <f aca="false">IF(AND(C586&gt;=Parameters!$B$22,ROUND(MOD(ROUND(C586,2),Parameters!$B$21),2)=0),1,0)</f>
        <v>0</v>
      </c>
      <c r="U586" s="9" t="n">
        <f aca="false">IF(LEN(TRIM(J586))=0,1,0)</f>
        <v>0</v>
      </c>
      <c r="V586" s="9" t="n">
        <f aca="false">IF(AND(I586="Manual",C586&lt;Parameters!$B$19,C586&gt;=Parameters!$B$19*(1-Parameters!$B$20)),1,0)</f>
        <v>0</v>
      </c>
      <c r="W586" s="9" t="n">
        <f aca="false">IF(AND(I586="Manual",M586&gt;0),1,0)</f>
        <v>0</v>
      </c>
      <c r="X586" s="9" t="n">
        <f aca="false">IF(A586-A585&gt;1,1,0)</f>
        <v>0</v>
      </c>
      <c r="Y586" s="9" t="n">
        <f aca="false">N586*Parameters!$B$38+O586*Parameters!$B$39+P586*Parameters!$B$40+Q586*Parameters!$B$41+R586*Parameters!$B$42+S586*Parameters!$B$43+T586*Parameters!$B$44+U586*Parameters!$B$45+V586*Parameters!$B$46+W586*Parameters!$B$47+X586*Parameters!$B$48</f>
        <v>0</v>
      </c>
      <c r="Z586" s="0" t="str">
        <f aca="false">IF(Y586&gt;=Parameters!$B$25,"High","")</f>
        <v/>
      </c>
    </row>
    <row r="587" customFormat="false" ht="15" hidden="false" customHeight="false" outlineLevel="0" collapsed="false">
      <c r="A587" s="16" t="n">
        <v>1591</v>
      </c>
      <c r="B587" s="9" t="n">
        <f aca="false">COUNTIF(JE_Lines!$B$5:$B$1733,A587)</f>
        <v>2</v>
      </c>
      <c r="C587" s="17" t="n">
        <f aca="false">SUMIFS(JE_Lines!$G$5:$G$1733,JE_Lines!$B$5:$B$1733,A587)</f>
        <v>375.84</v>
      </c>
      <c r="D587" s="17" t="n">
        <f aca="false">SUMIFS(JE_Lines!$H$5:$H$1733,JE_Lines!$B$5:$B$1733,A587)</f>
        <v>375.84</v>
      </c>
      <c r="E587" s="17" t="n">
        <f aca="false">C587-D587</f>
        <v>0</v>
      </c>
      <c r="F587" s="18" t="n">
        <f aca="false">INDEX(JE_Lines!$C$5:$C$1733,MATCH(A587,JE_Lines!$B$5:$B$1733,0))</f>
        <v>45929</v>
      </c>
      <c r="G587" s="18" t="n">
        <f aca="false">INDEX(JE_Lines!$D$5:$D$1733,MATCH(A587,JE_Lines!$B$5:$B$1733,0))</f>
        <v>45929</v>
      </c>
      <c r="H587" s="0" t="str">
        <f aca="false">INDEX(JE_Lines!$I$5:$I$1733,MATCH(A587,JE_Lines!$B$5:$B$1733,0))</f>
        <v>SYS_AR</v>
      </c>
      <c r="I587" s="0" t="str">
        <f aca="false">INDEX(JE_Lines!$J$5:$J$1733,MATCH(A587,JE_Lines!$B$5:$B$1733,0))</f>
        <v>System</v>
      </c>
      <c r="J587" s="0" t="str">
        <f aca="false">IF(LEN(INDEX(JE_Lines!$K$5:$K$1733,MATCH(A587,JE_Lines!$B$5:$B$1733,0)))=0,"",INDEX(JE_Lines!$K$5:$K$1733,MATCH(A587,JE_Lines!$B$5:$B$1733,0)))</f>
        <v>Customer receipts</v>
      </c>
      <c r="K587" s="9" t="n">
        <f aca="false">F587-G587</f>
        <v>0</v>
      </c>
      <c r="L587" s="9" t="n">
        <f aca="false">COUNTIFS(JE_Lines!$B$5:$B$1733,A587,JE_Lines!$F$5:$F$1733,"Revenue")</f>
        <v>0</v>
      </c>
      <c r="M587" s="9" t="n">
        <f aca="false">COUNTIFS(JE_Lines!$B$5:$B$1733,A587,JE_Lines!$F$5:$F$1733,"Suspense")</f>
        <v>0</v>
      </c>
      <c r="N587" s="9" t="n">
        <f aca="false">IF(ABS(E587)&gt;Parameters!$B$23,1,0)</f>
        <v>0</v>
      </c>
      <c r="O587" s="9" t="n">
        <f aca="false">IF(WEEKDAY(F587,2)&gt;5,1,0)</f>
        <v>0</v>
      </c>
      <c r="P587" s="9" t="n">
        <f aca="false">IF(K587&gt;Parameters!$B$17,1,0)</f>
        <v>0</v>
      </c>
      <c r="Q587" s="9" t="n">
        <f aca="false">IF(AND(F587&lt;=Parameters!$B$6,F587&gt;Parameters!$B$6-Parameters!$B$18),1,0)</f>
        <v>0</v>
      </c>
      <c r="R587" s="9" t="n">
        <f aca="false">IF(COUNTIF(Parameters!$A$51:$A$58,H587)=0,1,0)</f>
        <v>0</v>
      </c>
      <c r="S587" s="9" t="n">
        <f aca="false">IF(AND(I587="Manual",L587&gt;0),1,0)</f>
        <v>0</v>
      </c>
      <c r="T587" s="9" t="n">
        <f aca="false">IF(AND(C587&gt;=Parameters!$B$22,ROUND(MOD(ROUND(C587,2),Parameters!$B$21),2)=0),1,0)</f>
        <v>0</v>
      </c>
      <c r="U587" s="9" t="n">
        <f aca="false">IF(LEN(TRIM(J587))=0,1,0)</f>
        <v>0</v>
      </c>
      <c r="V587" s="9" t="n">
        <f aca="false">IF(AND(I587="Manual",C587&lt;Parameters!$B$19,C587&gt;=Parameters!$B$19*(1-Parameters!$B$20)),1,0)</f>
        <v>0</v>
      </c>
      <c r="W587" s="9" t="n">
        <f aca="false">IF(AND(I587="Manual",M587&gt;0),1,0)</f>
        <v>0</v>
      </c>
      <c r="X587" s="9" t="n">
        <f aca="false">IF(A587-A586&gt;1,1,0)</f>
        <v>0</v>
      </c>
      <c r="Y587" s="9" t="n">
        <f aca="false">N587*Parameters!$B$38+O587*Parameters!$B$39+P587*Parameters!$B$40+Q587*Parameters!$B$41+R587*Parameters!$B$42+S587*Parameters!$B$43+T587*Parameters!$B$44+U587*Parameters!$B$45+V587*Parameters!$B$46+W587*Parameters!$B$47+X587*Parameters!$B$48</f>
        <v>0</v>
      </c>
      <c r="Z587" s="0" t="str">
        <f aca="false">IF(Y587&gt;=Parameters!$B$25,"High","")</f>
        <v/>
      </c>
    </row>
    <row r="588" customFormat="false" ht="15" hidden="false" customHeight="false" outlineLevel="0" collapsed="false">
      <c r="A588" s="16" t="n">
        <v>1592</v>
      </c>
      <c r="B588" s="9" t="n">
        <f aca="false">COUNTIF(JE_Lines!$B$5:$B$1733,A588)</f>
        <v>3</v>
      </c>
      <c r="C588" s="17" t="n">
        <f aca="false">SUMIFS(JE_Lines!$G$5:$G$1733,JE_Lines!$B$5:$B$1733,A588)</f>
        <v>32740.55</v>
      </c>
      <c r="D588" s="17" t="n">
        <f aca="false">SUMIFS(JE_Lines!$H$5:$H$1733,JE_Lines!$B$5:$B$1733,A588)</f>
        <v>32740.55</v>
      </c>
      <c r="E588" s="17" t="n">
        <f aca="false">C588-D588</f>
        <v>0</v>
      </c>
      <c r="F588" s="18" t="n">
        <f aca="false">INDEX(JE_Lines!$C$5:$C$1733,MATCH(A588,JE_Lines!$B$5:$B$1733,0))</f>
        <v>45929</v>
      </c>
      <c r="G588" s="18" t="n">
        <f aca="false">INDEX(JE_Lines!$D$5:$D$1733,MATCH(A588,JE_Lines!$B$5:$B$1733,0))</f>
        <v>45927</v>
      </c>
      <c r="H588" s="0" t="str">
        <f aca="false">INDEX(JE_Lines!$I$5:$I$1733,MATCH(A588,JE_Lines!$B$5:$B$1733,0))</f>
        <v>FIN01</v>
      </c>
      <c r="I588" s="0" t="str">
        <f aca="false">INDEX(JE_Lines!$J$5:$J$1733,MATCH(A588,JE_Lines!$B$5:$B$1733,0))</f>
        <v>Manual</v>
      </c>
      <c r="J588" s="0" t="str">
        <f aca="false">IF(LEN(INDEX(JE_Lines!$K$5:$K$1733,MATCH(A588,JE_Lines!$B$5:$B$1733,0)))=0,"",INDEX(JE_Lines!$K$5:$K$1733,MATCH(A588,JE_Lines!$B$5:$B$1733,0)))</f>
        <v>Accrual for sundry costs</v>
      </c>
      <c r="K588" s="9" t="n">
        <f aca="false">F588-G588</f>
        <v>2</v>
      </c>
      <c r="L588" s="9" t="n">
        <f aca="false">COUNTIFS(JE_Lines!$B$5:$B$1733,A588,JE_Lines!$F$5:$F$1733,"Revenue")</f>
        <v>0</v>
      </c>
      <c r="M588" s="9" t="n">
        <f aca="false">COUNTIFS(JE_Lines!$B$5:$B$1733,A588,JE_Lines!$F$5:$F$1733,"Suspense")</f>
        <v>0</v>
      </c>
      <c r="N588" s="9" t="n">
        <f aca="false">IF(ABS(E588)&gt;Parameters!$B$23,1,0)</f>
        <v>0</v>
      </c>
      <c r="O588" s="9" t="n">
        <f aca="false">IF(WEEKDAY(F588,2)&gt;5,1,0)</f>
        <v>0</v>
      </c>
      <c r="P588" s="9" t="n">
        <f aca="false">IF(K588&gt;Parameters!$B$17,1,0)</f>
        <v>0</v>
      </c>
      <c r="Q588" s="9" t="n">
        <f aca="false">IF(AND(F588&lt;=Parameters!$B$6,F588&gt;Parameters!$B$6-Parameters!$B$18),1,0)</f>
        <v>0</v>
      </c>
      <c r="R588" s="9" t="n">
        <f aca="false">IF(COUNTIF(Parameters!$A$51:$A$58,H588)=0,1,0)</f>
        <v>0</v>
      </c>
      <c r="S588" s="9" t="n">
        <f aca="false">IF(AND(I588="Manual",L588&gt;0),1,0)</f>
        <v>0</v>
      </c>
      <c r="T588" s="9" t="n">
        <f aca="false">IF(AND(C588&gt;=Parameters!$B$22,ROUND(MOD(ROUND(C588,2),Parameters!$B$21),2)=0),1,0)</f>
        <v>0</v>
      </c>
      <c r="U588" s="9" t="n">
        <f aca="false">IF(LEN(TRIM(J588))=0,1,0)</f>
        <v>0</v>
      </c>
      <c r="V588" s="9" t="n">
        <f aca="false">IF(AND(I588="Manual",C588&lt;Parameters!$B$19,C588&gt;=Parameters!$B$19*(1-Parameters!$B$20)),1,0)</f>
        <v>0</v>
      </c>
      <c r="W588" s="9" t="n">
        <f aca="false">IF(AND(I588="Manual",M588&gt;0),1,0)</f>
        <v>0</v>
      </c>
      <c r="X588" s="9" t="n">
        <f aca="false">IF(A588-A587&gt;1,1,0)</f>
        <v>0</v>
      </c>
      <c r="Y588" s="9" t="n">
        <f aca="false">N588*Parameters!$B$38+O588*Parameters!$B$39+P588*Parameters!$B$40+Q588*Parameters!$B$41+R588*Parameters!$B$42+S588*Parameters!$B$43+T588*Parameters!$B$44+U588*Parameters!$B$45+V588*Parameters!$B$46+W588*Parameters!$B$47+X588*Parameters!$B$48</f>
        <v>0</v>
      </c>
      <c r="Z588" s="0" t="str">
        <f aca="false">IF(Y588&gt;=Parameters!$B$25,"High","")</f>
        <v/>
      </c>
    </row>
    <row r="589" customFormat="false" ht="15" hidden="false" customHeight="false" outlineLevel="0" collapsed="false">
      <c r="A589" s="16" t="n">
        <v>1593</v>
      </c>
      <c r="B589" s="9" t="n">
        <f aca="false">COUNTIF(JE_Lines!$B$5:$B$1733,A589)</f>
        <v>3</v>
      </c>
      <c r="C589" s="17" t="n">
        <f aca="false">SUMIFS(JE_Lines!$G$5:$G$1733,JE_Lines!$B$5:$B$1733,A589)</f>
        <v>96083.68</v>
      </c>
      <c r="D589" s="17" t="n">
        <f aca="false">SUMIFS(JE_Lines!$H$5:$H$1733,JE_Lines!$B$5:$B$1733,A589)</f>
        <v>96083.68</v>
      </c>
      <c r="E589" s="17" t="n">
        <f aca="false">C589-D589</f>
        <v>0</v>
      </c>
      <c r="F589" s="18" t="n">
        <f aca="false">INDEX(JE_Lines!$C$5:$C$1733,MATCH(A589,JE_Lines!$B$5:$B$1733,0))</f>
        <v>45929</v>
      </c>
      <c r="G589" s="18" t="n">
        <f aca="false">INDEX(JE_Lines!$D$5:$D$1733,MATCH(A589,JE_Lines!$B$5:$B$1733,0))</f>
        <v>45927</v>
      </c>
      <c r="H589" s="0" t="str">
        <f aca="false">INDEX(JE_Lines!$I$5:$I$1733,MATCH(A589,JE_Lines!$B$5:$B$1733,0))</f>
        <v>SYS_AR</v>
      </c>
      <c r="I589" s="0" t="str">
        <f aca="false">INDEX(JE_Lines!$J$5:$J$1733,MATCH(A589,JE_Lines!$B$5:$B$1733,0))</f>
        <v>System</v>
      </c>
      <c r="J589" s="0" t="str">
        <f aca="false">IF(LEN(INDEX(JE_Lines!$K$5:$K$1733,MATCH(A589,JE_Lines!$B$5:$B$1733,0)))=0,"",INDEX(JE_Lines!$K$5:$K$1733,MATCH(A589,JE_Lines!$B$5:$B$1733,0)))</f>
        <v>Customer receipts</v>
      </c>
      <c r="K589" s="9" t="n">
        <f aca="false">F589-G589</f>
        <v>2</v>
      </c>
      <c r="L589" s="9" t="n">
        <f aca="false">COUNTIFS(JE_Lines!$B$5:$B$1733,A589,JE_Lines!$F$5:$F$1733,"Revenue")</f>
        <v>0</v>
      </c>
      <c r="M589" s="9" t="n">
        <f aca="false">COUNTIFS(JE_Lines!$B$5:$B$1733,A589,JE_Lines!$F$5:$F$1733,"Suspense")</f>
        <v>0</v>
      </c>
      <c r="N589" s="9" t="n">
        <f aca="false">IF(ABS(E589)&gt;Parameters!$B$23,1,0)</f>
        <v>0</v>
      </c>
      <c r="O589" s="9" t="n">
        <f aca="false">IF(WEEKDAY(F589,2)&gt;5,1,0)</f>
        <v>0</v>
      </c>
      <c r="P589" s="9" t="n">
        <f aca="false">IF(K589&gt;Parameters!$B$17,1,0)</f>
        <v>0</v>
      </c>
      <c r="Q589" s="9" t="n">
        <f aca="false">IF(AND(F589&lt;=Parameters!$B$6,F589&gt;Parameters!$B$6-Parameters!$B$18),1,0)</f>
        <v>0</v>
      </c>
      <c r="R589" s="9" t="n">
        <f aca="false">IF(COUNTIF(Parameters!$A$51:$A$58,H589)=0,1,0)</f>
        <v>0</v>
      </c>
      <c r="S589" s="9" t="n">
        <f aca="false">IF(AND(I589="Manual",L589&gt;0),1,0)</f>
        <v>0</v>
      </c>
      <c r="T589" s="9" t="n">
        <f aca="false">IF(AND(C589&gt;=Parameters!$B$22,ROUND(MOD(ROUND(C589,2),Parameters!$B$21),2)=0),1,0)</f>
        <v>0</v>
      </c>
      <c r="U589" s="9" t="n">
        <f aca="false">IF(LEN(TRIM(J589))=0,1,0)</f>
        <v>0</v>
      </c>
      <c r="V589" s="9" t="n">
        <f aca="false">IF(AND(I589="Manual",C589&lt;Parameters!$B$19,C589&gt;=Parameters!$B$19*(1-Parameters!$B$20)),1,0)</f>
        <v>0</v>
      </c>
      <c r="W589" s="9" t="n">
        <f aca="false">IF(AND(I589="Manual",M589&gt;0),1,0)</f>
        <v>0</v>
      </c>
      <c r="X589" s="9" t="n">
        <f aca="false">IF(A589-A588&gt;1,1,0)</f>
        <v>0</v>
      </c>
      <c r="Y589" s="9" t="n">
        <f aca="false">N589*Parameters!$B$38+O589*Parameters!$B$39+P589*Parameters!$B$40+Q589*Parameters!$B$41+R589*Parameters!$B$42+S589*Parameters!$B$43+T589*Parameters!$B$44+U589*Parameters!$B$45+V589*Parameters!$B$46+W589*Parameters!$B$47+X589*Parameters!$B$48</f>
        <v>0</v>
      </c>
      <c r="Z589" s="0" t="str">
        <f aca="false">IF(Y589&gt;=Parameters!$B$25,"High","")</f>
        <v/>
      </c>
    </row>
    <row r="590" customFormat="false" ht="15" hidden="false" customHeight="false" outlineLevel="0" collapsed="false">
      <c r="A590" s="16" t="n">
        <v>1594</v>
      </c>
      <c r="B590" s="9" t="n">
        <f aca="false">COUNTIF(JE_Lines!$B$5:$B$1733,A590)</f>
        <v>2</v>
      </c>
      <c r="C590" s="17" t="n">
        <f aca="false">SUMIFS(JE_Lines!$G$5:$G$1733,JE_Lines!$B$5:$B$1733,A590)</f>
        <v>52710.76</v>
      </c>
      <c r="D590" s="17" t="n">
        <f aca="false">SUMIFS(JE_Lines!$H$5:$H$1733,JE_Lines!$B$5:$B$1733,A590)</f>
        <v>52710.76</v>
      </c>
      <c r="E590" s="17" t="n">
        <f aca="false">C590-D590</f>
        <v>0</v>
      </c>
      <c r="F590" s="18" t="n">
        <f aca="false">INDEX(JE_Lines!$C$5:$C$1733,MATCH(A590,JE_Lines!$B$5:$B$1733,0))</f>
        <v>45930</v>
      </c>
      <c r="G590" s="18" t="n">
        <f aca="false">INDEX(JE_Lines!$D$5:$D$1733,MATCH(A590,JE_Lines!$B$5:$B$1733,0))</f>
        <v>45928</v>
      </c>
      <c r="H590" s="0" t="str">
        <f aca="false">INDEX(JE_Lines!$I$5:$I$1733,MATCH(A590,JE_Lines!$B$5:$B$1733,0))</f>
        <v>SYS_AR</v>
      </c>
      <c r="I590" s="0" t="str">
        <f aca="false">INDEX(JE_Lines!$J$5:$J$1733,MATCH(A590,JE_Lines!$B$5:$B$1733,0))</f>
        <v>System</v>
      </c>
      <c r="J590" s="0" t="str">
        <f aca="false">IF(LEN(INDEX(JE_Lines!$K$5:$K$1733,MATCH(A590,JE_Lines!$B$5:$B$1733,0)))=0,"",INDEX(JE_Lines!$K$5:$K$1733,MATCH(A590,JE_Lines!$B$5:$B$1733,0)))</f>
        <v>Customer receipts</v>
      </c>
      <c r="K590" s="9" t="n">
        <f aca="false">F590-G590</f>
        <v>2</v>
      </c>
      <c r="L590" s="9" t="n">
        <f aca="false">COUNTIFS(JE_Lines!$B$5:$B$1733,A590,JE_Lines!$F$5:$F$1733,"Revenue")</f>
        <v>0</v>
      </c>
      <c r="M590" s="9" t="n">
        <f aca="false">COUNTIFS(JE_Lines!$B$5:$B$1733,A590,JE_Lines!$F$5:$F$1733,"Suspense")</f>
        <v>0</v>
      </c>
      <c r="N590" s="9" t="n">
        <f aca="false">IF(ABS(E590)&gt;Parameters!$B$23,1,0)</f>
        <v>0</v>
      </c>
      <c r="O590" s="9" t="n">
        <f aca="false">IF(WEEKDAY(F590,2)&gt;5,1,0)</f>
        <v>0</v>
      </c>
      <c r="P590" s="9" t="n">
        <f aca="false">IF(K590&gt;Parameters!$B$17,1,0)</f>
        <v>0</v>
      </c>
      <c r="Q590" s="9" t="n">
        <f aca="false">IF(AND(F590&lt;=Parameters!$B$6,F590&gt;Parameters!$B$6-Parameters!$B$18),1,0)</f>
        <v>0</v>
      </c>
      <c r="R590" s="9" t="n">
        <f aca="false">IF(COUNTIF(Parameters!$A$51:$A$58,H590)=0,1,0)</f>
        <v>0</v>
      </c>
      <c r="S590" s="9" t="n">
        <f aca="false">IF(AND(I590="Manual",L590&gt;0),1,0)</f>
        <v>0</v>
      </c>
      <c r="T590" s="9" t="n">
        <f aca="false">IF(AND(C590&gt;=Parameters!$B$22,ROUND(MOD(ROUND(C590,2),Parameters!$B$21),2)=0),1,0)</f>
        <v>0</v>
      </c>
      <c r="U590" s="9" t="n">
        <f aca="false">IF(LEN(TRIM(J590))=0,1,0)</f>
        <v>0</v>
      </c>
      <c r="V590" s="9" t="n">
        <f aca="false">IF(AND(I590="Manual",C590&lt;Parameters!$B$19,C590&gt;=Parameters!$B$19*(1-Parameters!$B$20)),1,0)</f>
        <v>0</v>
      </c>
      <c r="W590" s="9" t="n">
        <f aca="false">IF(AND(I590="Manual",M590&gt;0),1,0)</f>
        <v>0</v>
      </c>
      <c r="X590" s="9" t="n">
        <f aca="false">IF(A590-A589&gt;1,1,0)</f>
        <v>0</v>
      </c>
      <c r="Y590" s="9" t="n">
        <f aca="false">N590*Parameters!$B$38+O590*Parameters!$B$39+P590*Parameters!$B$40+Q590*Parameters!$B$41+R590*Parameters!$B$42+S590*Parameters!$B$43+T590*Parameters!$B$44+U590*Parameters!$B$45+V590*Parameters!$B$46+W590*Parameters!$B$47+X590*Parameters!$B$48</f>
        <v>0</v>
      </c>
      <c r="Z590" s="0" t="str">
        <f aca="false">IF(Y590&gt;=Parameters!$B$25,"High","")</f>
        <v/>
      </c>
    </row>
    <row r="591" customFormat="false" ht="15" hidden="false" customHeight="false" outlineLevel="0" collapsed="false">
      <c r="A591" s="16" t="n">
        <v>1595</v>
      </c>
      <c r="B591" s="9" t="n">
        <f aca="false">COUNTIF(JE_Lines!$B$5:$B$1733,A591)</f>
        <v>2</v>
      </c>
      <c r="C591" s="17" t="n">
        <f aca="false">SUMIFS(JE_Lines!$G$5:$G$1733,JE_Lines!$B$5:$B$1733,A591)</f>
        <v>4545.79</v>
      </c>
      <c r="D591" s="17" t="n">
        <f aca="false">SUMIFS(JE_Lines!$H$5:$H$1733,JE_Lines!$B$5:$B$1733,A591)</f>
        <v>4545.79</v>
      </c>
      <c r="E591" s="17" t="n">
        <f aca="false">C591-D591</f>
        <v>0</v>
      </c>
      <c r="F591" s="18" t="n">
        <f aca="false">INDEX(JE_Lines!$C$5:$C$1733,MATCH(A591,JE_Lines!$B$5:$B$1733,0))</f>
        <v>45930</v>
      </c>
      <c r="G591" s="18" t="n">
        <f aca="false">INDEX(JE_Lines!$D$5:$D$1733,MATCH(A591,JE_Lines!$B$5:$B$1733,0))</f>
        <v>45930</v>
      </c>
      <c r="H591" s="0" t="str">
        <f aca="false">INDEX(JE_Lines!$I$5:$I$1733,MATCH(A591,JE_Lines!$B$5:$B$1733,0))</f>
        <v>SYS_AP</v>
      </c>
      <c r="I591" s="0" t="str">
        <f aca="false">INDEX(JE_Lines!$J$5:$J$1733,MATCH(A591,JE_Lines!$B$5:$B$1733,0))</f>
        <v>System</v>
      </c>
      <c r="J591" s="0" t="str">
        <f aca="false">IF(LEN(INDEX(JE_Lines!$K$5:$K$1733,MATCH(A591,JE_Lines!$B$5:$B$1733,0)))=0,"",INDEX(JE_Lines!$K$5:$K$1733,MATCH(A591,JE_Lines!$B$5:$B$1733,0)))</f>
        <v>Utilities invoices</v>
      </c>
      <c r="K591" s="9" t="n">
        <f aca="false">F591-G591</f>
        <v>0</v>
      </c>
      <c r="L591" s="9" t="n">
        <f aca="false">COUNTIFS(JE_Lines!$B$5:$B$1733,A591,JE_Lines!$F$5:$F$1733,"Revenue")</f>
        <v>0</v>
      </c>
      <c r="M591" s="9" t="n">
        <f aca="false">COUNTIFS(JE_Lines!$B$5:$B$1733,A591,JE_Lines!$F$5:$F$1733,"Suspense")</f>
        <v>0</v>
      </c>
      <c r="N591" s="9" t="n">
        <f aca="false">IF(ABS(E591)&gt;Parameters!$B$23,1,0)</f>
        <v>0</v>
      </c>
      <c r="O591" s="9" t="n">
        <f aca="false">IF(WEEKDAY(F591,2)&gt;5,1,0)</f>
        <v>0</v>
      </c>
      <c r="P591" s="9" t="n">
        <f aca="false">IF(K591&gt;Parameters!$B$17,1,0)</f>
        <v>0</v>
      </c>
      <c r="Q591" s="9" t="n">
        <f aca="false">IF(AND(F591&lt;=Parameters!$B$6,F591&gt;Parameters!$B$6-Parameters!$B$18),1,0)</f>
        <v>0</v>
      </c>
      <c r="R591" s="9" t="n">
        <f aca="false">IF(COUNTIF(Parameters!$A$51:$A$58,H591)=0,1,0)</f>
        <v>0</v>
      </c>
      <c r="S591" s="9" t="n">
        <f aca="false">IF(AND(I591="Manual",L591&gt;0),1,0)</f>
        <v>0</v>
      </c>
      <c r="T591" s="9" t="n">
        <f aca="false">IF(AND(C591&gt;=Parameters!$B$22,ROUND(MOD(ROUND(C591,2),Parameters!$B$21),2)=0),1,0)</f>
        <v>0</v>
      </c>
      <c r="U591" s="9" t="n">
        <f aca="false">IF(LEN(TRIM(J591))=0,1,0)</f>
        <v>0</v>
      </c>
      <c r="V591" s="9" t="n">
        <f aca="false">IF(AND(I591="Manual",C591&lt;Parameters!$B$19,C591&gt;=Parameters!$B$19*(1-Parameters!$B$20)),1,0)</f>
        <v>0</v>
      </c>
      <c r="W591" s="9" t="n">
        <f aca="false">IF(AND(I591="Manual",M591&gt;0),1,0)</f>
        <v>0</v>
      </c>
      <c r="X591" s="9" t="n">
        <f aca="false">IF(A591-A590&gt;1,1,0)</f>
        <v>0</v>
      </c>
      <c r="Y591" s="9" t="n">
        <f aca="false">N591*Parameters!$B$38+O591*Parameters!$B$39+P591*Parameters!$B$40+Q591*Parameters!$B$41+R591*Parameters!$B$42+S591*Parameters!$B$43+T591*Parameters!$B$44+U591*Parameters!$B$45+V591*Parameters!$B$46+W591*Parameters!$B$47+X591*Parameters!$B$48</f>
        <v>0</v>
      </c>
      <c r="Z591" s="0" t="str">
        <f aca="false">IF(Y591&gt;=Parameters!$B$25,"High","")</f>
        <v/>
      </c>
    </row>
    <row r="592" customFormat="false" ht="15" hidden="false" customHeight="false" outlineLevel="0" collapsed="false">
      <c r="A592" s="16" t="n">
        <v>1596</v>
      </c>
      <c r="B592" s="9" t="n">
        <f aca="false">COUNTIF(JE_Lines!$B$5:$B$1733,A592)</f>
        <v>2</v>
      </c>
      <c r="C592" s="17" t="n">
        <f aca="false">SUMIFS(JE_Lines!$G$5:$G$1733,JE_Lines!$B$5:$B$1733,A592)</f>
        <v>1848.85</v>
      </c>
      <c r="D592" s="17" t="n">
        <f aca="false">SUMIFS(JE_Lines!$H$5:$H$1733,JE_Lines!$B$5:$B$1733,A592)</f>
        <v>1848.85</v>
      </c>
      <c r="E592" s="17" t="n">
        <f aca="false">C592-D592</f>
        <v>0</v>
      </c>
      <c r="F592" s="18" t="n">
        <f aca="false">INDEX(JE_Lines!$C$5:$C$1733,MATCH(A592,JE_Lines!$B$5:$B$1733,0))</f>
        <v>45930</v>
      </c>
      <c r="G592" s="18" t="n">
        <f aca="false">INDEX(JE_Lines!$D$5:$D$1733,MATCH(A592,JE_Lines!$B$5:$B$1733,0))</f>
        <v>45930</v>
      </c>
      <c r="H592" s="0" t="str">
        <f aca="false">INDEX(JE_Lines!$I$5:$I$1733,MATCH(A592,JE_Lines!$B$5:$B$1733,0))</f>
        <v>FIN01</v>
      </c>
      <c r="I592" s="0" t="str">
        <f aca="false">INDEX(JE_Lines!$J$5:$J$1733,MATCH(A592,JE_Lines!$B$5:$B$1733,0))</f>
        <v>Manual</v>
      </c>
      <c r="J592" s="0" t="str">
        <f aca="false">IF(LEN(INDEX(JE_Lines!$K$5:$K$1733,MATCH(A592,JE_Lines!$B$5:$B$1733,0)))=0,"",INDEX(JE_Lines!$K$5:$K$1733,MATCH(A592,JE_Lines!$B$5:$B$1733,0)))</f>
        <v>Accrual for sundry costs</v>
      </c>
      <c r="K592" s="9" t="n">
        <f aca="false">F592-G592</f>
        <v>0</v>
      </c>
      <c r="L592" s="9" t="n">
        <f aca="false">COUNTIFS(JE_Lines!$B$5:$B$1733,A592,JE_Lines!$F$5:$F$1733,"Revenue")</f>
        <v>0</v>
      </c>
      <c r="M592" s="9" t="n">
        <f aca="false">COUNTIFS(JE_Lines!$B$5:$B$1733,A592,JE_Lines!$F$5:$F$1733,"Suspense")</f>
        <v>0</v>
      </c>
      <c r="N592" s="9" t="n">
        <f aca="false">IF(ABS(E592)&gt;Parameters!$B$23,1,0)</f>
        <v>0</v>
      </c>
      <c r="O592" s="9" t="n">
        <f aca="false">IF(WEEKDAY(F592,2)&gt;5,1,0)</f>
        <v>0</v>
      </c>
      <c r="P592" s="9" t="n">
        <f aca="false">IF(K592&gt;Parameters!$B$17,1,0)</f>
        <v>0</v>
      </c>
      <c r="Q592" s="9" t="n">
        <f aca="false">IF(AND(F592&lt;=Parameters!$B$6,F592&gt;Parameters!$B$6-Parameters!$B$18),1,0)</f>
        <v>0</v>
      </c>
      <c r="R592" s="9" t="n">
        <f aca="false">IF(COUNTIF(Parameters!$A$51:$A$58,H592)=0,1,0)</f>
        <v>0</v>
      </c>
      <c r="S592" s="9" t="n">
        <f aca="false">IF(AND(I592="Manual",L592&gt;0),1,0)</f>
        <v>0</v>
      </c>
      <c r="T592" s="9" t="n">
        <f aca="false">IF(AND(C592&gt;=Parameters!$B$22,ROUND(MOD(ROUND(C592,2),Parameters!$B$21),2)=0),1,0)</f>
        <v>0</v>
      </c>
      <c r="U592" s="9" t="n">
        <f aca="false">IF(LEN(TRIM(J592))=0,1,0)</f>
        <v>0</v>
      </c>
      <c r="V592" s="9" t="n">
        <f aca="false">IF(AND(I592="Manual",C592&lt;Parameters!$B$19,C592&gt;=Parameters!$B$19*(1-Parameters!$B$20)),1,0)</f>
        <v>0</v>
      </c>
      <c r="W592" s="9" t="n">
        <f aca="false">IF(AND(I592="Manual",M592&gt;0),1,0)</f>
        <v>0</v>
      </c>
      <c r="X592" s="9" t="n">
        <f aca="false">IF(A592-A591&gt;1,1,0)</f>
        <v>0</v>
      </c>
      <c r="Y592" s="9" t="n">
        <f aca="false">N592*Parameters!$B$38+O592*Parameters!$B$39+P592*Parameters!$B$40+Q592*Parameters!$B$41+R592*Parameters!$B$42+S592*Parameters!$B$43+T592*Parameters!$B$44+U592*Parameters!$B$45+V592*Parameters!$B$46+W592*Parameters!$B$47+X592*Parameters!$B$48</f>
        <v>0</v>
      </c>
      <c r="Z592" s="0" t="str">
        <f aca="false">IF(Y592&gt;=Parameters!$B$25,"High","")</f>
        <v/>
      </c>
    </row>
    <row r="593" customFormat="false" ht="15" hidden="false" customHeight="false" outlineLevel="0" collapsed="false">
      <c r="A593" s="16" t="n">
        <v>1597</v>
      </c>
      <c r="B593" s="9" t="n">
        <f aca="false">COUNTIF(JE_Lines!$B$5:$B$1733,A593)</f>
        <v>2</v>
      </c>
      <c r="C593" s="17" t="n">
        <f aca="false">SUMIFS(JE_Lines!$G$5:$G$1733,JE_Lines!$B$5:$B$1733,A593)</f>
        <v>361.39</v>
      </c>
      <c r="D593" s="17" t="n">
        <f aca="false">SUMIFS(JE_Lines!$H$5:$H$1733,JE_Lines!$B$5:$B$1733,A593)</f>
        <v>361.39</v>
      </c>
      <c r="E593" s="17" t="n">
        <f aca="false">C593-D593</f>
        <v>0</v>
      </c>
      <c r="F593" s="18" t="n">
        <f aca="false">INDEX(JE_Lines!$C$5:$C$1733,MATCH(A593,JE_Lines!$B$5:$B$1733,0))</f>
        <v>45931</v>
      </c>
      <c r="G593" s="18" t="n">
        <f aca="false">INDEX(JE_Lines!$D$5:$D$1733,MATCH(A593,JE_Lines!$B$5:$B$1733,0))</f>
        <v>45931</v>
      </c>
      <c r="H593" s="0" t="str">
        <f aca="false">INDEX(JE_Lines!$I$5:$I$1733,MATCH(A593,JE_Lines!$B$5:$B$1733,0))</f>
        <v>SYS_PAY</v>
      </c>
      <c r="I593" s="0" t="str">
        <f aca="false">INDEX(JE_Lines!$J$5:$J$1733,MATCH(A593,JE_Lines!$B$5:$B$1733,0))</f>
        <v>System</v>
      </c>
      <c r="J593" s="0" t="str">
        <f aca="false">IF(LEN(INDEX(JE_Lines!$K$5:$K$1733,MATCH(A593,JE_Lines!$B$5:$B$1733,0)))=0,"",INDEX(JE_Lines!$K$5:$K$1733,MATCH(A593,JE_Lines!$B$5:$B$1733,0)))</f>
        <v>Supplier payments</v>
      </c>
      <c r="K593" s="9" t="n">
        <f aca="false">F593-G593</f>
        <v>0</v>
      </c>
      <c r="L593" s="9" t="n">
        <f aca="false">COUNTIFS(JE_Lines!$B$5:$B$1733,A593,JE_Lines!$F$5:$F$1733,"Revenue")</f>
        <v>0</v>
      </c>
      <c r="M593" s="9" t="n">
        <f aca="false">COUNTIFS(JE_Lines!$B$5:$B$1733,A593,JE_Lines!$F$5:$F$1733,"Suspense")</f>
        <v>0</v>
      </c>
      <c r="N593" s="9" t="n">
        <f aca="false">IF(ABS(E593)&gt;Parameters!$B$23,1,0)</f>
        <v>0</v>
      </c>
      <c r="O593" s="9" t="n">
        <f aca="false">IF(WEEKDAY(F593,2)&gt;5,1,0)</f>
        <v>0</v>
      </c>
      <c r="P593" s="9" t="n">
        <f aca="false">IF(K593&gt;Parameters!$B$17,1,0)</f>
        <v>0</v>
      </c>
      <c r="Q593" s="9" t="n">
        <f aca="false">IF(AND(F593&lt;=Parameters!$B$6,F593&gt;Parameters!$B$6-Parameters!$B$18),1,0)</f>
        <v>0</v>
      </c>
      <c r="R593" s="9" t="n">
        <f aca="false">IF(COUNTIF(Parameters!$A$51:$A$58,H593)=0,1,0)</f>
        <v>0</v>
      </c>
      <c r="S593" s="9" t="n">
        <f aca="false">IF(AND(I593="Manual",L593&gt;0),1,0)</f>
        <v>0</v>
      </c>
      <c r="T593" s="9" t="n">
        <f aca="false">IF(AND(C593&gt;=Parameters!$B$22,ROUND(MOD(ROUND(C593,2),Parameters!$B$21),2)=0),1,0)</f>
        <v>0</v>
      </c>
      <c r="U593" s="9" t="n">
        <f aca="false">IF(LEN(TRIM(J593))=0,1,0)</f>
        <v>0</v>
      </c>
      <c r="V593" s="9" t="n">
        <f aca="false">IF(AND(I593="Manual",C593&lt;Parameters!$B$19,C593&gt;=Parameters!$B$19*(1-Parameters!$B$20)),1,0)</f>
        <v>0</v>
      </c>
      <c r="W593" s="9" t="n">
        <f aca="false">IF(AND(I593="Manual",M593&gt;0),1,0)</f>
        <v>0</v>
      </c>
      <c r="X593" s="9" t="n">
        <f aca="false">IF(A593-A592&gt;1,1,0)</f>
        <v>0</v>
      </c>
      <c r="Y593" s="9" t="n">
        <f aca="false">N593*Parameters!$B$38+O593*Parameters!$B$39+P593*Parameters!$B$40+Q593*Parameters!$B$41+R593*Parameters!$B$42+S593*Parameters!$B$43+T593*Parameters!$B$44+U593*Parameters!$B$45+V593*Parameters!$B$46+W593*Parameters!$B$47+X593*Parameters!$B$48</f>
        <v>0</v>
      </c>
      <c r="Z593" s="0" t="str">
        <f aca="false">IF(Y593&gt;=Parameters!$B$25,"High","")</f>
        <v/>
      </c>
    </row>
    <row r="594" customFormat="false" ht="15" hidden="false" customHeight="false" outlineLevel="0" collapsed="false">
      <c r="A594" s="16" t="n">
        <v>1598</v>
      </c>
      <c r="B594" s="9" t="n">
        <f aca="false">COUNTIF(JE_Lines!$B$5:$B$1733,A594)</f>
        <v>2</v>
      </c>
      <c r="C594" s="17" t="n">
        <f aca="false">SUMIFS(JE_Lines!$G$5:$G$1733,JE_Lines!$B$5:$B$1733,A594)</f>
        <v>2725.78</v>
      </c>
      <c r="D594" s="17" t="n">
        <f aca="false">SUMIFS(JE_Lines!$H$5:$H$1733,JE_Lines!$B$5:$B$1733,A594)</f>
        <v>2725.78</v>
      </c>
      <c r="E594" s="17" t="n">
        <f aca="false">C594-D594</f>
        <v>0</v>
      </c>
      <c r="F594" s="18" t="n">
        <f aca="false">INDEX(JE_Lines!$C$5:$C$1733,MATCH(A594,JE_Lines!$B$5:$B$1733,0))</f>
        <v>45932</v>
      </c>
      <c r="G594" s="18" t="n">
        <f aca="false">INDEX(JE_Lines!$D$5:$D$1733,MATCH(A594,JE_Lines!$B$5:$B$1733,0))</f>
        <v>45928</v>
      </c>
      <c r="H594" s="0" t="str">
        <f aca="false">INDEX(JE_Lines!$I$5:$I$1733,MATCH(A594,JE_Lines!$B$5:$B$1733,0))</f>
        <v>SYS_AP</v>
      </c>
      <c r="I594" s="0" t="str">
        <f aca="false">INDEX(JE_Lines!$J$5:$J$1733,MATCH(A594,JE_Lines!$B$5:$B$1733,0))</f>
        <v>System</v>
      </c>
      <c r="J594" s="0" t="str">
        <f aca="false">IF(LEN(INDEX(JE_Lines!$K$5:$K$1733,MATCH(A594,JE_Lines!$B$5:$B$1733,0)))=0,"",INDEX(JE_Lines!$K$5:$K$1733,MATCH(A594,JE_Lines!$B$5:$B$1733,0)))</f>
        <v>Fixed asset additions</v>
      </c>
      <c r="K594" s="9" t="n">
        <f aca="false">F594-G594</f>
        <v>4</v>
      </c>
      <c r="L594" s="9" t="n">
        <f aca="false">COUNTIFS(JE_Lines!$B$5:$B$1733,A594,JE_Lines!$F$5:$F$1733,"Revenue")</f>
        <v>0</v>
      </c>
      <c r="M594" s="9" t="n">
        <f aca="false">COUNTIFS(JE_Lines!$B$5:$B$1733,A594,JE_Lines!$F$5:$F$1733,"Suspense")</f>
        <v>0</v>
      </c>
      <c r="N594" s="9" t="n">
        <f aca="false">IF(ABS(E594)&gt;Parameters!$B$23,1,0)</f>
        <v>0</v>
      </c>
      <c r="O594" s="9" t="n">
        <f aca="false">IF(WEEKDAY(F594,2)&gt;5,1,0)</f>
        <v>0</v>
      </c>
      <c r="P594" s="9" t="n">
        <f aca="false">IF(K594&gt;Parameters!$B$17,1,0)</f>
        <v>0</v>
      </c>
      <c r="Q594" s="9" t="n">
        <f aca="false">IF(AND(F594&lt;=Parameters!$B$6,F594&gt;Parameters!$B$6-Parameters!$B$18),1,0)</f>
        <v>0</v>
      </c>
      <c r="R594" s="9" t="n">
        <f aca="false">IF(COUNTIF(Parameters!$A$51:$A$58,H594)=0,1,0)</f>
        <v>0</v>
      </c>
      <c r="S594" s="9" t="n">
        <f aca="false">IF(AND(I594="Manual",L594&gt;0),1,0)</f>
        <v>0</v>
      </c>
      <c r="T594" s="9" t="n">
        <f aca="false">IF(AND(C594&gt;=Parameters!$B$22,ROUND(MOD(ROUND(C594,2),Parameters!$B$21),2)=0),1,0)</f>
        <v>0</v>
      </c>
      <c r="U594" s="9" t="n">
        <f aca="false">IF(LEN(TRIM(J594))=0,1,0)</f>
        <v>0</v>
      </c>
      <c r="V594" s="9" t="n">
        <f aca="false">IF(AND(I594="Manual",C594&lt;Parameters!$B$19,C594&gt;=Parameters!$B$19*(1-Parameters!$B$20)),1,0)</f>
        <v>0</v>
      </c>
      <c r="W594" s="9" t="n">
        <f aca="false">IF(AND(I594="Manual",M594&gt;0),1,0)</f>
        <v>0</v>
      </c>
      <c r="X594" s="9" t="n">
        <f aca="false">IF(A594-A593&gt;1,1,0)</f>
        <v>0</v>
      </c>
      <c r="Y594" s="9" t="n">
        <f aca="false">N594*Parameters!$B$38+O594*Parameters!$B$39+P594*Parameters!$B$40+Q594*Parameters!$B$41+R594*Parameters!$B$42+S594*Parameters!$B$43+T594*Parameters!$B$44+U594*Parameters!$B$45+V594*Parameters!$B$46+W594*Parameters!$B$47+X594*Parameters!$B$48</f>
        <v>0</v>
      </c>
      <c r="Z594" s="0" t="str">
        <f aca="false">IF(Y594&gt;=Parameters!$B$25,"High","")</f>
        <v/>
      </c>
    </row>
    <row r="595" customFormat="false" ht="15" hidden="false" customHeight="false" outlineLevel="0" collapsed="false">
      <c r="A595" s="16" t="n">
        <v>1599</v>
      </c>
      <c r="B595" s="9" t="n">
        <f aca="false">COUNTIF(JE_Lines!$B$5:$B$1733,A595)</f>
        <v>2</v>
      </c>
      <c r="C595" s="17" t="n">
        <f aca="false">SUMIFS(JE_Lines!$G$5:$G$1733,JE_Lines!$B$5:$B$1733,A595)</f>
        <v>7051.89</v>
      </c>
      <c r="D595" s="17" t="n">
        <f aca="false">SUMIFS(JE_Lines!$H$5:$H$1733,JE_Lines!$B$5:$B$1733,A595)</f>
        <v>7051.89</v>
      </c>
      <c r="E595" s="17" t="n">
        <f aca="false">C595-D595</f>
        <v>0</v>
      </c>
      <c r="F595" s="18" t="n">
        <f aca="false">INDEX(JE_Lines!$C$5:$C$1733,MATCH(A595,JE_Lines!$B$5:$B$1733,0))</f>
        <v>45932</v>
      </c>
      <c r="G595" s="18" t="n">
        <f aca="false">INDEX(JE_Lines!$D$5:$D$1733,MATCH(A595,JE_Lines!$B$5:$B$1733,0))</f>
        <v>45931</v>
      </c>
      <c r="H595" s="0" t="str">
        <f aca="false">INDEX(JE_Lines!$I$5:$I$1733,MATCH(A595,JE_Lines!$B$5:$B$1733,0))</f>
        <v>SYS_PAY</v>
      </c>
      <c r="I595" s="0" t="str">
        <f aca="false">INDEX(JE_Lines!$J$5:$J$1733,MATCH(A595,JE_Lines!$B$5:$B$1733,0))</f>
        <v>System</v>
      </c>
      <c r="J595" s="0" t="str">
        <f aca="false">IF(LEN(INDEX(JE_Lines!$K$5:$K$1733,MATCH(A595,JE_Lines!$B$5:$B$1733,0)))=0,"",INDEX(JE_Lines!$K$5:$K$1733,MATCH(A595,JE_Lines!$B$5:$B$1733,0)))</f>
        <v>Supplier payments</v>
      </c>
      <c r="K595" s="9" t="n">
        <f aca="false">F595-G595</f>
        <v>1</v>
      </c>
      <c r="L595" s="9" t="n">
        <f aca="false">COUNTIFS(JE_Lines!$B$5:$B$1733,A595,JE_Lines!$F$5:$F$1733,"Revenue")</f>
        <v>0</v>
      </c>
      <c r="M595" s="9" t="n">
        <f aca="false">COUNTIFS(JE_Lines!$B$5:$B$1733,A595,JE_Lines!$F$5:$F$1733,"Suspense")</f>
        <v>0</v>
      </c>
      <c r="N595" s="9" t="n">
        <f aca="false">IF(ABS(E595)&gt;Parameters!$B$23,1,0)</f>
        <v>0</v>
      </c>
      <c r="O595" s="9" t="n">
        <f aca="false">IF(WEEKDAY(F595,2)&gt;5,1,0)</f>
        <v>0</v>
      </c>
      <c r="P595" s="9" t="n">
        <f aca="false">IF(K595&gt;Parameters!$B$17,1,0)</f>
        <v>0</v>
      </c>
      <c r="Q595" s="9" t="n">
        <f aca="false">IF(AND(F595&lt;=Parameters!$B$6,F595&gt;Parameters!$B$6-Parameters!$B$18),1,0)</f>
        <v>0</v>
      </c>
      <c r="R595" s="9" t="n">
        <f aca="false">IF(COUNTIF(Parameters!$A$51:$A$58,H595)=0,1,0)</f>
        <v>0</v>
      </c>
      <c r="S595" s="9" t="n">
        <f aca="false">IF(AND(I595="Manual",L595&gt;0),1,0)</f>
        <v>0</v>
      </c>
      <c r="T595" s="9" t="n">
        <f aca="false">IF(AND(C595&gt;=Parameters!$B$22,ROUND(MOD(ROUND(C595,2),Parameters!$B$21),2)=0),1,0)</f>
        <v>0</v>
      </c>
      <c r="U595" s="9" t="n">
        <f aca="false">IF(LEN(TRIM(J595))=0,1,0)</f>
        <v>0</v>
      </c>
      <c r="V595" s="9" t="n">
        <f aca="false">IF(AND(I595="Manual",C595&lt;Parameters!$B$19,C595&gt;=Parameters!$B$19*(1-Parameters!$B$20)),1,0)</f>
        <v>0</v>
      </c>
      <c r="W595" s="9" t="n">
        <f aca="false">IF(AND(I595="Manual",M595&gt;0),1,0)</f>
        <v>0</v>
      </c>
      <c r="X595" s="9" t="n">
        <f aca="false">IF(A595-A594&gt;1,1,0)</f>
        <v>0</v>
      </c>
      <c r="Y595" s="9" t="n">
        <f aca="false">N595*Parameters!$B$38+O595*Parameters!$B$39+P595*Parameters!$B$40+Q595*Parameters!$B$41+R595*Parameters!$B$42+S595*Parameters!$B$43+T595*Parameters!$B$44+U595*Parameters!$B$45+V595*Parameters!$B$46+W595*Parameters!$B$47+X595*Parameters!$B$48</f>
        <v>0</v>
      </c>
      <c r="Z595" s="0" t="str">
        <f aca="false">IF(Y595&gt;=Parameters!$B$25,"High","")</f>
        <v/>
      </c>
    </row>
    <row r="596" customFormat="false" ht="15" hidden="false" customHeight="false" outlineLevel="0" collapsed="false">
      <c r="A596" s="16" t="n">
        <v>1600</v>
      </c>
      <c r="B596" s="9" t="n">
        <f aca="false">COUNTIF(JE_Lines!$B$5:$B$1733,A596)</f>
        <v>2</v>
      </c>
      <c r="C596" s="17" t="n">
        <f aca="false">SUMIFS(JE_Lines!$G$5:$G$1733,JE_Lines!$B$5:$B$1733,A596)</f>
        <v>1061.24</v>
      </c>
      <c r="D596" s="17" t="n">
        <f aca="false">SUMIFS(JE_Lines!$H$5:$H$1733,JE_Lines!$B$5:$B$1733,A596)</f>
        <v>1061.24</v>
      </c>
      <c r="E596" s="17" t="n">
        <f aca="false">C596-D596</f>
        <v>0</v>
      </c>
      <c r="F596" s="18" t="n">
        <f aca="false">INDEX(JE_Lines!$C$5:$C$1733,MATCH(A596,JE_Lines!$B$5:$B$1733,0))</f>
        <v>45932</v>
      </c>
      <c r="G596" s="18" t="n">
        <f aca="false">INDEX(JE_Lines!$D$5:$D$1733,MATCH(A596,JE_Lines!$B$5:$B$1733,0))</f>
        <v>45928</v>
      </c>
      <c r="H596" s="0" t="str">
        <f aca="false">INDEX(JE_Lines!$I$5:$I$1733,MATCH(A596,JE_Lines!$B$5:$B$1733,0))</f>
        <v>SYS_AR</v>
      </c>
      <c r="I596" s="0" t="str">
        <f aca="false">INDEX(JE_Lines!$J$5:$J$1733,MATCH(A596,JE_Lines!$B$5:$B$1733,0))</f>
        <v>System</v>
      </c>
      <c r="J596" s="0" t="str">
        <f aca="false">IF(LEN(INDEX(JE_Lines!$K$5:$K$1733,MATCH(A596,JE_Lines!$B$5:$B$1733,0)))=0,"",INDEX(JE_Lines!$K$5:$K$1733,MATCH(A596,JE_Lines!$B$5:$B$1733,0)))</f>
        <v>Cost of sales posting</v>
      </c>
      <c r="K596" s="9" t="n">
        <f aca="false">F596-G596</f>
        <v>4</v>
      </c>
      <c r="L596" s="9" t="n">
        <f aca="false">COUNTIFS(JE_Lines!$B$5:$B$1733,A596,JE_Lines!$F$5:$F$1733,"Revenue")</f>
        <v>0</v>
      </c>
      <c r="M596" s="9" t="n">
        <f aca="false">COUNTIFS(JE_Lines!$B$5:$B$1733,A596,JE_Lines!$F$5:$F$1733,"Suspense")</f>
        <v>0</v>
      </c>
      <c r="N596" s="9" t="n">
        <f aca="false">IF(ABS(E596)&gt;Parameters!$B$23,1,0)</f>
        <v>0</v>
      </c>
      <c r="O596" s="9" t="n">
        <f aca="false">IF(WEEKDAY(F596,2)&gt;5,1,0)</f>
        <v>0</v>
      </c>
      <c r="P596" s="9" t="n">
        <f aca="false">IF(K596&gt;Parameters!$B$17,1,0)</f>
        <v>0</v>
      </c>
      <c r="Q596" s="9" t="n">
        <f aca="false">IF(AND(F596&lt;=Parameters!$B$6,F596&gt;Parameters!$B$6-Parameters!$B$18),1,0)</f>
        <v>0</v>
      </c>
      <c r="R596" s="9" t="n">
        <f aca="false">IF(COUNTIF(Parameters!$A$51:$A$58,H596)=0,1,0)</f>
        <v>0</v>
      </c>
      <c r="S596" s="9" t="n">
        <f aca="false">IF(AND(I596="Manual",L596&gt;0),1,0)</f>
        <v>0</v>
      </c>
      <c r="T596" s="9" t="n">
        <f aca="false">IF(AND(C596&gt;=Parameters!$B$22,ROUND(MOD(ROUND(C596,2),Parameters!$B$21),2)=0),1,0)</f>
        <v>0</v>
      </c>
      <c r="U596" s="9" t="n">
        <f aca="false">IF(LEN(TRIM(J596))=0,1,0)</f>
        <v>0</v>
      </c>
      <c r="V596" s="9" t="n">
        <f aca="false">IF(AND(I596="Manual",C596&lt;Parameters!$B$19,C596&gt;=Parameters!$B$19*(1-Parameters!$B$20)),1,0)</f>
        <v>0</v>
      </c>
      <c r="W596" s="9" t="n">
        <f aca="false">IF(AND(I596="Manual",M596&gt;0),1,0)</f>
        <v>0</v>
      </c>
      <c r="X596" s="9" t="n">
        <f aca="false">IF(A596-A595&gt;1,1,0)</f>
        <v>0</v>
      </c>
      <c r="Y596" s="9" t="n">
        <f aca="false">N596*Parameters!$B$38+O596*Parameters!$B$39+P596*Parameters!$B$40+Q596*Parameters!$B$41+R596*Parameters!$B$42+S596*Parameters!$B$43+T596*Parameters!$B$44+U596*Parameters!$B$45+V596*Parameters!$B$46+W596*Parameters!$B$47+X596*Parameters!$B$48</f>
        <v>0</v>
      </c>
      <c r="Z596" s="0" t="str">
        <f aca="false">IF(Y596&gt;=Parameters!$B$25,"High","")</f>
        <v/>
      </c>
    </row>
    <row r="597" customFormat="false" ht="15" hidden="false" customHeight="false" outlineLevel="0" collapsed="false">
      <c r="A597" s="16" t="n">
        <v>1601</v>
      </c>
      <c r="B597" s="9" t="n">
        <f aca="false">COUNTIF(JE_Lines!$B$5:$B$1733,A597)</f>
        <v>3</v>
      </c>
      <c r="C597" s="17" t="n">
        <f aca="false">SUMIFS(JE_Lines!$G$5:$G$1733,JE_Lines!$B$5:$B$1733,A597)</f>
        <v>316.01</v>
      </c>
      <c r="D597" s="17" t="n">
        <f aca="false">SUMIFS(JE_Lines!$H$5:$H$1733,JE_Lines!$B$5:$B$1733,A597)</f>
        <v>316.01</v>
      </c>
      <c r="E597" s="17" t="n">
        <f aca="false">C597-D597</f>
        <v>0</v>
      </c>
      <c r="F597" s="18" t="n">
        <f aca="false">INDEX(JE_Lines!$C$5:$C$1733,MATCH(A597,JE_Lines!$B$5:$B$1733,0))</f>
        <v>45933</v>
      </c>
      <c r="G597" s="18" t="n">
        <f aca="false">INDEX(JE_Lines!$D$5:$D$1733,MATCH(A597,JE_Lines!$B$5:$B$1733,0))</f>
        <v>45929</v>
      </c>
      <c r="H597" s="0" t="str">
        <f aca="false">INDEX(JE_Lines!$I$5:$I$1733,MATCH(A597,JE_Lines!$B$5:$B$1733,0))</f>
        <v>SYS_AR</v>
      </c>
      <c r="I597" s="0" t="str">
        <f aca="false">INDEX(JE_Lines!$J$5:$J$1733,MATCH(A597,JE_Lines!$B$5:$B$1733,0))</f>
        <v>System</v>
      </c>
      <c r="J597" s="0" t="str">
        <f aca="false">IF(LEN(INDEX(JE_Lines!$K$5:$K$1733,MATCH(A597,JE_Lines!$B$5:$B$1733,0)))=0,"",INDEX(JE_Lines!$K$5:$K$1733,MATCH(A597,JE_Lines!$B$5:$B$1733,0)))</f>
        <v>Customer receipts</v>
      </c>
      <c r="K597" s="9" t="n">
        <f aca="false">F597-G597</f>
        <v>4</v>
      </c>
      <c r="L597" s="9" t="n">
        <f aca="false">COUNTIFS(JE_Lines!$B$5:$B$1733,A597,JE_Lines!$F$5:$F$1733,"Revenue")</f>
        <v>0</v>
      </c>
      <c r="M597" s="9" t="n">
        <f aca="false">COUNTIFS(JE_Lines!$B$5:$B$1733,A597,JE_Lines!$F$5:$F$1733,"Suspense")</f>
        <v>0</v>
      </c>
      <c r="N597" s="9" t="n">
        <f aca="false">IF(ABS(E597)&gt;Parameters!$B$23,1,0)</f>
        <v>0</v>
      </c>
      <c r="O597" s="9" t="n">
        <f aca="false">IF(WEEKDAY(F597,2)&gt;5,1,0)</f>
        <v>0</v>
      </c>
      <c r="P597" s="9" t="n">
        <f aca="false">IF(K597&gt;Parameters!$B$17,1,0)</f>
        <v>0</v>
      </c>
      <c r="Q597" s="9" t="n">
        <f aca="false">IF(AND(F597&lt;=Parameters!$B$6,F597&gt;Parameters!$B$6-Parameters!$B$18),1,0)</f>
        <v>0</v>
      </c>
      <c r="R597" s="9" t="n">
        <f aca="false">IF(COUNTIF(Parameters!$A$51:$A$58,H597)=0,1,0)</f>
        <v>0</v>
      </c>
      <c r="S597" s="9" t="n">
        <f aca="false">IF(AND(I597="Manual",L597&gt;0),1,0)</f>
        <v>0</v>
      </c>
      <c r="T597" s="9" t="n">
        <f aca="false">IF(AND(C597&gt;=Parameters!$B$22,ROUND(MOD(ROUND(C597,2),Parameters!$B$21),2)=0),1,0)</f>
        <v>0</v>
      </c>
      <c r="U597" s="9" t="n">
        <f aca="false">IF(LEN(TRIM(J597))=0,1,0)</f>
        <v>0</v>
      </c>
      <c r="V597" s="9" t="n">
        <f aca="false">IF(AND(I597="Manual",C597&lt;Parameters!$B$19,C597&gt;=Parameters!$B$19*(1-Parameters!$B$20)),1,0)</f>
        <v>0</v>
      </c>
      <c r="W597" s="9" t="n">
        <f aca="false">IF(AND(I597="Manual",M597&gt;0),1,0)</f>
        <v>0</v>
      </c>
      <c r="X597" s="9" t="n">
        <f aca="false">IF(A597-A596&gt;1,1,0)</f>
        <v>0</v>
      </c>
      <c r="Y597" s="9" t="n">
        <f aca="false">N597*Parameters!$B$38+O597*Parameters!$B$39+P597*Parameters!$B$40+Q597*Parameters!$B$41+R597*Parameters!$B$42+S597*Parameters!$B$43+T597*Parameters!$B$44+U597*Parameters!$B$45+V597*Parameters!$B$46+W597*Parameters!$B$47+X597*Parameters!$B$48</f>
        <v>0</v>
      </c>
      <c r="Z597" s="0" t="str">
        <f aca="false">IF(Y597&gt;=Parameters!$B$25,"High","")</f>
        <v/>
      </c>
    </row>
    <row r="598" customFormat="false" ht="15" hidden="false" customHeight="false" outlineLevel="0" collapsed="false">
      <c r="A598" s="16" t="n">
        <v>1602</v>
      </c>
      <c r="B598" s="9" t="n">
        <f aca="false">COUNTIF(JE_Lines!$B$5:$B$1733,A598)</f>
        <v>2</v>
      </c>
      <c r="C598" s="17" t="n">
        <f aca="false">SUMIFS(JE_Lines!$G$5:$G$1733,JE_Lines!$B$5:$B$1733,A598)</f>
        <v>19598</v>
      </c>
      <c r="D598" s="17" t="n">
        <f aca="false">SUMIFS(JE_Lines!$H$5:$H$1733,JE_Lines!$B$5:$B$1733,A598)</f>
        <v>19598</v>
      </c>
      <c r="E598" s="17" t="n">
        <f aca="false">C598-D598</f>
        <v>0</v>
      </c>
      <c r="F598" s="18" t="n">
        <f aca="false">INDEX(JE_Lines!$C$5:$C$1733,MATCH(A598,JE_Lines!$B$5:$B$1733,0))</f>
        <v>45933</v>
      </c>
      <c r="G598" s="18" t="n">
        <f aca="false">INDEX(JE_Lines!$D$5:$D$1733,MATCH(A598,JE_Lines!$B$5:$B$1733,0))</f>
        <v>45933</v>
      </c>
      <c r="H598" s="0" t="str">
        <f aca="false">INDEX(JE_Lines!$I$5:$I$1733,MATCH(A598,JE_Lines!$B$5:$B$1733,0))</f>
        <v>SYS_AR</v>
      </c>
      <c r="I598" s="0" t="str">
        <f aca="false">INDEX(JE_Lines!$J$5:$J$1733,MATCH(A598,JE_Lines!$B$5:$B$1733,0))</f>
        <v>System</v>
      </c>
      <c r="J598" s="0" t="str">
        <f aca="false">IF(LEN(INDEX(JE_Lines!$K$5:$K$1733,MATCH(A598,JE_Lines!$B$5:$B$1733,0)))=0,"",INDEX(JE_Lines!$K$5:$K$1733,MATCH(A598,JE_Lines!$B$5:$B$1733,0)))</f>
        <v>Cost of sales posting</v>
      </c>
      <c r="K598" s="9" t="n">
        <f aca="false">F598-G598</f>
        <v>0</v>
      </c>
      <c r="L598" s="9" t="n">
        <f aca="false">COUNTIFS(JE_Lines!$B$5:$B$1733,A598,JE_Lines!$F$5:$F$1733,"Revenue")</f>
        <v>0</v>
      </c>
      <c r="M598" s="9" t="n">
        <f aca="false">COUNTIFS(JE_Lines!$B$5:$B$1733,A598,JE_Lines!$F$5:$F$1733,"Suspense")</f>
        <v>0</v>
      </c>
      <c r="N598" s="9" t="n">
        <f aca="false">IF(ABS(E598)&gt;Parameters!$B$23,1,0)</f>
        <v>0</v>
      </c>
      <c r="O598" s="9" t="n">
        <f aca="false">IF(WEEKDAY(F598,2)&gt;5,1,0)</f>
        <v>0</v>
      </c>
      <c r="P598" s="9" t="n">
        <f aca="false">IF(K598&gt;Parameters!$B$17,1,0)</f>
        <v>0</v>
      </c>
      <c r="Q598" s="9" t="n">
        <f aca="false">IF(AND(F598&lt;=Parameters!$B$6,F598&gt;Parameters!$B$6-Parameters!$B$18),1,0)</f>
        <v>0</v>
      </c>
      <c r="R598" s="9" t="n">
        <f aca="false">IF(COUNTIF(Parameters!$A$51:$A$58,H598)=0,1,0)</f>
        <v>0</v>
      </c>
      <c r="S598" s="9" t="n">
        <f aca="false">IF(AND(I598="Manual",L598&gt;0),1,0)</f>
        <v>0</v>
      </c>
      <c r="T598" s="9" t="n">
        <f aca="false">IF(AND(C598&gt;=Parameters!$B$22,ROUND(MOD(ROUND(C598,2),Parameters!$B$21),2)=0),1,0)</f>
        <v>0</v>
      </c>
      <c r="U598" s="9" t="n">
        <f aca="false">IF(LEN(TRIM(J598))=0,1,0)</f>
        <v>0</v>
      </c>
      <c r="V598" s="9" t="n">
        <f aca="false">IF(AND(I598="Manual",C598&lt;Parameters!$B$19,C598&gt;=Parameters!$B$19*(1-Parameters!$B$20)),1,0)</f>
        <v>0</v>
      </c>
      <c r="W598" s="9" t="n">
        <f aca="false">IF(AND(I598="Manual",M598&gt;0),1,0)</f>
        <v>0</v>
      </c>
      <c r="X598" s="9" t="n">
        <f aca="false">IF(A598-A597&gt;1,1,0)</f>
        <v>0</v>
      </c>
      <c r="Y598" s="9" t="n">
        <f aca="false">N598*Parameters!$B$38+O598*Parameters!$B$39+P598*Parameters!$B$40+Q598*Parameters!$B$41+R598*Parameters!$B$42+S598*Parameters!$B$43+T598*Parameters!$B$44+U598*Parameters!$B$45+V598*Parameters!$B$46+W598*Parameters!$B$47+X598*Parameters!$B$48</f>
        <v>0</v>
      </c>
      <c r="Z598" s="0" t="str">
        <f aca="false">IF(Y598&gt;=Parameters!$B$25,"High","")</f>
        <v/>
      </c>
    </row>
    <row r="599" customFormat="false" ht="15" hidden="false" customHeight="false" outlineLevel="0" collapsed="false">
      <c r="A599" s="16" t="n">
        <v>1603</v>
      </c>
      <c r="B599" s="9" t="n">
        <f aca="false">COUNTIF(JE_Lines!$B$5:$B$1733,A599)</f>
        <v>2</v>
      </c>
      <c r="C599" s="17" t="n">
        <f aca="false">SUMIFS(JE_Lines!$G$5:$G$1733,JE_Lines!$B$5:$B$1733,A599)</f>
        <v>206.86</v>
      </c>
      <c r="D599" s="17" t="n">
        <f aca="false">SUMIFS(JE_Lines!$H$5:$H$1733,JE_Lines!$B$5:$B$1733,A599)</f>
        <v>206.86</v>
      </c>
      <c r="E599" s="17" t="n">
        <f aca="false">C599-D599</f>
        <v>0</v>
      </c>
      <c r="F599" s="18" t="n">
        <f aca="false">INDEX(JE_Lines!$C$5:$C$1733,MATCH(A599,JE_Lines!$B$5:$B$1733,0))</f>
        <v>45937</v>
      </c>
      <c r="G599" s="18" t="n">
        <f aca="false">INDEX(JE_Lines!$D$5:$D$1733,MATCH(A599,JE_Lines!$B$5:$B$1733,0))</f>
        <v>45934</v>
      </c>
      <c r="H599" s="0" t="str">
        <f aca="false">INDEX(JE_Lines!$I$5:$I$1733,MATCH(A599,JE_Lines!$B$5:$B$1733,0))</f>
        <v>SYS_AR</v>
      </c>
      <c r="I599" s="0" t="str">
        <f aca="false">INDEX(JE_Lines!$J$5:$J$1733,MATCH(A599,JE_Lines!$B$5:$B$1733,0))</f>
        <v>System</v>
      </c>
      <c r="J599" s="0" t="str">
        <f aca="false">IF(LEN(INDEX(JE_Lines!$K$5:$K$1733,MATCH(A599,JE_Lines!$B$5:$B$1733,0)))=0,"",INDEX(JE_Lines!$K$5:$K$1733,MATCH(A599,JE_Lines!$B$5:$B$1733,0)))</f>
        <v>Customer receipts</v>
      </c>
      <c r="K599" s="9" t="n">
        <f aca="false">F599-G599</f>
        <v>3</v>
      </c>
      <c r="L599" s="9" t="n">
        <f aca="false">COUNTIFS(JE_Lines!$B$5:$B$1733,A599,JE_Lines!$F$5:$F$1733,"Revenue")</f>
        <v>0</v>
      </c>
      <c r="M599" s="9" t="n">
        <f aca="false">COUNTIFS(JE_Lines!$B$5:$B$1733,A599,JE_Lines!$F$5:$F$1733,"Suspense")</f>
        <v>0</v>
      </c>
      <c r="N599" s="9" t="n">
        <f aca="false">IF(ABS(E599)&gt;Parameters!$B$23,1,0)</f>
        <v>0</v>
      </c>
      <c r="O599" s="9" t="n">
        <f aca="false">IF(WEEKDAY(F599,2)&gt;5,1,0)</f>
        <v>0</v>
      </c>
      <c r="P599" s="9" t="n">
        <f aca="false">IF(K599&gt;Parameters!$B$17,1,0)</f>
        <v>0</v>
      </c>
      <c r="Q599" s="9" t="n">
        <f aca="false">IF(AND(F599&lt;=Parameters!$B$6,F599&gt;Parameters!$B$6-Parameters!$B$18),1,0)</f>
        <v>0</v>
      </c>
      <c r="R599" s="9" t="n">
        <f aca="false">IF(COUNTIF(Parameters!$A$51:$A$58,H599)=0,1,0)</f>
        <v>0</v>
      </c>
      <c r="S599" s="9" t="n">
        <f aca="false">IF(AND(I599="Manual",L599&gt;0),1,0)</f>
        <v>0</v>
      </c>
      <c r="T599" s="9" t="n">
        <f aca="false">IF(AND(C599&gt;=Parameters!$B$22,ROUND(MOD(ROUND(C599,2),Parameters!$B$21),2)=0),1,0)</f>
        <v>0</v>
      </c>
      <c r="U599" s="9" t="n">
        <f aca="false">IF(LEN(TRIM(J599))=0,1,0)</f>
        <v>0</v>
      </c>
      <c r="V599" s="9" t="n">
        <f aca="false">IF(AND(I599="Manual",C599&lt;Parameters!$B$19,C599&gt;=Parameters!$B$19*(1-Parameters!$B$20)),1,0)</f>
        <v>0</v>
      </c>
      <c r="W599" s="9" t="n">
        <f aca="false">IF(AND(I599="Manual",M599&gt;0),1,0)</f>
        <v>0</v>
      </c>
      <c r="X599" s="9" t="n">
        <f aca="false">IF(A599-A598&gt;1,1,0)</f>
        <v>0</v>
      </c>
      <c r="Y599" s="9" t="n">
        <f aca="false">N599*Parameters!$B$38+O599*Parameters!$B$39+P599*Parameters!$B$40+Q599*Parameters!$B$41+R599*Parameters!$B$42+S599*Parameters!$B$43+T599*Parameters!$B$44+U599*Parameters!$B$45+V599*Parameters!$B$46+W599*Parameters!$B$47+X599*Parameters!$B$48</f>
        <v>0</v>
      </c>
      <c r="Z599" s="0" t="str">
        <f aca="false">IF(Y599&gt;=Parameters!$B$25,"High","")</f>
        <v/>
      </c>
    </row>
    <row r="600" customFormat="false" ht="15" hidden="false" customHeight="false" outlineLevel="0" collapsed="false">
      <c r="A600" s="16" t="n">
        <v>1604</v>
      </c>
      <c r="B600" s="9" t="n">
        <f aca="false">COUNTIF(JE_Lines!$B$5:$B$1733,A600)</f>
        <v>2</v>
      </c>
      <c r="C600" s="17" t="n">
        <f aca="false">SUMIFS(JE_Lines!$G$5:$G$1733,JE_Lines!$B$5:$B$1733,A600)</f>
        <v>4148.22</v>
      </c>
      <c r="D600" s="17" t="n">
        <f aca="false">SUMIFS(JE_Lines!$H$5:$H$1733,JE_Lines!$B$5:$B$1733,A600)</f>
        <v>4148.22</v>
      </c>
      <c r="E600" s="17" t="n">
        <f aca="false">C600-D600</f>
        <v>0</v>
      </c>
      <c r="F600" s="18" t="n">
        <f aca="false">INDEX(JE_Lines!$C$5:$C$1733,MATCH(A600,JE_Lines!$B$5:$B$1733,0))</f>
        <v>45937</v>
      </c>
      <c r="G600" s="18" t="n">
        <f aca="false">INDEX(JE_Lines!$D$5:$D$1733,MATCH(A600,JE_Lines!$B$5:$B$1733,0))</f>
        <v>45936</v>
      </c>
      <c r="H600" s="0" t="str">
        <f aca="false">INDEX(JE_Lines!$I$5:$I$1733,MATCH(A600,JE_Lines!$B$5:$B$1733,0))</f>
        <v>SYS_AR</v>
      </c>
      <c r="I600" s="0" t="str">
        <f aca="false">INDEX(JE_Lines!$J$5:$J$1733,MATCH(A600,JE_Lines!$B$5:$B$1733,0))</f>
        <v>System</v>
      </c>
      <c r="J600" s="0" t="str">
        <f aca="false">IF(LEN(INDEX(JE_Lines!$K$5:$K$1733,MATCH(A600,JE_Lines!$B$5:$B$1733,0)))=0,"",INDEX(JE_Lines!$K$5:$K$1733,MATCH(A600,JE_Lines!$B$5:$B$1733,0)))</f>
        <v>Sales invoice batch</v>
      </c>
      <c r="K600" s="9" t="n">
        <f aca="false">F600-G600</f>
        <v>1</v>
      </c>
      <c r="L600" s="9" t="n">
        <f aca="false">COUNTIFS(JE_Lines!$B$5:$B$1733,A600,JE_Lines!$F$5:$F$1733,"Revenue")</f>
        <v>1</v>
      </c>
      <c r="M600" s="9" t="n">
        <f aca="false">COUNTIFS(JE_Lines!$B$5:$B$1733,A600,JE_Lines!$F$5:$F$1733,"Suspense")</f>
        <v>0</v>
      </c>
      <c r="N600" s="9" t="n">
        <f aca="false">IF(ABS(E600)&gt;Parameters!$B$23,1,0)</f>
        <v>0</v>
      </c>
      <c r="O600" s="9" t="n">
        <f aca="false">IF(WEEKDAY(F600,2)&gt;5,1,0)</f>
        <v>0</v>
      </c>
      <c r="P600" s="9" t="n">
        <f aca="false">IF(K600&gt;Parameters!$B$17,1,0)</f>
        <v>0</v>
      </c>
      <c r="Q600" s="9" t="n">
        <f aca="false">IF(AND(F600&lt;=Parameters!$B$6,F600&gt;Parameters!$B$6-Parameters!$B$18),1,0)</f>
        <v>0</v>
      </c>
      <c r="R600" s="9" t="n">
        <f aca="false">IF(COUNTIF(Parameters!$A$51:$A$58,H600)=0,1,0)</f>
        <v>0</v>
      </c>
      <c r="S600" s="9" t="n">
        <f aca="false">IF(AND(I600="Manual",L600&gt;0),1,0)</f>
        <v>0</v>
      </c>
      <c r="T600" s="9" t="n">
        <f aca="false">IF(AND(C600&gt;=Parameters!$B$22,ROUND(MOD(ROUND(C600,2),Parameters!$B$21),2)=0),1,0)</f>
        <v>0</v>
      </c>
      <c r="U600" s="9" t="n">
        <f aca="false">IF(LEN(TRIM(J600))=0,1,0)</f>
        <v>0</v>
      </c>
      <c r="V600" s="9" t="n">
        <f aca="false">IF(AND(I600="Manual",C600&lt;Parameters!$B$19,C600&gt;=Parameters!$B$19*(1-Parameters!$B$20)),1,0)</f>
        <v>0</v>
      </c>
      <c r="W600" s="9" t="n">
        <f aca="false">IF(AND(I600="Manual",M600&gt;0),1,0)</f>
        <v>0</v>
      </c>
      <c r="X600" s="9" t="n">
        <f aca="false">IF(A600-A599&gt;1,1,0)</f>
        <v>0</v>
      </c>
      <c r="Y600" s="9" t="n">
        <f aca="false">N600*Parameters!$B$38+O600*Parameters!$B$39+P600*Parameters!$B$40+Q600*Parameters!$B$41+R600*Parameters!$B$42+S600*Parameters!$B$43+T600*Parameters!$B$44+U600*Parameters!$B$45+V600*Parameters!$B$46+W600*Parameters!$B$47+X600*Parameters!$B$48</f>
        <v>0</v>
      </c>
      <c r="Z600" s="0" t="str">
        <f aca="false">IF(Y600&gt;=Parameters!$B$25,"High","")</f>
        <v/>
      </c>
    </row>
    <row r="601" customFormat="false" ht="15" hidden="false" customHeight="false" outlineLevel="0" collapsed="false">
      <c r="A601" s="16" t="n">
        <v>1605</v>
      </c>
      <c r="B601" s="9" t="n">
        <f aca="false">COUNTIF(JE_Lines!$B$5:$B$1733,A601)</f>
        <v>2</v>
      </c>
      <c r="C601" s="17" t="n">
        <f aca="false">SUMIFS(JE_Lines!$G$5:$G$1733,JE_Lines!$B$5:$B$1733,A601)</f>
        <v>20772.88</v>
      </c>
      <c r="D601" s="17" t="n">
        <f aca="false">SUMIFS(JE_Lines!$H$5:$H$1733,JE_Lines!$B$5:$B$1733,A601)</f>
        <v>20772.88</v>
      </c>
      <c r="E601" s="17" t="n">
        <f aca="false">C601-D601</f>
        <v>0</v>
      </c>
      <c r="F601" s="18" t="n">
        <f aca="false">INDEX(JE_Lines!$C$5:$C$1733,MATCH(A601,JE_Lines!$B$5:$B$1733,0))</f>
        <v>45937</v>
      </c>
      <c r="G601" s="18" t="n">
        <f aca="false">INDEX(JE_Lines!$D$5:$D$1733,MATCH(A601,JE_Lines!$B$5:$B$1733,0))</f>
        <v>45934</v>
      </c>
      <c r="H601" s="0" t="str">
        <f aca="false">INDEX(JE_Lines!$I$5:$I$1733,MATCH(A601,JE_Lines!$B$5:$B$1733,0))</f>
        <v>SYS_PAY</v>
      </c>
      <c r="I601" s="0" t="str">
        <f aca="false">INDEX(JE_Lines!$J$5:$J$1733,MATCH(A601,JE_Lines!$B$5:$B$1733,0))</f>
        <v>System</v>
      </c>
      <c r="J601" s="0" t="str">
        <f aca="false">IF(LEN(INDEX(JE_Lines!$K$5:$K$1733,MATCH(A601,JE_Lines!$B$5:$B$1733,0)))=0,"",INDEX(JE_Lines!$K$5:$K$1733,MATCH(A601,JE_Lines!$B$5:$B$1733,0)))</f>
        <v>Supplier payments</v>
      </c>
      <c r="K601" s="9" t="n">
        <f aca="false">F601-G601</f>
        <v>3</v>
      </c>
      <c r="L601" s="9" t="n">
        <f aca="false">COUNTIFS(JE_Lines!$B$5:$B$1733,A601,JE_Lines!$F$5:$F$1733,"Revenue")</f>
        <v>0</v>
      </c>
      <c r="M601" s="9" t="n">
        <f aca="false">COUNTIFS(JE_Lines!$B$5:$B$1733,A601,JE_Lines!$F$5:$F$1733,"Suspense")</f>
        <v>0</v>
      </c>
      <c r="N601" s="9" t="n">
        <f aca="false">IF(ABS(E601)&gt;Parameters!$B$23,1,0)</f>
        <v>0</v>
      </c>
      <c r="O601" s="9" t="n">
        <f aca="false">IF(WEEKDAY(F601,2)&gt;5,1,0)</f>
        <v>0</v>
      </c>
      <c r="P601" s="9" t="n">
        <f aca="false">IF(K601&gt;Parameters!$B$17,1,0)</f>
        <v>0</v>
      </c>
      <c r="Q601" s="9" t="n">
        <f aca="false">IF(AND(F601&lt;=Parameters!$B$6,F601&gt;Parameters!$B$6-Parameters!$B$18),1,0)</f>
        <v>0</v>
      </c>
      <c r="R601" s="9" t="n">
        <f aca="false">IF(COUNTIF(Parameters!$A$51:$A$58,H601)=0,1,0)</f>
        <v>0</v>
      </c>
      <c r="S601" s="9" t="n">
        <f aca="false">IF(AND(I601="Manual",L601&gt;0),1,0)</f>
        <v>0</v>
      </c>
      <c r="T601" s="9" t="n">
        <f aca="false">IF(AND(C601&gt;=Parameters!$B$22,ROUND(MOD(ROUND(C601,2),Parameters!$B$21),2)=0),1,0)</f>
        <v>0</v>
      </c>
      <c r="U601" s="9" t="n">
        <f aca="false">IF(LEN(TRIM(J601))=0,1,0)</f>
        <v>0</v>
      </c>
      <c r="V601" s="9" t="n">
        <f aca="false">IF(AND(I601="Manual",C601&lt;Parameters!$B$19,C601&gt;=Parameters!$B$19*(1-Parameters!$B$20)),1,0)</f>
        <v>0</v>
      </c>
      <c r="W601" s="9" t="n">
        <f aca="false">IF(AND(I601="Manual",M601&gt;0),1,0)</f>
        <v>0</v>
      </c>
      <c r="X601" s="9" t="n">
        <f aca="false">IF(A601-A600&gt;1,1,0)</f>
        <v>0</v>
      </c>
      <c r="Y601" s="9" t="n">
        <f aca="false">N601*Parameters!$B$38+O601*Parameters!$B$39+P601*Parameters!$B$40+Q601*Parameters!$B$41+R601*Parameters!$B$42+S601*Parameters!$B$43+T601*Parameters!$B$44+U601*Parameters!$B$45+V601*Parameters!$B$46+W601*Parameters!$B$47+X601*Parameters!$B$48</f>
        <v>0</v>
      </c>
      <c r="Z601" s="0" t="str">
        <f aca="false">IF(Y601&gt;=Parameters!$B$25,"High","")</f>
        <v/>
      </c>
    </row>
    <row r="602" customFormat="false" ht="15" hidden="false" customHeight="false" outlineLevel="0" collapsed="false">
      <c r="A602" s="16" t="n">
        <v>1606</v>
      </c>
      <c r="B602" s="9" t="n">
        <f aca="false">COUNTIF(JE_Lines!$B$5:$B$1733,A602)</f>
        <v>2</v>
      </c>
      <c r="C602" s="17" t="n">
        <f aca="false">SUMIFS(JE_Lines!$G$5:$G$1733,JE_Lines!$B$5:$B$1733,A602)</f>
        <v>10578.37</v>
      </c>
      <c r="D602" s="17" t="n">
        <f aca="false">SUMIFS(JE_Lines!$H$5:$H$1733,JE_Lines!$B$5:$B$1733,A602)</f>
        <v>10578.37</v>
      </c>
      <c r="E602" s="17" t="n">
        <f aca="false">C602-D602</f>
        <v>0</v>
      </c>
      <c r="F602" s="18" t="n">
        <f aca="false">INDEX(JE_Lines!$C$5:$C$1733,MATCH(A602,JE_Lines!$B$5:$B$1733,0))</f>
        <v>45937</v>
      </c>
      <c r="G602" s="18" t="n">
        <f aca="false">INDEX(JE_Lines!$D$5:$D$1733,MATCH(A602,JE_Lines!$B$5:$B$1733,0))</f>
        <v>45934</v>
      </c>
      <c r="H602" s="0" t="str">
        <f aca="false">INDEX(JE_Lines!$I$5:$I$1733,MATCH(A602,JE_Lines!$B$5:$B$1733,0))</f>
        <v>SYS_AP</v>
      </c>
      <c r="I602" s="0" t="str">
        <f aca="false">INDEX(JE_Lines!$J$5:$J$1733,MATCH(A602,JE_Lines!$B$5:$B$1733,0))</f>
        <v>System</v>
      </c>
      <c r="J602" s="0" t="str">
        <f aca="false">IF(LEN(INDEX(JE_Lines!$K$5:$K$1733,MATCH(A602,JE_Lines!$B$5:$B$1733,0)))=0,"",INDEX(JE_Lines!$K$5:$K$1733,MATCH(A602,JE_Lines!$B$5:$B$1733,0)))</f>
        <v>Supplier invoices</v>
      </c>
      <c r="K602" s="9" t="n">
        <f aca="false">F602-G602</f>
        <v>3</v>
      </c>
      <c r="L602" s="9" t="n">
        <f aca="false">COUNTIFS(JE_Lines!$B$5:$B$1733,A602,JE_Lines!$F$5:$F$1733,"Revenue")</f>
        <v>0</v>
      </c>
      <c r="M602" s="9" t="n">
        <f aca="false">COUNTIFS(JE_Lines!$B$5:$B$1733,A602,JE_Lines!$F$5:$F$1733,"Suspense")</f>
        <v>0</v>
      </c>
      <c r="N602" s="9" t="n">
        <f aca="false">IF(ABS(E602)&gt;Parameters!$B$23,1,0)</f>
        <v>0</v>
      </c>
      <c r="O602" s="9" t="n">
        <f aca="false">IF(WEEKDAY(F602,2)&gt;5,1,0)</f>
        <v>0</v>
      </c>
      <c r="P602" s="9" t="n">
        <f aca="false">IF(K602&gt;Parameters!$B$17,1,0)</f>
        <v>0</v>
      </c>
      <c r="Q602" s="9" t="n">
        <f aca="false">IF(AND(F602&lt;=Parameters!$B$6,F602&gt;Parameters!$B$6-Parameters!$B$18),1,0)</f>
        <v>0</v>
      </c>
      <c r="R602" s="9" t="n">
        <f aca="false">IF(COUNTIF(Parameters!$A$51:$A$58,H602)=0,1,0)</f>
        <v>0</v>
      </c>
      <c r="S602" s="9" t="n">
        <f aca="false">IF(AND(I602="Manual",L602&gt;0),1,0)</f>
        <v>0</v>
      </c>
      <c r="T602" s="9" t="n">
        <f aca="false">IF(AND(C602&gt;=Parameters!$B$22,ROUND(MOD(ROUND(C602,2),Parameters!$B$21),2)=0),1,0)</f>
        <v>0</v>
      </c>
      <c r="U602" s="9" t="n">
        <f aca="false">IF(LEN(TRIM(J602))=0,1,0)</f>
        <v>0</v>
      </c>
      <c r="V602" s="9" t="n">
        <f aca="false">IF(AND(I602="Manual",C602&lt;Parameters!$B$19,C602&gt;=Parameters!$B$19*(1-Parameters!$B$20)),1,0)</f>
        <v>0</v>
      </c>
      <c r="W602" s="9" t="n">
        <f aca="false">IF(AND(I602="Manual",M602&gt;0),1,0)</f>
        <v>0</v>
      </c>
      <c r="X602" s="9" t="n">
        <f aca="false">IF(A602-A601&gt;1,1,0)</f>
        <v>0</v>
      </c>
      <c r="Y602" s="9" t="n">
        <f aca="false">N602*Parameters!$B$38+O602*Parameters!$B$39+P602*Parameters!$B$40+Q602*Parameters!$B$41+R602*Parameters!$B$42+S602*Parameters!$B$43+T602*Parameters!$B$44+U602*Parameters!$B$45+V602*Parameters!$B$46+W602*Parameters!$B$47+X602*Parameters!$B$48</f>
        <v>0</v>
      </c>
      <c r="Z602" s="0" t="str">
        <f aca="false">IF(Y602&gt;=Parameters!$B$25,"High","")</f>
        <v/>
      </c>
    </row>
    <row r="603" customFormat="false" ht="15" hidden="false" customHeight="false" outlineLevel="0" collapsed="false">
      <c r="A603" s="16" t="n">
        <v>1607</v>
      </c>
      <c r="B603" s="9" t="n">
        <f aca="false">COUNTIF(JE_Lines!$B$5:$B$1733,A603)</f>
        <v>3</v>
      </c>
      <c r="C603" s="17" t="n">
        <f aca="false">SUMIFS(JE_Lines!$G$5:$G$1733,JE_Lines!$B$5:$B$1733,A603)</f>
        <v>404.03</v>
      </c>
      <c r="D603" s="17" t="n">
        <f aca="false">SUMIFS(JE_Lines!$H$5:$H$1733,JE_Lines!$B$5:$B$1733,A603)</f>
        <v>404.03</v>
      </c>
      <c r="E603" s="17" t="n">
        <f aca="false">C603-D603</f>
        <v>0</v>
      </c>
      <c r="F603" s="18" t="n">
        <f aca="false">INDEX(JE_Lines!$C$5:$C$1733,MATCH(A603,JE_Lines!$B$5:$B$1733,0))</f>
        <v>45937</v>
      </c>
      <c r="G603" s="18" t="n">
        <f aca="false">INDEX(JE_Lines!$D$5:$D$1733,MATCH(A603,JE_Lines!$B$5:$B$1733,0))</f>
        <v>45936</v>
      </c>
      <c r="H603" s="0" t="str">
        <f aca="false">INDEX(JE_Lines!$I$5:$I$1733,MATCH(A603,JE_Lines!$B$5:$B$1733,0))</f>
        <v>SYS_AR</v>
      </c>
      <c r="I603" s="0" t="str">
        <f aca="false">INDEX(JE_Lines!$J$5:$J$1733,MATCH(A603,JE_Lines!$B$5:$B$1733,0))</f>
        <v>System</v>
      </c>
      <c r="J603" s="0" t="str">
        <f aca="false">IF(LEN(INDEX(JE_Lines!$K$5:$K$1733,MATCH(A603,JE_Lines!$B$5:$B$1733,0)))=0,"",INDEX(JE_Lines!$K$5:$K$1733,MATCH(A603,JE_Lines!$B$5:$B$1733,0)))</f>
        <v>Cost of sales posting</v>
      </c>
      <c r="K603" s="9" t="n">
        <f aca="false">F603-G603</f>
        <v>1</v>
      </c>
      <c r="L603" s="9" t="n">
        <f aca="false">COUNTIFS(JE_Lines!$B$5:$B$1733,A603,JE_Lines!$F$5:$F$1733,"Revenue")</f>
        <v>0</v>
      </c>
      <c r="M603" s="9" t="n">
        <f aca="false">COUNTIFS(JE_Lines!$B$5:$B$1733,A603,JE_Lines!$F$5:$F$1733,"Suspense")</f>
        <v>0</v>
      </c>
      <c r="N603" s="9" t="n">
        <f aca="false">IF(ABS(E603)&gt;Parameters!$B$23,1,0)</f>
        <v>0</v>
      </c>
      <c r="O603" s="9" t="n">
        <f aca="false">IF(WEEKDAY(F603,2)&gt;5,1,0)</f>
        <v>0</v>
      </c>
      <c r="P603" s="9" t="n">
        <f aca="false">IF(K603&gt;Parameters!$B$17,1,0)</f>
        <v>0</v>
      </c>
      <c r="Q603" s="9" t="n">
        <f aca="false">IF(AND(F603&lt;=Parameters!$B$6,F603&gt;Parameters!$B$6-Parameters!$B$18),1,0)</f>
        <v>0</v>
      </c>
      <c r="R603" s="9" t="n">
        <f aca="false">IF(COUNTIF(Parameters!$A$51:$A$58,H603)=0,1,0)</f>
        <v>0</v>
      </c>
      <c r="S603" s="9" t="n">
        <f aca="false">IF(AND(I603="Manual",L603&gt;0),1,0)</f>
        <v>0</v>
      </c>
      <c r="T603" s="9" t="n">
        <f aca="false">IF(AND(C603&gt;=Parameters!$B$22,ROUND(MOD(ROUND(C603,2),Parameters!$B$21),2)=0),1,0)</f>
        <v>0</v>
      </c>
      <c r="U603" s="9" t="n">
        <f aca="false">IF(LEN(TRIM(J603))=0,1,0)</f>
        <v>0</v>
      </c>
      <c r="V603" s="9" t="n">
        <f aca="false">IF(AND(I603="Manual",C603&lt;Parameters!$B$19,C603&gt;=Parameters!$B$19*(1-Parameters!$B$20)),1,0)</f>
        <v>0</v>
      </c>
      <c r="W603" s="9" t="n">
        <f aca="false">IF(AND(I603="Manual",M603&gt;0),1,0)</f>
        <v>0</v>
      </c>
      <c r="X603" s="9" t="n">
        <f aca="false">IF(A603-A602&gt;1,1,0)</f>
        <v>0</v>
      </c>
      <c r="Y603" s="9" t="n">
        <f aca="false">N603*Parameters!$B$38+O603*Parameters!$B$39+P603*Parameters!$B$40+Q603*Parameters!$B$41+R603*Parameters!$B$42+S603*Parameters!$B$43+T603*Parameters!$B$44+U603*Parameters!$B$45+V603*Parameters!$B$46+W603*Parameters!$B$47+X603*Parameters!$B$48</f>
        <v>0</v>
      </c>
      <c r="Z603" s="0" t="str">
        <f aca="false">IF(Y603&gt;=Parameters!$B$25,"High","")</f>
        <v/>
      </c>
    </row>
    <row r="604" customFormat="false" ht="15" hidden="false" customHeight="false" outlineLevel="0" collapsed="false">
      <c r="A604" s="16" t="n">
        <v>1608</v>
      </c>
      <c r="B604" s="9" t="n">
        <f aca="false">COUNTIF(JE_Lines!$B$5:$B$1733,A604)</f>
        <v>2</v>
      </c>
      <c r="C604" s="17" t="n">
        <f aca="false">SUMIFS(JE_Lines!$G$5:$G$1733,JE_Lines!$B$5:$B$1733,A604)</f>
        <v>50481.59</v>
      </c>
      <c r="D604" s="17" t="n">
        <f aca="false">SUMIFS(JE_Lines!$H$5:$H$1733,JE_Lines!$B$5:$B$1733,A604)</f>
        <v>50481.59</v>
      </c>
      <c r="E604" s="17" t="n">
        <f aca="false">C604-D604</f>
        <v>0</v>
      </c>
      <c r="F604" s="18" t="n">
        <f aca="false">INDEX(JE_Lines!$C$5:$C$1733,MATCH(A604,JE_Lines!$B$5:$B$1733,0))</f>
        <v>45938</v>
      </c>
      <c r="G604" s="18" t="n">
        <f aca="false">INDEX(JE_Lines!$D$5:$D$1733,MATCH(A604,JE_Lines!$B$5:$B$1733,0))</f>
        <v>45935</v>
      </c>
      <c r="H604" s="0" t="str">
        <f aca="false">INDEX(JE_Lines!$I$5:$I$1733,MATCH(A604,JE_Lines!$B$5:$B$1733,0))</f>
        <v>FIN03</v>
      </c>
      <c r="I604" s="0" t="str">
        <f aca="false">INDEX(JE_Lines!$J$5:$J$1733,MATCH(A604,JE_Lines!$B$5:$B$1733,0))</f>
        <v>Manual</v>
      </c>
      <c r="J604" s="0" t="str">
        <f aca="false">IF(LEN(INDEX(JE_Lines!$K$5:$K$1733,MATCH(A604,JE_Lines!$B$5:$B$1733,0)))=0,"",INDEX(JE_Lines!$K$5:$K$1733,MATCH(A604,JE_Lines!$B$5:$B$1733,0)))</f>
        <v>Accrual reversal</v>
      </c>
      <c r="K604" s="9" t="n">
        <f aca="false">F604-G604</f>
        <v>3</v>
      </c>
      <c r="L604" s="9" t="n">
        <f aca="false">COUNTIFS(JE_Lines!$B$5:$B$1733,A604,JE_Lines!$F$5:$F$1733,"Revenue")</f>
        <v>0</v>
      </c>
      <c r="M604" s="9" t="n">
        <f aca="false">COUNTIFS(JE_Lines!$B$5:$B$1733,A604,JE_Lines!$F$5:$F$1733,"Suspense")</f>
        <v>0</v>
      </c>
      <c r="N604" s="9" t="n">
        <f aca="false">IF(ABS(E604)&gt;Parameters!$B$23,1,0)</f>
        <v>0</v>
      </c>
      <c r="O604" s="9" t="n">
        <f aca="false">IF(WEEKDAY(F604,2)&gt;5,1,0)</f>
        <v>0</v>
      </c>
      <c r="P604" s="9" t="n">
        <f aca="false">IF(K604&gt;Parameters!$B$17,1,0)</f>
        <v>0</v>
      </c>
      <c r="Q604" s="9" t="n">
        <f aca="false">IF(AND(F604&lt;=Parameters!$B$6,F604&gt;Parameters!$B$6-Parameters!$B$18),1,0)</f>
        <v>0</v>
      </c>
      <c r="R604" s="9" t="n">
        <f aca="false">IF(COUNTIF(Parameters!$A$51:$A$58,H604)=0,1,0)</f>
        <v>0</v>
      </c>
      <c r="S604" s="9" t="n">
        <f aca="false">IF(AND(I604="Manual",L604&gt;0),1,0)</f>
        <v>0</v>
      </c>
      <c r="T604" s="9" t="n">
        <f aca="false">IF(AND(C604&gt;=Parameters!$B$22,ROUND(MOD(ROUND(C604,2),Parameters!$B$21),2)=0),1,0)</f>
        <v>0</v>
      </c>
      <c r="U604" s="9" t="n">
        <f aca="false">IF(LEN(TRIM(J604))=0,1,0)</f>
        <v>0</v>
      </c>
      <c r="V604" s="9" t="n">
        <f aca="false">IF(AND(I604="Manual",C604&lt;Parameters!$B$19,C604&gt;=Parameters!$B$19*(1-Parameters!$B$20)),1,0)</f>
        <v>0</v>
      </c>
      <c r="W604" s="9" t="n">
        <f aca="false">IF(AND(I604="Manual",M604&gt;0),1,0)</f>
        <v>0</v>
      </c>
      <c r="X604" s="9" t="n">
        <f aca="false">IF(A604-A603&gt;1,1,0)</f>
        <v>0</v>
      </c>
      <c r="Y604" s="9" t="n">
        <f aca="false">N604*Parameters!$B$38+O604*Parameters!$B$39+P604*Parameters!$B$40+Q604*Parameters!$B$41+R604*Parameters!$B$42+S604*Parameters!$B$43+T604*Parameters!$B$44+U604*Parameters!$B$45+V604*Parameters!$B$46+W604*Parameters!$B$47+X604*Parameters!$B$48</f>
        <v>0</v>
      </c>
      <c r="Z604" s="0" t="str">
        <f aca="false">IF(Y604&gt;=Parameters!$B$25,"High","")</f>
        <v/>
      </c>
    </row>
    <row r="605" customFormat="false" ht="15" hidden="false" customHeight="false" outlineLevel="0" collapsed="false">
      <c r="A605" s="16" t="n">
        <v>1609</v>
      </c>
      <c r="B605" s="9" t="n">
        <f aca="false">COUNTIF(JE_Lines!$B$5:$B$1733,A605)</f>
        <v>2</v>
      </c>
      <c r="C605" s="17" t="n">
        <f aca="false">SUMIFS(JE_Lines!$G$5:$G$1733,JE_Lines!$B$5:$B$1733,A605)</f>
        <v>3967.86</v>
      </c>
      <c r="D605" s="17" t="n">
        <f aca="false">SUMIFS(JE_Lines!$H$5:$H$1733,JE_Lines!$B$5:$B$1733,A605)</f>
        <v>3967.86</v>
      </c>
      <c r="E605" s="17" t="n">
        <f aca="false">C605-D605</f>
        <v>0</v>
      </c>
      <c r="F605" s="18" t="n">
        <f aca="false">INDEX(JE_Lines!$C$5:$C$1733,MATCH(A605,JE_Lines!$B$5:$B$1733,0))</f>
        <v>45938</v>
      </c>
      <c r="G605" s="18" t="n">
        <f aca="false">INDEX(JE_Lines!$D$5:$D$1733,MATCH(A605,JE_Lines!$B$5:$B$1733,0))</f>
        <v>45934</v>
      </c>
      <c r="H605" s="0" t="str">
        <f aca="false">INDEX(JE_Lines!$I$5:$I$1733,MATCH(A605,JE_Lines!$B$5:$B$1733,0))</f>
        <v>SYS_AR</v>
      </c>
      <c r="I605" s="0" t="str">
        <f aca="false">INDEX(JE_Lines!$J$5:$J$1733,MATCH(A605,JE_Lines!$B$5:$B$1733,0))</f>
        <v>System</v>
      </c>
      <c r="J605" s="0" t="str">
        <f aca="false">IF(LEN(INDEX(JE_Lines!$K$5:$K$1733,MATCH(A605,JE_Lines!$B$5:$B$1733,0)))=0,"",INDEX(JE_Lines!$K$5:$K$1733,MATCH(A605,JE_Lines!$B$5:$B$1733,0)))</f>
        <v>Customer receipts</v>
      </c>
      <c r="K605" s="9" t="n">
        <f aca="false">F605-G605</f>
        <v>4</v>
      </c>
      <c r="L605" s="9" t="n">
        <f aca="false">COUNTIFS(JE_Lines!$B$5:$B$1733,A605,JE_Lines!$F$5:$F$1733,"Revenue")</f>
        <v>0</v>
      </c>
      <c r="M605" s="9" t="n">
        <f aca="false">COUNTIFS(JE_Lines!$B$5:$B$1733,A605,JE_Lines!$F$5:$F$1733,"Suspense")</f>
        <v>0</v>
      </c>
      <c r="N605" s="9" t="n">
        <f aca="false">IF(ABS(E605)&gt;Parameters!$B$23,1,0)</f>
        <v>0</v>
      </c>
      <c r="O605" s="9" t="n">
        <f aca="false">IF(WEEKDAY(F605,2)&gt;5,1,0)</f>
        <v>0</v>
      </c>
      <c r="P605" s="9" t="n">
        <f aca="false">IF(K605&gt;Parameters!$B$17,1,0)</f>
        <v>0</v>
      </c>
      <c r="Q605" s="9" t="n">
        <f aca="false">IF(AND(F605&lt;=Parameters!$B$6,F605&gt;Parameters!$B$6-Parameters!$B$18),1,0)</f>
        <v>0</v>
      </c>
      <c r="R605" s="9" t="n">
        <f aca="false">IF(COUNTIF(Parameters!$A$51:$A$58,H605)=0,1,0)</f>
        <v>0</v>
      </c>
      <c r="S605" s="9" t="n">
        <f aca="false">IF(AND(I605="Manual",L605&gt;0),1,0)</f>
        <v>0</v>
      </c>
      <c r="T605" s="9" t="n">
        <f aca="false">IF(AND(C605&gt;=Parameters!$B$22,ROUND(MOD(ROUND(C605,2),Parameters!$B$21),2)=0),1,0)</f>
        <v>0</v>
      </c>
      <c r="U605" s="9" t="n">
        <f aca="false">IF(LEN(TRIM(J605))=0,1,0)</f>
        <v>0</v>
      </c>
      <c r="V605" s="9" t="n">
        <f aca="false">IF(AND(I605="Manual",C605&lt;Parameters!$B$19,C605&gt;=Parameters!$B$19*(1-Parameters!$B$20)),1,0)</f>
        <v>0</v>
      </c>
      <c r="W605" s="9" t="n">
        <f aca="false">IF(AND(I605="Manual",M605&gt;0),1,0)</f>
        <v>0</v>
      </c>
      <c r="X605" s="9" t="n">
        <f aca="false">IF(A605-A604&gt;1,1,0)</f>
        <v>0</v>
      </c>
      <c r="Y605" s="9" t="n">
        <f aca="false">N605*Parameters!$B$38+O605*Parameters!$B$39+P605*Parameters!$B$40+Q605*Parameters!$B$41+R605*Parameters!$B$42+S605*Parameters!$B$43+T605*Parameters!$B$44+U605*Parameters!$B$45+V605*Parameters!$B$46+W605*Parameters!$B$47+X605*Parameters!$B$48</f>
        <v>0</v>
      </c>
      <c r="Z605" s="0" t="str">
        <f aca="false">IF(Y605&gt;=Parameters!$B$25,"High","")</f>
        <v/>
      </c>
    </row>
    <row r="606" customFormat="false" ht="15" hidden="false" customHeight="false" outlineLevel="0" collapsed="false">
      <c r="A606" s="16" t="n">
        <v>1610</v>
      </c>
      <c r="B606" s="9" t="n">
        <f aca="false">COUNTIF(JE_Lines!$B$5:$B$1733,A606)</f>
        <v>2</v>
      </c>
      <c r="C606" s="17" t="n">
        <f aca="false">SUMIFS(JE_Lines!$G$5:$G$1733,JE_Lines!$B$5:$B$1733,A606)</f>
        <v>3471.65</v>
      </c>
      <c r="D606" s="17" t="n">
        <f aca="false">SUMIFS(JE_Lines!$H$5:$H$1733,JE_Lines!$B$5:$B$1733,A606)</f>
        <v>3471.65</v>
      </c>
      <c r="E606" s="17" t="n">
        <f aca="false">C606-D606</f>
        <v>0</v>
      </c>
      <c r="F606" s="18" t="n">
        <f aca="false">INDEX(JE_Lines!$C$5:$C$1733,MATCH(A606,JE_Lines!$B$5:$B$1733,0))</f>
        <v>45938</v>
      </c>
      <c r="G606" s="18" t="n">
        <f aca="false">INDEX(JE_Lines!$D$5:$D$1733,MATCH(A606,JE_Lines!$B$5:$B$1733,0))</f>
        <v>45935</v>
      </c>
      <c r="H606" s="0" t="str">
        <f aca="false">INDEX(JE_Lines!$I$5:$I$1733,MATCH(A606,JE_Lines!$B$5:$B$1733,0))</f>
        <v>SYS_AR</v>
      </c>
      <c r="I606" s="0" t="str">
        <f aca="false">INDEX(JE_Lines!$J$5:$J$1733,MATCH(A606,JE_Lines!$B$5:$B$1733,0))</f>
        <v>System</v>
      </c>
      <c r="J606" s="0" t="str">
        <f aca="false">IF(LEN(INDEX(JE_Lines!$K$5:$K$1733,MATCH(A606,JE_Lines!$B$5:$B$1733,0)))=0,"",INDEX(JE_Lines!$K$5:$K$1733,MATCH(A606,JE_Lines!$B$5:$B$1733,0)))</f>
        <v>Sales invoice batch</v>
      </c>
      <c r="K606" s="9" t="n">
        <f aca="false">F606-G606</f>
        <v>3</v>
      </c>
      <c r="L606" s="9" t="n">
        <f aca="false">COUNTIFS(JE_Lines!$B$5:$B$1733,A606,JE_Lines!$F$5:$F$1733,"Revenue")</f>
        <v>1</v>
      </c>
      <c r="M606" s="9" t="n">
        <f aca="false">COUNTIFS(JE_Lines!$B$5:$B$1733,A606,JE_Lines!$F$5:$F$1733,"Suspense")</f>
        <v>0</v>
      </c>
      <c r="N606" s="9" t="n">
        <f aca="false">IF(ABS(E606)&gt;Parameters!$B$23,1,0)</f>
        <v>0</v>
      </c>
      <c r="O606" s="9" t="n">
        <f aca="false">IF(WEEKDAY(F606,2)&gt;5,1,0)</f>
        <v>0</v>
      </c>
      <c r="P606" s="9" t="n">
        <f aca="false">IF(K606&gt;Parameters!$B$17,1,0)</f>
        <v>0</v>
      </c>
      <c r="Q606" s="9" t="n">
        <f aca="false">IF(AND(F606&lt;=Parameters!$B$6,F606&gt;Parameters!$B$6-Parameters!$B$18),1,0)</f>
        <v>0</v>
      </c>
      <c r="R606" s="9" t="n">
        <f aca="false">IF(COUNTIF(Parameters!$A$51:$A$58,H606)=0,1,0)</f>
        <v>0</v>
      </c>
      <c r="S606" s="9" t="n">
        <f aca="false">IF(AND(I606="Manual",L606&gt;0),1,0)</f>
        <v>0</v>
      </c>
      <c r="T606" s="9" t="n">
        <f aca="false">IF(AND(C606&gt;=Parameters!$B$22,ROUND(MOD(ROUND(C606,2),Parameters!$B$21),2)=0),1,0)</f>
        <v>0</v>
      </c>
      <c r="U606" s="9" t="n">
        <f aca="false">IF(LEN(TRIM(J606))=0,1,0)</f>
        <v>0</v>
      </c>
      <c r="V606" s="9" t="n">
        <f aca="false">IF(AND(I606="Manual",C606&lt;Parameters!$B$19,C606&gt;=Parameters!$B$19*(1-Parameters!$B$20)),1,0)</f>
        <v>0</v>
      </c>
      <c r="W606" s="9" t="n">
        <f aca="false">IF(AND(I606="Manual",M606&gt;0),1,0)</f>
        <v>0</v>
      </c>
      <c r="X606" s="9" t="n">
        <f aca="false">IF(A606-A605&gt;1,1,0)</f>
        <v>0</v>
      </c>
      <c r="Y606" s="9" t="n">
        <f aca="false">N606*Parameters!$B$38+O606*Parameters!$B$39+P606*Parameters!$B$40+Q606*Parameters!$B$41+R606*Parameters!$B$42+S606*Parameters!$B$43+T606*Parameters!$B$44+U606*Parameters!$B$45+V606*Parameters!$B$46+W606*Parameters!$B$47+X606*Parameters!$B$48</f>
        <v>0</v>
      </c>
      <c r="Z606" s="0" t="str">
        <f aca="false">IF(Y606&gt;=Parameters!$B$25,"High","")</f>
        <v/>
      </c>
    </row>
    <row r="607" customFormat="false" ht="15" hidden="false" customHeight="false" outlineLevel="0" collapsed="false">
      <c r="A607" s="16" t="n">
        <v>1611</v>
      </c>
      <c r="B607" s="9" t="n">
        <f aca="false">COUNTIF(JE_Lines!$B$5:$B$1733,A607)</f>
        <v>2</v>
      </c>
      <c r="C607" s="17" t="n">
        <f aca="false">SUMIFS(JE_Lines!$G$5:$G$1733,JE_Lines!$B$5:$B$1733,A607)</f>
        <v>119197.26</v>
      </c>
      <c r="D607" s="17" t="n">
        <f aca="false">SUMIFS(JE_Lines!$H$5:$H$1733,JE_Lines!$B$5:$B$1733,A607)</f>
        <v>119197.26</v>
      </c>
      <c r="E607" s="17" t="n">
        <f aca="false">C607-D607</f>
        <v>0</v>
      </c>
      <c r="F607" s="18" t="n">
        <f aca="false">INDEX(JE_Lines!$C$5:$C$1733,MATCH(A607,JE_Lines!$B$5:$B$1733,0))</f>
        <v>45939</v>
      </c>
      <c r="G607" s="18" t="n">
        <f aca="false">INDEX(JE_Lines!$D$5:$D$1733,MATCH(A607,JE_Lines!$B$5:$B$1733,0))</f>
        <v>45936</v>
      </c>
      <c r="H607" s="0" t="str">
        <f aca="false">INDEX(JE_Lines!$I$5:$I$1733,MATCH(A607,JE_Lines!$B$5:$B$1733,0))</f>
        <v>SYS_PAY</v>
      </c>
      <c r="I607" s="0" t="str">
        <f aca="false">INDEX(JE_Lines!$J$5:$J$1733,MATCH(A607,JE_Lines!$B$5:$B$1733,0))</f>
        <v>System</v>
      </c>
      <c r="J607" s="0" t="str">
        <f aca="false">IF(LEN(INDEX(JE_Lines!$K$5:$K$1733,MATCH(A607,JE_Lines!$B$5:$B$1733,0)))=0,"",INDEX(JE_Lines!$K$5:$K$1733,MATCH(A607,JE_Lines!$B$5:$B$1733,0)))</f>
        <v>Supplier payments</v>
      </c>
      <c r="K607" s="9" t="n">
        <f aca="false">F607-G607</f>
        <v>3</v>
      </c>
      <c r="L607" s="9" t="n">
        <f aca="false">COUNTIFS(JE_Lines!$B$5:$B$1733,A607,JE_Lines!$F$5:$F$1733,"Revenue")</f>
        <v>0</v>
      </c>
      <c r="M607" s="9" t="n">
        <f aca="false">COUNTIFS(JE_Lines!$B$5:$B$1733,A607,JE_Lines!$F$5:$F$1733,"Suspense")</f>
        <v>0</v>
      </c>
      <c r="N607" s="9" t="n">
        <f aca="false">IF(ABS(E607)&gt;Parameters!$B$23,1,0)</f>
        <v>0</v>
      </c>
      <c r="O607" s="9" t="n">
        <f aca="false">IF(WEEKDAY(F607,2)&gt;5,1,0)</f>
        <v>0</v>
      </c>
      <c r="P607" s="9" t="n">
        <f aca="false">IF(K607&gt;Parameters!$B$17,1,0)</f>
        <v>0</v>
      </c>
      <c r="Q607" s="9" t="n">
        <f aca="false">IF(AND(F607&lt;=Parameters!$B$6,F607&gt;Parameters!$B$6-Parameters!$B$18),1,0)</f>
        <v>0</v>
      </c>
      <c r="R607" s="9" t="n">
        <f aca="false">IF(COUNTIF(Parameters!$A$51:$A$58,H607)=0,1,0)</f>
        <v>0</v>
      </c>
      <c r="S607" s="9" t="n">
        <f aca="false">IF(AND(I607="Manual",L607&gt;0),1,0)</f>
        <v>0</v>
      </c>
      <c r="T607" s="9" t="n">
        <f aca="false">IF(AND(C607&gt;=Parameters!$B$22,ROUND(MOD(ROUND(C607,2),Parameters!$B$21),2)=0),1,0)</f>
        <v>0</v>
      </c>
      <c r="U607" s="9" t="n">
        <f aca="false">IF(LEN(TRIM(J607))=0,1,0)</f>
        <v>0</v>
      </c>
      <c r="V607" s="9" t="n">
        <f aca="false">IF(AND(I607="Manual",C607&lt;Parameters!$B$19,C607&gt;=Parameters!$B$19*(1-Parameters!$B$20)),1,0)</f>
        <v>0</v>
      </c>
      <c r="W607" s="9" t="n">
        <f aca="false">IF(AND(I607="Manual",M607&gt;0),1,0)</f>
        <v>0</v>
      </c>
      <c r="X607" s="9" t="n">
        <f aca="false">IF(A607-A606&gt;1,1,0)</f>
        <v>0</v>
      </c>
      <c r="Y607" s="9" t="n">
        <f aca="false">N607*Parameters!$B$38+O607*Parameters!$B$39+P607*Parameters!$B$40+Q607*Parameters!$B$41+R607*Parameters!$B$42+S607*Parameters!$B$43+T607*Parameters!$B$44+U607*Parameters!$B$45+V607*Parameters!$B$46+W607*Parameters!$B$47+X607*Parameters!$B$48</f>
        <v>0</v>
      </c>
      <c r="Z607" s="0" t="str">
        <f aca="false">IF(Y607&gt;=Parameters!$B$25,"High","")</f>
        <v/>
      </c>
    </row>
    <row r="608" customFormat="false" ht="15" hidden="false" customHeight="false" outlineLevel="0" collapsed="false">
      <c r="A608" s="16" t="n">
        <v>1612</v>
      </c>
      <c r="B608" s="9" t="n">
        <f aca="false">COUNTIF(JE_Lines!$B$5:$B$1733,A608)</f>
        <v>2</v>
      </c>
      <c r="C608" s="17" t="n">
        <f aca="false">SUMIFS(JE_Lines!$G$5:$G$1733,JE_Lines!$B$5:$B$1733,A608)</f>
        <v>1039.08</v>
      </c>
      <c r="D608" s="17" t="n">
        <f aca="false">SUMIFS(JE_Lines!$H$5:$H$1733,JE_Lines!$B$5:$B$1733,A608)</f>
        <v>1039.08</v>
      </c>
      <c r="E608" s="17" t="n">
        <f aca="false">C608-D608</f>
        <v>0</v>
      </c>
      <c r="F608" s="18" t="n">
        <f aca="false">INDEX(JE_Lines!$C$5:$C$1733,MATCH(A608,JE_Lines!$B$5:$B$1733,0))</f>
        <v>45939</v>
      </c>
      <c r="G608" s="18" t="n">
        <f aca="false">INDEX(JE_Lines!$D$5:$D$1733,MATCH(A608,JE_Lines!$B$5:$B$1733,0))</f>
        <v>45938</v>
      </c>
      <c r="H608" s="0" t="str">
        <f aca="false">INDEX(JE_Lines!$I$5:$I$1733,MATCH(A608,JE_Lines!$B$5:$B$1733,0))</f>
        <v>SYS_AR</v>
      </c>
      <c r="I608" s="0" t="str">
        <f aca="false">INDEX(JE_Lines!$J$5:$J$1733,MATCH(A608,JE_Lines!$B$5:$B$1733,0))</f>
        <v>System</v>
      </c>
      <c r="J608" s="0" t="str">
        <f aca="false">IF(LEN(INDEX(JE_Lines!$K$5:$K$1733,MATCH(A608,JE_Lines!$B$5:$B$1733,0)))=0,"",INDEX(JE_Lines!$K$5:$K$1733,MATCH(A608,JE_Lines!$B$5:$B$1733,0)))</f>
        <v>Sales invoice batch</v>
      </c>
      <c r="K608" s="9" t="n">
        <f aca="false">F608-G608</f>
        <v>1</v>
      </c>
      <c r="L608" s="9" t="n">
        <f aca="false">COUNTIFS(JE_Lines!$B$5:$B$1733,A608,JE_Lines!$F$5:$F$1733,"Revenue")</f>
        <v>1</v>
      </c>
      <c r="M608" s="9" t="n">
        <f aca="false">COUNTIFS(JE_Lines!$B$5:$B$1733,A608,JE_Lines!$F$5:$F$1733,"Suspense")</f>
        <v>0</v>
      </c>
      <c r="N608" s="9" t="n">
        <f aca="false">IF(ABS(E608)&gt;Parameters!$B$23,1,0)</f>
        <v>0</v>
      </c>
      <c r="O608" s="9" t="n">
        <f aca="false">IF(WEEKDAY(F608,2)&gt;5,1,0)</f>
        <v>0</v>
      </c>
      <c r="P608" s="9" t="n">
        <f aca="false">IF(K608&gt;Parameters!$B$17,1,0)</f>
        <v>0</v>
      </c>
      <c r="Q608" s="9" t="n">
        <f aca="false">IF(AND(F608&lt;=Parameters!$B$6,F608&gt;Parameters!$B$6-Parameters!$B$18),1,0)</f>
        <v>0</v>
      </c>
      <c r="R608" s="9" t="n">
        <f aca="false">IF(COUNTIF(Parameters!$A$51:$A$58,H608)=0,1,0)</f>
        <v>0</v>
      </c>
      <c r="S608" s="9" t="n">
        <f aca="false">IF(AND(I608="Manual",L608&gt;0),1,0)</f>
        <v>0</v>
      </c>
      <c r="T608" s="9" t="n">
        <f aca="false">IF(AND(C608&gt;=Parameters!$B$22,ROUND(MOD(ROUND(C608,2),Parameters!$B$21),2)=0),1,0)</f>
        <v>0</v>
      </c>
      <c r="U608" s="9" t="n">
        <f aca="false">IF(LEN(TRIM(J608))=0,1,0)</f>
        <v>0</v>
      </c>
      <c r="V608" s="9" t="n">
        <f aca="false">IF(AND(I608="Manual",C608&lt;Parameters!$B$19,C608&gt;=Parameters!$B$19*(1-Parameters!$B$20)),1,0)</f>
        <v>0</v>
      </c>
      <c r="W608" s="9" t="n">
        <f aca="false">IF(AND(I608="Manual",M608&gt;0),1,0)</f>
        <v>0</v>
      </c>
      <c r="X608" s="9" t="n">
        <f aca="false">IF(A608-A607&gt;1,1,0)</f>
        <v>0</v>
      </c>
      <c r="Y608" s="9" t="n">
        <f aca="false">N608*Parameters!$B$38+O608*Parameters!$B$39+P608*Parameters!$B$40+Q608*Parameters!$B$41+R608*Parameters!$B$42+S608*Parameters!$B$43+T608*Parameters!$B$44+U608*Parameters!$B$45+V608*Parameters!$B$46+W608*Parameters!$B$47+X608*Parameters!$B$48</f>
        <v>0</v>
      </c>
      <c r="Z608" s="0" t="str">
        <f aca="false">IF(Y608&gt;=Parameters!$B$25,"High","")</f>
        <v/>
      </c>
    </row>
    <row r="609" customFormat="false" ht="15" hidden="false" customHeight="false" outlineLevel="0" collapsed="false">
      <c r="A609" s="16" t="n">
        <v>1613</v>
      </c>
      <c r="B609" s="9" t="n">
        <f aca="false">COUNTIF(JE_Lines!$B$5:$B$1733,A609)</f>
        <v>3</v>
      </c>
      <c r="C609" s="17" t="n">
        <f aca="false">SUMIFS(JE_Lines!$G$5:$G$1733,JE_Lines!$B$5:$B$1733,A609)</f>
        <v>432.28</v>
      </c>
      <c r="D609" s="17" t="n">
        <f aca="false">SUMIFS(JE_Lines!$H$5:$H$1733,JE_Lines!$B$5:$B$1733,A609)</f>
        <v>432.28</v>
      </c>
      <c r="E609" s="17" t="n">
        <f aca="false">C609-D609</f>
        <v>0</v>
      </c>
      <c r="F609" s="18" t="n">
        <f aca="false">INDEX(JE_Lines!$C$5:$C$1733,MATCH(A609,JE_Lines!$B$5:$B$1733,0))</f>
        <v>45939</v>
      </c>
      <c r="G609" s="18" t="n">
        <f aca="false">INDEX(JE_Lines!$D$5:$D$1733,MATCH(A609,JE_Lines!$B$5:$B$1733,0))</f>
        <v>45936</v>
      </c>
      <c r="H609" s="0" t="str">
        <f aca="false">INDEX(JE_Lines!$I$5:$I$1733,MATCH(A609,JE_Lines!$B$5:$B$1733,0))</f>
        <v>SYS_AR</v>
      </c>
      <c r="I609" s="0" t="str">
        <f aca="false">INDEX(JE_Lines!$J$5:$J$1733,MATCH(A609,JE_Lines!$B$5:$B$1733,0))</f>
        <v>System</v>
      </c>
      <c r="J609" s="0" t="str">
        <f aca="false">IF(LEN(INDEX(JE_Lines!$K$5:$K$1733,MATCH(A609,JE_Lines!$B$5:$B$1733,0)))=0,"",INDEX(JE_Lines!$K$5:$K$1733,MATCH(A609,JE_Lines!$B$5:$B$1733,0)))</f>
        <v>Cost of sales posting</v>
      </c>
      <c r="K609" s="9" t="n">
        <f aca="false">F609-G609</f>
        <v>3</v>
      </c>
      <c r="L609" s="9" t="n">
        <f aca="false">COUNTIFS(JE_Lines!$B$5:$B$1733,A609,JE_Lines!$F$5:$F$1733,"Revenue")</f>
        <v>0</v>
      </c>
      <c r="M609" s="9" t="n">
        <f aca="false">COUNTIFS(JE_Lines!$B$5:$B$1733,A609,JE_Lines!$F$5:$F$1733,"Suspense")</f>
        <v>0</v>
      </c>
      <c r="N609" s="9" t="n">
        <f aca="false">IF(ABS(E609)&gt;Parameters!$B$23,1,0)</f>
        <v>0</v>
      </c>
      <c r="O609" s="9" t="n">
        <f aca="false">IF(WEEKDAY(F609,2)&gt;5,1,0)</f>
        <v>0</v>
      </c>
      <c r="P609" s="9" t="n">
        <f aca="false">IF(K609&gt;Parameters!$B$17,1,0)</f>
        <v>0</v>
      </c>
      <c r="Q609" s="9" t="n">
        <f aca="false">IF(AND(F609&lt;=Parameters!$B$6,F609&gt;Parameters!$B$6-Parameters!$B$18),1,0)</f>
        <v>0</v>
      </c>
      <c r="R609" s="9" t="n">
        <f aca="false">IF(COUNTIF(Parameters!$A$51:$A$58,H609)=0,1,0)</f>
        <v>0</v>
      </c>
      <c r="S609" s="9" t="n">
        <f aca="false">IF(AND(I609="Manual",L609&gt;0),1,0)</f>
        <v>0</v>
      </c>
      <c r="T609" s="9" t="n">
        <f aca="false">IF(AND(C609&gt;=Parameters!$B$22,ROUND(MOD(ROUND(C609,2),Parameters!$B$21),2)=0),1,0)</f>
        <v>0</v>
      </c>
      <c r="U609" s="9" t="n">
        <f aca="false">IF(LEN(TRIM(J609))=0,1,0)</f>
        <v>0</v>
      </c>
      <c r="V609" s="9" t="n">
        <f aca="false">IF(AND(I609="Manual",C609&lt;Parameters!$B$19,C609&gt;=Parameters!$B$19*(1-Parameters!$B$20)),1,0)</f>
        <v>0</v>
      </c>
      <c r="W609" s="9" t="n">
        <f aca="false">IF(AND(I609="Manual",M609&gt;0),1,0)</f>
        <v>0</v>
      </c>
      <c r="X609" s="9" t="n">
        <f aca="false">IF(A609-A608&gt;1,1,0)</f>
        <v>0</v>
      </c>
      <c r="Y609" s="9" t="n">
        <f aca="false">N609*Parameters!$B$38+O609*Parameters!$B$39+P609*Parameters!$B$40+Q609*Parameters!$B$41+R609*Parameters!$B$42+S609*Parameters!$B$43+T609*Parameters!$B$44+U609*Parameters!$B$45+V609*Parameters!$B$46+W609*Parameters!$B$47+X609*Parameters!$B$48</f>
        <v>0</v>
      </c>
      <c r="Z609" s="0" t="str">
        <f aca="false">IF(Y609&gt;=Parameters!$B$25,"High","")</f>
        <v/>
      </c>
    </row>
    <row r="610" customFormat="false" ht="15" hidden="false" customHeight="false" outlineLevel="0" collapsed="false">
      <c r="A610" s="16" t="n">
        <v>1614</v>
      </c>
      <c r="B610" s="9" t="n">
        <f aca="false">COUNTIF(JE_Lines!$B$5:$B$1733,A610)</f>
        <v>2</v>
      </c>
      <c r="C610" s="17" t="n">
        <f aca="false">SUMIFS(JE_Lines!$G$5:$G$1733,JE_Lines!$B$5:$B$1733,A610)</f>
        <v>1566.44</v>
      </c>
      <c r="D610" s="17" t="n">
        <f aca="false">SUMIFS(JE_Lines!$H$5:$H$1733,JE_Lines!$B$5:$B$1733,A610)</f>
        <v>1566.44</v>
      </c>
      <c r="E610" s="17" t="n">
        <f aca="false">C610-D610</f>
        <v>0</v>
      </c>
      <c r="F610" s="18" t="n">
        <f aca="false">INDEX(JE_Lines!$C$5:$C$1733,MATCH(A610,JE_Lines!$B$5:$B$1733,0))</f>
        <v>45939</v>
      </c>
      <c r="G610" s="18" t="n">
        <f aca="false">INDEX(JE_Lines!$D$5:$D$1733,MATCH(A610,JE_Lines!$B$5:$B$1733,0))</f>
        <v>45939</v>
      </c>
      <c r="H610" s="0" t="str">
        <f aca="false">INDEX(JE_Lines!$I$5:$I$1733,MATCH(A610,JE_Lines!$B$5:$B$1733,0))</f>
        <v>SYS_AR</v>
      </c>
      <c r="I610" s="0" t="str">
        <f aca="false">INDEX(JE_Lines!$J$5:$J$1733,MATCH(A610,JE_Lines!$B$5:$B$1733,0))</f>
        <v>System</v>
      </c>
      <c r="J610" s="0" t="str">
        <f aca="false">IF(LEN(INDEX(JE_Lines!$K$5:$K$1733,MATCH(A610,JE_Lines!$B$5:$B$1733,0)))=0,"",INDEX(JE_Lines!$K$5:$K$1733,MATCH(A610,JE_Lines!$B$5:$B$1733,0)))</f>
        <v>Customer receipts</v>
      </c>
      <c r="K610" s="9" t="n">
        <f aca="false">F610-G610</f>
        <v>0</v>
      </c>
      <c r="L610" s="9" t="n">
        <f aca="false">COUNTIFS(JE_Lines!$B$5:$B$1733,A610,JE_Lines!$F$5:$F$1733,"Revenue")</f>
        <v>0</v>
      </c>
      <c r="M610" s="9" t="n">
        <f aca="false">COUNTIFS(JE_Lines!$B$5:$B$1733,A610,JE_Lines!$F$5:$F$1733,"Suspense")</f>
        <v>0</v>
      </c>
      <c r="N610" s="9" t="n">
        <f aca="false">IF(ABS(E610)&gt;Parameters!$B$23,1,0)</f>
        <v>0</v>
      </c>
      <c r="O610" s="9" t="n">
        <f aca="false">IF(WEEKDAY(F610,2)&gt;5,1,0)</f>
        <v>0</v>
      </c>
      <c r="P610" s="9" t="n">
        <f aca="false">IF(K610&gt;Parameters!$B$17,1,0)</f>
        <v>0</v>
      </c>
      <c r="Q610" s="9" t="n">
        <f aca="false">IF(AND(F610&lt;=Parameters!$B$6,F610&gt;Parameters!$B$6-Parameters!$B$18),1,0)</f>
        <v>0</v>
      </c>
      <c r="R610" s="9" t="n">
        <f aca="false">IF(COUNTIF(Parameters!$A$51:$A$58,H610)=0,1,0)</f>
        <v>0</v>
      </c>
      <c r="S610" s="9" t="n">
        <f aca="false">IF(AND(I610="Manual",L610&gt;0),1,0)</f>
        <v>0</v>
      </c>
      <c r="T610" s="9" t="n">
        <f aca="false">IF(AND(C610&gt;=Parameters!$B$22,ROUND(MOD(ROUND(C610,2),Parameters!$B$21),2)=0),1,0)</f>
        <v>0</v>
      </c>
      <c r="U610" s="9" t="n">
        <f aca="false">IF(LEN(TRIM(J610))=0,1,0)</f>
        <v>0</v>
      </c>
      <c r="V610" s="9" t="n">
        <f aca="false">IF(AND(I610="Manual",C610&lt;Parameters!$B$19,C610&gt;=Parameters!$B$19*(1-Parameters!$B$20)),1,0)</f>
        <v>0</v>
      </c>
      <c r="W610" s="9" t="n">
        <f aca="false">IF(AND(I610="Manual",M610&gt;0),1,0)</f>
        <v>0</v>
      </c>
      <c r="X610" s="9" t="n">
        <f aca="false">IF(A610-A609&gt;1,1,0)</f>
        <v>0</v>
      </c>
      <c r="Y610" s="9" t="n">
        <f aca="false">N610*Parameters!$B$38+O610*Parameters!$B$39+P610*Parameters!$B$40+Q610*Parameters!$B$41+R610*Parameters!$B$42+S610*Parameters!$B$43+T610*Parameters!$B$44+U610*Parameters!$B$45+V610*Parameters!$B$46+W610*Parameters!$B$47+X610*Parameters!$B$48</f>
        <v>0</v>
      </c>
      <c r="Z610" s="0" t="str">
        <f aca="false">IF(Y610&gt;=Parameters!$B$25,"High","")</f>
        <v/>
      </c>
    </row>
    <row r="611" customFormat="false" ht="15" hidden="false" customHeight="false" outlineLevel="0" collapsed="false">
      <c r="A611" s="16" t="n">
        <v>1615</v>
      </c>
      <c r="B611" s="9" t="n">
        <f aca="false">COUNTIF(JE_Lines!$B$5:$B$1733,A611)</f>
        <v>3</v>
      </c>
      <c r="C611" s="17" t="n">
        <f aca="false">SUMIFS(JE_Lines!$G$5:$G$1733,JE_Lines!$B$5:$B$1733,A611)</f>
        <v>9798.35</v>
      </c>
      <c r="D611" s="17" t="n">
        <f aca="false">SUMIFS(JE_Lines!$H$5:$H$1733,JE_Lines!$B$5:$B$1733,A611)</f>
        <v>9798.35</v>
      </c>
      <c r="E611" s="17" t="n">
        <f aca="false">C611-D611</f>
        <v>0</v>
      </c>
      <c r="F611" s="18" t="n">
        <f aca="false">INDEX(JE_Lines!$C$5:$C$1733,MATCH(A611,JE_Lines!$B$5:$B$1733,0))</f>
        <v>45939</v>
      </c>
      <c r="G611" s="18" t="n">
        <f aca="false">INDEX(JE_Lines!$D$5:$D$1733,MATCH(A611,JE_Lines!$B$5:$B$1733,0))</f>
        <v>45937</v>
      </c>
      <c r="H611" s="0" t="str">
        <f aca="false">INDEX(JE_Lines!$I$5:$I$1733,MATCH(A611,JE_Lines!$B$5:$B$1733,0))</f>
        <v>SYS_PAY</v>
      </c>
      <c r="I611" s="0" t="str">
        <f aca="false">INDEX(JE_Lines!$J$5:$J$1733,MATCH(A611,JE_Lines!$B$5:$B$1733,0))</f>
        <v>System</v>
      </c>
      <c r="J611" s="0" t="str">
        <f aca="false">IF(LEN(INDEX(JE_Lines!$K$5:$K$1733,MATCH(A611,JE_Lines!$B$5:$B$1733,0)))=0,"",INDEX(JE_Lines!$K$5:$K$1733,MATCH(A611,JE_Lines!$B$5:$B$1733,0)))</f>
        <v>Supplier payments</v>
      </c>
      <c r="K611" s="9" t="n">
        <f aca="false">F611-G611</f>
        <v>2</v>
      </c>
      <c r="L611" s="9" t="n">
        <f aca="false">COUNTIFS(JE_Lines!$B$5:$B$1733,A611,JE_Lines!$F$5:$F$1733,"Revenue")</f>
        <v>0</v>
      </c>
      <c r="M611" s="9" t="n">
        <f aca="false">COUNTIFS(JE_Lines!$B$5:$B$1733,A611,JE_Lines!$F$5:$F$1733,"Suspense")</f>
        <v>0</v>
      </c>
      <c r="N611" s="9" t="n">
        <f aca="false">IF(ABS(E611)&gt;Parameters!$B$23,1,0)</f>
        <v>0</v>
      </c>
      <c r="O611" s="9" t="n">
        <f aca="false">IF(WEEKDAY(F611,2)&gt;5,1,0)</f>
        <v>0</v>
      </c>
      <c r="P611" s="9" t="n">
        <f aca="false">IF(K611&gt;Parameters!$B$17,1,0)</f>
        <v>0</v>
      </c>
      <c r="Q611" s="9" t="n">
        <f aca="false">IF(AND(F611&lt;=Parameters!$B$6,F611&gt;Parameters!$B$6-Parameters!$B$18),1,0)</f>
        <v>0</v>
      </c>
      <c r="R611" s="9" t="n">
        <f aca="false">IF(COUNTIF(Parameters!$A$51:$A$58,H611)=0,1,0)</f>
        <v>0</v>
      </c>
      <c r="S611" s="9" t="n">
        <f aca="false">IF(AND(I611="Manual",L611&gt;0),1,0)</f>
        <v>0</v>
      </c>
      <c r="T611" s="9" t="n">
        <f aca="false">IF(AND(C611&gt;=Parameters!$B$22,ROUND(MOD(ROUND(C611,2),Parameters!$B$21),2)=0),1,0)</f>
        <v>0</v>
      </c>
      <c r="U611" s="9" t="n">
        <f aca="false">IF(LEN(TRIM(J611))=0,1,0)</f>
        <v>0</v>
      </c>
      <c r="V611" s="9" t="n">
        <f aca="false">IF(AND(I611="Manual",C611&lt;Parameters!$B$19,C611&gt;=Parameters!$B$19*(1-Parameters!$B$20)),1,0)</f>
        <v>0</v>
      </c>
      <c r="W611" s="9" t="n">
        <f aca="false">IF(AND(I611="Manual",M611&gt;0),1,0)</f>
        <v>0</v>
      </c>
      <c r="X611" s="9" t="n">
        <f aca="false">IF(A611-A610&gt;1,1,0)</f>
        <v>0</v>
      </c>
      <c r="Y611" s="9" t="n">
        <f aca="false">N611*Parameters!$B$38+O611*Parameters!$B$39+P611*Parameters!$B$40+Q611*Parameters!$B$41+R611*Parameters!$B$42+S611*Parameters!$B$43+T611*Parameters!$B$44+U611*Parameters!$B$45+V611*Parameters!$B$46+W611*Parameters!$B$47+X611*Parameters!$B$48</f>
        <v>0</v>
      </c>
      <c r="Z611" s="0" t="str">
        <f aca="false">IF(Y611&gt;=Parameters!$B$25,"High","")</f>
        <v/>
      </c>
    </row>
    <row r="612" customFormat="false" ht="15" hidden="false" customHeight="false" outlineLevel="0" collapsed="false">
      <c r="A612" s="16" t="n">
        <v>1616</v>
      </c>
      <c r="B612" s="9" t="n">
        <f aca="false">COUNTIF(JE_Lines!$B$5:$B$1733,A612)</f>
        <v>3</v>
      </c>
      <c r="C612" s="17" t="n">
        <f aca="false">SUMIFS(JE_Lines!$G$5:$G$1733,JE_Lines!$B$5:$B$1733,A612)</f>
        <v>65568.15</v>
      </c>
      <c r="D612" s="17" t="n">
        <f aca="false">SUMIFS(JE_Lines!$H$5:$H$1733,JE_Lines!$B$5:$B$1733,A612)</f>
        <v>65568.15</v>
      </c>
      <c r="E612" s="17" t="n">
        <f aca="false">C612-D612</f>
        <v>0</v>
      </c>
      <c r="F612" s="18" t="n">
        <f aca="false">INDEX(JE_Lines!$C$5:$C$1733,MATCH(A612,JE_Lines!$B$5:$B$1733,0))</f>
        <v>45940</v>
      </c>
      <c r="G612" s="18" t="n">
        <f aca="false">INDEX(JE_Lines!$D$5:$D$1733,MATCH(A612,JE_Lines!$B$5:$B$1733,0))</f>
        <v>45936</v>
      </c>
      <c r="H612" s="0" t="str">
        <f aca="false">INDEX(JE_Lines!$I$5:$I$1733,MATCH(A612,JE_Lines!$B$5:$B$1733,0))</f>
        <v>SYS_PAY</v>
      </c>
      <c r="I612" s="0" t="str">
        <f aca="false">INDEX(JE_Lines!$J$5:$J$1733,MATCH(A612,JE_Lines!$B$5:$B$1733,0))</f>
        <v>System</v>
      </c>
      <c r="J612" s="0" t="str">
        <f aca="false">IF(LEN(INDEX(JE_Lines!$K$5:$K$1733,MATCH(A612,JE_Lines!$B$5:$B$1733,0)))=0,"",INDEX(JE_Lines!$K$5:$K$1733,MATCH(A612,JE_Lines!$B$5:$B$1733,0)))</f>
        <v>Supplier payments</v>
      </c>
      <c r="K612" s="9" t="n">
        <f aca="false">F612-G612</f>
        <v>4</v>
      </c>
      <c r="L612" s="9" t="n">
        <f aca="false">COUNTIFS(JE_Lines!$B$5:$B$1733,A612,JE_Lines!$F$5:$F$1733,"Revenue")</f>
        <v>0</v>
      </c>
      <c r="M612" s="9" t="n">
        <f aca="false">COUNTIFS(JE_Lines!$B$5:$B$1733,A612,JE_Lines!$F$5:$F$1733,"Suspense")</f>
        <v>0</v>
      </c>
      <c r="N612" s="9" t="n">
        <f aca="false">IF(ABS(E612)&gt;Parameters!$B$23,1,0)</f>
        <v>0</v>
      </c>
      <c r="O612" s="9" t="n">
        <f aca="false">IF(WEEKDAY(F612,2)&gt;5,1,0)</f>
        <v>0</v>
      </c>
      <c r="P612" s="9" t="n">
        <f aca="false">IF(K612&gt;Parameters!$B$17,1,0)</f>
        <v>0</v>
      </c>
      <c r="Q612" s="9" t="n">
        <f aca="false">IF(AND(F612&lt;=Parameters!$B$6,F612&gt;Parameters!$B$6-Parameters!$B$18),1,0)</f>
        <v>0</v>
      </c>
      <c r="R612" s="9" t="n">
        <f aca="false">IF(COUNTIF(Parameters!$A$51:$A$58,H612)=0,1,0)</f>
        <v>0</v>
      </c>
      <c r="S612" s="9" t="n">
        <f aca="false">IF(AND(I612="Manual",L612&gt;0),1,0)</f>
        <v>0</v>
      </c>
      <c r="T612" s="9" t="n">
        <f aca="false">IF(AND(C612&gt;=Parameters!$B$22,ROUND(MOD(ROUND(C612,2),Parameters!$B$21),2)=0),1,0)</f>
        <v>0</v>
      </c>
      <c r="U612" s="9" t="n">
        <f aca="false">IF(LEN(TRIM(J612))=0,1,0)</f>
        <v>0</v>
      </c>
      <c r="V612" s="9" t="n">
        <f aca="false">IF(AND(I612="Manual",C612&lt;Parameters!$B$19,C612&gt;=Parameters!$B$19*(1-Parameters!$B$20)),1,0)</f>
        <v>0</v>
      </c>
      <c r="W612" s="9" t="n">
        <f aca="false">IF(AND(I612="Manual",M612&gt;0),1,0)</f>
        <v>0</v>
      </c>
      <c r="X612" s="9" t="n">
        <f aca="false">IF(A612-A611&gt;1,1,0)</f>
        <v>0</v>
      </c>
      <c r="Y612" s="9" t="n">
        <f aca="false">N612*Parameters!$B$38+O612*Parameters!$B$39+P612*Parameters!$B$40+Q612*Parameters!$B$41+R612*Parameters!$B$42+S612*Parameters!$B$43+T612*Parameters!$B$44+U612*Parameters!$B$45+V612*Parameters!$B$46+W612*Parameters!$B$47+X612*Parameters!$B$48</f>
        <v>0</v>
      </c>
      <c r="Z612" s="0" t="str">
        <f aca="false">IF(Y612&gt;=Parameters!$B$25,"High","")</f>
        <v/>
      </c>
    </row>
    <row r="613" customFormat="false" ht="15" hidden="false" customHeight="false" outlineLevel="0" collapsed="false">
      <c r="A613" s="16" t="n">
        <v>1617</v>
      </c>
      <c r="B613" s="9" t="n">
        <f aca="false">COUNTIF(JE_Lines!$B$5:$B$1733,A613)</f>
        <v>2</v>
      </c>
      <c r="C613" s="17" t="n">
        <f aca="false">SUMIFS(JE_Lines!$G$5:$G$1733,JE_Lines!$B$5:$B$1733,A613)</f>
        <v>944.83</v>
      </c>
      <c r="D613" s="17" t="n">
        <f aca="false">SUMIFS(JE_Lines!$H$5:$H$1733,JE_Lines!$B$5:$B$1733,A613)</f>
        <v>944.83</v>
      </c>
      <c r="E613" s="17" t="n">
        <f aca="false">C613-D613</f>
        <v>0</v>
      </c>
      <c r="F613" s="18" t="n">
        <f aca="false">INDEX(JE_Lines!$C$5:$C$1733,MATCH(A613,JE_Lines!$B$5:$B$1733,0))</f>
        <v>45943</v>
      </c>
      <c r="G613" s="18" t="n">
        <f aca="false">INDEX(JE_Lines!$D$5:$D$1733,MATCH(A613,JE_Lines!$B$5:$B$1733,0))</f>
        <v>45941</v>
      </c>
      <c r="H613" s="0" t="str">
        <f aca="false">INDEX(JE_Lines!$I$5:$I$1733,MATCH(A613,JE_Lines!$B$5:$B$1733,0))</f>
        <v>SYS_AR</v>
      </c>
      <c r="I613" s="0" t="str">
        <f aca="false">INDEX(JE_Lines!$J$5:$J$1733,MATCH(A613,JE_Lines!$B$5:$B$1733,0))</f>
        <v>System</v>
      </c>
      <c r="J613" s="0" t="str">
        <f aca="false">IF(LEN(INDEX(JE_Lines!$K$5:$K$1733,MATCH(A613,JE_Lines!$B$5:$B$1733,0)))=0,"",INDEX(JE_Lines!$K$5:$K$1733,MATCH(A613,JE_Lines!$B$5:$B$1733,0)))</f>
        <v>Sales invoice batch</v>
      </c>
      <c r="K613" s="9" t="n">
        <f aca="false">F613-G613</f>
        <v>2</v>
      </c>
      <c r="L613" s="9" t="n">
        <f aca="false">COUNTIFS(JE_Lines!$B$5:$B$1733,A613,JE_Lines!$F$5:$F$1733,"Revenue")</f>
        <v>1</v>
      </c>
      <c r="M613" s="9" t="n">
        <f aca="false">COUNTIFS(JE_Lines!$B$5:$B$1733,A613,JE_Lines!$F$5:$F$1733,"Suspense")</f>
        <v>0</v>
      </c>
      <c r="N613" s="9" t="n">
        <f aca="false">IF(ABS(E613)&gt;Parameters!$B$23,1,0)</f>
        <v>0</v>
      </c>
      <c r="O613" s="9" t="n">
        <f aca="false">IF(WEEKDAY(F613,2)&gt;5,1,0)</f>
        <v>0</v>
      </c>
      <c r="P613" s="9" t="n">
        <f aca="false">IF(K613&gt;Parameters!$B$17,1,0)</f>
        <v>0</v>
      </c>
      <c r="Q613" s="9" t="n">
        <f aca="false">IF(AND(F613&lt;=Parameters!$B$6,F613&gt;Parameters!$B$6-Parameters!$B$18),1,0)</f>
        <v>0</v>
      </c>
      <c r="R613" s="9" t="n">
        <f aca="false">IF(COUNTIF(Parameters!$A$51:$A$58,H613)=0,1,0)</f>
        <v>0</v>
      </c>
      <c r="S613" s="9" t="n">
        <f aca="false">IF(AND(I613="Manual",L613&gt;0),1,0)</f>
        <v>0</v>
      </c>
      <c r="T613" s="9" t="n">
        <f aca="false">IF(AND(C613&gt;=Parameters!$B$22,ROUND(MOD(ROUND(C613,2),Parameters!$B$21),2)=0),1,0)</f>
        <v>0</v>
      </c>
      <c r="U613" s="9" t="n">
        <f aca="false">IF(LEN(TRIM(J613))=0,1,0)</f>
        <v>0</v>
      </c>
      <c r="V613" s="9" t="n">
        <f aca="false">IF(AND(I613="Manual",C613&lt;Parameters!$B$19,C613&gt;=Parameters!$B$19*(1-Parameters!$B$20)),1,0)</f>
        <v>0</v>
      </c>
      <c r="W613" s="9" t="n">
        <f aca="false">IF(AND(I613="Manual",M613&gt;0),1,0)</f>
        <v>0</v>
      </c>
      <c r="X613" s="9" t="n">
        <f aca="false">IF(A613-A612&gt;1,1,0)</f>
        <v>0</v>
      </c>
      <c r="Y613" s="9" t="n">
        <f aca="false">N613*Parameters!$B$38+O613*Parameters!$B$39+P613*Parameters!$B$40+Q613*Parameters!$B$41+R613*Parameters!$B$42+S613*Parameters!$B$43+T613*Parameters!$B$44+U613*Parameters!$B$45+V613*Parameters!$B$46+W613*Parameters!$B$47+X613*Parameters!$B$48</f>
        <v>0</v>
      </c>
      <c r="Z613" s="0" t="str">
        <f aca="false">IF(Y613&gt;=Parameters!$B$25,"High","")</f>
        <v/>
      </c>
    </row>
    <row r="614" customFormat="false" ht="15" hidden="false" customHeight="false" outlineLevel="0" collapsed="false">
      <c r="A614" s="16" t="n">
        <v>1618</v>
      </c>
      <c r="B614" s="9" t="n">
        <f aca="false">COUNTIF(JE_Lines!$B$5:$B$1733,A614)</f>
        <v>3</v>
      </c>
      <c r="C614" s="17" t="n">
        <f aca="false">SUMIFS(JE_Lines!$G$5:$G$1733,JE_Lines!$B$5:$B$1733,A614)</f>
        <v>8849.63</v>
      </c>
      <c r="D614" s="17" t="n">
        <f aca="false">SUMIFS(JE_Lines!$H$5:$H$1733,JE_Lines!$B$5:$B$1733,A614)</f>
        <v>8849.63</v>
      </c>
      <c r="E614" s="17" t="n">
        <f aca="false">C614-D614</f>
        <v>0</v>
      </c>
      <c r="F614" s="18" t="n">
        <f aca="false">INDEX(JE_Lines!$C$5:$C$1733,MATCH(A614,JE_Lines!$B$5:$B$1733,0))</f>
        <v>45944</v>
      </c>
      <c r="G614" s="18" t="n">
        <f aca="false">INDEX(JE_Lines!$D$5:$D$1733,MATCH(A614,JE_Lines!$B$5:$B$1733,0))</f>
        <v>45944</v>
      </c>
      <c r="H614" s="0" t="str">
        <f aca="false">INDEX(JE_Lines!$I$5:$I$1733,MATCH(A614,JE_Lines!$B$5:$B$1733,0))</f>
        <v>SYS_AR</v>
      </c>
      <c r="I614" s="0" t="str">
        <f aca="false">INDEX(JE_Lines!$J$5:$J$1733,MATCH(A614,JE_Lines!$B$5:$B$1733,0))</f>
        <v>System</v>
      </c>
      <c r="J614" s="0" t="str">
        <f aca="false">IF(LEN(INDEX(JE_Lines!$K$5:$K$1733,MATCH(A614,JE_Lines!$B$5:$B$1733,0)))=0,"",INDEX(JE_Lines!$K$5:$K$1733,MATCH(A614,JE_Lines!$B$5:$B$1733,0)))</f>
        <v>Customer receipts</v>
      </c>
      <c r="K614" s="9" t="n">
        <f aca="false">F614-G614</f>
        <v>0</v>
      </c>
      <c r="L614" s="9" t="n">
        <f aca="false">COUNTIFS(JE_Lines!$B$5:$B$1733,A614,JE_Lines!$F$5:$F$1733,"Revenue")</f>
        <v>0</v>
      </c>
      <c r="M614" s="9" t="n">
        <f aca="false">COUNTIFS(JE_Lines!$B$5:$B$1733,A614,JE_Lines!$F$5:$F$1733,"Suspense")</f>
        <v>0</v>
      </c>
      <c r="N614" s="9" t="n">
        <f aca="false">IF(ABS(E614)&gt;Parameters!$B$23,1,0)</f>
        <v>0</v>
      </c>
      <c r="O614" s="9" t="n">
        <f aca="false">IF(WEEKDAY(F614,2)&gt;5,1,0)</f>
        <v>0</v>
      </c>
      <c r="P614" s="9" t="n">
        <f aca="false">IF(K614&gt;Parameters!$B$17,1,0)</f>
        <v>0</v>
      </c>
      <c r="Q614" s="9" t="n">
        <f aca="false">IF(AND(F614&lt;=Parameters!$B$6,F614&gt;Parameters!$B$6-Parameters!$B$18),1,0)</f>
        <v>0</v>
      </c>
      <c r="R614" s="9" t="n">
        <f aca="false">IF(COUNTIF(Parameters!$A$51:$A$58,H614)=0,1,0)</f>
        <v>0</v>
      </c>
      <c r="S614" s="9" t="n">
        <f aca="false">IF(AND(I614="Manual",L614&gt;0),1,0)</f>
        <v>0</v>
      </c>
      <c r="T614" s="9" t="n">
        <f aca="false">IF(AND(C614&gt;=Parameters!$B$22,ROUND(MOD(ROUND(C614,2),Parameters!$B$21),2)=0),1,0)</f>
        <v>0</v>
      </c>
      <c r="U614" s="9" t="n">
        <f aca="false">IF(LEN(TRIM(J614))=0,1,0)</f>
        <v>0</v>
      </c>
      <c r="V614" s="9" t="n">
        <f aca="false">IF(AND(I614="Manual",C614&lt;Parameters!$B$19,C614&gt;=Parameters!$B$19*(1-Parameters!$B$20)),1,0)</f>
        <v>0</v>
      </c>
      <c r="W614" s="9" t="n">
        <f aca="false">IF(AND(I614="Manual",M614&gt;0),1,0)</f>
        <v>0</v>
      </c>
      <c r="X614" s="9" t="n">
        <f aca="false">IF(A614-A613&gt;1,1,0)</f>
        <v>0</v>
      </c>
      <c r="Y614" s="9" t="n">
        <f aca="false">N614*Parameters!$B$38+O614*Parameters!$B$39+P614*Parameters!$B$40+Q614*Parameters!$B$41+R614*Parameters!$B$42+S614*Parameters!$B$43+T614*Parameters!$B$44+U614*Parameters!$B$45+V614*Parameters!$B$46+W614*Parameters!$B$47+X614*Parameters!$B$48</f>
        <v>0</v>
      </c>
      <c r="Z614" s="0" t="str">
        <f aca="false">IF(Y614&gt;=Parameters!$B$25,"High","")</f>
        <v/>
      </c>
    </row>
    <row r="615" customFormat="false" ht="15" hidden="false" customHeight="false" outlineLevel="0" collapsed="false">
      <c r="A615" s="16" t="n">
        <v>1619</v>
      </c>
      <c r="B615" s="9" t="n">
        <f aca="false">COUNTIF(JE_Lines!$B$5:$B$1733,A615)</f>
        <v>2</v>
      </c>
      <c r="C615" s="17" t="n">
        <f aca="false">SUMIFS(JE_Lines!$G$5:$G$1733,JE_Lines!$B$5:$B$1733,A615)</f>
        <v>4937.61</v>
      </c>
      <c r="D615" s="17" t="n">
        <f aca="false">SUMIFS(JE_Lines!$H$5:$H$1733,JE_Lines!$B$5:$B$1733,A615)</f>
        <v>4937.61</v>
      </c>
      <c r="E615" s="17" t="n">
        <f aca="false">C615-D615</f>
        <v>0</v>
      </c>
      <c r="F615" s="18" t="n">
        <f aca="false">INDEX(JE_Lines!$C$5:$C$1733,MATCH(A615,JE_Lines!$B$5:$B$1733,0))</f>
        <v>45944</v>
      </c>
      <c r="G615" s="18" t="n">
        <f aca="false">INDEX(JE_Lines!$D$5:$D$1733,MATCH(A615,JE_Lines!$B$5:$B$1733,0))</f>
        <v>45942</v>
      </c>
      <c r="H615" s="0" t="str">
        <f aca="false">INDEX(JE_Lines!$I$5:$I$1733,MATCH(A615,JE_Lines!$B$5:$B$1733,0))</f>
        <v>SYS_AR</v>
      </c>
      <c r="I615" s="0" t="str">
        <f aca="false">INDEX(JE_Lines!$J$5:$J$1733,MATCH(A615,JE_Lines!$B$5:$B$1733,0))</f>
        <v>System</v>
      </c>
      <c r="J615" s="0" t="str">
        <f aca="false">IF(LEN(INDEX(JE_Lines!$K$5:$K$1733,MATCH(A615,JE_Lines!$B$5:$B$1733,0)))=0,"",INDEX(JE_Lines!$K$5:$K$1733,MATCH(A615,JE_Lines!$B$5:$B$1733,0)))</f>
        <v>Sales invoice batch</v>
      </c>
      <c r="K615" s="9" t="n">
        <f aca="false">F615-G615</f>
        <v>2</v>
      </c>
      <c r="L615" s="9" t="n">
        <f aca="false">COUNTIFS(JE_Lines!$B$5:$B$1733,A615,JE_Lines!$F$5:$F$1733,"Revenue")</f>
        <v>1</v>
      </c>
      <c r="M615" s="9" t="n">
        <f aca="false">COUNTIFS(JE_Lines!$B$5:$B$1733,A615,JE_Lines!$F$5:$F$1733,"Suspense")</f>
        <v>0</v>
      </c>
      <c r="N615" s="9" t="n">
        <f aca="false">IF(ABS(E615)&gt;Parameters!$B$23,1,0)</f>
        <v>0</v>
      </c>
      <c r="O615" s="9" t="n">
        <f aca="false">IF(WEEKDAY(F615,2)&gt;5,1,0)</f>
        <v>0</v>
      </c>
      <c r="P615" s="9" t="n">
        <f aca="false">IF(K615&gt;Parameters!$B$17,1,0)</f>
        <v>0</v>
      </c>
      <c r="Q615" s="9" t="n">
        <f aca="false">IF(AND(F615&lt;=Parameters!$B$6,F615&gt;Parameters!$B$6-Parameters!$B$18),1,0)</f>
        <v>0</v>
      </c>
      <c r="R615" s="9" t="n">
        <f aca="false">IF(COUNTIF(Parameters!$A$51:$A$58,H615)=0,1,0)</f>
        <v>0</v>
      </c>
      <c r="S615" s="9" t="n">
        <f aca="false">IF(AND(I615="Manual",L615&gt;0),1,0)</f>
        <v>0</v>
      </c>
      <c r="T615" s="9" t="n">
        <f aca="false">IF(AND(C615&gt;=Parameters!$B$22,ROUND(MOD(ROUND(C615,2),Parameters!$B$21),2)=0),1,0)</f>
        <v>0</v>
      </c>
      <c r="U615" s="9" t="n">
        <f aca="false">IF(LEN(TRIM(J615))=0,1,0)</f>
        <v>0</v>
      </c>
      <c r="V615" s="9" t="n">
        <f aca="false">IF(AND(I615="Manual",C615&lt;Parameters!$B$19,C615&gt;=Parameters!$B$19*(1-Parameters!$B$20)),1,0)</f>
        <v>0</v>
      </c>
      <c r="W615" s="9" t="n">
        <f aca="false">IF(AND(I615="Manual",M615&gt;0),1,0)</f>
        <v>0</v>
      </c>
      <c r="X615" s="9" t="n">
        <f aca="false">IF(A615-A614&gt;1,1,0)</f>
        <v>0</v>
      </c>
      <c r="Y615" s="9" t="n">
        <f aca="false">N615*Parameters!$B$38+O615*Parameters!$B$39+P615*Parameters!$B$40+Q615*Parameters!$B$41+R615*Parameters!$B$42+S615*Parameters!$B$43+T615*Parameters!$B$44+U615*Parameters!$B$45+V615*Parameters!$B$46+W615*Parameters!$B$47+X615*Parameters!$B$48</f>
        <v>0</v>
      </c>
      <c r="Z615" s="0" t="str">
        <f aca="false">IF(Y615&gt;=Parameters!$B$25,"High","")</f>
        <v/>
      </c>
    </row>
    <row r="616" customFormat="false" ht="15" hidden="false" customHeight="false" outlineLevel="0" collapsed="false">
      <c r="A616" s="16" t="n">
        <v>1620</v>
      </c>
      <c r="B616" s="9" t="n">
        <f aca="false">COUNTIF(JE_Lines!$B$5:$B$1733,A616)</f>
        <v>2</v>
      </c>
      <c r="C616" s="17" t="n">
        <f aca="false">SUMIFS(JE_Lines!$G$5:$G$1733,JE_Lines!$B$5:$B$1733,A616)</f>
        <v>964.06</v>
      </c>
      <c r="D616" s="17" t="n">
        <f aca="false">SUMIFS(JE_Lines!$H$5:$H$1733,JE_Lines!$B$5:$B$1733,A616)</f>
        <v>964.06</v>
      </c>
      <c r="E616" s="17" t="n">
        <f aca="false">C616-D616</f>
        <v>0</v>
      </c>
      <c r="F616" s="18" t="n">
        <f aca="false">INDEX(JE_Lines!$C$5:$C$1733,MATCH(A616,JE_Lines!$B$5:$B$1733,0))</f>
        <v>45944</v>
      </c>
      <c r="G616" s="18" t="n">
        <f aca="false">INDEX(JE_Lines!$D$5:$D$1733,MATCH(A616,JE_Lines!$B$5:$B$1733,0))</f>
        <v>45942</v>
      </c>
      <c r="H616" s="0" t="str">
        <f aca="false">INDEX(JE_Lines!$I$5:$I$1733,MATCH(A616,JE_Lines!$B$5:$B$1733,0))</f>
        <v>SYS_AR</v>
      </c>
      <c r="I616" s="0" t="str">
        <f aca="false">INDEX(JE_Lines!$J$5:$J$1733,MATCH(A616,JE_Lines!$B$5:$B$1733,0))</f>
        <v>System</v>
      </c>
      <c r="J616" s="0" t="str">
        <f aca="false">IF(LEN(INDEX(JE_Lines!$K$5:$K$1733,MATCH(A616,JE_Lines!$B$5:$B$1733,0)))=0,"",INDEX(JE_Lines!$K$5:$K$1733,MATCH(A616,JE_Lines!$B$5:$B$1733,0)))</f>
        <v>Customer receipts</v>
      </c>
      <c r="K616" s="9" t="n">
        <f aca="false">F616-G616</f>
        <v>2</v>
      </c>
      <c r="L616" s="9" t="n">
        <f aca="false">COUNTIFS(JE_Lines!$B$5:$B$1733,A616,JE_Lines!$F$5:$F$1733,"Revenue")</f>
        <v>0</v>
      </c>
      <c r="M616" s="9" t="n">
        <f aca="false">COUNTIFS(JE_Lines!$B$5:$B$1733,A616,JE_Lines!$F$5:$F$1733,"Suspense")</f>
        <v>0</v>
      </c>
      <c r="N616" s="9" t="n">
        <f aca="false">IF(ABS(E616)&gt;Parameters!$B$23,1,0)</f>
        <v>0</v>
      </c>
      <c r="O616" s="9" t="n">
        <f aca="false">IF(WEEKDAY(F616,2)&gt;5,1,0)</f>
        <v>0</v>
      </c>
      <c r="P616" s="9" t="n">
        <f aca="false">IF(K616&gt;Parameters!$B$17,1,0)</f>
        <v>0</v>
      </c>
      <c r="Q616" s="9" t="n">
        <f aca="false">IF(AND(F616&lt;=Parameters!$B$6,F616&gt;Parameters!$B$6-Parameters!$B$18),1,0)</f>
        <v>0</v>
      </c>
      <c r="R616" s="9" t="n">
        <f aca="false">IF(COUNTIF(Parameters!$A$51:$A$58,H616)=0,1,0)</f>
        <v>0</v>
      </c>
      <c r="S616" s="9" t="n">
        <f aca="false">IF(AND(I616="Manual",L616&gt;0),1,0)</f>
        <v>0</v>
      </c>
      <c r="T616" s="9" t="n">
        <f aca="false">IF(AND(C616&gt;=Parameters!$B$22,ROUND(MOD(ROUND(C616,2),Parameters!$B$21),2)=0),1,0)</f>
        <v>0</v>
      </c>
      <c r="U616" s="9" t="n">
        <f aca="false">IF(LEN(TRIM(J616))=0,1,0)</f>
        <v>0</v>
      </c>
      <c r="V616" s="9" t="n">
        <f aca="false">IF(AND(I616="Manual",C616&lt;Parameters!$B$19,C616&gt;=Parameters!$B$19*(1-Parameters!$B$20)),1,0)</f>
        <v>0</v>
      </c>
      <c r="W616" s="9" t="n">
        <f aca="false">IF(AND(I616="Manual",M616&gt;0),1,0)</f>
        <v>0</v>
      </c>
      <c r="X616" s="9" t="n">
        <f aca="false">IF(A616-A615&gt;1,1,0)</f>
        <v>0</v>
      </c>
      <c r="Y616" s="9" t="n">
        <f aca="false">N616*Parameters!$B$38+O616*Parameters!$B$39+P616*Parameters!$B$40+Q616*Parameters!$B$41+R616*Parameters!$B$42+S616*Parameters!$B$43+T616*Parameters!$B$44+U616*Parameters!$B$45+V616*Parameters!$B$46+W616*Parameters!$B$47+X616*Parameters!$B$48</f>
        <v>0</v>
      </c>
      <c r="Z616" s="0" t="str">
        <f aca="false">IF(Y616&gt;=Parameters!$B$25,"High","")</f>
        <v/>
      </c>
    </row>
    <row r="617" customFormat="false" ht="15" hidden="false" customHeight="false" outlineLevel="0" collapsed="false">
      <c r="A617" s="16" t="n">
        <v>1621</v>
      </c>
      <c r="B617" s="9" t="n">
        <f aca="false">COUNTIF(JE_Lines!$B$5:$B$1733,A617)</f>
        <v>2</v>
      </c>
      <c r="C617" s="17" t="n">
        <f aca="false">SUMIFS(JE_Lines!$G$5:$G$1733,JE_Lines!$B$5:$B$1733,A617)</f>
        <v>8411.74</v>
      </c>
      <c r="D617" s="17" t="n">
        <f aca="false">SUMIFS(JE_Lines!$H$5:$H$1733,JE_Lines!$B$5:$B$1733,A617)</f>
        <v>8411.74</v>
      </c>
      <c r="E617" s="17" t="n">
        <f aca="false">C617-D617</f>
        <v>0</v>
      </c>
      <c r="F617" s="18" t="n">
        <f aca="false">INDEX(JE_Lines!$C$5:$C$1733,MATCH(A617,JE_Lines!$B$5:$B$1733,0))</f>
        <v>45944</v>
      </c>
      <c r="G617" s="18" t="n">
        <f aca="false">INDEX(JE_Lines!$D$5:$D$1733,MATCH(A617,JE_Lines!$B$5:$B$1733,0))</f>
        <v>45940</v>
      </c>
      <c r="H617" s="0" t="str">
        <f aca="false">INDEX(JE_Lines!$I$5:$I$1733,MATCH(A617,JE_Lines!$B$5:$B$1733,0))</f>
        <v>SYS_AR</v>
      </c>
      <c r="I617" s="0" t="str">
        <f aca="false">INDEX(JE_Lines!$J$5:$J$1733,MATCH(A617,JE_Lines!$B$5:$B$1733,0))</f>
        <v>System</v>
      </c>
      <c r="J617" s="0" t="str">
        <f aca="false">IF(LEN(INDEX(JE_Lines!$K$5:$K$1733,MATCH(A617,JE_Lines!$B$5:$B$1733,0)))=0,"",INDEX(JE_Lines!$K$5:$K$1733,MATCH(A617,JE_Lines!$B$5:$B$1733,0)))</f>
        <v>Sales invoice batch</v>
      </c>
      <c r="K617" s="9" t="n">
        <f aca="false">F617-G617</f>
        <v>4</v>
      </c>
      <c r="L617" s="9" t="n">
        <f aca="false">COUNTIFS(JE_Lines!$B$5:$B$1733,A617,JE_Lines!$F$5:$F$1733,"Revenue")</f>
        <v>1</v>
      </c>
      <c r="M617" s="9" t="n">
        <f aca="false">COUNTIFS(JE_Lines!$B$5:$B$1733,A617,JE_Lines!$F$5:$F$1733,"Suspense")</f>
        <v>0</v>
      </c>
      <c r="N617" s="9" t="n">
        <f aca="false">IF(ABS(E617)&gt;Parameters!$B$23,1,0)</f>
        <v>0</v>
      </c>
      <c r="O617" s="9" t="n">
        <f aca="false">IF(WEEKDAY(F617,2)&gt;5,1,0)</f>
        <v>0</v>
      </c>
      <c r="P617" s="9" t="n">
        <f aca="false">IF(K617&gt;Parameters!$B$17,1,0)</f>
        <v>0</v>
      </c>
      <c r="Q617" s="9" t="n">
        <f aca="false">IF(AND(F617&lt;=Parameters!$B$6,F617&gt;Parameters!$B$6-Parameters!$B$18),1,0)</f>
        <v>0</v>
      </c>
      <c r="R617" s="9" t="n">
        <f aca="false">IF(COUNTIF(Parameters!$A$51:$A$58,H617)=0,1,0)</f>
        <v>0</v>
      </c>
      <c r="S617" s="9" t="n">
        <f aca="false">IF(AND(I617="Manual",L617&gt;0),1,0)</f>
        <v>0</v>
      </c>
      <c r="T617" s="9" t="n">
        <f aca="false">IF(AND(C617&gt;=Parameters!$B$22,ROUND(MOD(ROUND(C617,2),Parameters!$B$21),2)=0),1,0)</f>
        <v>0</v>
      </c>
      <c r="U617" s="9" t="n">
        <f aca="false">IF(LEN(TRIM(J617))=0,1,0)</f>
        <v>0</v>
      </c>
      <c r="V617" s="9" t="n">
        <f aca="false">IF(AND(I617="Manual",C617&lt;Parameters!$B$19,C617&gt;=Parameters!$B$19*(1-Parameters!$B$20)),1,0)</f>
        <v>0</v>
      </c>
      <c r="W617" s="9" t="n">
        <f aca="false">IF(AND(I617="Manual",M617&gt;0),1,0)</f>
        <v>0</v>
      </c>
      <c r="X617" s="9" t="n">
        <f aca="false">IF(A617-A616&gt;1,1,0)</f>
        <v>0</v>
      </c>
      <c r="Y617" s="9" t="n">
        <f aca="false">N617*Parameters!$B$38+O617*Parameters!$B$39+P617*Parameters!$B$40+Q617*Parameters!$B$41+R617*Parameters!$B$42+S617*Parameters!$B$43+T617*Parameters!$B$44+U617*Parameters!$B$45+V617*Parameters!$B$46+W617*Parameters!$B$47+X617*Parameters!$B$48</f>
        <v>0</v>
      </c>
      <c r="Z617" s="0" t="str">
        <f aca="false">IF(Y617&gt;=Parameters!$B$25,"High","")</f>
        <v/>
      </c>
    </row>
    <row r="618" customFormat="false" ht="15" hidden="false" customHeight="false" outlineLevel="0" collapsed="false">
      <c r="A618" s="16" t="n">
        <v>1622</v>
      </c>
      <c r="B618" s="9" t="n">
        <f aca="false">COUNTIF(JE_Lines!$B$5:$B$1733,A618)</f>
        <v>2</v>
      </c>
      <c r="C618" s="17" t="n">
        <f aca="false">SUMIFS(JE_Lines!$G$5:$G$1733,JE_Lines!$B$5:$B$1733,A618)</f>
        <v>56758.02</v>
      </c>
      <c r="D618" s="17" t="n">
        <f aca="false">SUMIFS(JE_Lines!$H$5:$H$1733,JE_Lines!$B$5:$B$1733,A618)</f>
        <v>56758.02</v>
      </c>
      <c r="E618" s="17" t="n">
        <f aca="false">C618-D618</f>
        <v>0</v>
      </c>
      <c r="F618" s="18" t="n">
        <f aca="false">INDEX(JE_Lines!$C$5:$C$1733,MATCH(A618,JE_Lines!$B$5:$B$1733,0))</f>
        <v>45945</v>
      </c>
      <c r="G618" s="18" t="n">
        <f aca="false">INDEX(JE_Lines!$D$5:$D$1733,MATCH(A618,JE_Lines!$B$5:$B$1733,0))</f>
        <v>45945</v>
      </c>
      <c r="H618" s="0" t="str">
        <f aca="false">INDEX(JE_Lines!$I$5:$I$1733,MATCH(A618,JE_Lines!$B$5:$B$1733,0))</f>
        <v>SYS_AR</v>
      </c>
      <c r="I618" s="0" t="str">
        <f aca="false">INDEX(JE_Lines!$J$5:$J$1733,MATCH(A618,JE_Lines!$B$5:$B$1733,0))</f>
        <v>System</v>
      </c>
      <c r="J618" s="0" t="str">
        <f aca="false">IF(LEN(INDEX(JE_Lines!$K$5:$K$1733,MATCH(A618,JE_Lines!$B$5:$B$1733,0)))=0,"",INDEX(JE_Lines!$K$5:$K$1733,MATCH(A618,JE_Lines!$B$5:$B$1733,0)))</f>
        <v>Sales invoice batch</v>
      </c>
      <c r="K618" s="9" t="n">
        <f aca="false">F618-G618</f>
        <v>0</v>
      </c>
      <c r="L618" s="9" t="n">
        <f aca="false">COUNTIFS(JE_Lines!$B$5:$B$1733,A618,JE_Lines!$F$5:$F$1733,"Revenue")</f>
        <v>1</v>
      </c>
      <c r="M618" s="9" t="n">
        <f aca="false">COUNTIFS(JE_Lines!$B$5:$B$1733,A618,JE_Lines!$F$5:$F$1733,"Suspense")</f>
        <v>0</v>
      </c>
      <c r="N618" s="9" t="n">
        <f aca="false">IF(ABS(E618)&gt;Parameters!$B$23,1,0)</f>
        <v>0</v>
      </c>
      <c r="O618" s="9" t="n">
        <f aca="false">IF(WEEKDAY(F618,2)&gt;5,1,0)</f>
        <v>0</v>
      </c>
      <c r="P618" s="9" t="n">
        <f aca="false">IF(K618&gt;Parameters!$B$17,1,0)</f>
        <v>0</v>
      </c>
      <c r="Q618" s="9" t="n">
        <f aca="false">IF(AND(F618&lt;=Parameters!$B$6,F618&gt;Parameters!$B$6-Parameters!$B$18),1,0)</f>
        <v>0</v>
      </c>
      <c r="R618" s="9" t="n">
        <f aca="false">IF(COUNTIF(Parameters!$A$51:$A$58,H618)=0,1,0)</f>
        <v>0</v>
      </c>
      <c r="S618" s="9" t="n">
        <f aca="false">IF(AND(I618="Manual",L618&gt;0),1,0)</f>
        <v>0</v>
      </c>
      <c r="T618" s="9" t="n">
        <f aca="false">IF(AND(C618&gt;=Parameters!$B$22,ROUND(MOD(ROUND(C618,2),Parameters!$B$21),2)=0),1,0)</f>
        <v>0</v>
      </c>
      <c r="U618" s="9" t="n">
        <f aca="false">IF(LEN(TRIM(J618))=0,1,0)</f>
        <v>0</v>
      </c>
      <c r="V618" s="9" t="n">
        <f aca="false">IF(AND(I618="Manual",C618&lt;Parameters!$B$19,C618&gt;=Parameters!$B$19*(1-Parameters!$B$20)),1,0)</f>
        <v>0</v>
      </c>
      <c r="W618" s="9" t="n">
        <f aca="false">IF(AND(I618="Manual",M618&gt;0),1,0)</f>
        <v>0</v>
      </c>
      <c r="X618" s="9" t="n">
        <f aca="false">IF(A618-A617&gt;1,1,0)</f>
        <v>0</v>
      </c>
      <c r="Y618" s="9" t="n">
        <f aca="false">N618*Parameters!$B$38+O618*Parameters!$B$39+P618*Parameters!$B$40+Q618*Parameters!$B$41+R618*Parameters!$B$42+S618*Parameters!$B$43+T618*Parameters!$B$44+U618*Parameters!$B$45+V618*Parameters!$B$46+W618*Parameters!$B$47+X618*Parameters!$B$48</f>
        <v>0</v>
      </c>
      <c r="Z618" s="0" t="str">
        <f aca="false">IF(Y618&gt;=Parameters!$B$25,"High","")</f>
        <v/>
      </c>
    </row>
    <row r="619" customFormat="false" ht="15" hidden="false" customHeight="false" outlineLevel="0" collapsed="false">
      <c r="A619" s="16" t="n">
        <v>1623</v>
      </c>
      <c r="B619" s="9" t="n">
        <f aca="false">COUNTIF(JE_Lines!$B$5:$B$1733,A619)</f>
        <v>2</v>
      </c>
      <c r="C619" s="17" t="n">
        <f aca="false">SUMIFS(JE_Lines!$G$5:$G$1733,JE_Lines!$B$5:$B$1733,A619)</f>
        <v>267.05</v>
      </c>
      <c r="D619" s="17" t="n">
        <f aca="false">SUMIFS(JE_Lines!$H$5:$H$1733,JE_Lines!$B$5:$B$1733,A619)</f>
        <v>267.05</v>
      </c>
      <c r="E619" s="17" t="n">
        <f aca="false">C619-D619</f>
        <v>0</v>
      </c>
      <c r="F619" s="18" t="n">
        <f aca="false">INDEX(JE_Lines!$C$5:$C$1733,MATCH(A619,JE_Lines!$B$5:$B$1733,0))</f>
        <v>45945</v>
      </c>
      <c r="G619" s="18" t="n">
        <f aca="false">INDEX(JE_Lines!$D$5:$D$1733,MATCH(A619,JE_Lines!$B$5:$B$1733,0))</f>
        <v>45942</v>
      </c>
      <c r="H619" s="0" t="str">
        <f aca="false">INDEX(JE_Lines!$I$5:$I$1733,MATCH(A619,JE_Lines!$B$5:$B$1733,0))</f>
        <v>SYS_AR</v>
      </c>
      <c r="I619" s="0" t="str">
        <f aca="false">INDEX(JE_Lines!$J$5:$J$1733,MATCH(A619,JE_Lines!$B$5:$B$1733,0))</f>
        <v>System</v>
      </c>
      <c r="J619" s="0" t="str">
        <f aca="false">IF(LEN(INDEX(JE_Lines!$K$5:$K$1733,MATCH(A619,JE_Lines!$B$5:$B$1733,0)))=0,"",INDEX(JE_Lines!$K$5:$K$1733,MATCH(A619,JE_Lines!$B$5:$B$1733,0)))</f>
        <v>Customer receipts</v>
      </c>
      <c r="K619" s="9" t="n">
        <f aca="false">F619-G619</f>
        <v>3</v>
      </c>
      <c r="L619" s="9" t="n">
        <f aca="false">COUNTIFS(JE_Lines!$B$5:$B$1733,A619,JE_Lines!$F$5:$F$1733,"Revenue")</f>
        <v>0</v>
      </c>
      <c r="M619" s="9" t="n">
        <f aca="false">COUNTIFS(JE_Lines!$B$5:$B$1733,A619,JE_Lines!$F$5:$F$1733,"Suspense")</f>
        <v>0</v>
      </c>
      <c r="N619" s="9" t="n">
        <f aca="false">IF(ABS(E619)&gt;Parameters!$B$23,1,0)</f>
        <v>0</v>
      </c>
      <c r="O619" s="9" t="n">
        <f aca="false">IF(WEEKDAY(F619,2)&gt;5,1,0)</f>
        <v>0</v>
      </c>
      <c r="P619" s="9" t="n">
        <f aca="false">IF(K619&gt;Parameters!$B$17,1,0)</f>
        <v>0</v>
      </c>
      <c r="Q619" s="9" t="n">
        <f aca="false">IF(AND(F619&lt;=Parameters!$B$6,F619&gt;Parameters!$B$6-Parameters!$B$18),1,0)</f>
        <v>0</v>
      </c>
      <c r="R619" s="9" t="n">
        <f aca="false">IF(COUNTIF(Parameters!$A$51:$A$58,H619)=0,1,0)</f>
        <v>0</v>
      </c>
      <c r="S619" s="9" t="n">
        <f aca="false">IF(AND(I619="Manual",L619&gt;0),1,0)</f>
        <v>0</v>
      </c>
      <c r="T619" s="9" t="n">
        <f aca="false">IF(AND(C619&gt;=Parameters!$B$22,ROUND(MOD(ROUND(C619,2),Parameters!$B$21),2)=0),1,0)</f>
        <v>0</v>
      </c>
      <c r="U619" s="9" t="n">
        <f aca="false">IF(LEN(TRIM(J619))=0,1,0)</f>
        <v>0</v>
      </c>
      <c r="V619" s="9" t="n">
        <f aca="false">IF(AND(I619="Manual",C619&lt;Parameters!$B$19,C619&gt;=Parameters!$B$19*(1-Parameters!$B$20)),1,0)</f>
        <v>0</v>
      </c>
      <c r="W619" s="9" t="n">
        <f aca="false">IF(AND(I619="Manual",M619&gt;0),1,0)</f>
        <v>0</v>
      </c>
      <c r="X619" s="9" t="n">
        <f aca="false">IF(A619-A618&gt;1,1,0)</f>
        <v>0</v>
      </c>
      <c r="Y619" s="9" t="n">
        <f aca="false">N619*Parameters!$B$38+O619*Parameters!$B$39+P619*Parameters!$B$40+Q619*Parameters!$B$41+R619*Parameters!$B$42+S619*Parameters!$B$43+T619*Parameters!$B$44+U619*Parameters!$B$45+V619*Parameters!$B$46+W619*Parameters!$B$47+X619*Parameters!$B$48</f>
        <v>0</v>
      </c>
      <c r="Z619" s="0" t="str">
        <f aca="false">IF(Y619&gt;=Parameters!$B$25,"High","")</f>
        <v/>
      </c>
    </row>
    <row r="620" customFormat="false" ht="15" hidden="false" customHeight="false" outlineLevel="0" collapsed="false">
      <c r="A620" s="16" t="n">
        <v>1624</v>
      </c>
      <c r="B620" s="9" t="n">
        <f aca="false">COUNTIF(JE_Lines!$B$5:$B$1733,A620)</f>
        <v>2</v>
      </c>
      <c r="C620" s="17" t="n">
        <f aca="false">SUMIFS(JE_Lines!$G$5:$G$1733,JE_Lines!$B$5:$B$1733,A620)</f>
        <v>450.36</v>
      </c>
      <c r="D620" s="17" t="n">
        <f aca="false">SUMIFS(JE_Lines!$H$5:$H$1733,JE_Lines!$B$5:$B$1733,A620)</f>
        <v>450.36</v>
      </c>
      <c r="E620" s="17" t="n">
        <f aca="false">C620-D620</f>
        <v>0</v>
      </c>
      <c r="F620" s="18" t="n">
        <f aca="false">INDEX(JE_Lines!$C$5:$C$1733,MATCH(A620,JE_Lines!$B$5:$B$1733,0))</f>
        <v>45945</v>
      </c>
      <c r="G620" s="18" t="n">
        <f aca="false">INDEX(JE_Lines!$D$5:$D$1733,MATCH(A620,JE_Lines!$B$5:$B$1733,0))</f>
        <v>45943</v>
      </c>
      <c r="H620" s="0" t="str">
        <f aca="false">INDEX(JE_Lines!$I$5:$I$1733,MATCH(A620,JE_Lines!$B$5:$B$1733,0))</f>
        <v>FIN04</v>
      </c>
      <c r="I620" s="0" t="str">
        <f aca="false">INDEX(JE_Lines!$J$5:$J$1733,MATCH(A620,JE_Lines!$B$5:$B$1733,0))</f>
        <v>Manual</v>
      </c>
      <c r="J620" s="0" t="str">
        <f aca="false">IF(LEN(INDEX(JE_Lines!$K$5:$K$1733,MATCH(A620,JE_Lines!$B$5:$B$1733,0)))=0,"",INDEX(JE_Lines!$K$5:$K$1733,MATCH(A620,JE_Lines!$B$5:$B$1733,0)))</f>
        <v>Accrual for sundry costs</v>
      </c>
      <c r="K620" s="9" t="n">
        <f aca="false">F620-G620</f>
        <v>2</v>
      </c>
      <c r="L620" s="9" t="n">
        <f aca="false">COUNTIFS(JE_Lines!$B$5:$B$1733,A620,JE_Lines!$F$5:$F$1733,"Revenue")</f>
        <v>0</v>
      </c>
      <c r="M620" s="9" t="n">
        <f aca="false">COUNTIFS(JE_Lines!$B$5:$B$1733,A620,JE_Lines!$F$5:$F$1733,"Suspense")</f>
        <v>0</v>
      </c>
      <c r="N620" s="9" t="n">
        <f aca="false">IF(ABS(E620)&gt;Parameters!$B$23,1,0)</f>
        <v>0</v>
      </c>
      <c r="O620" s="9" t="n">
        <f aca="false">IF(WEEKDAY(F620,2)&gt;5,1,0)</f>
        <v>0</v>
      </c>
      <c r="P620" s="9" t="n">
        <f aca="false">IF(K620&gt;Parameters!$B$17,1,0)</f>
        <v>0</v>
      </c>
      <c r="Q620" s="9" t="n">
        <f aca="false">IF(AND(F620&lt;=Parameters!$B$6,F620&gt;Parameters!$B$6-Parameters!$B$18),1,0)</f>
        <v>0</v>
      </c>
      <c r="R620" s="9" t="n">
        <f aca="false">IF(COUNTIF(Parameters!$A$51:$A$58,H620)=0,1,0)</f>
        <v>0</v>
      </c>
      <c r="S620" s="9" t="n">
        <f aca="false">IF(AND(I620="Manual",L620&gt;0),1,0)</f>
        <v>0</v>
      </c>
      <c r="T620" s="9" t="n">
        <f aca="false">IF(AND(C620&gt;=Parameters!$B$22,ROUND(MOD(ROUND(C620,2),Parameters!$B$21),2)=0),1,0)</f>
        <v>0</v>
      </c>
      <c r="U620" s="9" t="n">
        <f aca="false">IF(LEN(TRIM(J620))=0,1,0)</f>
        <v>0</v>
      </c>
      <c r="V620" s="9" t="n">
        <f aca="false">IF(AND(I620="Manual",C620&lt;Parameters!$B$19,C620&gt;=Parameters!$B$19*(1-Parameters!$B$20)),1,0)</f>
        <v>0</v>
      </c>
      <c r="W620" s="9" t="n">
        <f aca="false">IF(AND(I620="Manual",M620&gt;0),1,0)</f>
        <v>0</v>
      </c>
      <c r="X620" s="9" t="n">
        <f aca="false">IF(A620-A619&gt;1,1,0)</f>
        <v>0</v>
      </c>
      <c r="Y620" s="9" t="n">
        <f aca="false">N620*Parameters!$B$38+O620*Parameters!$B$39+P620*Parameters!$B$40+Q620*Parameters!$B$41+R620*Parameters!$B$42+S620*Parameters!$B$43+T620*Parameters!$B$44+U620*Parameters!$B$45+V620*Parameters!$B$46+W620*Parameters!$B$47+X620*Parameters!$B$48</f>
        <v>0</v>
      </c>
      <c r="Z620" s="0" t="str">
        <f aca="false">IF(Y620&gt;=Parameters!$B$25,"High","")</f>
        <v/>
      </c>
    </row>
    <row r="621" customFormat="false" ht="15" hidden="false" customHeight="false" outlineLevel="0" collapsed="false">
      <c r="A621" s="16" t="n">
        <v>1625</v>
      </c>
      <c r="B621" s="9" t="n">
        <f aca="false">COUNTIF(JE_Lines!$B$5:$B$1733,A621)</f>
        <v>2</v>
      </c>
      <c r="C621" s="17" t="n">
        <f aca="false">SUMIFS(JE_Lines!$G$5:$G$1733,JE_Lines!$B$5:$B$1733,A621)</f>
        <v>4068.75</v>
      </c>
      <c r="D621" s="17" t="n">
        <f aca="false">SUMIFS(JE_Lines!$H$5:$H$1733,JE_Lines!$B$5:$B$1733,A621)</f>
        <v>4068.75</v>
      </c>
      <c r="E621" s="17" t="n">
        <f aca="false">C621-D621</f>
        <v>0</v>
      </c>
      <c r="F621" s="18" t="n">
        <f aca="false">INDEX(JE_Lines!$C$5:$C$1733,MATCH(A621,JE_Lines!$B$5:$B$1733,0))</f>
        <v>45946</v>
      </c>
      <c r="G621" s="18" t="n">
        <f aca="false">INDEX(JE_Lines!$D$5:$D$1733,MATCH(A621,JE_Lines!$B$5:$B$1733,0))</f>
        <v>45942</v>
      </c>
      <c r="H621" s="0" t="str">
        <f aca="false">INDEX(JE_Lines!$I$5:$I$1733,MATCH(A621,JE_Lines!$B$5:$B$1733,0))</f>
        <v>SYS_AP</v>
      </c>
      <c r="I621" s="0" t="str">
        <f aca="false">INDEX(JE_Lines!$J$5:$J$1733,MATCH(A621,JE_Lines!$B$5:$B$1733,0))</f>
        <v>System</v>
      </c>
      <c r="J621" s="0" t="str">
        <f aca="false">IF(LEN(INDEX(JE_Lines!$K$5:$K$1733,MATCH(A621,JE_Lines!$B$5:$B$1733,0)))=0,"",INDEX(JE_Lines!$K$5:$K$1733,MATCH(A621,JE_Lines!$B$5:$B$1733,0)))</f>
        <v>Supplier invoices</v>
      </c>
      <c r="K621" s="9" t="n">
        <f aca="false">F621-G621</f>
        <v>4</v>
      </c>
      <c r="L621" s="9" t="n">
        <f aca="false">COUNTIFS(JE_Lines!$B$5:$B$1733,A621,JE_Lines!$F$5:$F$1733,"Revenue")</f>
        <v>0</v>
      </c>
      <c r="M621" s="9" t="n">
        <f aca="false">COUNTIFS(JE_Lines!$B$5:$B$1733,A621,JE_Lines!$F$5:$F$1733,"Suspense")</f>
        <v>0</v>
      </c>
      <c r="N621" s="9" t="n">
        <f aca="false">IF(ABS(E621)&gt;Parameters!$B$23,1,0)</f>
        <v>0</v>
      </c>
      <c r="O621" s="9" t="n">
        <f aca="false">IF(WEEKDAY(F621,2)&gt;5,1,0)</f>
        <v>0</v>
      </c>
      <c r="P621" s="9" t="n">
        <f aca="false">IF(K621&gt;Parameters!$B$17,1,0)</f>
        <v>0</v>
      </c>
      <c r="Q621" s="9" t="n">
        <f aca="false">IF(AND(F621&lt;=Parameters!$B$6,F621&gt;Parameters!$B$6-Parameters!$B$18),1,0)</f>
        <v>0</v>
      </c>
      <c r="R621" s="9" t="n">
        <f aca="false">IF(COUNTIF(Parameters!$A$51:$A$58,H621)=0,1,0)</f>
        <v>0</v>
      </c>
      <c r="S621" s="9" t="n">
        <f aca="false">IF(AND(I621="Manual",L621&gt;0),1,0)</f>
        <v>0</v>
      </c>
      <c r="T621" s="9" t="n">
        <f aca="false">IF(AND(C621&gt;=Parameters!$B$22,ROUND(MOD(ROUND(C621,2),Parameters!$B$21),2)=0),1,0)</f>
        <v>0</v>
      </c>
      <c r="U621" s="9" t="n">
        <f aca="false">IF(LEN(TRIM(J621))=0,1,0)</f>
        <v>0</v>
      </c>
      <c r="V621" s="9" t="n">
        <f aca="false">IF(AND(I621="Manual",C621&lt;Parameters!$B$19,C621&gt;=Parameters!$B$19*(1-Parameters!$B$20)),1,0)</f>
        <v>0</v>
      </c>
      <c r="W621" s="9" t="n">
        <f aca="false">IF(AND(I621="Manual",M621&gt;0),1,0)</f>
        <v>0</v>
      </c>
      <c r="X621" s="9" t="n">
        <f aca="false">IF(A621-A620&gt;1,1,0)</f>
        <v>0</v>
      </c>
      <c r="Y621" s="9" t="n">
        <f aca="false">N621*Parameters!$B$38+O621*Parameters!$B$39+P621*Parameters!$B$40+Q621*Parameters!$B$41+R621*Parameters!$B$42+S621*Parameters!$B$43+T621*Parameters!$B$44+U621*Parameters!$B$45+V621*Parameters!$B$46+W621*Parameters!$B$47+X621*Parameters!$B$48</f>
        <v>0</v>
      </c>
      <c r="Z621" s="0" t="str">
        <f aca="false">IF(Y621&gt;=Parameters!$B$25,"High","")</f>
        <v/>
      </c>
    </row>
    <row r="622" customFormat="false" ht="15" hidden="false" customHeight="false" outlineLevel="0" collapsed="false">
      <c r="A622" s="16" t="n">
        <v>1626</v>
      </c>
      <c r="B622" s="9" t="n">
        <f aca="false">COUNTIF(JE_Lines!$B$5:$B$1733,A622)</f>
        <v>2</v>
      </c>
      <c r="C622" s="17" t="n">
        <f aca="false">SUMIFS(JE_Lines!$G$5:$G$1733,JE_Lines!$B$5:$B$1733,A622)</f>
        <v>8295.77</v>
      </c>
      <c r="D622" s="17" t="n">
        <f aca="false">SUMIFS(JE_Lines!$H$5:$H$1733,JE_Lines!$B$5:$B$1733,A622)</f>
        <v>8295.77</v>
      </c>
      <c r="E622" s="17" t="n">
        <f aca="false">C622-D622</f>
        <v>0</v>
      </c>
      <c r="F622" s="18" t="n">
        <f aca="false">INDEX(JE_Lines!$C$5:$C$1733,MATCH(A622,JE_Lines!$B$5:$B$1733,0))</f>
        <v>45946</v>
      </c>
      <c r="G622" s="18" t="n">
        <f aca="false">INDEX(JE_Lines!$D$5:$D$1733,MATCH(A622,JE_Lines!$B$5:$B$1733,0))</f>
        <v>45945</v>
      </c>
      <c r="H622" s="0" t="str">
        <f aca="false">INDEX(JE_Lines!$I$5:$I$1733,MATCH(A622,JE_Lines!$B$5:$B$1733,0))</f>
        <v>SYS_AR</v>
      </c>
      <c r="I622" s="0" t="str">
        <f aca="false">INDEX(JE_Lines!$J$5:$J$1733,MATCH(A622,JE_Lines!$B$5:$B$1733,0))</f>
        <v>System</v>
      </c>
      <c r="J622" s="0" t="str">
        <f aca="false">IF(LEN(INDEX(JE_Lines!$K$5:$K$1733,MATCH(A622,JE_Lines!$B$5:$B$1733,0)))=0,"",INDEX(JE_Lines!$K$5:$K$1733,MATCH(A622,JE_Lines!$B$5:$B$1733,0)))</f>
        <v>Cost of sales posting</v>
      </c>
      <c r="K622" s="9" t="n">
        <f aca="false">F622-G622</f>
        <v>1</v>
      </c>
      <c r="L622" s="9" t="n">
        <f aca="false">COUNTIFS(JE_Lines!$B$5:$B$1733,A622,JE_Lines!$F$5:$F$1733,"Revenue")</f>
        <v>0</v>
      </c>
      <c r="M622" s="9" t="n">
        <f aca="false">COUNTIFS(JE_Lines!$B$5:$B$1733,A622,JE_Lines!$F$5:$F$1733,"Suspense")</f>
        <v>0</v>
      </c>
      <c r="N622" s="9" t="n">
        <f aca="false">IF(ABS(E622)&gt;Parameters!$B$23,1,0)</f>
        <v>0</v>
      </c>
      <c r="O622" s="9" t="n">
        <f aca="false">IF(WEEKDAY(F622,2)&gt;5,1,0)</f>
        <v>0</v>
      </c>
      <c r="P622" s="9" t="n">
        <f aca="false">IF(K622&gt;Parameters!$B$17,1,0)</f>
        <v>0</v>
      </c>
      <c r="Q622" s="9" t="n">
        <f aca="false">IF(AND(F622&lt;=Parameters!$B$6,F622&gt;Parameters!$B$6-Parameters!$B$18),1,0)</f>
        <v>0</v>
      </c>
      <c r="R622" s="9" t="n">
        <f aca="false">IF(COUNTIF(Parameters!$A$51:$A$58,H622)=0,1,0)</f>
        <v>0</v>
      </c>
      <c r="S622" s="9" t="n">
        <f aca="false">IF(AND(I622="Manual",L622&gt;0),1,0)</f>
        <v>0</v>
      </c>
      <c r="T622" s="9" t="n">
        <f aca="false">IF(AND(C622&gt;=Parameters!$B$22,ROUND(MOD(ROUND(C622,2),Parameters!$B$21),2)=0),1,0)</f>
        <v>0</v>
      </c>
      <c r="U622" s="9" t="n">
        <f aca="false">IF(LEN(TRIM(J622))=0,1,0)</f>
        <v>0</v>
      </c>
      <c r="V622" s="9" t="n">
        <f aca="false">IF(AND(I622="Manual",C622&lt;Parameters!$B$19,C622&gt;=Parameters!$B$19*(1-Parameters!$B$20)),1,0)</f>
        <v>0</v>
      </c>
      <c r="W622" s="9" t="n">
        <f aca="false">IF(AND(I622="Manual",M622&gt;0),1,0)</f>
        <v>0</v>
      </c>
      <c r="X622" s="9" t="n">
        <f aca="false">IF(A622-A621&gt;1,1,0)</f>
        <v>0</v>
      </c>
      <c r="Y622" s="9" t="n">
        <f aca="false">N622*Parameters!$B$38+O622*Parameters!$B$39+P622*Parameters!$B$40+Q622*Parameters!$B$41+R622*Parameters!$B$42+S622*Parameters!$B$43+T622*Parameters!$B$44+U622*Parameters!$B$45+V622*Parameters!$B$46+W622*Parameters!$B$47+X622*Parameters!$B$48</f>
        <v>0</v>
      </c>
      <c r="Z622" s="0" t="str">
        <f aca="false">IF(Y622&gt;=Parameters!$B$25,"High","")</f>
        <v/>
      </c>
    </row>
    <row r="623" customFormat="false" ht="15" hidden="false" customHeight="false" outlineLevel="0" collapsed="false">
      <c r="A623" s="16" t="n">
        <v>1627</v>
      </c>
      <c r="B623" s="9" t="n">
        <f aca="false">COUNTIF(JE_Lines!$B$5:$B$1733,A623)</f>
        <v>2</v>
      </c>
      <c r="C623" s="17" t="n">
        <f aca="false">SUMIFS(JE_Lines!$G$5:$G$1733,JE_Lines!$B$5:$B$1733,A623)</f>
        <v>2524.05</v>
      </c>
      <c r="D623" s="17" t="n">
        <f aca="false">SUMIFS(JE_Lines!$H$5:$H$1733,JE_Lines!$B$5:$B$1733,A623)</f>
        <v>2524.05</v>
      </c>
      <c r="E623" s="17" t="n">
        <f aca="false">C623-D623</f>
        <v>0</v>
      </c>
      <c r="F623" s="18" t="n">
        <f aca="false">INDEX(JE_Lines!$C$5:$C$1733,MATCH(A623,JE_Lines!$B$5:$B$1733,0))</f>
        <v>45946</v>
      </c>
      <c r="G623" s="18" t="n">
        <f aca="false">INDEX(JE_Lines!$D$5:$D$1733,MATCH(A623,JE_Lines!$B$5:$B$1733,0))</f>
        <v>45943</v>
      </c>
      <c r="H623" s="0" t="str">
        <f aca="false">INDEX(JE_Lines!$I$5:$I$1733,MATCH(A623,JE_Lines!$B$5:$B$1733,0))</f>
        <v>SYS_AR</v>
      </c>
      <c r="I623" s="0" t="str">
        <f aca="false">INDEX(JE_Lines!$J$5:$J$1733,MATCH(A623,JE_Lines!$B$5:$B$1733,0))</f>
        <v>System</v>
      </c>
      <c r="J623" s="0" t="str">
        <f aca="false">IF(LEN(INDEX(JE_Lines!$K$5:$K$1733,MATCH(A623,JE_Lines!$B$5:$B$1733,0)))=0,"",INDEX(JE_Lines!$K$5:$K$1733,MATCH(A623,JE_Lines!$B$5:$B$1733,0)))</f>
        <v>Cost of sales posting</v>
      </c>
      <c r="K623" s="9" t="n">
        <f aca="false">F623-G623</f>
        <v>3</v>
      </c>
      <c r="L623" s="9" t="n">
        <f aca="false">COUNTIFS(JE_Lines!$B$5:$B$1733,A623,JE_Lines!$F$5:$F$1733,"Revenue")</f>
        <v>0</v>
      </c>
      <c r="M623" s="9" t="n">
        <f aca="false">COUNTIFS(JE_Lines!$B$5:$B$1733,A623,JE_Lines!$F$5:$F$1733,"Suspense")</f>
        <v>0</v>
      </c>
      <c r="N623" s="9" t="n">
        <f aca="false">IF(ABS(E623)&gt;Parameters!$B$23,1,0)</f>
        <v>0</v>
      </c>
      <c r="O623" s="9" t="n">
        <f aca="false">IF(WEEKDAY(F623,2)&gt;5,1,0)</f>
        <v>0</v>
      </c>
      <c r="P623" s="9" t="n">
        <f aca="false">IF(K623&gt;Parameters!$B$17,1,0)</f>
        <v>0</v>
      </c>
      <c r="Q623" s="9" t="n">
        <f aca="false">IF(AND(F623&lt;=Parameters!$B$6,F623&gt;Parameters!$B$6-Parameters!$B$18),1,0)</f>
        <v>0</v>
      </c>
      <c r="R623" s="9" t="n">
        <f aca="false">IF(COUNTIF(Parameters!$A$51:$A$58,H623)=0,1,0)</f>
        <v>0</v>
      </c>
      <c r="S623" s="9" t="n">
        <f aca="false">IF(AND(I623="Manual",L623&gt;0),1,0)</f>
        <v>0</v>
      </c>
      <c r="T623" s="9" t="n">
        <f aca="false">IF(AND(C623&gt;=Parameters!$B$22,ROUND(MOD(ROUND(C623,2),Parameters!$B$21),2)=0),1,0)</f>
        <v>0</v>
      </c>
      <c r="U623" s="9" t="n">
        <f aca="false">IF(LEN(TRIM(J623))=0,1,0)</f>
        <v>0</v>
      </c>
      <c r="V623" s="9" t="n">
        <f aca="false">IF(AND(I623="Manual",C623&lt;Parameters!$B$19,C623&gt;=Parameters!$B$19*(1-Parameters!$B$20)),1,0)</f>
        <v>0</v>
      </c>
      <c r="W623" s="9" t="n">
        <f aca="false">IF(AND(I623="Manual",M623&gt;0),1,0)</f>
        <v>0</v>
      </c>
      <c r="X623" s="9" t="n">
        <f aca="false">IF(A623-A622&gt;1,1,0)</f>
        <v>0</v>
      </c>
      <c r="Y623" s="9" t="n">
        <f aca="false">N623*Parameters!$B$38+O623*Parameters!$B$39+P623*Parameters!$B$40+Q623*Parameters!$B$41+R623*Parameters!$B$42+S623*Parameters!$B$43+T623*Parameters!$B$44+U623*Parameters!$B$45+V623*Parameters!$B$46+W623*Parameters!$B$47+X623*Parameters!$B$48</f>
        <v>0</v>
      </c>
      <c r="Z623" s="0" t="str">
        <f aca="false">IF(Y623&gt;=Parameters!$B$25,"High","")</f>
        <v/>
      </c>
    </row>
    <row r="624" customFormat="false" ht="15" hidden="false" customHeight="false" outlineLevel="0" collapsed="false">
      <c r="A624" s="16" t="n">
        <v>1628</v>
      </c>
      <c r="B624" s="9" t="n">
        <f aca="false">COUNTIF(JE_Lines!$B$5:$B$1733,A624)</f>
        <v>2</v>
      </c>
      <c r="C624" s="17" t="n">
        <f aca="false">SUMIFS(JE_Lines!$G$5:$G$1733,JE_Lines!$B$5:$B$1733,A624)</f>
        <v>23564.19</v>
      </c>
      <c r="D624" s="17" t="n">
        <f aca="false">SUMIFS(JE_Lines!$H$5:$H$1733,JE_Lines!$B$5:$B$1733,A624)</f>
        <v>23564.19</v>
      </c>
      <c r="E624" s="17" t="n">
        <f aca="false">C624-D624</f>
        <v>0</v>
      </c>
      <c r="F624" s="18" t="n">
        <f aca="false">INDEX(JE_Lines!$C$5:$C$1733,MATCH(A624,JE_Lines!$B$5:$B$1733,0))</f>
        <v>45947</v>
      </c>
      <c r="G624" s="18" t="n">
        <f aca="false">INDEX(JE_Lines!$D$5:$D$1733,MATCH(A624,JE_Lines!$B$5:$B$1733,0))</f>
        <v>45945</v>
      </c>
      <c r="H624" s="0" t="str">
        <f aca="false">INDEX(JE_Lines!$I$5:$I$1733,MATCH(A624,JE_Lines!$B$5:$B$1733,0))</f>
        <v>SYS_AR</v>
      </c>
      <c r="I624" s="0" t="str">
        <f aca="false">INDEX(JE_Lines!$J$5:$J$1733,MATCH(A624,JE_Lines!$B$5:$B$1733,0))</f>
        <v>System</v>
      </c>
      <c r="J624" s="0" t="str">
        <f aca="false">IF(LEN(INDEX(JE_Lines!$K$5:$K$1733,MATCH(A624,JE_Lines!$B$5:$B$1733,0)))=0,"",INDEX(JE_Lines!$K$5:$K$1733,MATCH(A624,JE_Lines!$B$5:$B$1733,0)))</f>
        <v>Sales invoice batch</v>
      </c>
      <c r="K624" s="9" t="n">
        <f aca="false">F624-G624</f>
        <v>2</v>
      </c>
      <c r="L624" s="9" t="n">
        <f aca="false">COUNTIFS(JE_Lines!$B$5:$B$1733,A624,JE_Lines!$F$5:$F$1733,"Revenue")</f>
        <v>1</v>
      </c>
      <c r="M624" s="9" t="n">
        <f aca="false">COUNTIFS(JE_Lines!$B$5:$B$1733,A624,JE_Lines!$F$5:$F$1733,"Suspense")</f>
        <v>0</v>
      </c>
      <c r="N624" s="9" t="n">
        <f aca="false">IF(ABS(E624)&gt;Parameters!$B$23,1,0)</f>
        <v>0</v>
      </c>
      <c r="O624" s="9" t="n">
        <f aca="false">IF(WEEKDAY(F624,2)&gt;5,1,0)</f>
        <v>0</v>
      </c>
      <c r="P624" s="9" t="n">
        <f aca="false">IF(K624&gt;Parameters!$B$17,1,0)</f>
        <v>0</v>
      </c>
      <c r="Q624" s="9" t="n">
        <f aca="false">IF(AND(F624&lt;=Parameters!$B$6,F624&gt;Parameters!$B$6-Parameters!$B$18),1,0)</f>
        <v>0</v>
      </c>
      <c r="R624" s="9" t="n">
        <f aca="false">IF(COUNTIF(Parameters!$A$51:$A$58,H624)=0,1,0)</f>
        <v>0</v>
      </c>
      <c r="S624" s="9" t="n">
        <f aca="false">IF(AND(I624="Manual",L624&gt;0),1,0)</f>
        <v>0</v>
      </c>
      <c r="T624" s="9" t="n">
        <f aca="false">IF(AND(C624&gt;=Parameters!$B$22,ROUND(MOD(ROUND(C624,2),Parameters!$B$21),2)=0),1,0)</f>
        <v>0</v>
      </c>
      <c r="U624" s="9" t="n">
        <f aca="false">IF(LEN(TRIM(J624))=0,1,0)</f>
        <v>0</v>
      </c>
      <c r="V624" s="9" t="n">
        <f aca="false">IF(AND(I624="Manual",C624&lt;Parameters!$B$19,C624&gt;=Parameters!$B$19*(1-Parameters!$B$20)),1,0)</f>
        <v>0</v>
      </c>
      <c r="W624" s="9" t="n">
        <f aca="false">IF(AND(I624="Manual",M624&gt;0),1,0)</f>
        <v>0</v>
      </c>
      <c r="X624" s="9" t="n">
        <f aca="false">IF(A624-A623&gt;1,1,0)</f>
        <v>0</v>
      </c>
      <c r="Y624" s="9" t="n">
        <f aca="false">N624*Parameters!$B$38+O624*Parameters!$B$39+P624*Parameters!$B$40+Q624*Parameters!$B$41+R624*Parameters!$B$42+S624*Parameters!$B$43+T624*Parameters!$B$44+U624*Parameters!$B$45+V624*Parameters!$B$46+W624*Parameters!$B$47+X624*Parameters!$B$48</f>
        <v>0</v>
      </c>
      <c r="Z624" s="0" t="str">
        <f aca="false">IF(Y624&gt;=Parameters!$B$25,"High","")</f>
        <v/>
      </c>
    </row>
    <row r="625" customFormat="false" ht="15" hidden="false" customHeight="false" outlineLevel="0" collapsed="false">
      <c r="A625" s="16" t="n">
        <v>1629</v>
      </c>
      <c r="B625" s="9" t="n">
        <f aca="false">COUNTIF(JE_Lines!$B$5:$B$1733,A625)</f>
        <v>2</v>
      </c>
      <c r="C625" s="17" t="n">
        <f aca="false">SUMIFS(JE_Lines!$G$5:$G$1733,JE_Lines!$B$5:$B$1733,A625)</f>
        <v>107229.71</v>
      </c>
      <c r="D625" s="17" t="n">
        <f aca="false">SUMIFS(JE_Lines!$H$5:$H$1733,JE_Lines!$B$5:$B$1733,A625)</f>
        <v>107229.71</v>
      </c>
      <c r="E625" s="17" t="n">
        <f aca="false">C625-D625</f>
        <v>0</v>
      </c>
      <c r="F625" s="18" t="n">
        <f aca="false">INDEX(JE_Lines!$C$5:$C$1733,MATCH(A625,JE_Lines!$B$5:$B$1733,0))</f>
        <v>45947</v>
      </c>
      <c r="G625" s="18" t="n">
        <f aca="false">INDEX(JE_Lines!$D$5:$D$1733,MATCH(A625,JE_Lines!$B$5:$B$1733,0))</f>
        <v>45946</v>
      </c>
      <c r="H625" s="0" t="str">
        <f aca="false">INDEX(JE_Lines!$I$5:$I$1733,MATCH(A625,JE_Lines!$B$5:$B$1733,0))</f>
        <v>SYS_AP</v>
      </c>
      <c r="I625" s="0" t="str">
        <f aca="false">INDEX(JE_Lines!$J$5:$J$1733,MATCH(A625,JE_Lines!$B$5:$B$1733,0))</f>
        <v>System</v>
      </c>
      <c r="J625" s="0" t="str">
        <f aca="false">IF(LEN(INDEX(JE_Lines!$K$5:$K$1733,MATCH(A625,JE_Lines!$B$5:$B$1733,0)))=0,"",INDEX(JE_Lines!$K$5:$K$1733,MATCH(A625,JE_Lines!$B$5:$B$1733,0)))</f>
        <v>Utilities invoices</v>
      </c>
      <c r="K625" s="9" t="n">
        <f aca="false">F625-G625</f>
        <v>1</v>
      </c>
      <c r="L625" s="9" t="n">
        <f aca="false">COUNTIFS(JE_Lines!$B$5:$B$1733,A625,JE_Lines!$F$5:$F$1733,"Revenue")</f>
        <v>0</v>
      </c>
      <c r="M625" s="9" t="n">
        <f aca="false">COUNTIFS(JE_Lines!$B$5:$B$1733,A625,JE_Lines!$F$5:$F$1733,"Suspense")</f>
        <v>0</v>
      </c>
      <c r="N625" s="9" t="n">
        <f aca="false">IF(ABS(E625)&gt;Parameters!$B$23,1,0)</f>
        <v>0</v>
      </c>
      <c r="O625" s="9" t="n">
        <f aca="false">IF(WEEKDAY(F625,2)&gt;5,1,0)</f>
        <v>0</v>
      </c>
      <c r="P625" s="9" t="n">
        <f aca="false">IF(K625&gt;Parameters!$B$17,1,0)</f>
        <v>0</v>
      </c>
      <c r="Q625" s="9" t="n">
        <f aca="false">IF(AND(F625&lt;=Parameters!$B$6,F625&gt;Parameters!$B$6-Parameters!$B$18),1,0)</f>
        <v>0</v>
      </c>
      <c r="R625" s="9" t="n">
        <f aca="false">IF(COUNTIF(Parameters!$A$51:$A$58,H625)=0,1,0)</f>
        <v>0</v>
      </c>
      <c r="S625" s="9" t="n">
        <f aca="false">IF(AND(I625="Manual",L625&gt;0),1,0)</f>
        <v>0</v>
      </c>
      <c r="T625" s="9" t="n">
        <f aca="false">IF(AND(C625&gt;=Parameters!$B$22,ROUND(MOD(ROUND(C625,2),Parameters!$B$21),2)=0),1,0)</f>
        <v>0</v>
      </c>
      <c r="U625" s="9" t="n">
        <f aca="false">IF(LEN(TRIM(J625))=0,1,0)</f>
        <v>0</v>
      </c>
      <c r="V625" s="9" t="n">
        <f aca="false">IF(AND(I625="Manual",C625&lt;Parameters!$B$19,C625&gt;=Parameters!$B$19*(1-Parameters!$B$20)),1,0)</f>
        <v>0</v>
      </c>
      <c r="W625" s="9" t="n">
        <f aca="false">IF(AND(I625="Manual",M625&gt;0),1,0)</f>
        <v>0</v>
      </c>
      <c r="X625" s="9" t="n">
        <f aca="false">IF(A625-A624&gt;1,1,0)</f>
        <v>0</v>
      </c>
      <c r="Y625" s="9" t="n">
        <f aca="false">N625*Parameters!$B$38+O625*Parameters!$B$39+P625*Parameters!$B$40+Q625*Parameters!$B$41+R625*Parameters!$B$42+S625*Parameters!$B$43+T625*Parameters!$B$44+U625*Parameters!$B$45+V625*Parameters!$B$46+W625*Parameters!$B$47+X625*Parameters!$B$48</f>
        <v>0</v>
      </c>
      <c r="Z625" s="0" t="str">
        <f aca="false">IF(Y625&gt;=Parameters!$B$25,"High","")</f>
        <v/>
      </c>
    </row>
    <row r="626" customFormat="false" ht="15" hidden="false" customHeight="false" outlineLevel="0" collapsed="false">
      <c r="A626" s="16" t="n">
        <v>1630</v>
      </c>
      <c r="B626" s="9" t="n">
        <f aca="false">COUNTIF(JE_Lines!$B$5:$B$1733,A626)</f>
        <v>2</v>
      </c>
      <c r="C626" s="17" t="n">
        <f aca="false">SUMIFS(JE_Lines!$G$5:$G$1733,JE_Lines!$B$5:$B$1733,A626)</f>
        <v>1112.9</v>
      </c>
      <c r="D626" s="17" t="n">
        <f aca="false">SUMIFS(JE_Lines!$H$5:$H$1733,JE_Lines!$B$5:$B$1733,A626)</f>
        <v>1112.9</v>
      </c>
      <c r="E626" s="17" t="n">
        <f aca="false">C626-D626</f>
        <v>0</v>
      </c>
      <c r="F626" s="18" t="n">
        <f aca="false">INDEX(JE_Lines!$C$5:$C$1733,MATCH(A626,JE_Lines!$B$5:$B$1733,0))</f>
        <v>45949</v>
      </c>
      <c r="G626" s="18" t="n">
        <f aca="false">INDEX(JE_Lines!$D$5:$D$1733,MATCH(A626,JE_Lines!$B$5:$B$1733,0))</f>
        <v>45947</v>
      </c>
      <c r="H626" s="0" t="str">
        <f aca="false">INDEX(JE_Lines!$I$5:$I$1733,MATCH(A626,JE_Lines!$B$5:$B$1733,0))</f>
        <v>SYS_PAY</v>
      </c>
      <c r="I626" s="0" t="str">
        <f aca="false">INDEX(JE_Lines!$J$5:$J$1733,MATCH(A626,JE_Lines!$B$5:$B$1733,0))</f>
        <v>System</v>
      </c>
      <c r="J626" s="0" t="str">
        <f aca="false">IF(LEN(INDEX(JE_Lines!$K$5:$K$1733,MATCH(A626,JE_Lines!$B$5:$B$1733,0)))=0,"",INDEX(JE_Lines!$K$5:$K$1733,MATCH(A626,JE_Lines!$B$5:$B$1733,0)))</f>
        <v>Supplier payments</v>
      </c>
      <c r="K626" s="9" t="n">
        <f aca="false">F626-G626</f>
        <v>2</v>
      </c>
      <c r="L626" s="9" t="n">
        <f aca="false">COUNTIFS(JE_Lines!$B$5:$B$1733,A626,JE_Lines!$F$5:$F$1733,"Revenue")</f>
        <v>0</v>
      </c>
      <c r="M626" s="9" t="n">
        <f aca="false">COUNTIFS(JE_Lines!$B$5:$B$1733,A626,JE_Lines!$F$5:$F$1733,"Suspense")</f>
        <v>0</v>
      </c>
      <c r="N626" s="9" t="n">
        <f aca="false">IF(ABS(E626)&gt;Parameters!$B$23,1,0)</f>
        <v>0</v>
      </c>
      <c r="O626" s="9" t="n">
        <f aca="false">IF(WEEKDAY(F626,2)&gt;5,1,0)</f>
        <v>1</v>
      </c>
      <c r="P626" s="9" t="n">
        <f aca="false">IF(K626&gt;Parameters!$B$17,1,0)</f>
        <v>0</v>
      </c>
      <c r="Q626" s="9" t="n">
        <f aca="false">IF(AND(F626&lt;=Parameters!$B$6,F626&gt;Parameters!$B$6-Parameters!$B$18),1,0)</f>
        <v>0</v>
      </c>
      <c r="R626" s="9" t="n">
        <f aca="false">IF(COUNTIF(Parameters!$A$51:$A$58,H626)=0,1,0)</f>
        <v>0</v>
      </c>
      <c r="S626" s="9" t="n">
        <f aca="false">IF(AND(I626="Manual",L626&gt;0),1,0)</f>
        <v>0</v>
      </c>
      <c r="T626" s="9" t="n">
        <f aca="false">IF(AND(C626&gt;=Parameters!$B$22,ROUND(MOD(ROUND(C626,2),Parameters!$B$21),2)=0),1,0)</f>
        <v>0</v>
      </c>
      <c r="U626" s="9" t="n">
        <f aca="false">IF(LEN(TRIM(J626))=0,1,0)</f>
        <v>0</v>
      </c>
      <c r="V626" s="9" t="n">
        <f aca="false">IF(AND(I626="Manual",C626&lt;Parameters!$B$19,C626&gt;=Parameters!$B$19*(1-Parameters!$B$20)),1,0)</f>
        <v>0</v>
      </c>
      <c r="W626" s="9" t="n">
        <f aca="false">IF(AND(I626="Manual",M626&gt;0),1,0)</f>
        <v>0</v>
      </c>
      <c r="X626" s="9" t="n">
        <f aca="false">IF(A626-A625&gt;1,1,0)</f>
        <v>0</v>
      </c>
      <c r="Y626" s="9" t="n">
        <f aca="false">N626*Parameters!$B$38+O626*Parameters!$B$39+P626*Parameters!$B$40+Q626*Parameters!$B$41+R626*Parameters!$B$42+S626*Parameters!$B$43+T626*Parameters!$B$44+U626*Parameters!$B$45+V626*Parameters!$B$46+W626*Parameters!$B$47+X626*Parameters!$B$48</f>
        <v>2</v>
      </c>
      <c r="Z626" s="0" t="str">
        <f aca="false">IF(Y626&gt;=Parameters!$B$25,"High","")</f>
        <v/>
      </c>
    </row>
    <row r="627" customFormat="false" ht="15" hidden="false" customHeight="false" outlineLevel="0" collapsed="false">
      <c r="A627" s="16" t="n">
        <v>1631</v>
      </c>
      <c r="B627" s="9" t="n">
        <f aca="false">COUNTIF(JE_Lines!$B$5:$B$1733,A627)</f>
        <v>2</v>
      </c>
      <c r="C627" s="17" t="n">
        <f aca="false">SUMIFS(JE_Lines!$G$5:$G$1733,JE_Lines!$B$5:$B$1733,A627)</f>
        <v>35153.23</v>
      </c>
      <c r="D627" s="17" t="n">
        <f aca="false">SUMIFS(JE_Lines!$H$5:$H$1733,JE_Lines!$B$5:$B$1733,A627)</f>
        <v>35153.23</v>
      </c>
      <c r="E627" s="17" t="n">
        <f aca="false">C627-D627</f>
        <v>0</v>
      </c>
      <c r="F627" s="18" t="n">
        <f aca="false">INDEX(JE_Lines!$C$5:$C$1733,MATCH(A627,JE_Lines!$B$5:$B$1733,0))</f>
        <v>45950</v>
      </c>
      <c r="G627" s="18" t="n">
        <f aca="false">INDEX(JE_Lines!$D$5:$D$1733,MATCH(A627,JE_Lines!$B$5:$B$1733,0))</f>
        <v>45948</v>
      </c>
      <c r="H627" s="0" t="str">
        <f aca="false">INDEX(JE_Lines!$I$5:$I$1733,MATCH(A627,JE_Lines!$B$5:$B$1733,0))</f>
        <v>SYS_AR</v>
      </c>
      <c r="I627" s="0" t="str">
        <f aca="false">INDEX(JE_Lines!$J$5:$J$1733,MATCH(A627,JE_Lines!$B$5:$B$1733,0))</f>
        <v>System</v>
      </c>
      <c r="J627" s="0" t="str">
        <f aca="false">IF(LEN(INDEX(JE_Lines!$K$5:$K$1733,MATCH(A627,JE_Lines!$B$5:$B$1733,0)))=0,"",INDEX(JE_Lines!$K$5:$K$1733,MATCH(A627,JE_Lines!$B$5:$B$1733,0)))</f>
        <v>Customer receipts</v>
      </c>
      <c r="K627" s="9" t="n">
        <f aca="false">F627-G627</f>
        <v>2</v>
      </c>
      <c r="L627" s="9" t="n">
        <f aca="false">COUNTIFS(JE_Lines!$B$5:$B$1733,A627,JE_Lines!$F$5:$F$1733,"Revenue")</f>
        <v>0</v>
      </c>
      <c r="M627" s="9" t="n">
        <f aca="false">COUNTIFS(JE_Lines!$B$5:$B$1733,A627,JE_Lines!$F$5:$F$1733,"Suspense")</f>
        <v>0</v>
      </c>
      <c r="N627" s="9" t="n">
        <f aca="false">IF(ABS(E627)&gt;Parameters!$B$23,1,0)</f>
        <v>0</v>
      </c>
      <c r="O627" s="9" t="n">
        <f aca="false">IF(WEEKDAY(F627,2)&gt;5,1,0)</f>
        <v>0</v>
      </c>
      <c r="P627" s="9" t="n">
        <f aca="false">IF(K627&gt;Parameters!$B$17,1,0)</f>
        <v>0</v>
      </c>
      <c r="Q627" s="9" t="n">
        <f aca="false">IF(AND(F627&lt;=Parameters!$B$6,F627&gt;Parameters!$B$6-Parameters!$B$18),1,0)</f>
        <v>0</v>
      </c>
      <c r="R627" s="9" t="n">
        <f aca="false">IF(COUNTIF(Parameters!$A$51:$A$58,H627)=0,1,0)</f>
        <v>0</v>
      </c>
      <c r="S627" s="9" t="n">
        <f aca="false">IF(AND(I627="Manual",L627&gt;0),1,0)</f>
        <v>0</v>
      </c>
      <c r="T627" s="9" t="n">
        <f aca="false">IF(AND(C627&gt;=Parameters!$B$22,ROUND(MOD(ROUND(C627,2),Parameters!$B$21),2)=0),1,0)</f>
        <v>0</v>
      </c>
      <c r="U627" s="9" t="n">
        <f aca="false">IF(LEN(TRIM(J627))=0,1,0)</f>
        <v>0</v>
      </c>
      <c r="V627" s="9" t="n">
        <f aca="false">IF(AND(I627="Manual",C627&lt;Parameters!$B$19,C627&gt;=Parameters!$B$19*(1-Parameters!$B$20)),1,0)</f>
        <v>0</v>
      </c>
      <c r="W627" s="9" t="n">
        <f aca="false">IF(AND(I627="Manual",M627&gt;0),1,0)</f>
        <v>0</v>
      </c>
      <c r="X627" s="9" t="n">
        <f aca="false">IF(A627-A626&gt;1,1,0)</f>
        <v>0</v>
      </c>
      <c r="Y627" s="9" t="n">
        <f aca="false">N627*Parameters!$B$38+O627*Parameters!$B$39+P627*Parameters!$B$40+Q627*Parameters!$B$41+R627*Parameters!$B$42+S627*Parameters!$B$43+T627*Parameters!$B$44+U627*Parameters!$B$45+V627*Parameters!$B$46+W627*Parameters!$B$47+X627*Parameters!$B$48</f>
        <v>0</v>
      </c>
      <c r="Z627" s="0" t="str">
        <f aca="false">IF(Y627&gt;=Parameters!$B$25,"High","")</f>
        <v/>
      </c>
    </row>
    <row r="628" customFormat="false" ht="15" hidden="false" customHeight="false" outlineLevel="0" collapsed="false">
      <c r="A628" s="16" t="n">
        <v>1632</v>
      </c>
      <c r="B628" s="9" t="n">
        <f aca="false">COUNTIF(JE_Lines!$B$5:$B$1733,A628)</f>
        <v>2</v>
      </c>
      <c r="C628" s="17" t="n">
        <f aca="false">SUMIFS(JE_Lines!$G$5:$G$1733,JE_Lines!$B$5:$B$1733,A628)</f>
        <v>3851.17</v>
      </c>
      <c r="D628" s="17" t="n">
        <f aca="false">SUMIFS(JE_Lines!$H$5:$H$1733,JE_Lines!$B$5:$B$1733,A628)</f>
        <v>3851.17</v>
      </c>
      <c r="E628" s="17" t="n">
        <f aca="false">C628-D628</f>
        <v>0</v>
      </c>
      <c r="F628" s="18" t="n">
        <f aca="false">INDEX(JE_Lines!$C$5:$C$1733,MATCH(A628,JE_Lines!$B$5:$B$1733,0))</f>
        <v>45950</v>
      </c>
      <c r="G628" s="18" t="n">
        <f aca="false">INDEX(JE_Lines!$D$5:$D$1733,MATCH(A628,JE_Lines!$B$5:$B$1733,0))</f>
        <v>45948</v>
      </c>
      <c r="H628" s="0" t="str">
        <f aca="false">INDEX(JE_Lines!$I$5:$I$1733,MATCH(A628,JE_Lines!$B$5:$B$1733,0))</f>
        <v>SYS_AR</v>
      </c>
      <c r="I628" s="0" t="str">
        <f aca="false">INDEX(JE_Lines!$J$5:$J$1733,MATCH(A628,JE_Lines!$B$5:$B$1733,0))</f>
        <v>System</v>
      </c>
      <c r="J628" s="0" t="str">
        <f aca="false">IF(LEN(INDEX(JE_Lines!$K$5:$K$1733,MATCH(A628,JE_Lines!$B$5:$B$1733,0)))=0,"",INDEX(JE_Lines!$K$5:$K$1733,MATCH(A628,JE_Lines!$B$5:$B$1733,0)))</f>
        <v>Customer receipts</v>
      </c>
      <c r="K628" s="9" t="n">
        <f aca="false">F628-G628</f>
        <v>2</v>
      </c>
      <c r="L628" s="9" t="n">
        <f aca="false">COUNTIFS(JE_Lines!$B$5:$B$1733,A628,JE_Lines!$F$5:$F$1733,"Revenue")</f>
        <v>0</v>
      </c>
      <c r="M628" s="9" t="n">
        <f aca="false">COUNTIFS(JE_Lines!$B$5:$B$1733,A628,JE_Lines!$F$5:$F$1733,"Suspense")</f>
        <v>0</v>
      </c>
      <c r="N628" s="9" t="n">
        <f aca="false">IF(ABS(E628)&gt;Parameters!$B$23,1,0)</f>
        <v>0</v>
      </c>
      <c r="O628" s="9" t="n">
        <f aca="false">IF(WEEKDAY(F628,2)&gt;5,1,0)</f>
        <v>0</v>
      </c>
      <c r="P628" s="9" t="n">
        <f aca="false">IF(K628&gt;Parameters!$B$17,1,0)</f>
        <v>0</v>
      </c>
      <c r="Q628" s="9" t="n">
        <f aca="false">IF(AND(F628&lt;=Parameters!$B$6,F628&gt;Parameters!$B$6-Parameters!$B$18),1,0)</f>
        <v>0</v>
      </c>
      <c r="R628" s="9" t="n">
        <f aca="false">IF(COUNTIF(Parameters!$A$51:$A$58,H628)=0,1,0)</f>
        <v>0</v>
      </c>
      <c r="S628" s="9" t="n">
        <f aca="false">IF(AND(I628="Manual",L628&gt;0),1,0)</f>
        <v>0</v>
      </c>
      <c r="T628" s="9" t="n">
        <f aca="false">IF(AND(C628&gt;=Parameters!$B$22,ROUND(MOD(ROUND(C628,2),Parameters!$B$21),2)=0),1,0)</f>
        <v>0</v>
      </c>
      <c r="U628" s="9" t="n">
        <f aca="false">IF(LEN(TRIM(J628))=0,1,0)</f>
        <v>0</v>
      </c>
      <c r="V628" s="9" t="n">
        <f aca="false">IF(AND(I628="Manual",C628&lt;Parameters!$B$19,C628&gt;=Parameters!$B$19*(1-Parameters!$B$20)),1,0)</f>
        <v>0</v>
      </c>
      <c r="W628" s="9" t="n">
        <f aca="false">IF(AND(I628="Manual",M628&gt;0),1,0)</f>
        <v>0</v>
      </c>
      <c r="X628" s="9" t="n">
        <f aca="false">IF(A628-A627&gt;1,1,0)</f>
        <v>0</v>
      </c>
      <c r="Y628" s="9" t="n">
        <f aca="false">N628*Parameters!$B$38+O628*Parameters!$B$39+P628*Parameters!$B$40+Q628*Parameters!$B$41+R628*Parameters!$B$42+S628*Parameters!$B$43+T628*Parameters!$B$44+U628*Parameters!$B$45+V628*Parameters!$B$46+W628*Parameters!$B$47+X628*Parameters!$B$48</f>
        <v>0</v>
      </c>
      <c r="Z628" s="0" t="str">
        <f aca="false">IF(Y628&gt;=Parameters!$B$25,"High","")</f>
        <v/>
      </c>
    </row>
    <row r="629" customFormat="false" ht="15" hidden="false" customHeight="false" outlineLevel="0" collapsed="false">
      <c r="A629" s="16" t="n">
        <v>1633</v>
      </c>
      <c r="B629" s="9" t="n">
        <f aca="false">COUNTIF(JE_Lines!$B$5:$B$1733,A629)</f>
        <v>2</v>
      </c>
      <c r="C629" s="17" t="n">
        <f aca="false">SUMIFS(JE_Lines!$G$5:$G$1733,JE_Lines!$B$5:$B$1733,A629)</f>
        <v>78181.1</v>
      </c>
      <c r="D629" s="17" t="n">
        <f aca="false">SUMIFS(JE_Lines!$H$5:$H$1733,JE_Lines!$B$5:$B$1733,A629)</f>
        <v>78181.1</v>
      </c>
      <c r="E629" s="17" t="n">
        <f aca="false">C629-D629</f>
        <v>0</v>
      </c>
      <c r="F629" s="18" t="n">
        <f aca="false">INDEX(JE_Lines!$C$5:$C$1733,MATCH(A629,JE_Lines!$B$5:$B$1733,0))</f>
        <v>45950</v>
      </c>
      <c r="G629" s="18" t="n">
        <f aca="false">INDEX(JE_Lines!$D$5:$D$1733,MATCH(A629,JE_Lines!$B$5:$B$1733,0))</f>
        <v>45912</v>
      </c>
      <c r="H629" s="0" t="str">
        <f aca="false">INDEX(JE_Lines!$I$5:$I$1733,MATCH(A629,JE_Lines!$B$5:$B$1733,0))</f>
        <v>FIN03</v>
      </c>
      <c r="I629" s="0" t="str">
        <f aca="false">INDEX(JE_Lines!$J$5:$J$1733,MATCH(A629,JE_Lines!$B$5:$B$1733,0))</f>
        <v>Manual</v>
      </c>
      <c r="J629" s="0" t="str">
        <f aca="false">IF(LEN(INDEX(JE_Lines!$K$5:$K$1733,MATCH(A629,JE_Lines!$B$5:$B$1733,0)))=0,"",INDEX(JE_Lines!$K$5:$K$1733,MATCH(A629,JE_Lines!$B$5:$B$1733,0)))</f>
        <v>Prior period correction 1</v>
      </c>
      <c r="K629" s="9" t="n">
        <f aca="false">F629-G629</f>
        <v>38</v>
      </c>
      <c r="L629" s="9" t="n">
        <f aca="false">COUNTIFS(JE_Lines!$B$5:$B$1733,A629,JE_Lines!$F$5:$F$1733,"Revenue")</f>
        <v>0</v>
      </c>
      <c r="M629" s="9" t="n">
        <f aca="false">COUNTIFS(JE_Lines!$B$5:$B$1733,A629,JE_Lines!$F$5:$F$1733,"Suspense")</f>
        <v>0</v>
      </c>
      <c r="N629" s="9" t="n">
        <f aca="false">IF(ABS(E629)&gt;Parameters!$B$23,1,0)</f>
        <v>0</v>
      </c>
      <c r="O629" s="9" t="n">
        <f aca="false">IF(WEEKDAY(F629,2)&gt;5,1,0)</f>
        <v>0</v>
      </c>
      <c r="P629" s="9" t="n">
        <f aca="false">IF(K629&gt;Parameters!$B$17,1,0)</f>
        <v>1</v>
      </c>
      <c r="Q629" s="9" t="n">
        <f aca="false">IF(AND(F629&lt;=Parameters!$B$6,F629&gt;Parameters!$B$6-Parameters!$B$18),1,0)</f>
        <v>0</v>
      </c>
      <c r="R629" s="9" t="n">
        <f aca="false">IF(COUNTIF(Parameters!$A$51:$A$58,H629)=0,1,0)</f>
        <v>0</v>
      </c>
      <c r="S629" s="9" t="n">
        <f aca="false">IF(AND(I629="Manual",L629&gt;0),1,0)</f>
        <v>0</v>
      </c>
      <c r="T629" s="9" t="n">
        <f aca="false">IF(AND(C629&gt;=Parameters!$B$22,ROUND(MOD(ROUND(C629,2),Parameters!$B$21),2)=0),1,0)</f>
        <v>0</v>
      </c>
      <c r="U629" s="9" t="n">
        <f aca="false">IF(LEN(TRIM(J629))=0,1,0)</f>
        <v>0</v>
      </c>
      <c r="V629" s="9" t="n">
        <f aca="false">IF(AND(I629="Manual",C629&lt;Parameters!$B$19,C629&gt;=Parameters!$B$19*(1-Parameters!$B$20)),1,0)</f>
        <v>0</v>
      </c>
      <c r="W629" s="9" t="n">
        <f aca="false">IF(AND(I629="Manual",M629&gt;0),1,0)</f>
        <v>0</v>
      </c>
      <c r="X629" s="9" t="n">
        <f aca="false">IF(A629-A628&gt;1,1,0)</f>
        <v>0</v>
      </c>
      <c r="Y629" s="9" t="n">
        <f aca="false">N629*Parameters!$B$38+O629*Parameters!$B$39+P629*Parameters!$B$40+Q629*Parameters!$B$41+R629*Parameters!$B$42+S629*Parameters!$B$43+T629*Parameters!$B$44+U629*Parameters!$B$45+V629*Parameters!$B$46+W629*Parameters!$B$47+X629*Parameters!$B$48</f>
        <v>2</v>
      </c>
      <c r="Z629" s="0" t="str">
        <f aca="false">IF(Y629&gt;=Parameters!$B$25,"High","")</f>
        <v/>
      </c>
    </row>
    <row r="630" customFormat="false" ht="15" hidden="false" customHeight="false" outlineLevel="0" collapsed="false">
      <c r="A630" s="16" t="n">
        <v>1634</v>
      </c>
      <c r="B630" s="9" t="n">
        <f aca="false">COUNTIF(JE_Lines!$B$5:$B$1733,A630)</f>
        <v>2</v>
      </c>
      <c r="C630" s="17" t="n">
        <f aca="false">SUMIFS(JE_Lines!$G$5:$G$1733,JE_Lines!$B$5:$B$1733,A630)</f>
        <v>838.51</v>
      </c>
      <c r="D630" s="17" t="n">
        <f aca="false">SUMIFS(JE_Lines!$H$5:$H$1733,JE_Lines!$B$5:$B$1733,A630)</f>
        <v>838.51</v>
      </c>
      <c r="E630" s="17" t="n">
        <f aca="false">C630-D630</f>
        <v>0</v>
      </c>
      <c r="F630" s="18" t="n">
        <f aca="false">INDEX(JE_Lines!$C$5:$C$1733,MATCH(A630,JE_Lines!$B$5:$B$1733,0))</f>
        <v>45951</v>
      </c>
      <c r="G630" s="18" t="n">
        <f aca="false">INDEX(JE_Lines!$D$5:$D$1733,MATCH(A630,JE_Lines!$B$5:$B$1733,0))</f>
        <v>45949</v>
      </c>
      <c r="H630" s="0" t="str">
        <f aca="false">INDEX(JE_Lines!$I$5:$I$1733,MATCH(A630,JE_Lines!$B$5:$B$1733,0))</f>
        <v>SYS_PAY</v>
      </c>
      <c r="I630" s="0" t="str">
        <f aca="false">INDEX(JE_Lines!$J$5:$J$1733,MATCH(A630,JE_Lines!$B$5:$B$1733,0))</f>
        <v>System</v>
      </c>
      <c r="J630" s="0" t="str">
        <f aca="false">IF(LEN(INDEX(JE_Lines!$K$5:$K$1733,MATCH(A630,JE_Lines!$B$5:$B$1733,0)))=0,"",INDEX(JE_Lines!$K$5:$K$1733,MATCH(A630,JE_Lines!$B$5:$B$1733,0)))</f>
        <v>Supplier payments</v>
      </c>
      <c r="K630" s="9" t="n">
        <f aca="false">F630-G630</f>
        <v>2</v>
      </c>
      <c r="L630" s="9" t="n">
        <f aca="false">COUNTIFS(JE_Lines!$B$5:$B$1733,A630,JE_Lines!$F$5:$F$1733,"Revenue")</f>
        <v>0</v>
      </c>
      <c r="M630" s="9" t="n">
        <f aca="false">COUNTIFS(JE_Lines!$B$5:$B$1733,A630,JE_Lines!$F$5:$F$1733,"Suspense")</f>
        <v>0</v>
      </c>
      <c r="N630" s="9" t="n">
        <f aca="false">IF(ABS(E630)&gt;Parameters!$B$23,1,0)</f>
        <v>0</v>
      </c>
      <c r="O630" s="9" t="n">
        <f aca="false">IF(WEEKDAY(F630,2)&gt;5,1,0)</f>
        <v>0</v>
      </c>
      <c r="P630" s="9" t="n">
        <f aca="false">IF(K630&gt;Parameters!$B$17,1,0)</f>
        <v>0</v>
      </c>
      <c r="Q630" s="9" t="n">
        <f aca="false">IF(AND(F630&lt;=Parameters!$B$6,F630&gt;Parameters!$B$6-Parameters!$B$18),1,0)</f>
        <v>0</v>
      </c>
      <c r="R630" s="9" t="n">
        <f aca="false">IF(COUNTIF(Parameters!$A$51:$A$58,H630)=0,1,0)</f>
        <v>0</v>
      </c>
      <c r="S630" s="9" t="n">
        <f aca="false">IF(AND(I630="Manual",L630&gt;0),1,0)</f>
        <v>0</v>
      </c>
      <c r="T630" s="9" t="n">
        <f aca="false">IF(AND(C630&gt;=Parameters!$B$22,ROUND(MOD(ROUND(C630,2),Parameters!$B$21),2)=0),1,0)</f>
        <v>0</v>
      </c>
      <c r="U630" s="9" t="n">
        <f aca="false">IF(LEN(TRIM(J630))=0,1,0)</f>
        <v>0</v>
      </c>
      <c r="V630" s="9" t="n">
        <f aca="false">IF(AND(I630="Manual",C630&lt;Parameters!$B$19,C630&gt;=Parameters!$B$19*(1-Parameters!$B$20)),1,0)</f>
        <v>0</v>
      </c>
      <c r="W630" s="9" t="n">
        <f aca="false">IF(AND(I630="Manual",M630&gt;0),1,0)</f>
        <v>0</v>
      </c>
      <c r="X630" s="9" t="n">
        <f aca="false">IF(A630-A629&gt;1,1,0)</f>
        <v>0</v>
      </c>
      <c r="Y630" s="9" t="n">
        <f aca="false">N630*Parameters!$B$38+O630*Parameters!$B$39+P630*Parameters!$B$40+Q630*Parameters!$B$41+R630*Parameters!$B$42+S630*Parameters!$B$43+T630*Parameters!$B$44+U630*Parameters!$B$45+V630*Parameters!$B$46+W630*Parameters!$B$47+X630*Parameters!$B$48</f>
        <v>0</v>
      </c>
      <c r="Z630" s="0" t="str">
        <f aca="false">IF(Y630&gt;=Parameters!$B$25,"High","")</f>
        <v/>
      </c>
    </row>
    <row r="631" customFormat="false" ht="15" hidden="false" customHeight="false" outlineLevel="0" collapsed="false">
      <c r="A631" s="16" t="n">
        <v>1635</v>
      </c>
      <c r="B631" s="9" t="n">
        <f aca="false">COUNTIF(JE_Lines!$B$5:$B$1733,A631)</f>
        <v>2</v>
      </c>
      <c r="C631" s="17" t="n">
        <f aca="false">SUMIFS(JE_Lines!$G$5:$G$1733,JE_Lines!$B$5:$B$1733,A631)</f>
        <v>3623.62</v>
      </c>
      <c r="D631" s="17" t="n">
        <f aca="false">SUMIFS(JE_Lines!$H$5:$H$1733,JE_Lines!$B$5:$B$1733,A631)</f>
        <v>3623.62</v>
      </c>
      <c r="E631" s="17" t="n">
        <f aca="false">C631-D631</f>
        <v>0</v>
      </c>
      <c r="F631" s="18" t="n">
        <f aca="false">INDEX(JE_Lines!$C$5:$C$1733,MATCH(A631,JE_Lines!$B$5:$B$1733,0))</f>
        <v>45952</v>
      </c>
      <c r="G631" s="18" t="n">
        <f aca="false">INDEX(JE_Lines!$D$5:$D$1733,MATCH(A631,JE_Lines!$B$5:$B$1733,0))</f>
        <v>45952</v>
      </c>
      <c r="H631" s="0" t="str">
        <f aca="false">INDEX(JE_Lines!$I$5:$I$1733,MATCH(A631,JE_Lines!$B$5:$B$1733,0))</f>
        <v>SYS_AR</v>
      </c>
      <c r="I631" s="0" t="str">
        <f aca="false">INDEX(JE_Lines!$J$5:$J$1733,MATCH(A631,JE_Lines!$B$5:$B$1733,0))</f>
        <v>System</v>
      </c>
      <c r="J631" s="0" t="str">
        <f aca="false">IF(LEN(INDEX(JE_Lines!$K$5:$K$1733,MATCH(A631,JE_Lines!$B$5:$B$1733,0)))=0,"",INDEX(JE_Lines!$K$5:$K$1733,MATCH(A631,JE_Lines!$B$5:$B$1733,0)))</f>
        <v>Cost of sales posting</v>
      </c>
      <c r="K631" s="9" t="n">
        <f aca="false">F631-G631</f>
        <v>0</v>
      </c>
      <c r="L631" s="9" t="n">
        <f aca="false">COUNTIFS(JE_Lines!$B$5:$B$1733,A631,JE_Lines!$F$5:$F$1733,"Revenue")</f>
        <v>0</v>
      </c>
      <c r="M631" s="9" t="n">
        <f aca="false">COUNTIFS(JE_Lines!$B$5:$B$1733,A631,JE_Lines!$F$5:$F$1733,"Suspense")</f>
        <v>0</v>
      </c>
      <c r="N631" s="9" t="n">
        <f aca="false">IF(ABS(E631)&gt;Parameters!$B$23,1,0)</f>
        <v>0</v>
      </c>
      <c r="O631" s="9" t="n">
        <f aca="false">IF(WEEKDAY(F631,2)&gt;5,1,0)</f>
        <v>0</v>
      </c>
      <c r="P631" s="9" t="n">
        <f aca="false">IF(K631&gt;Parameters!$B$17,1,0)</f>
        <v>0</v>
      </c>
      <c r="Q631" s="9" t="n">
        <f aca="false">IF(AND(F631&lt;=Parameters!$B$6,F631&gt;Parameters!$B$6-Parameters!$B$18),1,0)</f>
        <v>0</v>
      </c>
      <c r="R631" s="9" t="n">
        <f aca="false">IF(COUNTIF(Parameters!$A$51:$A$58,H631)=0,1,0)</f>
        <v>0</v>
      </c>
      <c r="S631" s="9" t="n">
        <f aca="false">IF(AND(I631="Manual",L631&gt;0),1,0)</f>
        <v>0</v>
      </c>
      <c r="T631" s="9" t="n">
        <f aca="false">IF(AND(C631&gt;=Parameters!$B$22,ROUND(MOD(ROUND(C631,2),Parameters!$B$21),2)=0),1,0)</f>
        <v>0</v>
      </c>
      <c r="U631" s="9" t="n">
        <f aca="false">IF(LEN(TRIM(J631))=0,1,0)</f>
        <v>0</v>
      </c>
      <c r="V631" s="9" t="n">
        <f aca="false">IF(AND(I631="Manual",C631&lt;Parameters!$B$19,C631&gt;=Parameters!$B$19*(1-Parameters!$B$20)),1,0)</f>
        <v>0</v>
      </c>
      <c r="W631" s="9" t="n">
        <f aca="false">IF(AND(I631="Manual",M631&gt;0),1,0)</f>
        <v>0</v>
      </c>
      <c r="X631" s="9" t="n">
        <f aca="false">IF(A631-A630&gt;1,1,0)</f>
        <v>0</v>
      </c>
      <c r="Y631" s="9" t="n">
        <f aca="false">N631*Parameters!$B$38+O631*Parameters!$B$39+P631*Parameters!$B$40+Q631*Parameters!$B$41+R631*Parameters!$B$42+S631*Parameters!$B$43+T631*Parameters!$B$44+U631*Parameters!$B$45+V631*Parameters!$B$46+W631*Parameters!$B$47+X631*Parameters!$B$48</f>
        <v>0</v>
      </c>
      <c r="Z631" s="0" t="str">
        <f aca="false">IF(Y631&gt;=Parameters!$B$25,"High","")</f>
        <v/>
      </c>
    </row>
    <row r="632" customFormat="false" ht="15" hidden="false" customHeight="false" outlineLevel="0" collapsed="false">
      <c r="A632" s="16" t="n">
        <v>1636</v>
      </c>
      <c r="B632" s="9" t="n">
        <f aca="false">COUNTIF(JE_Lines!$B$5:$B$1733,A632)</f>
        <v>2</v>
      </c>
      <c r="C632" s="17" t="n">
        <f aca="false">SUMIFS(JE_Lines!$G$5:$G$1733,JE_Lines!$B$5:$B$1733,A632)</f>
        <v>3877.67</v>
      </c>
      <c r="D632" s="17" t="n">
        <f aca="false">SUMIFS(JE_Lines!$H$5:$H$1733,JE_Lines!$B$5:$B$1733,A632)</f>
        <v>3877.67</v>
      </c>
      <c r="E632" s="17" t="n">
        <f aca="false">C632-D632</f>
        <v>0</v>
      </c>
      <c r="F632" s="18" t="n">
        <f aca="false">INDEX(JE_Lines!$C$5:$C$1733,MATCH(A632,JE_Lines!$B$5:$B$1733,0))</f>
        <v>45952</v>
      </c>
      <c r="G632" s="18" t="n">
        <f aca="false">INDEX(JE_Lines!$D$5:$D$1733,MATCH(A632,JE_Lines!$B$5:$B$1733,0))</f>
        <v>45951</v>
      </c>
      <c r="H632" s="0" t="str">
        <f aca="false">INDEX(JE_Lines!$I$5:$I$1733,MATCH(A632,JE_Lines!$B$5:$B$1733,0))</f>
        <v>SYS_AP</v>
      </c>
      <c r="I632" s="0" t="str">
        <f aca="false">INDEX(JE_Lines!$J$5:$J$1733,MATCH(A632,JE_Lines!$B$5:$B$1733,0))</f>
        <v>System</v>
      </c>
      <c r="J632" s="0" t="str">
        <f aca="false">IF(LEN(INDEX(JE_Lines!$K$5:$K$1733,MATCH(A632,JE_Lines!$B$5:$B$1733,0)))=0,"",INDEX(JE_Lines!$K$5:$K$1733,MATCH(A632,JE_Lines!$B$5:$B$1733,0)))</f>
        <v>Supplier invoices</v>
      </c>
      <c r="K632" s="9" t="n">
        <f aca="false">F632-G632</f>
        <v>1</v>
      </c>
      <c r="L632" s="9" t="n">
        <f aca="false">COUNTIFS(JE_Lines!$B$5:$B$1733,A632,JE_Lines!$F$5:$F$1733,"Revenue")</f>
        <v>0</v>
      </c>
      <c r="M632" s="9" t="n">
        <f aca="false">COUNTIFS(JE_Lines!$B$5:$B$1733,A632,JE_Lines!$F$5:$F$1733,"Suspense")</f>
        <v>0</v>
      </c>
      <c r="N632" s="9" t="n">
        <f aca="false">IF(ABS(E632)&gt;Parameters!$B$23,1,0)</f>
        <v>0</v>
      </c>
      <c r="O632" s="9" t="n">
        <f aca="false">IF(WEEKDAY(F632,2)&gt;5,1,0)</f>
        <v>0</v>
      </c>
      <c r="P632" s="9" t="n">
        <f aca="false">IF(K632&gt;Parameters!$B$17,1,0)</f>
        <v>0</v>
      </c>
      <c r="Q632" s="9" t="n">
        <f aca="false">IF(AND(F632&lt;=Parameters!$B$6,F632&gt;Parameters!$B$6-Parameters!$B$18),1,0)</f>
        <v>0</v>
      </c>
      <c r="R632" s="9" t="n">
        <f aca="false">IF(COUNTIF(Parameters!$A$51:$A$58,H632)=0,1,0)</f>
        <v>0</v>
      </c>
      <c r="S632" s="9" t="n">
        <f aca="false">IF(AND(I632="Manual",L632&gt;0),1,0)</f>
        <v>0</v>
      </c>
      <c r="T632" s="9" t="n">
        <f aca="false">IF(AND(C632&gt;=Parameters!$B$22,ROUND(MOD(ROUND(C632,2),Parameters!$B$21),2)=0),1,0)</f>
        <v>0</v>
      </c>
      <c r="U632" s="9" t="n">
        <f aca="false">IF(LEN(TRIM(J632))=0,1,0)</f>
        <v>0</v>
      </c>
      <c r="V632" s="9" t="n">
        <f aca="false">IF(AND(I632="Manual",C632&lt;Parameters!$B$19,C632&gt;=Parameters!$B$19*(1-Parameters!$B$20)),1,0)</f>
        <v>0</v>
      </c>
      <c r="W632" s="9" t="n">
        <f aca="false">IF(AND(I632="Manual",M632&gt;0),1,0)</f>
        <v>0</v>
      </c>
      <c r="X632" s="9" t="n">
        <f aca="false">IF(A632-A631&gt;1,1,0)</f>
        <v>0</v>
      </c>
      <c r="Y632" s="9" t="n">
        <f aca="false">N632*Parameters!$B$38+O632*Parameters!$B$39+P632*Parameters!$B$40+Q632*Parameters!$B$41+R632*Parameters!$B$42+S632*Parameters!$B$43+T632*Parameters!$B$44+U632*Parameters!$B$45+V632*Parameters!$B$46+W632*Parameters!$B$47+X632*Parameters!$B$48</f>
        <v>0</v>
      </c>
      <c r="Z632" s="0" t="str">
        <f aca="false">IF(Y632&gt;=Parameters!$B$25,"High","")</f>
        <v/>
      </c>
    </row>
    <row r="633" customFormat="false" ht="15" hidden="false" customHeight="false" outlineLevel="0" collapsed="false">
      <c r="A633" s="16" t="n">
        <v>1637</v>
      </c>
      <c r="B633" s="9" t="n">
        <f aca="false">COUNTIF(JE_Lines!$B$5:$B$1733,A633)</f>
        <v>2</v>
      </c>
      <c r="C633" s="17" t="n">
        <f aca="false">SUMIFS(JE_Lines!$G$5:$G$1733,JE_Lines!$B$5:$B$1733,A633)</f>
        <v>1208.44</v>
      </c>
      <c r="D633" s="17" t="n">
        <f aca="false">SUMIFS(JE_Lines!$H$5:$H$1733,JE_Lines!$B$5:$B$1733,A633)</f>
        <v>1208.44</v>
      </c>
      <c r="E633" s="17" t="n">
        <f aca="false">C633-D633</f>
        <v>0</v>
      </c>
      <c r="F633" s="18" t="n">
        <f aca="false">INDEX(JE_Lines!$C$5:$C$1733,MATCH(A633,JE_Lines!$B$5:$B$1733,0))</f>
        <v>45952</v>
      </c>
      <c r="G633" s="18" t="n">
        <f aca="false">INDEX(JE_Lines!$D$5:$D$1733,MATCH(A633,JE_Lines!$B$5:$B$1733,0))</f>
        <v>45952</v>
      </c>
      <c r="H633" s="0" t="str">
        <f aca="false">INDEX(JE_Lines!$I$5:$I$1733,MATCH(A633,JE_Lines!$B$5:$B$1733,0))</f>
        <v>ADMIN</v>
      </c>
      <c r="I633" s="0" t="str">
        <f aca="false">INDEX(JE_Lines!$J$5:$J$1733,MATCH(A633,JE_Lines!$B$5:$B$1733,0))</f>
        <v>Manual</v>
      </c>
      <c r="J633" s="0" t="str">
        <f aca="false">IF(LEN(INDEX(JE_Lines!$K$5:$K$1733,MATCH(A633,JE_Lines!$B$5:$B$1733,0)))=0,"",INDEX(JE_Lines!$K$5:$K$1733,MATCH(A633,JE_Lines!$B$5:$B$1733,0)))</f>
        <v>Manual journal 5</v>
      </c>
      <c r="K633" s="9" t="n">
        <f aca="false">F633-G633</f>
        <v>0</v>
      </c>
      <c r="L633" s="9" t="n">
        <f aca="false">COUNTIFS(JE_Lines!$B$5:$B$1733,A633,JE_Lines!$F$5:$F$1733,"Revenue")</f>
        <v>0</v>
      </c>
      <c r="M633" s="9" t="n">
        <f aca="false">COUNTIFS(JE_Lines!$B$5:$B$1733,A633,JE_Lines!$F$5:$F$1733,"Suspense")</f>
        <v>0</v>
      </c>
      <c r="N633" s="9" t="n">
        <f aca="false">IF(ABS(E633)&gt;Parameters!$B$23,1,0)</f>
        <v>0</v>
      </c>
      <c r="O633" s="9" t="n">
        <f aca="false">IF(WEEKDAY(F633,2)&gt;5,1,0)</f>
        <v>0</v>
      </c>
      <c r="P633" s="9" t="n">
        <f aca="false">IF(K633&gt;Parameters!$B$17,1,0)</f>
        <v>0</v>
      </c>
      <c r="Q633" s="9" t="n">
        <f aca="false">IF(AND(F633&lt;=Parameters!$B$6,F633&gt;Parameters!$B$6-Parameters!$B$18),1,0)</f>
        <v>0</v>
      </c>
      <c r="R633" s="9" t="n">
        <f aca="false">IF(COUNTIF(Parameters!$A$51:$A$58,H633)=0,1,0)</f>
        <v>1</v>
      </c>
      <c r="S633" s="9" t="n">
        <f aca="false">IF(AND(I633="Manual",L633&gt;0),1,0)</f>
        <v>0</v>
      </c>
      <c r="T633" s="9" t="n">
        <f aca="false">IF(AND(C633&gt;=Parameters!$B$22,ROUND(MOD(ROUND(C633,2),Parameters!$B$21),2)=0),1,0)</f>
        <v>0</v>
      </c>
      <c r="U633" s="9" t="n">
        <f aca="false">IF(LEN(TRIM(J633))=0,1,0)</f>
        <v>0</v>
      </c>
      <c r="V633" s="9" t="n">
        <f aca="false">IF(AND(I633="Manual",C633&lt;Parameters!$B$19,C633&gt;=Parameters!$B$19*(1-Parameters!$B$20)),1,0)</f>
        <v>0</v>
      </c>
      <c r="W633" s="9" t="n">
        <f aca="false">IF(AND(I633="Manual",M633&gt;0),1,0)</f>
        <v>0</v>
      </c>
      <c r="X633" s="9" t="n">
        <f aca="false">IF(A633-A632&gt;1,1,0)</f>
        <v>0</v>
      </c>
      <c r="Y633" s="9" t="n">
        <f aca="false">N633*Parameters!$B$38+O633*Parameters!$B$39+P633*Parameters!$B$40+Q633*Parameters!$B$41+R633*Parameters!$B$42+S633*Parameters!$B$43+T633*Parameters!$B$44+U633*Parameters!$B$45+V633*Parameters!$B$46+W633*Parameters!$B$47+X633*Parameters!$B$48</f>
        <v>3</v>
      </c>
      <c r="Z633" s="0" t="str">
        <f aca="false">IF(Y633&gt;=Parameters!$B$25,"High","")</f>
        <v/>
      </c>
    </row>
    <row r="634" customFormat="false" ht="15" hidden="false" customHeight="false" outlineLevel="0" collapsed="false">
      <c r="A634" s="16" t="n">
        <v>1638</v>
      </c>
      <c r="B634" s="9" t="n">
        <f aca="false">COUNTIF(JE_Lines!$B$5:$B$1733,A634)</f>
        <v>2</v>
      </c>
      <c r="C634" s="17" t="n">
        <f aca="false">SUMIFS(JE_Lines!$G$5:$G$1733,JE_Lines!$B$5:$B$1733,A634)</f>
        <v>1476.41</v>
      </c>
      <c r="D634" s="17" t="n">
        <f aca="false">SUMIFS(JE_Lines!$H$5:$H$1733,JE_Lines!$B$5:$B$1733,A634)</f>
        <v>1476.41</v>
      </c>
      <c r="E634" s="17" t="n">
        <f aca="false">C634-D634</f>
        <v>0</v>
      </c>
      <c r="F634" s="18" t="n">
        <f aca="false">INDEX(JE_Lines!$C$5:$C$1733,MATCH(A634,JE_Lines!$B$5:$B$1733,0))</f>
        <v>45953</v>
      </c>
      <c r="G634" s="18" t="n">
        <f aca="false">INDEX(JE_Lines!$D$5:$D$1733,MATCH(A634,JE_Lines!$B$5:$B$1733,0))</f>
        <v>45953</v>
      </c>
      <c r="H634" s="0" t="str">
        <f aca="false">INDEX(JE_Lines!$I$5:$I$1733,MATCH(A634,JE_Lines!$B$5:$B$1733,0))</f>
        <v>SYS_AR</v>
      </c>
      <c r="I634" s="0" t="str">
        <f aca="false">INDEX(JE_Lines!$J$5:$J$1733,MATCH(A634,JE_Lines!$B$5:$B$1733,0))</f>
        <v>System</v>
      </c>
      <c r="J634" s="0" t="str">
        <f aca="false">IF(LEN(INDEX(JE_Lines!$K$5:$K$1733,MATCH(A634,JE_Lines!$B$5:$B$1733,0)))=0,"",INDEX(JE_Lines!$K$5:$K$1733,MATCH(A634,JE_Lines!$B$5:$B$1733,0)))</f>
        <v>Cost of sales posting</v>
      </c>
      <c r="K634" s="9" t="n">
        <f aca="false">F634-G634</f>
        <v>0</v>
      </c>
      <c r="L634" s="9" t="n">
        <f aca="false">COUNTIFS(JE_Lines!$B$5:$B$1733,A634,JE_Lines!$F$5:$F$1733,"Revenue")</f>
        <v>0</v>
      </c>
      <c r="M634" s="9" t="n">
        <f aca="false">COUNTIFS(JE_Lines!$B$5:$B$1733,A634,JE_Lines!$F$5:$F$1733,"Suspense")</f>
        <v>0</v>
      </c>
      <c r="N634" s="9" t="n">
        <f aca="false">IF(ABS(E634)&gt;Parameters!$B$23,1,0)</f>
        <v>0</v>
      </c>
      <c r="O634" s="9" t="n">
        <f aca="false">IF(WEEKDAY(F634,2)&gt;5,1,0)</f>
        <v>0</v>
      </c>
      <c r="P634" s="9" t="n">
        <f aca="false">IF(K634&gt;Parameters!$B$17,1,0)</f>
        <v>0</v>
      </c>
      <c r="Q634" s="9" t="n">
        <f aca="false">IF(AND(F634&lt;=Parameters!$B$6,F634&gt;Parameters!$B$6-Parameters!$B$18),1,0)</f>
        <v>0</v>
      </c>
      <c r="R634" s="9" t="n">
        <f aca="false">IF(COUNTIF(Parameters!$A$51:$A$58,H634)=0,1,0)</f>
        <v>0</v>
      </c>
      <c r="S634" s="9" t="n">
        <f aca="false">IF(AND(I634="Manual",L634&gt;0),1,0)</f>
        <v>0</v>
      </c>
      <c r="T634" s="9" t="n">
        <f aca="false">IF(AND(C634&gt;=Parameters!$B$22,ROUND(MOD(ROUND(C634,2),Parameters!$B$21),2)=0),1,0)</f>
        <v>0</v>
      </c>
      <c r="U634" s="9" t="n">
        <f aca="false">IF(LEN(TRIM(J634))=0,1,0)</f>
        <v>0</v>
      </c>
      <c r="V634" s="9" t="n">
        <f aca="false">IF(AND(I634="Manual",C634&lt;Parameters!$B$19,C634&gt;=Parameters!$B$19*(1-Parameters!$B$20)),1,0)</f>
        <v>0</v>
      </c>
      <c r="W634" s="9" t="n">
        <f aca="false">IF(AND(I634="Manual",M634&gt;0),1,0)</f>
        <v>0</v>
      </c>
      <c r="X634" s="9" t="n">
        <f aca="false">IF(A634-A633&gt;1,1,0)</f>
        <v>0</v>
      </c>
      <c r="Y634" s="9" t="n">
        <f aca="false">N634*Parameters!$B$38+O634*Parameters!$B$39+P634*Parameters!$B$40+Q634*Parameters!$B$41+R634*Parameters!$B$42+S634*Parameters!$B$43+T634*Parameters!$B$44+U634*Parameters!$B$45+V634*Parameters!$B$46+W634*Parameters!$B$47+X634*Parameters!$B$48</f>
        <v>0</v>
      </c>
      <c r="Z634" s="0" t="str">
        <f aca="false">IF(Y634&gt;=Parameters!$B$25,"High","")</f>
        <v/>
      </c>
    </row>
    <row r="635" customFormat="false" ht="15" hidden="false" customHeight="false" outlineLevel="0" collapsed="false">
      <c r="A635" s="16" t="n">
        <v>1639</v>
      </c>
      <c r="B635" s="9" t="n">
        <f aca="false">COUNTIF(JE_Lines!$B$5:$B$1733,A635)</f>
        <v>2</v>
      </c>
      <c r="C635" s="17" t="n">
        <f aca="false">SUMIFS(JE_Lines!$G$5:$G$1733,JE_Lines!$B$5:$B$1733,A635)</f>
        <v>609.26</v>
      </c>
      <c r="D635" s="17" t="n">
        <f aca="false">SUMIFS(JE_Lines!$H$5:$H$1733,JE_Lines!$B$5:$B$1733,A635)</f>
        <v>609.26</v>
      </c>
      <c r="E635" s="17" t="n">
        <f aca="false">C635-D635</f>
        <v>0</v>
      </c>
      <c r="F635" s="18" t="n">
        <f aca="false">INDEX(JE_Lines!$C$5:$C$1733,MATCH(A635,JE_Lines!$B$5:$B$1733,0))</f>
        <v>45953</v>
      </c>
      <c r="G635" s="18" t="n">
        <f aca="false">INDEX(JE_Lines!$D$5:$D$1733,MATCH(A635,JE_Lines!$B$5:$B$1733,0))</f>
        <v>45952</v>
      </c>
      <c r="H635" s="0" t="str">
        <f aca="false">INDEX(JE_Lines!$I$5:$I$1733,MATCH(A635,JE_Lines!$B$5:$B$1733,0))</f>
        <v>SYS_AP</v>
      </c>
      <c r="I635" s="0" t="str">
        <f aca="false">INDEX(JE_Lines!$J$5:$J$1733,MATCH(A635,JE_Lines!$B$5:$B$1733,0))</f>
        <v>System</v>
      </c>
      <c r="J635" s="0" t="str">
        <f aca="false">IF(LEN(INDEX(JE_Lines!$K$5:$K$1733,MATCH(A635,JE_Lines!$B$5:$B$1733,0)))=0,"",INDEX(JE_Lines!$K$5:$K$1733,MATCH(A635,JE_Lines!$B$5:$B$1733,0)))</f>
        <v>Supplier invoices</v>
      </c>
      <c r="K635" s="9" t="n">
        <f aca="false">F635-G635</f>
        <v>1</v>
      </c>
      <c r="L635" s="9" t="n">
        <f aca="false">COUNTIFS(JE_Lines!$B$5:$B$1733,A635,JE_Lines!$F$5:$F$1733,"Revenue")</f>
        <v>0</v>
      </c>
      <c r="M635" s="9" t="n">
        <f aca="false">COUNTIFS(JE_Lines!$B$5:$B$1733,A635,JE_Lines!$F$5:$F$1733,"Suspense")</f>
        <v>0</v>
      </c>
      <c r="N635" s="9" t="n">
        <f aca="false">IF(ABS(E635)&gt;Parameters!$B$23,1,0)</f>
        <v>0</v>
      </c>
      <c r="O635" s="9" t="n">
        <f aca="false">IF(WEEKDAY(F635,2)&gt;5,1,0)</f>
        <v>0</v>
      </c>
      <c r="P635" s="9" t="n">
        <f aca="false">IF(K635&gt;Parameters!$B$17,1,0)</f>
        <v>0</v>
      </c>
      <c r="Q635" s="9" t="n">
        <f aca="false">IF(AND(F635&lt;=Parameters!$B$6,F635&gt;Parameters!$B$6-Parameters!$B$18),1,0)</f>
        <v>0</v>
      </c>
      <c r="R635" s="9" t="n">
        <f aca="false">IF(COUNTIF(Parameters!$A$51:$A$58,H635)=0,1,0)</f>
        <v>0</v>
      </c>
      <c r="S635" s="9" t="n">
        <f aca="false">IF(AND(I635="Manual",L635&gt;0),1,0)</f>
        <v>0</v>
      </c>
      <c r="T635" s="9" t="n">
        <f aca="false">IF(AND(C635&gt;=Parameters!$B$22,ROUND(MOD(ROUND(C635,2),Parameters!$B$21),2)=0),1,0)</f>
        <v>0</v>
      </c>
      <c r="U635" s="9" t="n">
        <f aca="false">IF(LEN(TRIM(J635))=0,1,0)</f>
        <v>0</v>
      </c>
      <c r="V635" s="9" t="n">
        <f aca="false">IF(AND(I635="Manual",C635&lt;Parameters!$B$19,C635&gt;=Parameters!$B$19*(1-Parameters!$B$20)),1,0)</f>
        <v>0</v>
      </c>
      <c r="W635" s="9" t="n">
        <f aca="false">IF(AND(I635="Manual",M635&gt;0),1,0)</f>
        <v>0</v>
      </c>
      <c r="X635" s="9" t="n">
        <f aca="false">IF(A635-A634&gt;1,1,0)</f>
        <v>0</v>
      </c>
      <c r="Y635" s="9" t="n">
        <f aca="false">N635*Parameters!$B$38+O635*Parameters!$B$39+P635*Parameters!$B$40+Q635*Parameters!$B$41+R635*Parameters!$B$42+S635*Parameters!$B$43+T635*Parameters!$B$44+U635*Parameters!$B$45+V635*Parameters!$B$46+W635*Parameters!$B$47+X635*Parameters!$B$48</f>
        <v>0</v>
      </c>
      <c r="Z635" s="0" t="str">
        <f aca="false">IF(Y635&gt;=Parameters!$B$25,"High","")</f>
        <v/>
      </c>
    </row>
    <row r="636" customFormat="false" ht="15" hidden="false" customHeight="false" outlineLevel="0" collapsed="false">
      <c r="A636" s="16" t="n">
        <v>1640</v>
      </c>
      <c r="B636" s="9" t="n">
        <f aca="false">COUNTIF(JE_Lines!$B$5:$B$1733,A636)</f>
        <v>2</v>
      </c>
      <c r="C636" s="17" t="n">
        <f aca="false">SUMIFS(JE_Lines!$G$5:$G$1733,JE_Lines!$B$5:$B$1733,A636)</f>
        <v>142617.3</v>
      </c>
      <c r="D636" s="17" t="n">
        <f aca="false">SUMIFS(JE_Lines!$H$5:$H$1733,JE_Lines!$B$5:$B$1733,A636)</f>
        <v>142617.3</v>
      </c>
      <c r="E636" s="17" t="n">
        <f aca="false">C636-D636</f>
        <v>0</v>
      </c>
      <c r="F636" s="18" t="n">
        <f aca="false">INDEX(JE_Lines!$C$5:$C$1733,MATCH(A636,JE_Lines!$B$5:$B$1733,0))</f>
        <v>45954</v>
      </c>
      <c r="G636" s="18" t="n">
        <f aca="false">INDEX(JE_Lines!$D$5:$D$1733,MATCH(A636,JE_Lines!$B$5:$B$1733,0))</f>
        <v>45950</v>
      </c>
      <c r="H636" s="0" t="str">
        <f aca="false">INDEX(JE_Lines!$I$5:$I$1733,MATCH(A636,JE_Lines!$B$5:$B$1733,0))</f>
        <v>SYS_AR</v>
      </c>
      <c r="I636" s="0" t="str">
        <f aca="false">INDEX(JE_Lines!$J$5:$J$1733,MATCH(A636,JE_Lines!$B$5:$B$1733,0))</f>
        <v>System</v>
      </c>
      <c r="J636" s="0" t="str">
        <f aca="false">IF(LEN(INDEX(JE_Lines!$K$5:$K$1733,MATCH(A636,JE_Lines!$B$5:$B$1733,0)))=0,"",INDEX(JE_Lines!$K$5:$K$1733,MATCH(A636,JE_Lines!$B$5:$B$1733,0)))</f>
        <v>Customer receipts</v>
      </c>
      <c r="K636" s="9" t="n">
        <f aca="false">F636-G636</f>
        <v>4</v>
      </c>
      <c r="L636" s="9" t="n">
        <f aca="false">COUNTIFS(JE_Lines!$B$5:$B$1733,A636,JE_Lines!$F$5:$F$1733,"Revenue")</f>
        <v>0</v>
      </c>
      <c r="M636" s="9" t="n">
        <f aca="false">COUNTIFS(JE_Lines!$B$5:$B$1733,A636,JE_Lines!$F$5:$F$1733,"Suspense")</f>
        <v>0</v>
      </c>
      <c r="N636" s="9" t="n">
        <f aca="false">IF(ABS(E636)&gt;Parameters!$B$23,1,0)</f>
        <v>0</v>
      </c>
      <c r="O636" s="9" t="n">
        <f aca="false">IF(WEEKDAY(F636,2)&gt;5,1,0)</f>
        <v>0</v>
      </c>
      <c r="P636" s="9" t="n">
        <f aca="false">IF(K636&gt;Parameters!$B$17,1,0)</f>
        <v>0</v>
      </c>
      <c r="Q636" s="9" t="n">
        <f aca="false">IF(AND(F636&lt;=Parameters!$B$6,F636&gt;Parameters!$B$6-Parameters!$B$18),1,0)</f>
        <v>0</v>
      </c>
      <c r="R636" s="9" t="n">
        <f aca="false">IF(COUNTIF(Parameters!$A$51:$A$58,H636)=0,1,0)</f>
        <v>0</v>
      </c>
      <c r="S636" s="9" t="n">
        <f aca="false">IF(AND(I636="Manual",L636&gt;0),1,0)</f>
        <v>0</v>
      </c>
      <c r="T636" s="9" t="n">
        <f aca="false">IF(AND(C636&gt;=Parameters!$B$22,ROUND(MOD(ROUND(C636,2),Parameters!$B$21),2)=0),1,0)</f>
        <v>0</v>
      </c>
      <c r="U636" s="9" t="n">
        <f aca="false">IF(LEN(TRIM(J636))=0,1,0)</f>
        <v>0</v>
      </c>
      <c r="V636" s="9" t="n">
        <f aca="false">IF(AND(I636="Manual",C636&lt;Parameters!$B$19,C636&gt;=Parameters!$B$19*(1-Parameters!$B$20)),1,0)</f>
        <v>0</v>
      </c>
      <c r="W636" s="9" t="n">
        <f aca="false">IF(AND(I636="Manual",M636&gt;0),1,0)</f>
        <v>0</v>
      </c>
      <c r="X636" s="9" t="n">
        <f aca="false">IF(A636-A635&gt;1,1,0)</f>
        <v>0</v>
      </c>
      <c r="Y636" s="9" t="n">
        <f aca="false">N636*Parameters!$B$38+O636*Parameters!$B$39+P636*Parameters!$B$40+Q636*Parameters!$B$41+R636*Parameters!$B$42+S636*Parameters!$B$43+T636*Parameters!$B$44+U636*Parameters!$B$45+V636*Parameters!$B$46+W636*Parameters!$B$47+X636*Parameters!$B$48</f>
        <v>0</v>
      </c>
      <c r="Z636" s="0" t="str">
        <f aca="false">IF(Y636&gt;=Parameters!$B$25,"High","")</f>
        <v/>
      </c>
    </row>
    <row r="637" customFormat="false" ht="15" hidden="false" customHeight="false" outlineLevel="0" collapsed="false">
      <c r="A637" s="16" t="n">
        <v>1641</v>
      </c>
      <c r="B637" s="9" t="n">
        <f aca="false">COUNTIF(JE_Lines!$B$5:$B$1733,A637)</f>
        <v>2</v>
      </c>
      <c r="C637" s="17" t="n">
        <f aca="false">SUMIFS(JE_Lines!$G$5:$G$1733,JE_Lines!$B$5:$B$1733,A637)</f>
        <v>46471.56</v>
      </c>
      <c r="D637" s="17" t="n">
        <f aca="false">SUMIFS(JE_Lines!$H$5:$H$1733,JE_Lines!$B$5:$B$1733,A637)</f>
        <v>46471.56</v>
      </c>
      <c r="E637" s="17" t="n">
        <f aca="false">C637-D637</f>
        <v>0</v>
      </c>
      <c r="F637" s="18" t="n">
        <f aca="false">INDEX(JE_Lines!$C$5:$C$1733,MATCH(A637,JE_Lines!$B$5:$B$1733,0))</f>
        <v>45954</v>
      </c>
      <c r="G637" s="18" t="n">
        <f aca="false">INDEX(JE_Lines!$D$5:$D$1733,MATCH(A637,JE_Lines!$B$5:$B$1733,0))</f>
        <v>45951</v>
      </c>
      <c r="H637" s="0" t="str">
        <f aca="false">INDEX(JE_Lines!$I$5:$I$1733,MATCH(A637,JE_Lines!$B$5:$B$1733,0))</f>
        <v>SYS_AR</v>
      </c>
      <c r="I637" s="0" t="str">
        <f aca="false">INDEX(JE_Lines!$J$5:$J$1733,MATCH(A637,JE_Lines!$B$5:$B$1733,0))</f>
        <v>System</v>
      </c>
      <c r="J637" s="0" t="str">
        <f aca="false">IF(LEN(INDEX(JE_Lines!$K$5:$K$1733,MATCH(A637,JE_Lines!$B$5:$B$1733,0)))=0,"",INDEX(JE_Lines!$K$5:$K$1733,MATCH(A637,JE_Lines!$B$5:$B$1733,0)))</f>
        <v>Customer receipts</v>
      </c>
      <c r="K637" s="9" t="n">
        <f aca="false">F637-G637</f>
        <v>3</v>
      </c>
      <c r="L637" s="9" t="n">
        <f aca="false">COUNTIFS(JE_Lines!$B$5:$B$1733,A637,JE_Lines!$F$5:$F$1733,"Revenue")</f>
        <v>0</v>
      </c>
      <c r="M637" s="9" t="n">
        <f aca="false">COUNTIFS(JE_Lines!$B$5:$B$1733,A637,JE_Lines!$F$5:$F$1733,"Suspense")</f>
        <v>0</v>
      </c>
      <c r="N637" s="9" t="n">
        <f aca="false">IF(ABS(E637)&gt;Parameters!$B$23,1,0)</f>
        <v>0</v>
      </c>
      <c r="O637" s="9" t="n">
        <f aca="false">IF(WEEKDAY(F637,2)&gt;5,1,0)</f>
        <v>0</v>
      </c>
      <c r="P637" s="9" t="n">
        <f aca="false">IF(K637&gt;Parameters!$B$17,1,0)</f>
        <v>0</v>
      </c>
      <c r="Q637" s="9" t="n">
        <f aca="false">IF(AND(F637&lt;=Parameters!$B$6,F637&gt;Parameters!$B$6-Parameters!$B$18),1,0)</f>
        <v>0</v>
      </c>
      <c r="R637" s="9" t="n">
        <f aca="false">IF(COUNTIF(Parameters!$A$51:$A$58,H637)=0,1,0)</f>
        <v>0</v>
      </c>
      <c r="S637" s="9" t="n">
        <f aca="false">IF(AND(I637="Manual",L637&gt;0),1,0)</f>
        <v>0</v>
      </c>
      <c r="T637" s="9" t="n">
        <f aca="false">IF(AND(C637&gt;=Parameters!$B$22,ROUND(MOD(ROUND(C637,2),Parameters!$B$21),2)=0),1,0)</f>
        <v>0</v>
      </c>
      <c r="U637" s="9" t="n">
        <f aca="false">IF(LEN(TRIM(J637))=0,1,0)</f>
        <v>0</v>
      </c>
      <c r="V637" s="9" t="n">
        <f aca="false">IF(AND(I637="Manual",C637&lt;Parameters!$B$19,C637&gt;=Parameters!$B$19*(1-Parameters!$B$20)),1,0)</f>
        <v>0</v>
      </c>
      <c r="W637" s="9" t="n">
        <f aca="false">IF(AND(I637="Manual",M637&gt;0),1,0)</f>
        <v>0</v>
      </c>
      <c r="X637" s="9" t="n">
        <f aca="false">IF(A637-A636&gt;1,1,0)</f>
        <v>0</v>
      </c>
      <c r="Y637" s="9" t="n">
        <f aca="false">N637*Parameters!$B$38+O637*Parameters!$B$39+P637*Parameters!$B$40+Q637*Parameters!$B$41+R637*Parameters!$B$42+S637*Parameters!$B$43+T637*Parameters!$B$44+U637*Parameters!$B$45+V637*Parameters!$B$46+W637*Parameters!$B$47+X637*Parameters!$B$48</f>
        <v>0</v>
      </c>
      <c r="Z637" s="0" t="str">
        <f aca="false">IF(Y637&gt;=Parameters!$B$25,"High","")</f>
        <v/>
      </c>
    </row>
    <row r="638" customFormat="false" ht="15" hidden="false" customHeight="false" outlineLevel="0" collapsed="false">
      <c r="A638" s="16" t="n">
        <v>1642</v>
      </c>
      <c r="B638" s="9" t="n">
        <f aca="false">COUNTIF(JE_Lines!$B$5:$B$1733,A638)</f>
        <v>2</v>
      </c>
      <c r="C638" s="17" t="n">
        <f aca="false">SUMIFS(JE_Lines!$G$5:$G$1733,JE_Lines!$B$5:$B$1733,A638)</f>
        <v>152229.88</v>
      </c>
      <c r="D638" s="17" t="n">
        <f aca="false">SUMIFS(JE_Lines!$H$5:$H$1733,JE_Lines!$B$5:$B$1733,A638)</f>
        <v>152229.88</v>
      </c>
      <c r="E638" s="17" t="n">
        <f aca="false">C638-D638</f>
        <v>0</v>
      </c>
      <c r="F638" s="18" t="n">
        <f aca="false">INDEX(JE_Lines!$C$5:$C$1733,MATCH(A638,JE_Lines!$B$5:$B$1733,0))</f>
        <v>45957</v>
      </c>
      <c r="G638" s="18" t="n">
        <f aca="false">INDEX(JE_Lines!$D$5:$D$1733,MATCH(A638,JE_Lines!$B$5:$B$1733,0))</f>
        <v>45957</v>
      </c>
      <c r="H638" s="0" t="str">
        <f aca="false">INDEX(JE_Lines!$I$5:$I$1733,MATCH(A638,JE_Lines!$B$5:$B$1733,0))</f>
        <v>FIN04</v>
      </c>
      <c r="I638" s="0" t="str">
        <f aca="false">INDEX(JE_Lines!$J$5:$J$1733,MATCH(A638,JE_Lines!$B$5:$B$1733,0))</f>
        <v>Manual</v>
      </c>
      <c r="J638" s="0" t="str">
        <f aca="false">IF(LEN(INDEX(JE_Lines!$K$5:$K$1733,MATCH(A638,JE_Lines!$B$5:$B$1733,0)))=0,"",INDEX(JE_Lines!$K$5:$K$1733,MATCH(A638,JE_Lines!$B$5:$B$1733,0)))</f>
        <v>Suspense clearing 2</v>
      </c>
      <c r="K638" s="9" t="n">
        <f aca="false">F638-G638</f>
        <v>0</v>
      </c>
      <c r="L638" s="9" t="n">
        <f aca="false">COUNTIFS(JE_Lines!$B$5:$B$1733,A638,JE_Lines!$F$5:$F$1733,"Revenue")</f>
        <v>0</v>
      </c>
      <c r="M638" s="9" t="n">
        <f aca="false">COUNTIFS(JE_Lines!$B$5:$B$1733,A638,JE_Lines!$F$5:$F$1733,"Suspense")</f>
        <v>1</v>
      </c>
      <c r="N638" s="9" t="n">
        <f aca="false">IF(ABS(E638)&gt;Parameters!$B$23,1,0)</f>
        <v>0</v>
      </c>
      <c r="O638" s="9" t="n">
        <f aca="false">IF(WEEKDAY(F638,2)&gt;5,1,0)</f>
        <v>0</v>
      </c>
      <c r="P638" s="9" t="n">
        <f aca="false">IF(K638&gt;Parameters!$B$17,1,0)</f>
        <v>0</v>
      </c>
      <c r="Q638" s="9" t="n">
        <f aca="false">IF(AND(F638&lt;=Parameters!$B$6,F638&gt;Parameters!$B$6-Parameters!$B$18),1,0)</f>
        <v>0</v>
      </c>
      <c r="R638" s="9" t="n">
        <f aca="false">IF(COUNTIF(Parameters!$A$51:$A$58,H638)=0,1,0)</f>
        <v>0</v>
      </c>
      <c r="S638" s="9" t="n">
        <f aca="false">IF(AND(I638="Manual",L638&gt;0),1,0)</f>
        <v>0</v>
      </c>
      <c r="T638" s="9" t="n">
        <f aca="false">IF(AND(C638&gt;=Parameters!$B$22,ROUND(MOD(ROUND(C638,2),Parameters!$B$21),2)=0),1,0)</f>
        <v>0</v>
      </c>
      <c r="U638" s="9" t="n">
        <f aca="false">IF(LEN(TRIM(J638))=0,1,0)</f>
        <v>0</v>
      </c>
      <c r="V638" s="9" t="n">
        <f aca="false">IF(AND(I638="Manual",C638&lt;Parameters!$B$19,C638&gt;=Parameters!$B$19*(1-Parameters!$B$20)),1,0)</f>
        <v>0</v>
      </c>
      <c r="W638" s="9" t="n">
        <f aca="false">IF(AND(I638="Manual",M638&gt;0),1,0)</f>
        <v>1</v>
      </c>
      <c r="X638" s="9" t="n">
        <f aca="false">IF(A638-A637&gt;1,1,0)</f>
        <v>0</v>
      </c>
      <c r="Y638" s="9" t="n">
        <f aca="false">N638*Parameters!$B$38+O638*Parameters!$B$39+P638*Parameters!$B$40+Q638*Parameters!$B$41+R638*Parameters!$B$42+S638*Parameters!$B$43+T638*Parameters!$B$44+U638*Parameters!$B$45+V638*Parameters!$B$46+W638*Parameters!$B$47+X638*Parameters!$B$48</f>
        <v>2</v>
      </c>
      <c r="Z638" s="0" t="str">
        <f aca="false">IF(Y638&gt;=Parameters!$B$25,"High","")</f>
        <v/>
      </c>
    </row>
    <row r="639" customFormat="false" ht="15" hidden="false" customHeight="false" outlineLevel="0" collapsed="false">
      <c r="A639" s="16" t="n">
        <v>1643</v>
      </c>
      <c r="B639" s="9" t="n">
        <f aca="false">COUNTIF(JE_Lines!$B$5:$B$1733,A639)</f>
        <v>2</v>
      </c>
      <c r="C639" s="17" t="n">
        <f aca="false">SUMIFS(JE_Lines!$G$5:$G$1733,JE_Lines!$B$5:$B$1733,A639)</f>
        <v>35165.95</v>
      </c>
      <c r="D639" s="17" t="n">
        <f aca="false">SUMIFS(JE_Lines!$H$5:$H$1733,JE_Lines!$B$5:$B$1733,A639)</f>
        <v>35165.95</v>
      </c>
      <c r="E639" s="17" t="n">
        <f aca="false">C639-D639</f>
        <v>0</v>
      </c>
      <c r="F639" s="18" t="n">
        <f aca="false">INDEX(JE_Lines!$C$5:$C$1733,MATCH(A639,JE_Lines!$B$5:$B$1733,0))</f>
        <v>45957</v>
      </c>
      <c r="G639" s="18" t="n">
        <f aca="false">INDEX(JE_Lines!$D$5:$D$1733,MATCH(A639,JE_Lines!$B$5:$B$1733,0))</f>
        <v>45953</v>
      </c>
      <c r="H639" s="0" t="str">
        <f aca="false">INDEX(JE_Lines!$I$5:$I$1733,MATCH(A639,JE_Lines!$B$5:$B$1733,0))</f>
        <v>SYS_AP</v>
      </c>
      <c r="I639" s="0" t="str">
        <f aca="false">INDEX(JE_Lines!$J$5:$J$1733,MATCH(A639,JE_Lines!$B$5:$B$1733,0))</f>
        <v>System</v>
      </c>
      <c r="J639" s="0" t="str">
        <f aca="false">IF(LEN(INDEX(JE_Lines!$K$5:$K$1733,MATCH(A639,JE_Lines!$B$5:$B$1733,0)))=0,"",INDEX(JE_Lines!$K$5:$K$1733,MATCH(A639,JE_Lines!$B$5:$B$1733,0)))</f>
        <v>Utilities invoices</v>
      </c>
      <c r="K639" s="9" t="n">
        <f aca="false">F639-G639</f>
        <v>4</v>
      </c>
      <c r="L639" s="9" t="n">
        <f aca="false">COUNTIFS(JE_Lines!$B$5:$B$1733,A639,JE_Lines!$F$5:$F$1733,"Revenue")</f>
        <v>0</v>
      </c>
      <c r="M639" s="9" t="n">
        <f aca="false">COUNTIFS(JE_Lines!$B$5:$B$1733,A639,JE_Lines!$F$5:$F$1733,"Suspense")</f>
        <v>0</v>
      </c>
      <c r="N639" s="9" t="n">
        <f aca="false">IF(ABS(E639)&gt;Parameters!$B$23,1,0)</f>
        <v>0</v>
      </c>
      <c r="O639" s="9" t="n">
        <f aca="false">IF(WEEKDAY(F639,2)&gt;5,1,0)</f>
        <v>0</v>
      </c>
      <c r="P639" s="9" t="n">
        <f aca="false">IF(K639&gt;Parameters!$B$17,1,0)</f>
        <v>0</v>
      </c>
      <c r="Q639" s="9" t="n">
        <f aca="false">IF(AND(F639&lt;=Parameters!$B$6,F639&gt;Parameters!$B$6-Parameters!$B$18),1,0)</f>
        <v>0</v>
      </c>
      <c r="R639" s="9" t="n">
        <f aca="false">IF(COUNTIF(Parameters!$A$51:$A$58,H639)=0,1,0)</f>
        <v>0</v>
      </c>
      <c r="S639" s="9" t="n">
        <f aca="false">IF(AND(I639="Manual",L639&gt;0),1,0)</f>
        <v>0</v>
      </c>
      <c r="T639" s="9" t="n">
        <f aca="false">IF(AND(C639&gt;=Parameters!$B$22,ROUND(MOD(ROUND(C639,2),Parameters!$B$21),2)=0),1,0)</f>
        <v>0</v>
      </c>
      <c r="U639" s="9" t="n">
        <f aca="false">IF(LEN(TRIM(J639))=0,1,0)</f>
        <v>0</v>
      </c>
      <c r="V639" s="9" t="n">
        <f aca="false">IF(AND(I639="Manual",C639&lt;Parameters!$B$19,C639&gt;=Parameters!$B$19*(1-Parameters!$B$20)),1,0)</f>
        <v>0</v>
      </c>
      <c r="W639" s="9" t="n">
        <f aca="false">IF(AND(I639="Manual",M639&gt;0),1,0)</f>
        <v>0</v>
      </c>
      <c r="X639" s="9" t="n">
        <f aca="false">IF(A639-A638&gt;1,1,0)</f>
        <v>0</v>
      </c>
      <c r="Y639" s="9" t="n">
        <f aca="false">N639*Parameters!$B$38+O639*Parameters!$B$39+P639*Parameters!$B$40+Q639*Parameters!$B$41+R639*Parameters!$B$42+S639*Parameters!$B$43+T639*Parameters!$B$44+U639*Parameters!$B$45+V639*Parameters!$B$46+W639*Parameters!$B$47+X639*Parameters!$B$48</f>
        <v>0</v>
      </c>
      <c r="Z639" s="0" t="str">
        <f aca="false">IF(Y639&gt;=Parameters!$B$25,"High","")</f>
        <v/>
      </c>
    </row>
    <row r="640" customFormat="false" ht="15" hidden="false" customHeight="false" outlineLevel="0" collapsed="false">
      <c r="A640" s="16" t="n">
        <v>1644</v>
      </c>
      <c r="B640" s="9" t="n">
        <f aca="false">COUNTIF(JE_Lines!$B$5:$B$1733,A640)</f>
        <v>2</v>
      </c>
      <c r="C640" s="17" t="n">
        <f aca="false">SUMIFS(JE_Lines!$G$5:$G$1733,JE_Lines!$B$5:$B$1733,A640)</f>
        <v>2031.62</v>
      </c>
      <c r="D640" s="17" t="n">
        <f aca="false">SUMIFS(JE_Lines!$H$5:$H$1733,JE_Lines!$B$5:$B$1733,A640)</f>
        <v>2031.62</v>
      </c>
      <c r="E640" s="17" t="n">
        <f aca="false">C640-D640</f>
        <v>0</v>
      </c>
      <c r="F640" s="18" t="n">
        <f aca="false">INDEX(JE_Lines!$C$5:$C$1733,MATCH(A640,JE_Lines!$B$5:$B$1733,0))</f>
        <v>45957</v>
      </c>
      <c r="G640" s="18" t="n">
        <f aca="false">INDEX(JE_Lines!$D$5:$D$1733,MATCH(A640,JE_Lines!$B$5:$B$1733,0))</f>
        <v>45957</v>
      </c>
      <c r="H640" s="0" t="str">
        <f aca="false">INDEX(JE_Lines!$I$5:$I$1733,MATCH(A640,JE_Lines!$B$5:$B$1733,0))</f>
        <v>SYS_AP</v>
      </c>
      <c r="I640" s="0" t="str">
        <f aca="false">INDEX(JE_Lines!$J$5:$J$1733,MATCH(A640,JE_Lines!$B$5:$B$1733,0))</f>
        <v>System</v>
      </c>
      <c r="J640" s="0" t="str">
        <f aca="false">IF(LEN(INDEX(JE_Lines!$K$5:$K$1733,MATCH(A640,JE_Lines!$B$5:$B$1733,0)))=0,"",INDEX(JE_Lines!$K$5:$K$1733,MATCH(A640,JE_Lines!$B$5:$B$1733,0)))</f>
        <v/>
      </c>
      <c r="K640" s="9" t="n">
        <f aca="false">F640-G640</f>
        <v>0</v>
      </c>
      <c r="L640" s="9" t="n">
        <f aca="false">COUNTIFS(JE_Lines!$B$5:$B$1733,A640,JE_Lines!$F$5:$F$1733,"Revenue")</f>
        <v>0</v>
      </c>
      <c r="M640" s="9" t="n">
        <f aca="false">COUNTIFS(JE_Lines!$B$5:$B$1733,A640,JE_Lines!$F$5:$F$1733,"Suspense")</f>
        <v>0</v>
      </c>
      <c r="N640" s="9" t="n">
        <f aca="false">IF(ABS(E640)&gt;Parameters!$B$23,1,0)</f>
        <v>0</v>
      </c>
      <c r="O640" s="9" t="n">
        <f aca="false">IF(WEEKDAY(F640,2)&gt;5,1,0)</f>
        <v>0</v>
      </c>
      <c r="P640" s="9" t="n">
        <f aca="false">IF(K640&gt;Parameters!$B$17,1,0)</f>
        <v>0</v>
      </c>
      <c r="Q640" s="9" t="n">
        <f aca="false">IF(AND(F640&lt;=Parameters!$B$6,F640&gt;Parameters!$B$6-Parameters!$B$18),1,0)</f>
        <v>0</v>
      </c>
      <c r="R640" s="9" t="n">
        <f aca="false">IF(COUNTIF(Parameters!$A$51:$A$58,H640)=0,1,0)</f>
        <v>0</v>
      </c>
      <c r="S640" s="9" t="n">
        <f aca="false">IF(AND(I640="Manual",L640&gt;0),1,0)</f>
        <v>0</v>
      </c>
      <c r="T640" s="9" t="n">
        <f aca="false">IF(AND(C640&gt;=Parameters!$B$22,ROUND(MOD(ROUND(C640,2),Parameters!$B$21),2)=0),1,0)</f>
        <v>0</v>
      </c>
      <c r="U640" s="9" t="n">
        <f aca="false">IF(LEN(TRIM(J640))=0,1,0)</f>
        <v>1</v>
      </c>
      <c r="V640" s="9" t="n">
        <f aca="false">IF(AND(I640="Manual",C640&lt;Parameters!$B$19,C640&gt;=Parameters!$B$19*(1-Parameters!$B$20)),1,0)</f>
        <v>0</v>
      </c>
      <c r="W640" s="9" t="n">
        <f aca="false">IF(AND(I640="Manual",M640&gt;0),1,0)</f>
        <v>0</v>
      </c>
      <c r="X640" s="9" t="n">
        <f aca="false">IF(A640-A639&gt;1,1,0)</f>
        <v>0</v>
      </c>
      <c r="Y640" s="9" t="n">
        <f aca="false">N640*Parameters!$B$38+O640*Parameters!$B$39+P640*Parameters!$B$40+Q640*Parameters!$B$41+R640*Parameters!$B$42+S640*Parameters!$B$43+T640*Parameters!$B$44+U640*Parameters!$B$45+V640*Parameters!$B$46+W640*Parameters!$B$47+X640*Parameters!$B$48</f>
        <v>2</v>
      </c>
      <c r="Z640" s="0" t="str">
        <f aca="false">IF(Y640&gt;=Parameters!$B$25,"High","")</f>
        <v/>
      </c>
    </row>
    <row r="641" customFormat="false" ht="15" hidden="false" customHeight="false" outlineLevel="0" collapsed="false">
      <c r="A641" s="16" t="n">
        <v>1648</v>
      </c>
      <c r="B641" s="9" t="n">
        <f aca="false">COUNTIF(JE_Lines!$B$5:$B$1733,A641)</f>
        <v>3</v>
      </c>
      <c r="C641" s="17" t="n">
        <f aca="false">SUMIFS(JE_Lines!$G$5:$G$1733,JE_Lines!$B$5:$B$1733,A641)</f>
        <v>52569.04</v>
      </c>
      <c r="D641" s="17" t="n">
        <f aca="false">SUMIFS(JE_Lines!$H$5:$H$1733,JE_Lines!$B$5:$B$1733,A641)</f>
        <v>52569.04</v>
      </c>
      <c r="E641" s="17" t="n">
        <f aca="false">C641-D641</f>
        <v>0</v>
      </c>
      <c r="F641" s="18" t="n">
        <f aca="false">INDEX(JE_Lines!$C$5:$C$1733,MATCH(A641,JE_Lines!$B$5:$B$1733,0))</f>
        <v>45957</v>
      </c>
      <c r="G641" s="18" t="n">
        <f aca="false">INDEX(JE_Lines!$D$5:$D$1733,MATCH(A641,JE_Lines!$B$5:$B$1733,0))</f>
        <v>45956</v>
      </c>
      <c r="H641" s="0" t="str">
        <f aca="false">INDEX(JE_Lines!$I$5:$I$1733,MATCH(A641,JE_Lines!$B$5:$B$1733,0))</f>
        <v>FIN04</v>
      </c>
      <c r="I641" s="0" t="str">
        <f aca="false">INDEX(JE_Lines!$J$5:$J$1733,MATCH(A641,JE_Lines!$B$5:$B$1733,0))</f>
        <v>Manual</v>
      </c>
      <c r="J641" s="0" t="str">
        <f aca="false">IF(LEN(INDEX(JE_Lines!$K$5:$K$1733,MATCH(A641,JE_Lines!$B$5:$B$1733,0)))=0,"",INDEX(JE_Lines!$K$5:$K$1733,MATCH(A641,JE_Lines!$B$5:$B$1733,0)))</f>
        <v>Accrual reversal</v>
      </c>
      <c r="K641" s="9" t="n">
        <f aca="false">F641-G641</f>
        <v>1</v>
      </c>
      <c r="L641" s="9" t="n">
        <f aca="false">COUNTIFS(JE_Lines!$B$5:$B$1733,A641,JE_Lines!$F$5:$F$1733,"Revenue")</f>
        <v>0</v>
      </c>
      <c r="M641" s="9" t="n">
        <f aca="false">COUNTIFS(JE_Lines!$B$5:$B$1733,A641,JE_Lines!$F$5:$F$1733,"Suspense")</f>
        <v>0</v>
      </c>
      <c r="N641" s="9" t="n">
        <f aca="false">IF(ABS(E641)&gt;Parameters!$B$23,1,0)</f>
        <v>0</v>
      </c>
      <c r="O641" s="9" t="n">
        <f aca="false">IF(WEEKDAY(F641,2)&gt;5,1,0)</f>
        <v>0</v>
      </c>
      <c r="P641" s="9" t="n">
        <f aca="false">IF(K641&gt;Parameters!$B$17,1,0)</f>
        <v>0</v>
      </c>
      <c r="Q641" s="9" t="n">
        <f aca="false">IF(AND(F641&lt;=Parameters!$B$6,F641&gt;Parameters!$B$6-Parameters!$B$18),1,0)</f>
        <v>0</v>
      </c>
      <c r="R641" s="9" t="n">
        <f aca="false">IF(COUNTIF(Parameters!$A$51:$A$58,H641)=0,1,0)</f>
        <v>0</v>
      </c>
      <c r="S641" s="9" t="n">
        <f aca="false">IF(AND(I641="Manual",L641&gt;0),1,0)</f>
        <v>0</v>
      </c>
      <c r="T641" s="9" t="n">
        <f aca="false">IF(AND(C641&gt;=Parameters!$B$22,ROUND(MOD(ROUND(C641,2),Parameters!$B$21),2)=0),1,0)</f>
        <v>0</v>
      </c>
      <c r="U641" s="9" t="n">
        <f aca="false">IF(LEN(TRIM(J641))=0,1,0)</f>
        <v>0</v>
      </c>
      <c r="V641" s="9" t="n">
        <f aca="false">IF(AND(I641="Manual",C641&lt;Parameters!$B$19,C641&gt;=Parameters!$B$19*(1-Parameters!$B$20)),1,0)</f>
        <v>0</v>
      </c>
      <c r="W641" s="9" t="n">
        <f aca="false">IF(AND(I641="Manual",M641&gt;0),1,0)</f>
        <v>0</v>
      </c>
      <c r="X641" s="9" t="n">
        <f aca="false">IF(A641-A640&gt;1,1,0)</f>
        <v>1</v>
      </c>
      <c r="Y641" s="9" t="n">
        <f aca="false">N641*Parameters!$B$38+O641*Parameters!$B$39+P641*Parameters!$B$40+Q641*Parameters!$B$41+R641*Parameters!$B$42+S641*Parameters!$B$43+T641*Parameters!$B$44+U641*Parameters!$B$45+V641*Parameters!$B$46+W641*Parameters!$B$47+X641*Parameters!$B$48</f>
        <v>1</v>
      </c>
      <c r="Z641" s="0" t="str">
        <f aca="false">IF(Y641&gt;=Parameters!$B$25,"High","")</f>
        <v/>
      </c>
    </row>
    <row r="642" customFormat="false" ht="15" hidden="false" customHeight="false" outlineLevel="0" collapsed="false">
      <c r="A642" s="16" t="n">
        <v>1649</v>
      </c>
      <c r="B642" s="9" t="n">
        <f aca="false">COUNTIF(JE_Lines!$B$5:$B$1733,A642)</f>
        <v>2</v>
      </c>
      <c r="C642" s="17" t="n">
        <f aca="false">SUMIFS(JE_Lines!$G$5:$G$1733,JE_Lines!$B$5:$B$1733,A642)</f>
        <v>248000</v>
      </c>
      <c r="D642" s="17" t="n">
        <f aca="false">SUMIFS(JE_Lines!$H$5:$H$1733,JE_Lines!$B$5:$B$1733,A642)</f>
        <v>248000</v>
      </c>
      <c r="E642" s="17" t="n">
        <f aca="false">C642-D642</f>
        <v>0</v>
      </c>
      <c r="F642" s="18" t="n">
        <f aca="false">INDEX(JE_Lines!$C$5:$C$1733,MATCH(A642,JE_Lines!$B$5:$B$1733,0))</f>
        <v>45957</v>
      </c>
      <c r="G642" s="18" t="n">
        <f aca="false">INDEX(JE_Lines!$D$5:$D$1733,MATCH(A642,JE_Lines!$B$5:$B$1733,0))</f>
        <v>45957</v>
      </c>
      <c r="H642" s="0" t="str">
        <f aca="false">INDEX(JE_Lines!$I$5:$I$1733,MATCH(A642,JE_Lines!$B$5:$B$1733,0))</f>
        <v>SYS_PAY</v>
      </c>
      <c r="I642" s="0" t="str">
        <f aca="false">INDEX(JE_Lines!$J$5:$J$1733,MATCH(A642,JE_Lines!$B$5:$B$1733,0))</f>
        <v>System</v>
      </c>
      <c r="J642" s="0" t="str">
        <f aca="false">IF(LEN(INDEX(JE_Lines!$K$5:$K$1733,MATCH(A642,JE_Lines!$B$5:$B$1733,0)))=0,"",INDEX(JE_Lines!$K$5:$K$1733,MATCH(A642,JE_Lines!$B$5:$B$1733,0)))</f>
        <v>Monthly payroll</v>
      </c>
      <c r="K642" s="9" t="n">
        <f aca="false">F642-G642</f>
        <v>0</v>
      </c>
      <c r="L642" s="9" t="n">
        <f aca="false">COUNTIFS(JE_Lines!$B$5:$B$1733,A642,JE_Lines!$F$5:$F$1733,"Revenue")</f>
        <v>0</v>
      </c>
      <c r="M642" s="9" t="n">
        <f aca="false">COUNTIFS(JE_Lines!$B$5:$B$1733,A642,JE_Lines!$F$5:$F$1733,"Suspense")</f>
        <v>0</v>
      </c>
      <c r="N642" s="9" t="n">
        <f aca="false">IF(ABS(E642)&gt;Parameters!$B$23,1,0)</f>
        <v>0</v>
      </c>
      <c r="O642" s="9" t="n">
        <f aca="false">IF(WEEKDAY(F642,2)&gt;5,1,0)</f>
        <v>0</v>
      </c>
      <c r="P642" s="9" t="n">
        <f aca="false">IF(K642&gt;Parameters!$B$17,1,0)</f>
        <v>0</v>
      </c>
      <c r="Q642" s="9" t="n">
        <f aca="false">IF(AND(F642&lt;=Parameters!$B$6,F642&gt;Parameters!$B$6-Parameters!$B$18),1,0)</f>
        <v>0</v>
      </c>
      <c r="R642" s="9" t="n">
        <f aca="false">IF(COUNTIF(Parameters!$A$51:$A$58,H642)=0,1,0)</f>
        <v>0</v>
      </c>
      <c r="S642" s="9" t="n">
        <f aca="false">IF(AND(I642="Manual",L642&gt;0),1,0)</f>
        <v>0</v>
      </c>
      <c r="T642" s="9" t="n">
        <f aca="false">IF(AND(C642&gt;=Parameters!$B$22,ROUND(MOD(ROUND(C642,2),Parameters!$B$21),2)=0),1,0)</f>
        <v>1</v>
      </c>
      <c r="U642" s="9" t="n">
        <f aca="false">IF(LEN(TRIM(J642))=0,1,0)</f>
        <v>0</v>
      </c>
      <c r="V642" s="9" t="n">
        <f aca="false">IF(AND(I642="Manual",C642&lt;Parameters!$B$19,C642&gt;=Parameters!$B$19*(1-Parameters!$B$20)),1,0)</f>
        <v>0</v>
      </c>
      <c r="W642" s="9" t="n">
        <f aca="false">IF(AND(I642="Manual",M642&gt;0),1,0)</f>
        <v>0</v>
      </c>
      <c r="X642" s="9" t="n">
        <f aca="false">IF(A642-A641&gt;1,1,0)</f>
        <v>0</v>
      </c>
      <c r="Y642" s="9" t="n">
        <f aca="false">N642*Parameters!$B$38+O642*Parameters!$B$39+P642*Parameters!$B$40+Q642*Parameters!$B$41+R642*Parameters!$B$42+S642*Parameters!$B$43+T642*Parameters!$B$44+U642*Parameters!$B$45+V642*Parameters!$B$46+W642*Parameters!$B$47+X642*Parameters!$B$48</f>
        <v>2</v>
      </c>
      <c r="Z642" s="0" t="str">
        <f aca="false">IF(Y642&gt;=Parameters!$B$25,"High","")</f>
        <v/>
      </c>
    </row>
    <row r="643" customFormat="false" ht="15" hidden="false" customHeight="false" outlineLevel="0" collapsed="false">
      <c r="A643" s="16" t="n">
        <v>1650</v>
      </c>
      <c r="B643" s="9" t="n">
        <f aca="false">COUNTIF(JE_Lines!$B$5:$B$1733,A643)</f>
        <v>2</v>
      </c>
      <c r="C643" s="17" t="n">
        <f aca="false">SUMIFS(JE_Lines!$G$5:$G$1733,JE_Lines!$B$5:$B$1733,A643)</f>
        <v>79584.19</v>
      </c>
      <c r="D643" s="17" t="n">
        <f aca="false">SUMIFS(JE_Lines!$H$5:$H$1733,JE_Lines!$B$5:$B$1733,A643)</f>
        <v>79584.19</v>
      </c>
      <c r="E643" s="17" t="n">
        <f aca="false">C643-D643</f>
        <v>0</v>
      </c>
      <c r="F643" s="18" t="n">
        <f aca="false">INDEX(JE_Lines!$C$5:$C$1733,MATCH(A643,JE_Lines!$B$5:$B$1733,0))</f>
        <v>45958</v>
      </c>
      <c r="G643" s="18" t="n">
        <f aca="false">INDEX(JE_Lines!$D$5:$D$1733,MATCH(A643,JE_Lines!$B$5:$B$1733,0))</f>
        <v>45957</v>
      </c>
      <c r="H643" s="0" t="str">
        <f aca="false">INDEX(JE_Lines!$I$5:$I$1733,MATCH(A643,JE_Lines!$B$5:$B$1733,0))</f>
        <v>SYS_AR</v>
      </c>
      <c r="I643" s="0" t="str">
        <f aca="false">INDEX(JE_Lines!$J$5:$J$1733,MATCH(A643,JE_Lines!$B$5:$B$1733,0))</f>
        <v>System</v>
      </c>
      <c r="J643" s="0" t="str">
        <f aca="false">IF(LEN(INDEX(JE_Lines!$K$5:$K$1733,MATCH(A643,JE_Lines!$B$5:$B$1733,0)))=0,"",INDEX(JE_Lines!$K$5:$K$1733,MATCH(A643,JE_Lines!$B$5:$B$1733,0)))</f>
        <v>Sales invoice batch</v>
      </c>
      <c r="K643" s="9" t="n">
        <f aca="false">F643-G643</f>
        <v>1</v>
      </c>
      <c r="L643" s="9" t="n">
        <f aca="false">COUNTIFS(JE_Lines!$B$5:$B$1733,A643,JE_Lines!$F$5:$F$1733,"Revenue")</f>
        <v>1</v>
      </c>
      <c r="M643" s="9" t="n">
        <f aca="false">COUNTIFS(JE_Lines!$B$5:$B$1733,A643,JE_Lines!$F$5:$F$1733,"Suspense")</f>
        <v>0</v>
      </c>
      <c r="N643" s="9" t="n">
        <f aca="false">IF(ABS(E643)&gt;Parameters!$B$23,1,0)</f>
        <v>0</v>
      </c>
      <c r="O643" s="9" t="n">
        <f aca="false">IF(WEEKDAY(F643,2)&gt;5,1,0)</f>
        <v>0</v>
      </c>
      <c r="P643" s="9" t="n">
        <f aca="false">IF(K643&gt;Parameters!$B$17,1,0)</f>
        <v>0</v>
      </c>
      <c r="Q643" s="9" t="n">
        <f aca="false">IF(AND(F643&lt;=Parameters!$B$6,F643&gt;Parameters!$B$6-Parameters!$B$18),1,0)</f>
        <v>0</v>
      </c>
      <c r="R643" s="9" t="n">
        <f aca="false">IF(COUNTIF(Parameters!$A$51:$A$58,H643)=0,1,0)</f>
        <v>0</v>
      </c>
      <c r="S643" s="9" t="n">
        <f aca="false">IF(AND(I643="Manual",L643&gt;0),1,0)</f>
        <v>0</v>
      </c>
      <c r="T643" s="9" t="n">
        <f aca="false">IF(AND(C643&gt;=Parameters!$B$22,ROUND(MOD(ROUND(C643,2),Parameters!$B$21),2)=0),1,0)</f>
        <v>0</v>
      </c>
      <c r="U643" s="9" t="n">
        <f aca="false">IF(LEN(TRIM(J643))=0,1,0)</f>
        <v>0</v>
      </c>
      <c r="V643" s="9" t="n">
        <f aca="false">IF(AND(I643="Manual",C643&lt;Parameters!$B$19,C643&gt;=Parameters!$B$19*(1-Parameters!$B$20)),1,0)</f>
        <v>0</v>
      </c>
      <c r="W643" s="9" t="n">
        <f aca="false">IF(AND(I643="Manual",M643&gt;0),1,0)</f>
        <v>0</v>
      </c>
      <c r="X643" s="9" t="n">
        <f aca="false">IF(A643-A642&gt;1,1,0)</f>
        <v>0</v>
      </c>
      <c r="Y643" s="9" t="n">
        <f aca="false">N643*Parameters!$B$38+O643*Parameters!$B$39+P643*Parameters!$B$40+Q643*Parameters!$B$41+R643*Parameters!$B$42+S643*Parameters!$B$43+T643*Parameters!$B$44+U643*Parameters!$B$45+V643*Parameters!$B$46+W643*Parameters!$B$47+X643*Parameters!$B$48</f>
        <v>0</v>
      </c>
      <c r="Z643" s="0" t="str">
        <f aca="false">IF(Y643&gt;=Parameters!$B$25,"High","")</f>
        <v/>
      </c>
    </row>
    <row r="644" customFormat="false" ht="15" hidden="false" customHeight="false" outlineLevel="0" collapsed="false">
      <c r="A644" s="16" t="n">
        <v>1651</v>
      </c>
      <c r="B644" s="9" t="n">
        <f aca="false">COUNTIF(JE_Lines!$B$5:$B$1733,A644)</f>
        <v>2</v>
      </c>
      <c r="C644" s="17" t="n">
        <f aca="false">SUMIFS(JE_Lines!$G$5:$G$1733,JE_Lines!$B$5:$B$1733,A644)</f>
        <v>4283.6</v>
      </c>
      <c r="D644" s="17" t="n">
        <f aca="false">SUMIFS(JE_Lines!$H$5:$H$1733,JE_Lines!$B$5:$B$1733,A644)</f>
        <v>4283.6</v>
      </c>
      <c r="E644" s="17" t="n">
        <f aca="false">C644-D644</f>
        <v>0</v>
      </c>
      <c r="F644" s="18" t="n">
        <f aca="false">INDEX(JE_Lines!$C$5:$C$1733,MATCH(A644,JE_Lines!$B$5:$B$1733,0))</f>
        <v>45958</v>
      </c>
      <c r="G644" s="18" t="n">
        <f aca="false">INDEX(JE_Lines!$D$5:$D$1733,MATCH(A644,JE_Lines!$B$5:$B$1733,0))</f>
        <v>45958</v>
      </c>
      <c r="H644" s="0" t="str">
        <f aca="false">INDEX(JE_Lines!$I$5:$I$1733,MATCH(A644,JE_Lines!$B$5:$B$1733,0))</f>
        <v>SYS_PAY</v>
      </c>
      <c r="I644" s="0" t="str">
        <f aca="false">INDEX(JE_Lines!$J$5:$J$1733,MATCH(A644,JE_Lines!$B$5:$B$1733,0))</f>
        <v>System</v>
      </c>
      <c r="J644" s="0" t="str">
        <f aca="false">IF(LEN(INDEX(JE_Lines!$K$5:$K$1733,MATCH(A644,JE_Lines!$B$5:$B$1733,0)))=0,"",INDEX(JE_Lines!$K$5:$K$1733,MATCH(A644,JE_Lines!$B$5:$B$1733,0)))</f>
        <v>Supplier payments</v>
      </c>
      <c r="K644" s="9" t="n">
        <f aca="false">F644-G644</f>
        <v>0</v>
      </c>
      <c r="L644" s="9" t="n">
        <f aca="false">COUNTIFS(JE_Lines!$B$5:$B$1733,A644,JE_Lines!$F$5:$F$1733,"Revenue")</f>
        <v>0</v>
      </c>
      <c r="M644" s="9" t="n">
        <f aca="false">COUNTIFS(JE_Lines!$B$5:$B$1733,A644,JE_Lines!$F$5:$F$1733,"Suspense")</f>
        <v>0</v>
      </c>
      <c r="N644" s="9" t="n">
        <f aca="false">IF(ABS(E644)&gt;Parameters!$B$23,1,0)</f>
        <v>0</v>
      </c>
      <c r="O644" s="9" t="n">
        <f aca="false">IF(WEEKDAY(F644,2)&gt;5,1,0)</f>
        <v>0</v>
      </c>
      <c r="P644" s="9" t="n">
        <f aca="false">IF(K644&gt;Parameters!$B$17,1,0)</f>
        <v>0</v>
      </c>
      <c r="Q644" s="9" t="n">
        <f aca="false">IF(AND(F644&lt;=Parameters!$B$6,F644&gt;Parameters!$B$6-Parameters!$B$18),1,0)</f>
        <v>0</v>
      </c>
      <c r="R644" s="9" t="n">
        <f aca="false">IF(COUNTIF(Parameters!$A$51:$A$58,H644)=0,1,0)</f>
        <v>0</v>
      </c>
      <c r="S644" s="9" t="n">
        <f aca="false">IF(AND(I644="Manual",L644&gt;0),1,0)</f>
        <v>0</v>
      </c>
      <c r="T644" s="9" t="n">
        <f aca="false">IF(AND(C644&gt;=Parameters!$B$22,ROUND(MOD(ROUND(C644,2),Parameters!$B$21),2)=0),1,0)</f>
        <v>0</v>
      </c>
      <c r="U644" s="9" t="n">
        <f aca="false">IF(LEN(TRIM(J644))=0,1,0)</f>
        <v>0</v>
      </c>
      <c r="V644" s="9" t="n">
        <f aca="false">IF(AND(I644="Manual",C644&lt;Parameters!$B$19,C644&gt;=Parameters!$B$19*(1-Parameters!$B$20)),1,0)</f>
        <v>0</v>
      </c>
      <c r="W644" s="9" t="n">
        <f aca="false">IF(AND(I644="Manual",M644&gt;0),1,0)</f>
        <v>0</v>
      </c>
      <c r="X644" s="9" t="n">
        <f aca="false">IF(A644-A643&gt;1,1,0)</f>
        <v>0</v>
      </c>
      <c r="Y644" s="9" t="n">
        <f aca="false">N644*Parameters!$B$38+O644*Parameters!$B$39+P644*Parameters!$B$40+Q644*Parameters!$B$41+R644*Parameters!$B$42+S644*Parameters!$B$43+T644*Parameters!$B$44+U644*Parameters!$B$45+V644*Parameters!$B$46+W644*Parameters!$B$47+X644*Parameters!$B$48</f>
        <v>0</v>
      </c>
      <c r="Z644" s="0" t="str">
        <f aca="false">IF(Y644&gt;=Parameters!$B$25,"High","")</f>
        <v/>
      </c>
    </row>
    <row r="645" customFormat="false" ht="15" hidden="false" customHeight="false" outlineLevel="0" collapsed="false">
      <c r="A645" s="16" t="n">
        <v>1652</v>
      </c>
      <c r="B645" s="9" t="n">
        <f aca="false">COUNTIF(JE_Lines!$B$5:$B$1733,A645)</f>
        <v>2</v>
      </c>
      <c r="C645" s="17" t="n">
        <f aca="false">SUMIFS(JE_Lines!$G$5:$G$1733,JE_Lines!$B$5:$B$1733,A645)</f>
        <v>98315.69</v>
      </c>
      <c r="D645" s="17" t="n">
        <f aca="false">SUMIFS(JE_Lines!$H$5:$H$1733,JE_Lines!$B$5:$B$1733,A645)</f>
        <v>98315.69</v>
      </c>
      <c r="E645" s="17" t="n">
        <f aca="false">C645-D645</f>
        <v>0</v>
      </c>
      <c r="F645" s="18" t="n">
        <f aca="false">INDEX(JE_Lines!$C$5:$C$1733,MATCH(A645,JE_Lines!$B$5:$B$1733,0))</f>
        <v>45958</v>
      </c>
      <c r="G645" s="18" t="n">
        <f aca="false">INDEX(JE_Lines!$D$5:$D$1733,MATCH(A645,JE_Lines!$B$5:$B$1733,0))</f>
        <v>45955</v>
      </c>
      <c r="H645" s="0" t="str">
        <f aca="false">INDEX(JE_Lines!$I$5:$I$1733,MATCH(A645,JE_Lines!$B$5:$B$1733,0))</f>
        <v>SYS_PAY</v>
      </c>
      <c r="I645" s="0" t="str">
        <f aca="false">INDEX(JE_Lines!$J$5:$J$1733,MATCH(A645,JE_Lines!$B$5:$B$1733,0))</f>
        <v>System</v>
      </c>
      <c r="J645" s="0" t="str">
        <f aca="false">IF(LEN(INDEX(JE_Lines!$K$5:$K$1733,MATCH(A645,JE_Lines!$B$5:$B$1733,0)))=0,"",INDEX(JE_Lines!$K$5:$K$1733,MATCH(A645,JE_Lines!$B$5:$B$1733,0)))</f>
        <v>Supplier payments</v>
      </c>
      <c r="K645" s="9" t="n">
        <f aca="false">F645-G645</f>
        <v>3</v>
      </c>
      <c r="L645" s="9" t="n">
        <f aca="false">COUNTIFS(JE_Lines!$B$5:$B$1733,A645,JE_Lines!$F$5:$F$1733,"Revenue")</f>
        <v>0</v>
      </c>
      <c r="M645" s="9" t="n">
        <f aca="false">COUNTIFS(JE_Lines!$B$5:$B$1733,A645,JE_Lines!$F$5:$F$1733,"Suspense")</f>
        <v>0</v>
      </c>
      <c r="N645" s="9" t="n">
        <f aca="false">IF(ABS(E645)&gt;Parameters!$B$23,1,0)</f>
        <v>0</v>
      </c>
      <c r="O645" s="9" t="n">
        <f aca="false">IF(WEEKDAY(F645,2)&gt;5,1,0)</f>
        <v>0</v>
      </c>
      <c r="P645" s="9" t="n">
        <f aca="false">IF(K645&gt;Parameters!$B$17,1,0)</f>
        <v>0</v>
      </c>
      <c r="Q645" s="9" t="n">
        <f aca="false">IF(AND(F645&lt;=Parameters!$B$6,F645&gt;Parameters!$B$6-Parameters!$B$18),1,0)</f>
        <v>0</v>
      </c>
      <c r="R645" s="9" t="n">
        <f aca="false">IF(COUNTIF(Parameters!$A$51:$A$58,H645)=0,1,0)</f>
        <v>0</v>
      </c>
      <c r="S645" s="9" t="n">
        <f aca="false">IF(AND(I645="Manual",L645&gt;0),1,0)</f>
        <v>0</v>
      </c>
      <c r="T645" s="9" t="n">
        <f aca="false">IF(AND(C645&gt;=Parameters!$B$22,ROUND(MOD(ROUND(C645,2),Parameters!$B$21),2)=0),1,0)</f>
        <v>0</v>
      </c>
      <c r="U645" s="9" t="n">
        <f aca="false">IF(LEN(TRIM(J645))=0,1,0)</f>
        <v>0</v>
      </c>
      <c r="V645" s="9" t="n">
        <f aca="false">IF(AND(I645="Manual",C645&lt;Parameters!$B$19,C645&gt;=Parameters!$B$19*(1-Parameters!$B$20)),1,0)</f>
        <v>0</v>
      </c>
      <c r="W645" s="9" t="n">
        <f aca="false">IF(AND(I645="Manual",M645&gt;0),1,0)</f>
        <v>0</v>
      </c>
      <c r="X645" s="9" t="n">
        <f aca="false">IF(A645-A644&gt;1,1,0)</f>
        <v>0</v>
      </c>
      <c r="Y645" s="9" t="n">
        <f aca="false">N645*Parameters!$B$38+O645*Parameters!$B$39+P645*Parameters!$B$40+Q645*Parameters!$B$41+R645*Parameters!$B$42+S645*Parameters!$B$43+T645*Parameters!$B$44+U645*Parameters!$B$45+V645*Parameters!$B$46+W645*Parameters!$B$47+X645*Parameters!$B$48</f>
        <v>0</v>
      </c>
      <c r="Z645" s="0" t="str">
        <f aca="false">IF(Y645&gt;=Parameters!$B$25,"High","")</f>
        <v/>
      </c>
    </row>
    <row r="646" customFormat="false" ht="15" hidden="false" customHeight="false" outlineLevel="0" collapsed="false">
      <c r="A646" s="16" t="n">
        <v>1653</v>
      </c>
      <c r="B646" s="9" t="n">
        <f aca="false">COUNTIF(JE_Lines!$B$5:$B$1733,A646)</f>
        <v>2</v>
      </c>
      <c r="C646" s="17" t="n">
        <f aca="false">SUMIFS(JE_Lines!$G$5:$G$1733,JE_Lines!$B$5:$B$1733,A646)</f>
        <v>343.42</v>
      </c>
      <c r="D646" s="17" t="n">
        <f aca="false">SUMIFS(JE_Lines!$H$5:$H$1733,JE_Lines!$B$5:$B$1733,A646)</f>
        <v>343.42</v>
      </c>
      <c r="E646" s="17" t="n">
        <f aca="false">C646-D646</f>
        <v>0</v>
      </c>
      <c r="F646" s="18" t="n">
        <f aca="false">INDEX(JE_Lines!$C$5:$C$1733,MATCH(A646,JE_Lines!$B$5:$B$1733,0))</f>
        <v>45958</v>
      </c>
      <c r="G646" s="18" t="n">
        <f aca="false">INDEX(JE_Lines!$D$5:$D$1733,MATCH(A646,JE_Lines!$B$5:$B$1733,0))</f>
        <v>45958</v>
      </c>
      <c r="H646" s="0" t="str">
        <f aca="false">INDEX(JE_Lines!$I$5:$I$1733,MATCH(A646,JE_Lines!$B$5:$B$1733,0))</f>
        <v>SYS_AR</v>
      </c>
      <c r="I646" s="0" t="str">
        <f aca="false">INDEX(JE_Lines!$J$5:$J$1733,MATCH(A646,JE_Lines!$B$5:$B$1733,0))</f>
        <v>System</v>
      </c>
      <c r="J646" s="0" t="str">
        <f aca="false">IF(LEN(INDEX(JE_Lines!$K$5:$K$1733,MATCH(A646,JE_Lines!$B$5:$B$1733,0)))=0,"",INDEX(JE_Lines!$K$5:$K$1733,MATCH(A646,JE_Lines!$B$5:$B$1733,0)))</f>
        <v/>
      </c>
      <c r="K646" s="9" t="n">
        <f aca="false">F646-G646</f>
        <v>0</v>
      </c>
      <c r="L646" s="9" t="n">
        <f aca="false">COUNTIFS(JE_Lines!$B$5:$B$1733,A646,JE_Lines!$F$5:$F$1733,"Revenue")</f>
        <v>1</v>
      </c>
      <c r="M646" s="9" t="n">
        <f aca="false">COUNTIFS(JE_Lines!$B$5:$B$1733,A646,JE_Lines!$F$5:$F$1733,"Suspense")</f>
        <v>0</v>
      </c>
      <c r="N646" s="9" t="n">
        <f aca="false">IF(ABS(E646)&gt;Parameters!$B$23,1,0)</f>
        <v>0</v>
      </c>
      <c r="O646" s="9" t="n">
        <f aca="false">IF(WEEKDAY(F646,2)&gt;5,1,0)</f>
        <v>0</v>
      </c>
      <c r="P646" s="9" t="n">
        <f aca="false">IF(K646&gt;Parameters!$B$17,1,0)</f>
        <v>0</v>
      </c>
      <c r="Q646" s="9" t="n">
        <f aca="false">IF(AND(F646&lt;=Parameters!$B$6,F646&gt;Parameters!$B$6-Parameters!$B$18),1,0)</f>
        <v>0</v>
      </c>
      <c r="R646" s="9" t="n">
        <f aca="false">IF(COUNTIF(Parameters!$A$51:$A$58,H646)=0,1,0)</f>
        <v>0</v>
      </c>
      <c r="S646" s="9" t="n">
        <f aca="false">IF(AND(I646="Manual",L646&gt;0),1,0)</f>
        <v>0</v>
      </c>
      <c r="T646" s="9" t="n">
        <f aca="false">IF(AND(C646&gt;=Parameters!$B$22,ROUND(MOD(ROUND(C646,2),Parameters!$B$21),2)=0),1,0)</f>
        <v>0</v>
      </c>
      <c r="U646" s="9" t="n">
        <f aca="false">IF(LEN(TRIM(J646))=0,1,0)</f>
        <v>1</v>
      </c>
      <c r="V646" s="9" t="n">
        <f aca="false">IF(AND(I646="Manual",C646&lt;Parameters!$B$19,C646&gt;=Parameters!$B$19*(1-Parameters!$B$20)),1,0)</f>
        <v>0</v>
      </c>
      <c r="W646" s="9" t="n">
        <f aca="false">IF(AND(I646="Manual",M646&gt;0),1,0)</f>
        <v>0</v>
      </c>
      <c r="X646" s="9" t="n">
        <f aca="false">IF(A646-A645&gt;1,1,0)</f>
        <v>0</v>
      </c>
      <c r="Y646" s="9" t="n">
        <f aca="false">N646*Parameters!$B$38+O646*Parameters!$B$39+P646*Parameters!$B$40+Q646*Parameters!$B$41+R646*Parameters!$B$42+S646*Parameters!$B$43+T646*Parameters!$B$44+U646*Parameters!$B$45+V646*Parameters!$B$46+W646*Parameters!$B$47+X646*Parameters!$B$48</f>
        <v>2</v>
      </c>
      <c r="Z646" s="0" t="str">
        <f aca="false">IF(Y646&gt;=Parameters!$B$25,"High","")</f>
        <v/>
      </c>
    </row>
    <row r="647" customFormat="false" ht="15" hidden="false" customHeight="false" outlineLevel="0" collapsed="false">
      <c r="A647" s="16" t="n">
        <v>1654</v>
      </c>
      <c r="B647" s="9" t="n">
        <f aca="false">COUNTIF(JE_Lines!$B$5:$B$1733,A647)</f>
        <v>2</v>
      </c>
      <c r="C647" s="17" t="n">
        <f aca="false">SUMIFS(JE_Lines!$G$5:$G$1733,JE_Lines!$B$5:$B$1733,A647)</f>
        <v>3117.6</v>
      </c>
      <c r="D647" s="17" t="n">
        <f aca="false">SUMIFS(JE_Lines!$H$5:$H$1733,JE_Lines!$B$5:$B$1733,A647)</f>
        <v>3117.6</v>
      </c>
      <c r="E647" s="17" t="n">
        <f aca="false">C647-D647</f>
        <v>0</v>
      </c>
      <c r="F647" s="18" t="n">
        <f aca="false">INDEX(JE_Lines!$C$5:$C$1733,MATCH(A647,JE_Lines!$B$5:$B$1733,0))</f>
        <v>45958</v>
      </c>
      <c r="G647" s="18" t="n">
        <f aca="false">INDEX(JE_Lines!$D$5:$D$1733,MATCH(A647,JE_Lines!$B$5:$B$1733,0))</f>
        <v>45958</v>
      </c>
      <c r="H647" s="0" t="str">
        <f aca="false">INDEX(JE_Lines!$I$5:$I$1733,MATCH(A647,JE_Lines!$B$5:$B$1733,0))</f>
        <v>SYS_AR</v>
      </c>
      <c r="I647" s="0" t="str">
        <f aca="false">INDEX(JE_Lines!$J$5:$J$1733,MATCH(A647,JE_Lines!$B$5:$B$1733,0))</f>
        <v>System</v>
      </c>
      <c r="J647" s="0" t="str">
        <f aca="false">IF(LEN(INDEX(JE_Lines!$K$5:$K$1733,MATCH(A647,JE_Lines!$B$5:$B$1733,0)))=0,"",INDEX(JE_Lines!$K$5:$K$1733,MATCH(A647,JE_Lines!$B$5:$B$1733,0)))</f>
        <v>Customer receipts</v>
      </c>
      <c r="K647" s="9" t="n">
        <f aca="false">F647-G647</f>
        <v>0</v>
      </c>
      <c r="L647" s="9" t="n">
        <f aca="false">COUNTIFS(JE_Lines!$B$5:$B$1733,A647,JE_Lines!$F$5:$F$1733,"Revenue")</f>
        <v>0</v>
      </c>
      <c r="M647" s="9" t="n">
        <f aca="false">COUNTIFS(JE_Lines!$B$5:$B$1733,A647,JE_Lines!$F$5:$F$1733,"Suspense")</f>
        <v>0</v>
      </c>
      <c r="N647" s="9" t="n">
        <f aca="false">IF(ABS(E647)&gt;Parameters!$B$23,1,0)</f>
        <v>0</v>
      </c>
      <c r="O647" s="9" t="n">
        <f aca="false">IF(WEEKDAY(F647,2)&gt;5,1,0)</f>
        <v>0</v>
      </c>
      <c r="P647" s="9" t="n">
        <f aca="false">IF(K647&gt;Parameters!$B$17,1,0)</f>
        <v>0</v>
      </c>
      <c r="Q647" s="9" t="n">
        <f aca="false">IF(AND(F647&lt;=Parameters!$B$6,F647&gt;Parameters!$B$6-Parameters!$B$18),1,0)</f>
        <v>0</v>
      </c>
      <c r="R647" s="9" t="n">
        <f aca="false">IF(COUNTIF(Parameters!$A$51:$A$58,H647)=0,1,0)</f>
        <v>0</v>
      </c>
      <c r="S647" s="9" t="n">
        <f aca="false">IF(AND(I647="Manual",L647&gt;0),1,0)</f>
        <v>0</v>
      </c>
      <c r="T647" s="9" t="n">
        <f aca="false">IF(AND(C647&gt;=Parameters!$B$22,ROUND(MOD(ROUND(C647,2),Parameters!$B$21),2)=0),1,0)</f>
        <v>0</v>
      </c>
      <c r="U647" s="9" t="n">
        <f aca="false">IF(LEN(TRIM(J647))=0,1,0)</f>
        <v>0</v>
      </c>
      <c r="V647" s="9" t="n">
        <f aca="false">IF(AND(I647="Manual",C647&lt;Parameters!$B$19,C647&gt;=Parameters!$B$19*(1-Parameters!$B$20)),1,0)</f>
        <v>0</v>
      </c>
      <c r="W647" s="9" t="n">
        <f aca="false">IF(AND(I647="Manual",M647&gt;0),1,0)</f>
        <v>0</v>
      </c>
      <c r="X647" s="9" t="n">
        <f aca="false">IF(A647-A646&gt;1,1,0)</f>
        <v>0</v>
      </c>
      <c r="Y647" s="9" t="n">
        <f aca="false">N647*Parameters!$B$38+O647*Parameters!$B$39+P647*Parameters!$B$40+Q647*Parameters!$B$41+R647*Parameters!$B$42+S647*Parameters!$B$43+T647*Parameters!$B$44+U647*Parameters!$B$45+V647*Parameters!$B$46+W647*Parameters!$B$47+X647*Parameters!$B$48</f>
        <v>0</v>
      </c>
      <c r="Z647" s="0" t="str">
        <f aca="false">IF(Y647&gt;=Parameters!$B$25,"High","")</f>
        <v/>
      </c>
    </row>
    <row r="648" customFormat="false" ht="15" hidden="false" customHeight="false" outlineLevel="0" collapsed="false">
      <c r="A648" s="16" t="n">
        <v>1655</v>
      </c>
      <c r="B648" s="9" t="n">
        <f aca="false">COUNTIF(JE_Lines!$B$5:$B$1733,A648)</f>
        <v>2</v>
      </c>
      <c r="C648" s="17" t="n">
        <f aca="false">SUMIFS(JE_Lines!$G$5:$G$1733,JE_Lines!$B$5:$B$1733,A648)</f>
        <v>132491.73</v>
      </c>
      <c r="D648" s="17" t="n">
        <f aca="false">SUMIFS(JE_Lines!$H$5:$H$1733,JE_Lines!$B$5:$B$1733,A648)</f>
        <v>132491.73</v>
      </c>
      <c r="E648" s="17" t="n">
        <f aca="false">C648-D648</f>
        <v>0</v>
      </c>
      <c r="F648" s="18" t="n">
        <f aca="false">INDEX(JE_Lines!$C$5:$C$1733,MATCH(A648,JE_Lines!$B$5:$B$1733,0))</f>
        <v>45959</v>
      </c>
      <c r="G648" s="18" t="n">
        <f aca="false">INDEX(JE_Lines!$D$5:$D$1733,MATCH(A648,JE_Lines!$B$5:$B$1733,0))</f>
        <v>45957</v>
      </c>
      <c r="H648" s="0" t="str">
        <f aca="false">INDEX(JE_Lines!$I$5:$I$1733,MATCH(A648,JE_Lines!$B$5:$B$1733,0))</f>
        <v>SYS_PAY</v>
      </c>
      <c r="I648" s="0" t="str">
        <f aca="false">INDEX(JE_Lines!$J$5:$J$1733,MATCH(A648,JE_Lines!$B$5:$B$1733,0))</f>
        <v>System</v>
      </c>
      <c r="J648" s="0" t="str">
        <f aca="false">IF(LEN(INDEX(JE_Lines!$K$5:$K$1733,MATCH(A648,JE_Lines!$B$5:$B$1733,0)))=0,"",INDEX(JE_Lines!$K$5:$K$1733,MATCH(A648,JE_Lines!$B$5:$B$1733,0)))</f>
        <v>Supplier payments</v>
      </c>
      <c r="K648" s="9" t="n">
        <f aca="false">F648-G648</f>
        <v>2</v>
      </c>
      <c r="L648" s="9" t="n">
        <f aca="false">COUNTIFS(JE_Lines!$B$5:$B$1733,A648,JE_Lines!$F$5:$F$1733,"Revenue")</f>
        <v>0</v>
      </c>
      <c r="M648" s="9" t="n">
        <f aca="false">COUNTIFS(JE_Lines!$B$5:$B$1733,A648,JE_Lines!$F$5:$F$1733,"Suspense")</f>
        <v>0</v>
      </c>
      <c r="N648" s="9" t="n">
        <f aca="false">IF(ABS(E648)&gt;Parameters!$B$23,1,0)</f>
        <v>0</v>
      </c>
      <c r="O648" s="9" t="n">
        <f aca="false">IF(WEEKDAY(F648,2)&gt;5,1,0)</f>
        <v>0</v>
      </c>
      <c r="P648" s="9" t="n">
        <f aca="false">IF(K648&gt;Parameters!$B$17,1,0)</f>
        <v>0</v>
      </c>
      <c r="Q648" s="9" t="n">
        <f aca="false">IF(AND(F648&lt;=Parameters!$B$6,F648&gt;Parameters!$B$6-Parameters!$B$18),1,0)</f>
        <v>0</v>
      </c>
      <c r="R648" s="9" t="n">
        <f aca="false">IF(COUNTIF(Parameters!$A$51:$A$58,H648)=0,1,0)</f>
        <v>0</v>
      </c>
      <c r="S648" s="9" t="n">
        <f aca="false">IF(AND(I648="Manual",L648&gt;0),1,0)</f>
        <v>0</v>
      </c>
      <c r="T648" s="9" t="n">
        <f aca="false">IF(AND(C648&gt;=Parameters!$B$22,ROUND(MOD(ROUND(C648,2),Parameters!$B$21),2)=0),1,0)</f>
        <v>0</v>
      </c>
      <c r="U648" s="9" t="n">
        <f aca="false">IF(LEN(TRIM(J648))=0,1,0)</f>
        <v>0</v>
      </c>
      <c r="V648" s="9" t="n">
        <f aca="false">IF(AND(I648="Manual",C648&lt;Parameters!$B$19,C648&gt;=Parameters!$B$19*(1-Parameters!$B$20)),1,0)</f>
        <v>0</v>
      </c>
      <c r="W648" s="9" t="n">
        <f aca="false">IF(AND(I648="Manual",M648&gt;0),1,0)</f>
        <v>0</v>
      </c>
      <c r="X648" s="9" t="n">
        <f aca="false">IF(A648-A647&gt;1,1,0)</f>
        <v>0</v>
      </c>
      <c r="Y648" s="9" t="n">
        <f aca="false">N648*Parameters!$B$38+O648*Parameters!$B$39+P648*Parameters!$B$40+Q648*Parameters!$B$41+R648*Parameters!$B$42+S648*Parameters!$B$43+T648*Parameters!$B$44+U648*Parameters!$B$45+V648*Parameters!$B$46+W648*Parameters!$B$47+X648*Parameters!$B$48</f>
        <v>0</v>
      </c>
      <c r="Z648" s="0" t="str">
        <f aca="false">IF(Y648&gt;=Parameters!$B$25,"High","")</f>
        <v/>
      </c>
    </row>
    <row r="649" customFormat="false" ht="15" hidden="false" customHeight="false" outlineLevel="0" collapsed="false">
      <c r="A649" s="16" t="n">
        <v>1656</v>
      </c>
      <c r="B649" s="9" t="n">
        <f aca="false">COUNTIF(JE_Lines!$B$5:$B$1733,A649)</f>
        <v>2</v>
      </c>
      <c r="C649" s="17" t="n">
        <f aca="false">SUMIFS(JE_Lines!$G$5:$G$1733,JE_Lines!$B$5:$B$1733,A649)</f>
        <v>7315.2</v>
      </c>
      <c r="D649" s="17" t="n">
        <f aca="false">SUMIFS(JE_Lines!$H$5:$H$1733,JE_Lines!$B$5:$B$1733,A649)</f>
        <v>7315.2</v>
      </c>
      <c r="E649" s="17" t="n">
        <f aca="false">C649-D649</f>
        <v>0</v>
      </c>
      <c r="F649" s="18" t="n">
        <f aca="false">INDEX(JE_Lines!$C$5:$C$1733,MATCH(A649,JE_Lines!$B$5:$B$1733,0))</f>
        <v>45960</v>
      </c>
      <c r="G649" s="18" t="n">
        <f aca="false">INDEX(JE_Lines!$D$5:$D$1733,MATCH(A649,JE_Lines!$B$5:$B$1733,0))</f>
        <v>45959</v>
      </c>
      <c r="H649" s="0" t="str">
        <f aca="false">INDEX(JE_Lines!$I$5:$I$1733,MATCH(A649,JE_Lines!$B$5:$B$1733,0))</f>
        <v>SYS_AP</v>
      </c>
      <c r="I649" s="0" t="str">
        <f aca="false">INDEX(JE_Lines!$J$5:$J$1733,MATCH(A649,JE_Lines!$B$5:$B$1733,0))</f>
        <v>System</v>
      </c>
      <c r="J649" s="0" t="str">
        <f aca="false">IF(LEN(INDEX(JE_Lines!$K$5:$K$1733,MATCH(A649,JE_Lines!$B$5:$B$1733,0)))=0,"",INDEX(JE_Lines!$K$5:$K$1733,MATCH(A649,JE_Lines!$B$5:$B$1733,0)))</f>
        <v>Utilities invoices</v>
      </c>
      <c r="K649" s="9" t="n">
        <f aca="false">F649-G649</f>
        <v>1</v>
      </c>
      <c r="L649" s="9" t="n">
        <f aca="false">COUNTIFS(JE_Lines!$B$5:$B$1733,A649,JE_Lines!$F$5:$F$1733,"Revenue")</f>
        <v>0</v>
      </c>
      <c r="M649" s="9" t="n">
        <f aca="false">COUNTIFS(JE_Lines!$B$5:$B$1733,A649,JE_Lines!$F$5:$F$1733,"Suspense")</f>
        <v>0</v>
      </c>
      <c r="N649" s="9" t="n">
        <f aca="false">IF(ABS(E649)&gt;Parameters!$B$23,1,0)</f>
        <v>0</v>
      </c>
      <c r="O649" s="9" t="n">
        <f aca="false">IF(WEEKDAY(F649,2)&gt;5,1,0)</f>
        <v>0</v>
      </c>
      <c r="P649" s="9" t="n">
        <f aca="false">IF(K649&gt;Parameters!$B$17,1,0)</f>
        <v>0</v>
      </c>
      <c r="Q649" s="9" t="n">
        <f aca="false">IF(AND(F649&lt;=Parameters!$B$6,F649&gt;Parameters!$B$6-Parameters!$B$18),1,0)</f>
        <v>0</v>
      </c>
      <c r="R649" s="9" t="n">
        <f aca="false">IF(COUNTIF(Parameters!$A$51:$A$58,H649)=0,1,0)</f>
        <v>0</v>
      </c>
      <c r="S649" s="9" t="n">
        <f aca="false">IF(AND(I649="Manual",L649&gt;0),1,0)</f>
        <v>0</v>
      </c>
      <c r="T649" s="9" t="n">
        <f aca="false">IF(AND(C649&gt;=Parameters!$B$22,ROUND(MOD(ROUND(C649,2),Parameters!$B$21),2)=0),1,0)</f>
        <v>0</v>
      </c>
      <c r="U649" s="9" t="n">
        <f aca="false">IF(LEN(TRIM(J649))=0,1,0)</f>
        <v>0</v>
      </c>
      <c r="V649" s="9" t="n">
        <f aca="false">IF(AND(I649="Manual",C649&lt;Parameters!$B$19,C649&gt;=Parameters!$B$19*(1-Parameters!$B$20)),1,0)</f>
        <v>0</v>
      </c>
      <c r="W649" s="9" t="n">
        <f aca="false">IF(AND(I649="Manual",M649&gt;0),1,0)</f>
        <v>0</v>
      </c>
      <c r="X649" s="9" t="n">
        <f aca="false">IF(A649-A648&gt;1,1,0)</f>
        <v>0</v>
      </c>
      <c r="Y649" s="9" t="n">
        <f aca="false">N649*Parameters!$B$38+O649*Parameters!$B$39+P649*Parameters!$B$40+Q649*Parameters!$B$41+R649*Parameters!$B$42+S649*Parameters!$B$43+T649*Parameters!$B$44+U649*Parameters!$B$45+V649*Parameters!$B$46+W649*Parameters!$B$47+X649*Parameters!$B$48</f>
        <v>0</v>
      </c>
      <c r="Z649" s="0" t="str">
        <f aca="false">IF(Y649&gt;=Parameters!$B$25,"High","")</f>
        <v/>
      </c>
    </row>
    <row r="650" customFormat="false" ht="15" hidden="false" customHeight="false" outlineLevel="0" collapsed="false">
      <c r="A650" s="16" t="n">
        <v>1657</v>
      </c>
      <c r="B650" s="9" t="n">
        <f aca="false">COUNTIF(JE_Lines!$B$5:$B$1733,A650)</f>
        <v>2</v>
      </c>
      <c r="C650" s="17" t="n">
        <f aca="false">SUMIFS(JE_Lines!$G$5:$G$1733,JE_Lines!$B$5:$B$1733,A650)</f>
        <v>3092.57</v>
      </c>
      <c r="D650" s="17" t="n">
        <f aca="false">SUMIFS(JE_Lines!$H$5:$H$1733,JE_Lines!$B$5:$B$1733,A650)</f>
        <v>3092.57</v>
      </c>
      <c r="E650" s="17" t="n">
        <f aca="false">C650-D650</f>
        <v>0</v>
      </c>
      <c r="F650" s="18" t="n">
        <f aca="false">INDEX(JE_Lines!$C$5:$C$1733,MATCH(A650,JE_Lines!$B$5:$B$1733,0))</f>
        <v>45960</v>
      </c>
      <c r="G650" s="18" t="n">
        <f aca="false">INDEX(JE_Lines!$D$5:$D$1733,MATCH(A650,JE_Lines!$B$5:$B$1733,0))</f>
        <v>45959</v>
      </c>
      <c r="H650" s="0" t="str">
        <f aca="false">INDEX(JE_Lines!$I$5:$I$1733,MATCH(A650,JE_Lines!$B$5:$B$1733,0))</f>
        <v>SYS_AP</v>
      </c>
      <c r="I650" s="0" t="str">
        <f aca="false">INDEX(JE_Lines!$J$5:$J$1733,MATCH(A650,JE_Lines!$B$5:$B$1733,0))</f>
        <v>System</v>
      </c>
      <c r="J650" s="0" t="str">
        <f aca="false">IF(LEN(INDEX(JE_Lines!$K$5:$K$1733,MATCH(A650,JE_Lines!$B$5:$B$1733,0)))=0,"",INDEX(JE_Lines!$K$5:$K$1733,MATCH(A650,JE_Lines!$B$5:$B$1733,0)))</f>
        <v>Supplier invoices</v>
      </c>
      <c r="K650" s="9" t="n">
        <f aca="false">F650-G650</f>
        <v>1</v>
      </c>
      <c r="L650" s="9" t="n">
        <f aca="false">COUNTIFS(JE_Lines!$B$5:$B$1733,A650,JE_Lines!$F$5:$F$1733,"Revenue")</f>
        <v>0</v>
      </c>
      <c r="M650" s="9" t="n">
        <f aca="false">COUNTIFS(JE_Lines!$B$5:$B$1733,A650,JE_Lines!$F$5:$F$1733,"Suspense")</f>
        <v>0</v>
      </c>
      <c r="N650" s="9" t="n">
        <f aca="false">IF(ABS(E650)&gt;Parameters!$B$23,1,0)</f>
        <v>0</v>
      </c>
      <c r="O650" s="9" t="n">
        <f aca="false">IF(WEEKDAY(F650,2)&gt;5,1,0)</f>
        <v>0</v>
      </c>
      <c r="P650" s="9" t="n">
        <f aca="false">IF(K650&gt;Parameters!$B$17,1,0)</f>
        <v>0</v>
      </c>
      <c r="Q650" s="9" t="n">
        <f aca="false">IF(AND(F650&lt;=Parameters!$B$6,F650&gt;Parameters!$B$6-Parameters!$B$18),1,0)</f>
        <v>0</v>
      </c>
      <c r="R650" s="9" t="n">
        <f aca="false">IF(COUNTIF(Parameters!$A$51:$A$58,H650)=0,1,0)</f>
        <v>0</v>
      </c>
      <c r="S650" s="9" t="n">
        <f aca="false">IF(AND(I650="Manual",L650&gt;0),1,0)</f>
        <v>0</v>
      </c>
      <c r="T650" s="9" t="n">
        <f aca="false">IF(AND(C650&gt;=Parameters!$B$22,ROUND(MOD(ROUND(C650,2),Parameters!$B$21),2)=0),1,0)</f>
        <v>0</v>
      </c>
      <c r="U650" s="9" t="n">
        <f aca="false">IF(LEN(TRIM(J650))=0,1,0)</f>
        <v>0</v>
      </c>
      <c r="V650" s="9" t="n">
        <f aca="false">IF(AND(I650="Manual",C650&lt;Parameters!$B$19,C650&gt;=Parameters!$B$19*(1-Parameters!$B$20)),1,0)</f>
        <v>0</v>
      </c>
      <c r="W650" s="9" t="n">
        <f aca="false">IF(AND(I650="Manual",M650&gt;0),1,0)</f>
        <v>0</v>
      </c>
      <c r="X650" s="9" t="n">
        <f aca="false">IF(A650-A649&gt;1,1,0)</f>
        <v>0</v>
      </c>
      <c r="Y650" s="9" t="n">
        <f aca="false">N650*Parameters!$B$38+O650*Parameters!$B$39+P650*Parameters!$B$40+Q650*Parameters!$B$41+R650*Parameters!$B$42+S650*Parameters!$B$43+T650*Parameters!$B$44+U650*Parameters!$B$45+V650*Parameters!$B$46+W650*Parameters!$B$47+X650*Parameters!$B$48</f>
        <v>0</v>
      </c>
      <c r="Z650" s="0" t="str">
        <f aca="false">IF(Y650&gt;=Parameters!$B$25,"High","")</f>
        <v/>
      </c>
    </row>
    <row r="651" customFormat="false" ht="15" hidden="false" customHeight="false" outlineLevel="0" collapsed="false">
      <c r="A651" s="16" t="n">
        <v>1658</v>
      </c>
      <c r="B651" s="9" t="n">
        <f aca="false">COUNTIF(JE_Lines!$B$5:$B$1733,A651)</f>
        <v>2</v>
      </c>
      <c r="C651" s="17" t="n">
        <f aca="false">SUMIFS(JE_Lines!$G$5:$G$1733,JE_Lines!$B$5:$B$1733,A651)</f>
        <v>28984.92</v>
      </c>
      <c r="D651" s="17" t="n">
        <f aca="false">SUMIFS(JE_Lines!$H$5:$H$1733,JE_Lines!$B$5:$B$1733,A651)</f>
        <v>28984.92</v>
      </c>
      <c r="E651" s="17" t="n">
        <f aca="false">C651-D651</f>
        <v>0</v>
      </c>
      <c r="F651" s="18" t="n">
        <f aca="false">INDEX(JE_Lines!$C$5:$C$1733,MATCH(A651,JE_Lines!$B$5:$B$1733,0))</f>
        <v>45960</v>
      </c>
      <c r="G651" s="18" t="n">
        <f aca="false">INDEX(JE_Lines!$D$5:$D$1733,MATCH(A651,JE_Lines!$B$5:$B$1733,0))</f>
        <v>45960</v>
      </c>
      <c r="H651" s="0" t="str">
        <f aca="false">INDEX(JE_Lines!$I$5:$I$1733,MATCH(A651,JE_Lines!$B$5:$B$1733,0))</f>
        <v>SYS_AR</v>
      </c>
      <c r="I651" s="0" t="str">
        <f aca="false">INDEX(JE_Lines!$J$5:$J$1733,MATCH(A651,JE_Lines!$B$5:$B$1733,0))</f>
        <v>System</v>
      </c>
      <c r="J651" s="0" t="str">
        <f aca="false">IF(LEN(INDEX(JE_Lines!$K$5:$K$1733,MATCH(A651,JE_Lines!$B$5:$B$1733,0)))=0,"",INDEX(JE_Lines!$K$5:$K$1733,MATCH(A651,JE_Lines!$B$5:$B$1733,0)))</f>
        <v>Sales invoice batch</v>
      </c>
      <c r="K651" s="9" t="n">
        <f aca="false">F651-G651</f>
        <v>0</v>
      </c>
      <c r="L651" s="9" t="n">
        <f aca="false">COUNTIFS(JE_Lines!$B$5:$B$1733,A651,JE_Lines!$F$5:$F$1733,"Revenue")</f>
        <v>1</v>
      </c>
      <c r="M651" s="9" t="n">
        <f aca="false">COUNTIFS(JE_Lines!$B$5:$B$1733,A651,JE_Lines!$F$5:$F$1733,"Suspense")</f>
        <v>0</v>
      </c>
      <c r="N651" s="9" t="n">
        <f aca="false">IF(ABS(E651)&gt;Parameters!$B$23,1,0)</f>
        <v>0</v>
      </c>
      <c r="O651" s="9" t="n">
        <f aca="false">IF(WEEKDAY(F651,2)&gt;5,1,0)</f>
        <v>0</v>
      </c>
      <c r="P651" s="9" t="n">
        <f aca="false">IF(K651&gt;Parameters!$B$17,1,0)</f>
        <v>0</v>
      </c>
      <c r="Q651" s="9" t="n">
        <f aca="false">IF(AND(F651&lt;=Parameters!$B$6,F651&gt;Parameters!$B$6-Parameters!$B$18),1,0)</f>
        <v>0</v>
      </c>
      <c r="R651" s="9" t="n">
        <f aca="false">IF(COUNTIF(Parameters!$A$51:$A$58,H651)=0,1,0)</f>
        <v>0</v>
      </c>
      <c r="S651" s="9" t="n">
        <f aca="false">IF(AND(I651="Manual",L651&gt;0),1,0)</f>
        <v>0</v>
      </c>
      <c r="T651" s="9" t="n">
        <f aca="false">IF(AND(C651&gt;=Parameters!$B$22,ROUND(MOD(ROUND(C651,2),Parameters!$B$21),2)=0),1,0)</f>
        <v>0</v>
      </c>
      <c r="U651" s="9" t="n">
        <f aca="false">IF(LEN(TRIM(J651))=0,1,0)</f>
        <v>0</v>
      </c>
      <c r="V651" s="9" t="n">
        <f aca="false">IF(AND(I651="Manual",C651&lt;Parameters!$B$19,C651&gt;=Parameters!$B$19*(1-Parameters!$B$20)),1,0)</f>
        <v>0</v>
      </c>
      <c r="W651" s="9" t="n">
        <f aca="false">IF(AND(I651="Manual",M651&gt;0),1,0)</f>
        <v>0</v>
      </c>
      <c r="X651" s="9" t="n">
        <f aca="false">IF(A651-A650&gt;1,1,0)</f>
        <v>0</v>
      </c>
      <c r="Y651" s="9" t="n">
        <f aca="false">N651*Parameters!$B$38+O651*Parameters!$B$39+P651*Parameters!$B$40+Q651*Parameters!$B$41+R651*Parameters!$B$42+S651*Parameters!$B$43+T651*Parameters!$B$44+U651*Parameters!$B$45+V651*Parameters!$B$46+W651*Parameters!$B$47+X651*Parameters!$B$48</f>
        <v>0</v>
      </c>
      <c r="Z651" s="0" t="str">
        <f aca="false">IF(Y651&gt;=Parameters!$B$25,"High","")</f>
        <v/>
      </c>
    </row>
    <row r="652" customFormat="false" ht="15" hidden="false" customHeight="false" outlineLevel="0" collapsed="false">
      <c r="A652" s="16" t="n">
        <v>1659</v>
      </c>
      <c r="B652" s="9" t="n">
        <f aca="false">COUNTIF(JE_Lines!$B$5:$B$1733,A652)</f>
        <v>2</v>
      </c>
      <c r="C652" s="17" t="n">
        <f aca="false">SUMIFS(JE_Lines!$G$5:$G$1733,JE_Lines!$B$5:$B$1733,A652)</f>
        <v>269.25</v>
      </c>
      <c r="D652" s="17" t="n">
        <f aca="false">SUMIFS(JE_Lines!$H$5:$H$1733,JE_Lines!$B$5:$B$1733,A652)</f>
        <v>269.25</v>
      </c>
      <c r="E652" s="17" t="n">
        <f aca="false">C652-D652</f>
        <v>0</v>
      </c>
      <c r="F652" s="18" t="n">
        <f aca="false">INDEX(JE_Lines!$C$5:$C$1733,MATCH(A652,JE_Lines!$B$5:$B$1733,0))</f>
        <v>45960</v>
      </c>
      <c r="G652" s="18" t="n">
        <f aca="false">INDEX(JE_Lines!$D$5:$D$1733,MATCH(A652,JE_Lines!$B$5:$B$1733,0))</f>
        <v>45956</v>
      </c>
      <c r="H652" s="0" t="str">
        <f aca="false">INDEX(JE_Lines!$I$5:$I$1733,MATCH(A652,JE_Lines!$B$5:$B$1733,0))</f>
        <v>SYS_AP</v>
      </c>
      <c r="I652" s="0" t="str">
        <f aca="false">INDEX(JE_Lines!$J$5:$J$1733,MATCH(A652,JE_Lines!$B$5:$B$1733,0))</f>
        <v>System</v>
      </c>
      <c r="J652" s="0" t="str">
        <f aca="false">IF(LEN(INDEX(JE_Lines!$K$5:$K$1733,MATCH(A652,JE_Lines!$B$5:$B$1733,0)))=0,"",INDEX(JE_Lines!$K$5:$K$1733,MATCH(A652,JE_Lines!$B$5:$B$1733,0)))</f>
        <v>Supplier invoices</v>
      </c>
      <c r="K652" s="9" t="n">
        <f aca="false">F652-G652</f>
        <v>4</v>
      </c>
      <c r="L652" s="9" t="n">
        <f aca="false">COUNTIFS(JE_Lines!$B$5:$B$1733,A652,JE_Lines!$F$5:$F$1733,"Revenue")</f>
        <v>0</v>
      </c>
      <c r="M652" s="9" t="n">
        <f aca="false">COUNTIFS(JE_Lines!$B$5:$B$1733,A652,JE_Lines!$F$5:$F$1733,"Suspense")</f>
        <v>0</v>
      </c>
      <c r="N652" s="9" t="n">
        <f aca="false">IF(ABS(E652)&gt;Parameters!$B$23,1,0)</f>
        <v>0</v>
      </c>
      <c r="O652" s="9" t="n">
        <f aca="false">IF(WEEKDAY(F652,2)&gt;5,1,0)</f>
        <v>0</v>
      </c>
      <c r="P652" s="9" t="n">
        <f aca="false">IF(K652&gt;Parameters!$B$17,1,0)</f>
        <v>0</v>
      </c>
      <c r="Q652" s="9" t="n">
        <f aca="false">IF(AND(F652&lt;=Parameters!$B$6,F652&gt;Parameters!$B$6-Parameters!$B$18),1,0)</f>
        <v>0</v>
      </c>
      <c r="R652" s="9" t="n">
        <f aca="false">IF(COUNTIF(Parameters!$A$51:$A$58,H652)=0,1,0)</f>
        <v>0</v>
      </c>
      <c r="S652" s="9" t="n">
        <f aca="false">IF(AND(I652="Manual",L652&gt;0),1,0)</f>
        <v>0</v>
      </c>
      <c r="T652" s="9" t="n">
        <f aca="false">IF(AND(C652&gt;=Parameters!$B$22,ROUND(MOD(ROUND(C652,2),Parameters!$B$21),2)=0),1,0)</f>
        <v>0</v>
      </c>
      <c r="U652" s="9" t="n">
        <f aca="false">IF(LEN(TRIM(J652))=0,1,0)</f>
        <v>0</v>
      </c>
      <c r="V652" s="9" t="n">
        <f aca="false">IF(AND(I652="Manual",C652&lt;Parameters!$B$19,C652&gt;=Parameters!$B$19*(1-Parameters!$B$20)),1,0)</f>
        <v>0</v>
      </c>
      <c r="W652" s="9" t="n">
        <f aca="false">IF(AND(I652="Manual",M652&gt;0),1,0)</f>
        <v>0</v>
      </c>
      <c r="X652" s="9" t="n">
        <f aca="false">IF(A652-A651&gt;1,1,0)</f>
        <v>0</v>
      </c>
      <c r="Y652" s="9" t="n">
        <f aca="false">N652*Parameters!$B$38+O652*Parameters!$B$39+P652*Parameters!$B$40+Q652*Parameters!$B$41+R652*Parameters!$B$42+S652*Parameters!$B$43+T652*Parameters!$B$44+U652*Parameters!$B$45+V652*Parameters!$B$46+W652*Parameters!$B$47+X652*Parameters!$B$48</f>
        <v>0</v>
      </c>
      <c r="Z652" s="0" t="str">
        <f aca="false">IF(Y652&gt;=Parameters!$B$25,"High","")</f>
        <v/>
      </c>
    </row>
    <row r="653" customFormat="false" ht="15" hidden="false" customHeight="false" outlineLevel="0" collapsed="false">
      <c r="A653" s="16" t="n">
        <v>1660</v>
      </c>
      <c r="B653" s="9" t="n">
        <f aca="false">COUNTIF(JE_Lines!$B$5:$B$1733,A653)</f>
        <v>3</v>
      </c>
      <c r="C653" s="17" t="n">
        <f aca="false">SUMIFS(JE_Lines!$G$5:$G$1733,JE_Lines!$B$5:$B$1733,A653)</f>
        <v>20647.76</v>
      </c>
      <c r="D653" s="17" t="n">
        <f aca="false">SUMIFS(JE_Lines!$H$5:$H$1733,JE_Lines!$B$5:$B$1733,A653)</f>
        <v>20647.76</v>
      </c>
      <c r="E653" s="17" t="n">
        <f aca="false">C653-D653</f>
        <v>0</v>
      </c>
      <c r="F653" s="18" t="n">
        <f aca="false">INDEX(JE_Lines!$C$5:$C$1733,MATCH(A653,JE_Lines!$B$5:$B$1733,0))</f>
        <v>45961</v>
      </c>
      <c r="G653" s="18" t="n">
        <f aca="false">INDEX(JE_Lines!$D$5:$D$1733,MATCH(A653,JE_Lines!$B$5:$B$1733,0))</f>
        <v>45961</v>
      </c>
      <c r="H653" s="0" t="str">
        <f aca="false">INDEX(JE_Lines!$I$5:$I$1733,MATCH(A653,JE_Lines!$B$5:$B$1733,0))</f>
        <v>SYS_AR</v>
      </c>
      <c r="I653" s="0" t="str">
        <f aca="false">INDEX(JE_Lines!$J$5:$J$1733,MATCH(A653,JE_Lines!$B$5:$B$1733,0))</f>
        <v>System</v>
      </c>
      <c r="J653" s="0" t="str">
        <f aca="false">IF(LEN(INDEX(JE_Lines!$K$5:$K$1733,MATCH(A653,JE_Lines!$B$5:$B$1733,0)))=0,"",INDEX(JE_Lines!$K$5:$K$1733,MATCH(A653,JE_Lines!$B$5:$B$1733,0)))</f>
        <v>Cost of sales posting</v>
      </c>
      <c r="K653" s="9" t="n">
        <f aca="false">F653-G653</f>
        <v>0</v>
      </c>
      <c r="L653" s="9" t="n">
        <f aca="false">COUNTIFS(JE_Lines!$B$5:$B$1733,A653,JE_Lines!$F$5:$F$1733,"Revenue")</f>
        <v>0</v>
      </c>
      <c r="M653" s="9" t="n">
        <f aca="false">COUNTIFS(JE_Lines!$B$5:$B$1733,A653,JE_Lines!$F$5:$F$1733,"Suspense")</f>
        <v>0</v>
      </c>
      <c r="N653" s="9" t="n">
        <f aca="false">IF(ABS(E653)&gt;Parameters!$B$23,1,0)</f>
        <v>0</v>
      </c>
      <c r="O653" s="9" t="n">
        <f aca="false">IF(WEEKDAY(F653,2)&gt;5,1,0)</f>
        <v>0</v>
      </c>
      <c r="P653" s="9" t="n">
        <f aca="false">IF(K653&gt;Parameters!$B$17,1,0)</f>
        <v>0</v>
      </c>
      <c r="Q653" s="9" t="n">
        <f aca="false">IF(AND(F653&lt;=Parameters!$B$6,F653&gt;Parameters!$B$6-Parameters!$B$18),1,0)</f>
        <v>0</v>
      </c>
      <c r="R653" s="9" t="n">
        <f aca="false">IF(COUNTIF(Parameters!$A$51:$A$58,H653)=0,1,0)</f>
        <v>0</v>
      </c>
      <c r="S653" s="9" t="n">
        <f aca="false">IF(AND(I653="Manual",L653&gt;0),1,0)</f>
        <v>0</v>
      </c>
      <c r="T653" s="9" t="n">
        <f aca="false">IF(AND(C653&gt;=Parameters!$B$22,ROUND(MOD(ROUND(C653,2),Parameters!$B$21),2)=0),1,0)</f>
        <v>0</v>
      </c>
      <c r="U653" s="9" t="n">
        <f aca="false">IF(LEN(TRIM(J653))=0,1,0)</f>
        <v>0</v>
      </c>
      <c r="V653" s="9" t="n">
        <f aca="false">IF(AND(I653="Manual",C653&lt;Parameters!$B$19,C653&gt;=Parameters!$B$19*(1-Parameters!$B$20)),1,0)</f>
        <v>0</v>
      </c>
      <c r="W653" s="9" t="n">
        <f aca="false">IF(AND(I653="Manual",M653&gt;0),1,0)</f>
        <v>0</v>
      </c>
      <c r="X653" s="9" t="n">
        <f aca="false">IF(A653-A652&gt;1,1,0)</f>
        <v>0</v>
      </c>
      <c r="Y653" s="9" t="n">
        <f aca="false">N653*Parameters!$B$38+O653*Parameters!$B$39+P653*Parameters!$B$40+Q653*Parameters!$B$41+R653*Parameters!$B$42+S653*Parameters!$B$43+T653*Parameters!$B$44+U653*Parameters!$B$45+V653*Parameters!$B$46+W653*Parameters!$B$47+X653*Parameters!$B$48</f>
        <v>0</v>
      </c>
      <c r="Z653" s="0" t="str">
        <f aca="false">IF(Y653&gt;=Parameters!$B$25,"High","")</f>
        <v/>
      </c>
    </row>
    <row r="654" customFormat="false" ht="15" hidden="false" customHeight="false" outlineLevel="0" collapsed="false">
      <c r="A654" s="16" t="n">
        <v>1661</v>
      </c>
      <c r="B654" s="9" t="n">
        <f aca="false">COUNTIF(JE_Lines!$B$5:$B$1733,A654)</f>
        <v>2</v>
      </c>
      <c r="C654" s="17" t="n">
        <f aca="false">SUMIFS(JE_Lines!$G$5:$G$1733,JE_Lines!$B$5:$B$1733,A654)</f>
        <v>2120.35</v>
      </c>
      <c r="D654" s="17" t="n">
        <f aca="false">SUMIFS(JE_Lines!$H$5:$H$1733,JE_Lines!$B$5:$B$1733,A654)</f>
        <v>2120.35</v>
      </c>
      <c r="E654" s="17" t="n">
        <f aca="false">C654-D654</f>
        <v>0</v>
      </c>
      <c r="F654" s="18" t="n">
        <f aca="false">INDEX(JE_Lines!$C$5:$C$1733,MATCH(A654,JE_Lines!$B$5:$B$1733,0))</f>
        <v>45961</v>
      </c>
      <c r="G654" s="18" t="n">
        <f aca="false">INDEX(JE_Lines!$D$5:$D$1733,MATCH(A654,JE_Lines!$B$5:$B$1733,0))</f>
        <v>45959</v>
      </c>
      <c r="H654" s="0" t="str">
        <f aca="false">INDEX(JE_Lines!$I$5:$I$1733,MATCH(A654,JE_Lines!$B$5:$B$1733,0))</f>
        <v>SYS_AR</v>
      </c>
      <c r="I654" s="0" t="str">
        <f aca="false">INDEX(JE_Lines!$J$5:$J$1733,MATCH(A654,JE_Lines!$B$5:$B$1733,0))</f>
        <v>System</v>
      </c>
      <c r="J654" s="0" t="str">
        <f aca="false">IF(LEN(INDEX(JE_Lines!$K$5:$K$1733,MATCH(A654,JE_Lines!$B$5:$B$1733,0)))=0,"",INDEX(JE_Lines!$K$5:$K$1733,MATCH(A654,JE_Lines!$B$5:$B$1733,0)))</f>
        <v>Customer receipts</v>
      </c>
      <c r="K654" s="9" t="n">
        <f aca="false">F654-G654</f>
        <v>2</v>
      </c>
      <c r="L654" s="9" t="n">
        <f aca="false">COUNTIFS(JE_Lines!$B$5:$B$1733,A654,JE_Lines!$F$5:$F$1733,"Revenue")</f>
        <v>0</v>
      </c>
      <c r="M654" s="9" t="n">
        <f aca="false">COUNTIFS(JE_Lines!$B$5:$B$1733,A654,JE_Lines!$F$5:$F$1733,"Suspense")</f>
        <v>0</v>
      </c>
      <c r="N654" s="9" t="n">
        <f aca="false">IF(ABS(E654)&gt;Parameters!$B$23,1,0)</f>
        <v>0</v>
      </c>
      <c r="O654" s="9" t="n">
        <f aca="false">IF(WEEKDAY(F654,2)&gt;5,1,0)</f>
        <v>0</v>
      </c>
      <c r="P654" s="9" t="n">
        <f aca="false">IF(K654&gt;Parameters!$B$17,1,0)</f>
        <v>0</v>
      </c>
      <c r="Q654" s="9" t="n">
        <f aca="false">IF(AND(F654&lt;=Parameters!$B$6,F654&gt;Parameters!$B$6-Parameters!$B$18),1,0)</f>
        <v>0</v>
      </c>
      <c r="R654" s="9" t="n">
        <f aca="false">IF(COUNTIF(Parameters!$A$51:$A$58,H654)=0,1,0)</f>
        <v>0</v>
      </c>
      <c r="S654" s="9" t="n">
        <f aca="false">IF(AND(I654="Manual",L654&gt;0),1,0)</f>
        <v>0</v>
      </c>
      <c r="T654" s="9" t="n">
        <f aca="false">IF(AND(C654&gt;=Parameters!$B$22,ROUND(MOD(ROUND(C654,2),Parameters!$B$21),2)=0),1,0)</f>
        <v>0</v>
      </c>
      <c r="U654" s="9" t="n">
        <f aca="false">IF(LEN(TRIM(J654))=0,1,0)</f>
        <v>0</v>
      </c>
      <c r="V654" s="9" t="n">
        <f aca="false">IF(AND(I654="Manual",C654&lt;Parameters!$B$19,C654&gt;=Parameters!$B$19*(1-Parameters!$B$20)),1,0)</f>
        <v>0</v>
      </c>
      <c r="W654" s="9" t="n">
        <f aca="false">IF(AND(I654="Manual",M654&gt;0),1,0)</f>
        <v>0</v>
      </c>
      <c r="X654" s="9" t="n">
        <f aca="false">IF(A654-A653&gt;1,1,0)</f>
        <v>0</v>
      </c>
      <c r="Y654" s="9" t="n">
        <f aca="false">N654*Parameters!$B$38+O654*Parameters!$B$39+P654*Parameters!$B$40+Q654*Parameters!$B$41+R654*Parameters!$B$42+S654*Parameters!$B$43+T654*Parameters!$B$44+U654*Parameters!$B$45+V654*Parameters!$B$46+W654*Parameters!$B$47+X654*Parameters!$B$48</f>
        <v>0</v>
      </c>
      <c r="Z654" s="0" t="str">
        <f aca="false">IF(Y654&gt;=Parameters!$B$25,"High","")</f>
        <v/>
      </c>
    </row>
    <row r="655" customFormat="false" ht="15" hidden="false" customHeight="false" outlineLevel="0" collapsed="false">
      <c r="A655" s="16" t="n">
        <v>1662</v>
      </c>
      <c r="B655" s="9" t="n">
        <f aca="false">COUNTIF(JE_Lines!$B$5:$B$1733,A655)</f>
        <v>2</v>
      </c>
      <c r="C655" s="17" t="n">
        <f aca="false">SUMIFS(JE_Lines!$G$5:$G$1733,JE_Lines!$B$5:$B$1733,A655)</f>
        <v>57251.73</v>
      </c>
      <c r="D655" s="17" t="n">
        <f aca="false">SUMIFS(JE_Lines!$H$5:$H$1733,JE_Lines!$B$5:$B$1733,A655)</f>
        <v>57251.73</v>
      </c>
      <c r="E655" s="17" t="n">
        <f aca="false">C655-D655</f>
        <v>0</v>
      </c>
      <c r="F655" s="18" t="n">
        <f aca="false">INDEX(JE_Lines!$C$5:$C$1733,MATCH(A655,JE_Lines!$B$5:$B$1733,0))</f>
        <v>45961</v>
      </c>
      <c r="G655" s="18" t="n">
        <f aca="false">INDEX(JE_Lines!$D$5:$D$1733,MATCH(A655,JE_Lines!$B$5:$B$1733,0))</f>
        <v>45959</v>
      </c>
      <c r="H655" s="0" t="str">
        <f aca="false">INDEX(JE_Lines!$I$5:$I$1733,MATCH(A655,JE_Lines!$B$5:$B$1733,0))</f>
        <v>SYS_AR</v>
      </c>
      <c r="I655" s="0" t="str">
        <f aca="false">INDEX(JE_Lines!$J$5:$J$1733,MATCH(A655,JE_Lines!$B$5:$B$1733,0))</f>
        <v>System</v>
      </c>
      <c r="J655" s="0" t="str">
        <f aca="false">IF(LEN(INDEX(JE_Lines!$K$5:$K$1733,MATCH(A655,JE_Lines!$B$5:$B$1733,0)))=0,"",INDEX(JE_Lines!$K$5:$K$1733,MATCH(A655,JE_Lines!$B$5:$B$1733,0)))</f>
        <v>Sales invoice batch</v>
      </c>
      <c r="K655" s="9" t="n">
        <f aca="false">F655-G655</f>
        <v>2</v>
      </c>
      <c r="L655" s="9" t="n">
        <f aca="false">COUNTIFS(JE_Lines!$B$5:$B$1733,A655,JE_Lines!$F$5:$F$1733,"Revenue")</f>
        <v>1</v>
      </c>
      <c r="M655" s="9" t="n">
        <f aca="false">COUNTIFS(JE_Lines!$B$5:$B$1733,A655,JE_Lines!$F$5:$F$1733,"Suspense")</f>
        <v>0</v>
      </c>
      <c r="N655" s="9" t="n">
        <f aca="false">IF(ABS(E655)&gt;Parameters!$B$23,1,0)</f>
        <v>0</v>
      </c>
      <c r="O655" s="9" t="n">
        <f aca="false">IF(WEEKDAY(F655,2)&gt;5,1,0)</f>
        <v>0</v>
      </c>
      <c r="P655" s="9" t="n">
        <f aca="false">IF(K655&gt;Parameters!$B$17,1,0)</f>
        <v>0</v>
      </c>
      <c r="Q655" s="9" t="n">
        <f aca="false">IF(AND(F655&lt;=Parameters!$B$6,F655&gt;Parameters!$B$6-Parameters!$B$18),1,0)</f>
        <v>0</v>
      </c>
      <c r="R655" s="9" t="n">
        <f aca="false">IF(COUNTIF(Parameters!$A$51:$A$58,H655)=0,1,0)</f>
        <v>0</v>
      </c>
      <c r="S655" s="9" t="n">
        <f aca="false">IF(AND(I655="Manual",L655&gt;0),1,0)</f>
        <v>0</v>
      </c>
      <c r="T655" s="9" t="n">
        <f aca="false">IF(AND(C655&gt;=Parameters!$B$22,ROUND(MOD(ROUND(C655,2),Parameters!$B$21),2)=0),1,0)</f>
        <v>0</v>
      </c>
      <c r="U655" s="9" t="n">
        <f aca="false">IF(LEN(TRIM(J655))=0,1,0)</f>
        <v>0</v>
      </c>
      <c r="V655" s="9" t="n">
        <f aca="false">IF(AND(I655="Manual",C655&lt;Parameters!$B$19,C655&gt;=Parameters!$B$19*(1-Parameters!$B$20)),1,0)</f>
        <v>0</v>
      </c>
      <c r="W655" s="9" t="n">
        <f aca="false">IF(AND(I655="Manual",M655&gt;0),1,0)</f>
        <v>0</v>
      </c>
      <c r="X655" s="9" t="n">
        <f aca="false">IF(A655-A654&gt;1,1,0)</f>
        <v>0</v>
      </c>
      <c r="Y655" s="9" t="n">
        <f aca="false">N655*Parameters!$B$38+O655*Parameters!$B$39+P655*Parameters!$B$40+Q655*Parameters!$B$41+R655*Parameters!$B$42+S655*Parameters!$B$43+T655*Parameters!$B$44+U655*Parameters!$B$45+V655*Parameters!$B$46+W655*Parameters!$B$47+X655*Parameters!$B$48</f>
        <v>0</v>
      </c>
      <c r="Z655" s="0" t="str">
        <f aca="false">IF(Y655&gt;=Parameters!$B$25,"High","")</f>
        <v/>
      </c>
    </row>
    <row r="656" customFormat="false" ht="15" hidden="false" customHeight="false" outlineLevel="0" collapsed="false">
      <c r="A656" s="16" t="n">
        <v>1663</v>
      </c>
      <c r="B656" s="9" t="n">
        <f aca="false">COUNTIF(JE_Lines!$B$5:$B$1733,A656)</f>
        <v>2</v>
      </c>
      <c r="C656" s="17" t="n">
        <f aca="false">SUMIFS(JE_Lines!$G$5:$G$1733,JE_Lines!$B$5:$B$1733,A656)</f>
        <v>21371.54</v>
      </c>
      <c r="D656" s="17" t="n">
        <f aca="false">SUMIFS(JE_Lines!$H$5:$H$1733,JE_Lines!$B$5:$B$1733,A656)</f>
        <v>21371.54</v>
      </c>
      <c r="E656" s="17" t="n">
        <f aca="false">C656-D656</f>
        <v>0</v>
      </c>
      <c r="F656" s="18" t="n">
        <f aca="false">INDEX(JE_Lines!$C$5:$C$1733,MATCH(A656,JE_Lines!$B$5:$B$1733,0))</f>
        <v>45964</v>
      </c>
      <c r="G656" s="18" t="n">
        <f aca="false">INDEX(JE_Lines!$D$5:$D$1733,MATCH(A656,JE_Lines!$B$5:$B$1733,0))</f>
        <v>45964</v>
      </c>
      <c r="H656" s="0" t="str">
        <f aca="false">INDEX(JE_Lines!$I$5:$I$1733,MATCH(A656,JE_Lines!$B$5:$B$1733,0))</f>
        <v>SYS_PAY</v>
      </c>
      <c r="I656" s="0" t="str">
        <f aca="false">INDEX(JE_Lines!$J$5:$J$1733,MATCH(A656,JE_Lines!$B$5:$B$1733,0))</f>
        <v>System</v>
      </c>
      <c r="J656" s="0" t="str">
        <f aca="false">IF(LEN(INDEX(JE_Lines!$K$5:$K$1733,MATCH(A656,JE_Lines!$B$5:$B$1733,0)))=0,"",INDEX(JE_Lines!$K$5:$K$1733,MATCH(A656,JE_Lines!$B$5:$B$1733,0)))</f>
        <v>Supplier payments</v>
      </c>
      <c r="K656" s="9" t="n">
        <f aca="false">F656-G656</f>
        <v>0</v>
      </c>
      <c r="L656" s="9" t="n">
        <f aca="false">COUNTIFS(JE_Lines!$B$5:$B$1733,A656,JE_Lines!$F$5:$F$1733,"Revenue")</f>
        <v>0</v>
      </c>
      <c r="M656" s="9" t="n">
        <f aca="false">COUNTIFS(JE_Lines!$B$5:$B$1733,A656,JE_Lines!$F$5:$F$1733,"Suspense")</f>
        <v>0</v>
      </c>
      <c r="N656" s="9" t="n">
        <f aca="false">IF(ABS(E656)&gt;Parameters!$B$23,1,0)</f>
        <v>0</v>
      </c>
      <c r="O656" s="9" t="n">
        <f aca="false">IF(WEEKDAY(F656,2)&gt;5,1,0)</f>
        <v>0</v>
      </c>
      <c r="P656" s="9" t="n">
        <f aca="false">IF(K656&gt;Parameters!$B$17,1,0)</f>
        <v>0</v>
      </c>
      <c r="Q656" s="9" t="n">
        <f aca="false">IF(AND(F656&lt;=Parameters!$B$6,F656&gt;Parameters!$B$6-Parameters!$B$18),1,0)</f>
        <v>0</v>
      </c>
      <c r="R656" s="9" t="n">
        <f aca="false">IF(COUNTIF(Parameters!$A$51:$A$58,H656)=0,1,0)</f>
        <v>0</v>
      </c>
      <c r="S656" s="9" t="n">
        <f aca="false">IF(AND(I656="Manual",L656&gt;0),1,0)</f>
        <v>0</v>
      </c>
      <c r="T656" s="9" t="n">
        <f aca="false">IF(AND(C656&gt;=Parameters!$B$22,ROUND(MOD(ROUND(C656,2),Parameters!$B$21),2)=0),1,0)</f>
        <v>0</v>
      </c>
      <c r="U656" s="9" t="n">
        <f aca="false">IF(LEN(TRIM(J656))=0,1,0)</f>
        <v>0</v>
      </c>
      <c r="V656" s="9" t="n">
        <f aca="false">IF(AND(I656="Manual",C656&lt;Parameters!$B$19,C656&gt;=Parameters!$B$19*(1-Parameters!$B$20)),1,0)</f>
        <v>0</v>
      </c>
      <c r="W656" s="9" t="n">
        <f aca="false">IF(AND(I656="Manual",M656&gt;0),1,0)</f>
        <v>0</v>
      </c>
      <c r="X656" s="9" t="n">
        <f aca="false">IF(A656-A655&gt;1,1,0)</f>
        <v>0</v>
      </c>
      <c r="Y656" s="9" t="n">
        <f aca="false">N656*Parameters!$B$38+O656*Parameters!$B$39+P656*Parameters!$B$40+Q656*Parameters!$B$41+R656*Parameters!$B$42+S656*Parameters!$B$43+T656*Parameters!$B$44+U656*Parameters!$B$45+V656*Parameters!$B$46+W656*Parameters!$B$47+X656*Parameters!$B$48</f>
        <v>0</v>
      </c>
      <c r="Z656" s="0" t="str">
        <f aca="false">IF(Y656&gt;=Parameters!$B$25,"High","")</f>
        <v/>
      </c>
    </row>
    <row r="657" customFormat="false" ht="15" hidden="false" customHeight="false" outlineLevel="0" collapsed="false">
      <c r="A657" s="16" t="n">
        <v>1664</v>
      </c>
      <c r="B657" s="9" t="n">
        <f aca="false">COUNTIF(JE_Lines!$B$5:$B$1733,A657)</f>
        <v>2</v>
      </c>
      <c r="C657" s="17" t="n">
        <f aca="false">SUMIFS(JE_Lines!$G$5:$G$1733,JE_Lines!$B$5:$B$1733,A657)</f>
        <v>11955.3</v>
      </c>
      <c r="D657" s="17" t="n">
        <f aca="false">SUMIFS(JE_Lines!$H$5:$H$1733,JE_Lines!$B$5:$B$1733,A657)</f>
        <v>11955.3</v>
      </c>
      <c r="E657" s="17" t="n">
        <f aca="false">C657-D657</f>
        <v>0</v>
      </c>
      <c r="F657" s="18" t="n">
        <f aca="false">INDEX(JE_Lines!$C$5:$C$1733,MATCH(A657,JE_Lines!$B$5:$B$1733,0))</f>
        <v>45964</v>
      </c>
      <c r="G657" s="18" t="n">
        <f aca="false">INDEX(JE_Lines!$D$5:$D$1733,MATCH(A657,JE_Lines!$B$5:$B$1733,0))</f>
        <v>45960</v>
      </c>
      <c r="H657" s="0" t="str">
        <f aca="false">INDEX(JE_Lines!$I$5:$I$1733,MATCH(A657,JE_Lines!$B$5:$B$1733,0))</f>
        <v>FIN01</v>
      </c>
      <c r="I657" s="0" t="str">
        <f aca="false">INDEX(JE_Lines!$J$5:$J$1733,MATCH(A657,JE_Lines!$B$5:$B$1733,0))</f>
        <v>Manual</v>
      </c>
      <c r="J657" s="0" t="str">
        <f aca="false">IF(LEN(INDEX(JE_Lines!$K$5:$K$1733,MATCH(A657,JE_Lines!$B$5:$B$1733,0)))=0,"",INDEX(JE_Lines!$K$5:$K$1733,MATCH(A657,JE_Lines!$B$5:$B$1733,0)))</f>
        <v>Accrual for sundry costs</v>
      </c>
      <c r="K657" s="9" t="n">
        <f aca="false">F657-G657</f>
        <v>4</v>
      </c>
      <c r="L657" s="9" t="n">
        <f aca="false">COUNTIFS(JE_Lines!$B$5:$B$1733,A657,JE_Lines!$F$5:$F$1733,"Revenue")</f>
        <v>0</v>
      </c>
      <c r="M657" s="9" t="n">
        <f aca="false">COUNTIFS(JE_Lines!$B$5:$B$1733,A657,JE_Lines!$F$5:$F$1733,"Suspense")</f>
        <v>0</v>
      </c>
      <c r="N657" s="9" t="n">
        <f aca="false">IF(ABS(E657)&gt;Parameters!$B$23,1,0)</f>
        <v>0</v>
      </c>
      <c r="O657" s="9" t="n">
        <f aca="false">IF(WEEKDAY(F657,2)&gt;5,1,0)</f>
        <v>0</v>
      </c>
      <c r="P657" s="9" t="n">
        <f aca="false">IF(K657&gt;Parameters!$B$17,1,0)</f>
        <v>0</v>
      </c>
      <c r="Q657" s="9" t="n">
        <f aca="false">IF(AND(F657&lt;=Parameters!$B$6,F657&gt;Parameters!$B$6-Parameters!$B$18),1,0)</f>
        <v>0</v>
      </c>
      <c r="R657" s="9" t="n">
        <f aca="false">IF(COUNTIF(Parameters!$A$51:$A$58,H657)=0,1,0)</f>
        <v>0</v>
      </c>
      <c r="S657" s="9" t="n">
        <f aca="false">IF(AND(I657="Manual",L657&gt;0),1,0)</f>
        <v>0</v>
      </c>
      <c r="T657" s="9" t="n">
        <f aca="false">IF(AND(C657&gt;=Parameters!$B$22,ROUND(MOD(ROUND(C657,2),Parameters!$B$21),2)=0),1,0)</f>
        <v>0</v>
      </c>
      <c r="U657" s="9" t="n">
        <f aca="false">IF(LEN(TRIM(J657))=0,1,0)</f>
        <v>0</v>
      </c>
      <c r="V657" s="9" t="n">
        <f aca="false">IF(AND(I657="Manual",C657&lt;Parameters!$B$19,C657&gt;=Parameters!$B$19*(1-Parameters!$B$20)),1,0)</f>
        <v>0</v>
      </c>
      <c r="W657" s="9" t="n">
        <f aca="false">IF(AND(I657="Manual",M657&gt;0),1,0)</f>
        <v>0</v>
      </c>
      <c r="X657" s="9" t="n">
        <f aca="false">IF(A657-A656&gt;1,1,0)</f>
        <v>0</v>
      </c>
      <c r="Y657" s="9" t="n">
        <f aca="false">N657*Parameters!$B$38+O657*Parameters!$B$39+P657*Parameters!$B$40+Q657*Parameters!$B$41+R657*Parameters!$B$42+S657*Parameters!$B$43+T657*Parameters!$B$44+U657*Parameters!$B$45+V657*Parameters!$B$46+W657*Parameters!$B$47+X657*Parameters!$B$48</f>
        <v>0</v>
      </c>
      <c r="Z657" s="0" t="str">
        <f aca="false">IF(Y657&gt;=Parameters!$B$25,"High","")</f>
        <v/>
      </c>
    </row>
    <row r="658" customFormat="false" ht="15" hidden="false" customHeight="false" outlineLevel="0" collapsed="false">
      <c r="A658" s="16" t="n">
        <v>1665</v>
      </c>
      <c r="B658" s="9" t="n">
        <f aca="false">COUNTIF(JE_Lines!$B$5:$B$1733,A658)</f>
        <v>3</v>
      </c>
      <c r="C658" s="17" t="n">
        <f aca="false">SUMIFS(JE_Lines!$G$5:$G$1733,JE_Lines!$B$5:$B$1733,A658)</f>
        <v>150677.97</v>
      </c>
      <c r="D658" s="17" t="n">
        <f aca="false">SUMIFS(JE_Lines!$H$5:$H$1733,JE_Lines!$B$5:$B$1733,A658)</f>
        <v>150677.97</v>
      </c>
      <c r="E658" s="17" t="n">
        <f aca="false">C658-D658</f>
        <v>0</v>
      </c>
      <c r="F658" s="18" t="n">
        <f aca="false">INDEX(JE_Lines!$C$5:$C$1733,MATCH(A658,JE_Lines!$B$5:$B$1733,0))</f>
        <v>45965</v>
      </c>
      <c r="G658" s="18" t="n">
        <f aca="false">INDEX(JE_Lines!$D$5:$D$1733,MATCH(A658,JE_Lines!$B$5:$B$1733,0))</f>
        <v>45961</v>
      </c>
      <c r="H658" s="0" t="str">
        <f aca="false">INDEX(JE_Lines!$I$5:$I$1733,MATCH(A658,JE_Lines!$B$5:$B$1733,0))</f>
        <v>SYS_AR</v>
      </c>
      <c r="I658" s="0" t="str">
        <f aca="false">INDEX(JE_Lines!$J$5:$J$1733,MATCH(A658,JE_Lines!$B$5:$B$1733,0))</f>
        <v>System</v>
      </c>
      <c r="J658" s="0" t="str">
        <f aca="false">IF(LEN(INDEX(JE_Lines!$K$5:$K$1733,MATCH(A658,JE_Lines!$B$5:$B$1733,0)))=0,"",INDEX(JE_Lines!$K$5:$K$1733,MATCH(A658,JE_Lines!$B$5:$B$1733,0)))</f>
        <v>Sales invoice batch</v>
      </c>
      <c r="K658" s="9" t="n">
        <f aca="false">F658-G658</f>
        <v>4</v>
      </c>
      <c r="L658" s="9" t="n">
        <f aca="false">COUNTIFS(JE_Lines!$B$5:$B$1733,A658,JE_Lines!$F$5:$F$1733,"Revenue")</f>
        <v>1</v>
      </c>
      <c r="M658" s="9" t="n">
        <f aca="false">COUNTIFS(JE_Lines!$B$5:$B$1733,A658,JE_Lines!$F$5:$F$1733,"Suspense")</f>
        <v>0</v>
      </c>
      <c r="N658" s="9" t="n">
        <f aca="false">IF(ABS(E658)&gt;Parameters!$B$23,1,0)</f>
        <v>0</v>
      </c>
      <c r="O658" s="9" t="n">
        <f aca="false">IF(WEEKDAY(F658,2)&gt;5,1,0)</f>
        <v>0</v>
      </c>
      <c r="P658" s="9" t="n">
        <f aca="false">IF(K658&gt;Parameters!$B$17,1,0)</f>
        <v>0</v>
      </c>
      <c r="Q658" s="9" t="n">
        <f aca="false">IF(AND(F658&lt;=Parameters!$B$6,F658&gt;Parameters!$B$6-Parameters!$B$18),1,0)</f>
        <v>0</v>
      </c>
      <c r="R658" s="9" t="n">
        <f aca="false">IF(COUNTIF(Parameters!$A$51:$A$58,H658)=0,1,0)</f>
        <v>0</v>
      </c>
      <c r="S658" s="9" t="n">
        <f aca="false">IF(AND(I658="Manual",L658&gt;0),1,0)</f>
        <v>0</v>
      </c>
      <c r="T658" s="9" t="n">
        <f aca="false">IF(AND(C658&gt;=Parameters!$B$22,ROUND(MOD(ROUND(C658,2),Parameters!$B$21),2)=0),1,0)</f>
        <v>0</v>
      </c>
      <c r="U658" s="9" t="n">
        <f aca="false">IF(LEN(TRIM(J658))=0,1,0)</f>
        <v>0</v>
      </c>
      <c r="V658" s="9" t="n">
        <f aca="false">IF(AND(I658="Manual",C658&lt;Parameters!$B$19,C658&gt;=Parameters!$B$19*(1-Parameters!$B$20)),1,0)</f>
        <v>0</v>
      </c>
      <c r="W658" s="9" t="n">
        <f aca="false">IF(AND(I658="Manual",M658&gt;0),1,0)</f>
        <v>0</v>
      </c>
      <c r="X658" s="9" t="n">
        <f aca="false">IF(A658-A657&gt;1,1,0)</f>
        <v>0</v>
      </c>
      <c r="Y658" s="9" t="n">
        <f aca="false">N658*Parameters!$B$38+O658*Parameters!$B$39+P658*Parameters!$B$40+Q658*Parameters!$B$41+R658*Parameters!$B$42+S658*Parameters!$B$43+T658*Parameters!$B$44+U658*Parameters!$B$45+V658*Parameters!$B$46+W658*Parameters!$B$47+X658*Parameters!$B$48</f>
        <v>0</v>
      </c>
      <c r="Z658" s="0" t="str">
        <f aca="false">IF(Y658&gt;=Parameters!$B$25,"High","")</f>
        <v/>
      </c>
    </row>
    <row r="659" customFormat="false" ht="15" hidden="false" customHeight="false" outlineLevel="0" collapsed="false">
      <c r="A659" s="16" t="n">
        <v>1666</v>
      </c>
      <c r="B659" s="9" t="n">
        <f aca="false">COUNTIF(JE_Lines!$B$5:$B$1733,A659)</f>
        <v>3</v>
      </c>
      <c r="C659" s="17" t="n">
        <f aca="false">SUMIFS(JE_Lines!$G$5:$G$1733,JE_Lines!$B$5:$B$1733,A659)</f>
        <v>1009.13</v>
      </c>
      <c r="D659" s="17" t="n">
        <f aca="false">SUMIFS(JE_Lines!$H$5:$H$1733,JE_Lines!$B$5:$B$1733,A659)</f>
        <v>1009.13</v>
      </c>
      <c r="E659" s="17" t="n">
        <f aca="false">C659-D659</f>
        <v>0</v>
      </c>
      <c r="F659" s="18" t="n">
        <f aca="false">INDEX(JE_Lines!$C$5:$C$1733,MATCH(A659,JE_Lines!$B$5:$B$1733,0))</f>
        <v>45967</v>
      </c>
      <c r="G659" s="18" t="n">
        <f aca="false">INDEX(JE_Lines!$D$5:$D$1733,MATCH(A659,JE_Lines!$B$5:$B$1733,0))</f>
        <v>45965</v>
      </c>
      <c r="H659" s="0" t="str">
        <f aca="false">INDEX(JE_Lines!$I$5:$I$1733,MATCH(A659,JE_Lines!$B$5:$B$1733,0))</f>
        <v>SYS_AR</v>
      </c>
      <c r="I659" s="0" t="str">
        <f aca="false">INDEX(JE_Lines!$J$5:$J$1733,MATCH(A659,JE_Lines!$B$5:$B$1733,0))</f>
        <v>System</v>
      </c>
      <c r="J659" s="0" t="str">
        <f aca="false">IF(LEN(INDEX(JE_Lines!$K$5:$K$1733,MATCH(A659,JE_Lines!$B$5:$B$1733,0)))=0,"",INDEX(JE_Lines!$K$5:$K$1733,MATCH(A659,JE_Lines!$B$5:$B$1733,0)))</f>
        <v>Sales invoice batch</v>
      </c>
      <c r="K659" s="9" t="n">
        <f aca="false">F659-G659</f>
        <v>2</v>
      </c>
      <c r="L659" s="9" t="n">
        <f aca="false">COUNTIFS(JE_Lines!$B$5:$B$1733,A659,JE_Lines!$F$5:$F$1733,"Revenue")</f>
        <v>1</v>
      </c>
      <c r="M659" s="9" t="n">
        <f aca="false">COUNTIFS(JE_Lines!$B$5:$B$1733,A659,JE_Lines!$F$5:$F$1733,"Suspense")</f>
        <v>0</v>
      </c>
      <c r="N659" s="9" t="n">
        <f aca="false">IF(ABS(E659)&gt;Parameters!$B$23,1,0)</f>
        <v>0</v>
      </c>
      <c r="O659" s="9" t="n">
        <f aca="false">IF(WEEKDAY(F659,2)&gt;5,1,0)</f>
        <v>0</v>
      </c>
      <c r="P659" s="9" t="n">
        <f aca="false">IF(K659&gt;Parameters!$B$17,1,0)</f>
        <v>0</v>
      </c>
      <c r="Q659" s="9" t="n">
        <f aca="false">IF(AND(F659&lt;=Parameters!$B$6,F659&gt;Parameters!$B$6-Parameters!$B$18),1,0)</f>
        <v>0</v>
      </c>
      <c r="R659" s="9" t="n">
        <f aca="false">IF(COUNTIF(Parameters!$A$51:$A$58,H659)=0,1,0)</f>
        <v>0</v>
      </c>
      <c r="S659" s="9" t="n">
        <f aca="false">IF(AND(I659="Manual",L659&gt;0),1,0)</f>
        <v>0</v>
      </c>
      <c r="T659" s="9" t="n">
        <f aca="false">IF(AND(C659&gt;=Parameters!$B$22,ROUND(MOD(ROUND(C659,2),Parameters!$B$21),2)=0),1,0)</f>
        <v>0</v>
      </c>
      <c r="U659" s="9" t="n">
        <f aca="false">IF(LEN(TRIM(J659))=0,1,0)</f>
        <v>0</v>
      </c>
      <c r="V659" s="9" t="n">
        <f aca="false">IF(AND(I659="Manual",C659&lt;Parameters!$B$19,C659&gt;=Parameters!$B$19*(1-Parameters!$B$20)),1,0)</f>
        <v>0</v>
      </c>
      <c r="W659" s="9" t="n">
        <f aca="false">IF(AND(I659="Manual",M659&gt;0),1,0)</f>
        <v>0</v>
      </c>
      <c r="X659" s="9" t="n">
        <f aca="false">IF(A659-A658&gt;1,1,0)</f>
        <v>0</v>
      </c>
      <c r="Y659" s="9" t="n">
        <f aca="false">N659*Parameters!$B$38+O659*Parameters!$B$39+P659*Parameters!$B$40+Q659*Parameters!$B$41+R659*Parameters!$B$42+S659*Parameters!$B$43+T659*Parameters!$B$44+U659*Parameters!$B$45+V659*Parameters!$B$46+W659*Parameters!$B$47+X659*Parameters!$B$48</f>
        <v>0</v>
      </c>
      <c r="Z659" s="0" t="str">
        <f aca="false">IF(Y659&gt;=Parameters!$B$25,"High","")</f>
        <v/>
      </c>
    </row>
    <row r="660" customFormat="false" ht="15" hidden="false" customHeight="false" outlineLevel="0" collapsed="false">
      <c r="A660" s="16" t="n">
        <v>1667</v>
      </c>
      <c r="B660" s="9" t="n">
        <f aca="false">COUNTIF(JE_Lines!$B$5:$B$1733,A660)</f>
        <v>3</v>
      </c>
      <c r="C660" s="17" t="n">
        <f aca="false">SUMIFS(JE_Lines!$G$5:$G$1733,JE_Lines!$B$5:$B$1733,A660)</f>
        <v>9767.41</v>
      </c>
      <c r="D660" s="17" t="n">
        <f aca="false">SUMIFS(JE_Lines!$H$5:$H$1733,JE_Lines!$B$5:$B$1733,A660)</f>
        <v>9767.41</v>
      </c>
      <c r="E660" s="17" t="n">
        <f aca="false">C660-D660</f>
        <v>0</v>
      </c>
      <c r="F660" s="18" t="n">
        <f aca="false">INDEX(JE_Lines!$C$5:$C$1733,MATCH(A660,JE_Lines!$B$5:$B$1733,0))</f>
        <v>45967</v>
      </c>
      <c r="G660" s="18" t="n">
        <f aca="false">INDEX(JE_Lines!$D$5:$D$1733,MATCH(A660,JE_Lines!$B$5:$B$1733,0))</f>
        <v>45964</v>
      </c>
      <c r="H660" s="0" t="str">
        <f aca="false">INDEX(JE_Lines!$I$5:$I$1733,MATCH(A660,JE_Lines!$B$5:$B$1733,0))</f>
        <v>SYS_PAY</v>
      </c>
      <c r="I660" s="0" t="str">
        <f aca="false">INDEX(JE_Lines!$J$5:$J$1733,MATCH(A660,JE_Lines!$B$5:$B$1733,0))</f>
        <v>System</v>
      </c>
      <c r="J660" s="0" t="str">
        <f aca="false">IF(LEN(INDEX(JE_Lines!$K$5:$K$1733,MATCH(A660,JE_Lines!$B$5:$B$1733,0)))=0,"",INDEX(JE_Lines!$K$5:$K$1733,MATCH(A660,JE_Lines!$B$5:$B$1733,0)))</f>
        <v>Supplier payments</v>
      </c>
      <c r="K660" s="9" t="n">
        <f aca="false">F660-G660</f>
        <v>3</v>
      </c>
      <c r="L660" s="9" t="n">
        <f aca="false">COUNTIFS(JE_Lines!$B$5:$B$1733,A660,JE_Lines!$F$5:$F$1733,"Revenue")</f>
        <v>0</v>
      </c>
      <c r="M660" s="9" t="n">
        <f aca="false">COUNTIFS(JE_Lines!$B$5:$B$1733,A660,JE_Lines!$F$5:$F$1733,"Suspense")</f>
        <v>0</v>
      </c>
      <c r="N660" s="9" t="n">
        <f aca="false">IF(ABS(E660)&gt;Parameters!$B$23,1,0)</f>
        <v>0</v>
      </c>
      <c r="O660" s="9" t="n">
        <f aca="false">IF(WEEKDAY(F660,2)&gt;5,1,0)</f>
        <v>0</v>
      </c>
      <c r="P660" s="9" t="n">
        <f aca="false">IF(K660&gt;Parameters!$B$17,1,0)</f>
        <v>0</v>
      </c>
      <c r="Q660" s="9" t="n">
        <f aca="false">IF(AND(F660&lt;=Parameters!$B$6,F660&gt;Parameters!$B$6-Parameters!$B$18),1,0)</f>
        <v>0</v>
      </c>
      <c r="R660" s="9" t="n">
        <f aca="false">IF(COUNTIF(Parameters!$A$51:$A$58,H660)=0,1,0)</f>
        <v>0</v>
      </c>
      <c r="S660" s="9" t="n">
        <f aca="false">IF(AND(I660="Manual",L660&gt;0),1,0)</f>
        <v>0</v>
      </c>
      <c r="T660" s="9" t="n">
        <f aca="false">IF(AND(C660&gt;=Parameters!$B$22,ROUND(MOD(ROUND(C660,2),Parameters!$B$21),2)=0),1,0)</f>
        <v>0</v>
      </c>
      <c r="U660" s="9" t="n">
        <f aca="false">IF(LEN(TRIM(J660))=0,1,0)</f>
        <v>0</v>
      </c>
      <c r="V660" s="9" t="n">
        <f aca="false">IF(AND(I660="Manual",C660&lt;Parameters!$B$19,C660&gt;=Parameters!$B$19*(1-Parameters!$B$20)),1,0)</f>
        <v>0</v>
      </c>
      <c r="W660" s="9" t="n">
        <f aca="false">IF(AND(I660="Manual",M660&gt;0),1,0)</f>
        <v>0</v>
      </c>
      <c r="X660" s="9" t="n">
        <f aca="false">IF(A660-A659&gt;1,1,0)</f>
        <v>0</v>
      </c>
      <c r="Y660" s="9" t="n">
        <f aca="false">N660*Parameters!$B$38+O660*Parameters!$B$39+P660*Parameters!$B$40+Q660*Parameters!$B$41+R660*Parameters!$B$42+S660*Parameters!$B$43+T660*Parameters!$B$44+U660*Parameters!$B$45+V660*Parameters!$B$46+W660*Parameters!$B$47+X660*Parameters!$B$48</f>
        <v>0</v>
      </c>
      <c r="Z660" s="0" t="str">
        <f aca="false">IF(Y660&gt;=Parameters!$B$25,"High","")</f>
        <v/>
      </c>
    </row>
    <row r="661" customFormat="false" ht="15" hidden="false" customHeight="false" outlineLevel="0" collapsed="false">
      <c r="A661" s="16" t="n">
        <v>1668</v>
      </c>
      <c r="B661" s="9" t="n">
        <f aca="false">COUNTIF(JE_Lines!$B$5:$B$1733,A661)</f>
        <v>3</v>
      </c>
      <c r="C661" s="17" t="n">
        <f aca="false">SUMIFS(JE_Lines!$G$5:$G$1733,JE_Lines!$B$5:$B$1733,A661)</f>
        <v>2227.02</v>
      </c>
      <c r="D661" s="17" t="n">
        <f aca="false">SUMIFS(JE_Lines!$H$5:$H$1733,JE_Lines!$B$5:$B$1733,A661)</f>
        <v>2227.02</v>
      </c>
      <c r="E661" s="17" t="n">
        <f aca="false">C661-D661</f>
        <v>0</v>
      </c>
      <c r="F661" s="18" t="n">
        <f aca="false">INDEX(JE_Lines!$C$5:$C$1733,MATCH(A661,JE_Lines!$B$5:$B$1733,0))</f>
        <v>45967</v>
      </c>
      <c r="G661" s="18" t="n">
        <f aca="false">INDEX(JE_Lines!$D$5:$D$1733,MATCH(A661,JE_Lines!$B$5:$B$1733,0))</f>
        <v>45965</v>
      </c>
      <c r="H661" s="0" t="str">
        <f aca="false">INDEX(JE_Lines!$I$5:$I$1733,MATCH(A661,JE_Lines!$B$5:$B$1733,0))</f>
        <v>SYS_PAY</v>
      </c>
      <c r="I661" s="0" t="str">
        <f aca="false">INDEX(JE_Lines!$J$5:$J$1733,MATCH(A661,JE_Lines!$B$5:$B$1733,0))</f>
        <v>System</v>
      </c>
      <c r="J661" s="0" t="str">
        <f aca="false">IF(LEN(INDEX(JE_Lines!$K$5:$K$1733,MATCH(A661,JE_Lines!$B$5:$B$1733,0)))=0,"",INDEX(JE_Lines!$K$5:$K$1733,MATCH(A661,JE_Lines!$B$5:$B$1733,0)))</f>
        <v>Supplier payments</v>
      </c>
      <c r="K661" s="9" t="n">
        <f aca="false">F661-G661</f>
        <v>2</v>
      </c>
      <c r="L661" s="9" t="n">
        <f aca="false">COUNTIFS(JE_Lines!$B$5:$B$1733,A661,JE_Lines!$F$5:$F$1733,"Revenue")</f>
        <v>0</v>
      </c>
      <c r="M661" s="9" t="n">
        <f aca="false">COUNTIFS(JE_Lines!$B$5:$B$1733,A661,JE_Lines!$F$5:$F$1733,"Suspense")</f>
        <v>0</v>
      </c>
      <c r="N661" s="9" t="n">
        <f aca="false">IF(ABS(E661)&gt;Parameters!$B$23,1,0)</f>
        <v>0</v>
      </c>
      <c r="O661" s="9" t="n">
        <f aca="false">IF(WEEKDAY(F661,2)&gt;5,1,0)</f>
        <v>0</v>
      </c>
      <c r="P661" s="9" t="n">
        <f aca="false">IF(K661&gt;Parameters!$B$17,1,0)</f>
        <v>0</v>
      </c>
      <c r="Q661" s="9" t="n">
        <f aca="false">IF(AND(F661&lt;=Parameters!$B$6,F661&gt;Parameters!$B$6-Parameters!$B$18),1,0)</f>
        <v>0</v>
      </c>
      <c r="R661" s="9" t="n">
        <f aca="false">IF(COUNTIF(Parameters!$A$51:$A$58,H661)=0,1,0)</f>
        <v>0</v>
      </c>
      <c r="S661" s="9" t="n">
        <f aca="false">IF(AND(I661="Manual",L661&gt;0),1,0)</f>
        <v>0</v>
      </c>
      <c r="T661" s="9" t="n">
        <f aca="false">IF(AND(C661&gt;=Parameters!$B$22,ROUND(MOD(ROUND(C661,2),Parameters!$B$21),2)=0),1,0)</f>
        <v>0</v>
      </c>
      <c r="U661" s="9" t="n">
        <f aca="false">IF(LEN(TRIM(J661))=0,1,0)</f>
        <v>0</v>
      </c>
      <c r="V661" s="9" t="n">
        <f aca="false">IF(AND(I661="Manual",C661&lt;Parameters!$B$19,C661&gt;=Parameters!$B$19*(1-Parameters!$B$20)),1,0)</f>
        <v>0</v>
      </c>
      <c r="W661" s="9" t="n">
        <f aca="false">IF(AND(I661="Manual",M661&gt;0),1,0)</f>
        <v>0</v>
      </c>
      <c r="X661" s="9" t="n">
        <f aca="false">IF(A661-A660&gt;1,1,0)</f>
        <v>0</v>
      </c>
      <c r="Y661" s="9" t="n">
        <f aca="false">N661*Parameters!$B$38+O661*Parameters!$B$39+P661*Parameters!$B$40+Q661*Parameters!$B$41+R661*Parameters!$B$42+S661*Parameters!$B$43+T661*Parameters!$B$44+U661*Parameters!$B$45+V661*Parameters!$B$46+W661*Parameters!$B$47+X661*Parameters!$B$48</f>
        <v>0</v>
      </c>
      <c r="Z661" s="0" t="str">
        <f aca="false">IF(Y661&gt;=Parameters!$B$25,"High","")</f>
        <v/>
      </c>
    </row>
    <row r="662" customFormat="false" ht="15" hidden="false" customHeight="false" outlineLevel="0" collapsed="false">
      <c r="A662" s="16" t="n">
        <v>1669</v>
      </c>
      <c r="B662" s="9" t="n">
        <f aca="false">COUNTIF(JE_Lines!$B$5:$B$1733,A662)</f>
        <v>2</v>
      </c>
      <c r="C662" s="17" t="n">
        <f aca="false">SUMIFS(JE_Lines!$G$5:$G$1733,JE_Lines!$B$5:$B$1733,A662)</f>
        <v>4524.16</v>
      </c>
      <c r="D662" s="17" t="n">
        <f aca="false">SUMIFS(JE_Lines!$H$5:$H$1733,JE_Lines!$B$5:$B$1733,A662)</f>
        <v>4524.16</v>
      </c>
      <c r="E662" s="17" t="n">
        <f aca="false">C662-D662</f>
        <v>0</v>
      </c>
      <c r="F662" s="18" t="n">
        <f aca="false">INDEX(JE_Lines!$C$5:$C$1733,MATCH(A662,JE_Lines!$B$5:$B$1733,0))</f>
        <v>45968</v>
      </c>
      <c r="G662" s="18" t="n">
        <f aca="false">INDEX(JE_Lines!$D$5:$D$1733,MATCH(A662,JE_Lines!$B$5:$B$1733,0))</f>
        <v>45942</v>
      </c>
      <c r="H662" s="0" t="str">
        <f aca="false">INDEX(JE_Lines!$I$5:$I$1733,MATCH(A662,JE_Lines!$B$5:$B$1733,0))</f>
        <v>FIN03</v>
      </c>
      <c r="I662" s="0" t="str">
        <f aca="false">INDEX(JE_Lines!$J$5:$J$1733,MATCH(A662,JE_Lines!$B$5:$B$1733,0))</f>
        <v>Manual</v>
      </c>
      <c r="J662" s="0" t="str">
        <f aca="false">IF(LEN(INDEX(JE_Lines!$K$5:$K$1733,MATCH(A662,JE_Lines!$B$5:$B$1733,0)))=0,"",INDEX(JE_Lines!$K$5:$K$1733,MATCH(A662,JE_Lines!$B$5:$B$1733,0)))</f>
        <v>Prior period correction 4</v>
      </c>
      <c r="K662" s="9" t="n">
        <f aca="false">F662-G662</f>
        <v>26</v>
      </c>
      <c r="L662" s="9" t="n">
        <f aca="false">COUNTIFS(JE_Lines!$B$5:$B$1733,A662,JE_Lines!$F$5:$F$1733,"Revenue")</f>
        <v>0</v>
      </c>
      <c r="M662" s="9" t="n">
        <f aca="false">COUNTIFS(JE_Lines!$B$5:$B$1733,A662,JE_Lines!$F$5:$F$1733,"Suspense")</f>
        <v>0</v>
      </c>
      <c r="N662" s="9" t="n">
        <f aca="false">IF(ABS(E662)&gt;Parameters!$B$23,1,0)</f>
        <v>0</v>
      </c>
      <c r="O662" s="9" t="n">
        <f aca="false">IF(WEEKDAY(F662,2)&gt;5,1,0)</f>
        <v>0</v>
      </c>
      <c r="P662" s="9" t="n">
        <f aca="false">IF(K662&gt;Parameters!$B$17,1,0)</f>
        <v>1</v>
      </c>
      <c r="Q662" s="9" t="n">
        <f aca="false">IF(AND(F662&lt;=Parameters!$B$6,F662&gt;Parameters!$B$6-Parameters!$B$18),1,0)</f>
        <v>0</v>
      </c>
      <c r="R662" s="9" t="n">
        <f aca="false">IF(COUNTIF(Parameters!$A$51:$A$58,H662)=0,1,0)</f>
        <v>0</v>
      </c>
      <c r="S662" s="9" t="n">
        <f aca="false">IF(AND(I662="Manual",L662&gt;0),1,0)</f>
        <v>0</v>
      </c>
      <c r="T662" s="9" t="n">
        <f aca="false">IF(AND(C662&gt;=Parameters!$B$22,ROUND(MOD(ROUND(C662,2),Parameters!$B$21),2)=0),1,0)</f>
        <v>0</v>
      </c>
      <c r="U662" s="9" t="n">
        <f aca="false">IF(LEN(TRIM(J662))=0,1,0)</f>
        <v>0</v>
      </c>
      <c r="V662" s="9" t="n">
        <f aca="false">IF(AND(I662="Manual",C662&lt;Parameters!$B$19,C662&gt;=Parameters!$B$19*(1-Parameters!$B$20)),1,0)</f>
        <v>0</v>
      </c>
      <c r="W662" s="9" t="n">
        <f aca="false">IF(AND(I662="Manual",M662&gt;0),1,0)</f>
        <v>0</v>
      </c>
      <c r="X662" s="9" t="n">
        <f aca="false">IF(A662-A661&gt;1,1,0)</f>
        <v>0</v>
      </c>
      <c r="Y662" s="9" t="n">
        <f aca="false">N662*Parameters!$B$38+O662*Parameters!$B$39+P662*Parameters!$B$40+Q662*Parameters!$B$41+R662*Parameters!$B$42+S662*Parameters!$B$43+T662*Parameters!$B$44+U662*Parameters!$B$45+V662*Parameters!$B$46+W662*Parameters!$B$47+X662*Parameters!$B$48</f>
        <v>2</v>
      </c>
      <c r="Z662" s="0" t="str">
        <f aca="false">IF(Y662&gt;=Parameters!$B$25,"High","")</f>
        <v/>
      </c>
    </row>
    <row r="663" customFormat="false" ht="15" hidden="false" customHeight="false" outlineLevel="0" collapsed="false">
      <c r="A663" s="16" t="n">
        <v>1670</v>
      </c>
      <c r="B663" s="9" t="n">
        <f aca="false">COUNTIF(JE_Lines!$B$5:$B$1733,A663)</f>
        <v>2</v>
      </c>
      <c r="C663" s="17" t="n">
        <f aca="false">SUMIFS(JE_Lines!$G$5:$G$1733,JE_Lines!$B$5:$B$1733,A663)</f>
        <v>81643.56</v>
      </c>
      <c r="D663" s="17" t="n">
        <f aca="false">SUMIFS(JE_Lines!$H$5:$H$1733,JE_Lines!$B$5:$B$1733,A663)</f>
        <v>81643.56</v>
      </c>
      <c r="E663" s="17" t="n">
        <f aca="false">C663-D663</f>
        <v>0</v>
      </c>
      <c r="F663" s="18" t="n">
        <f aca="false">INDEX(JE_Lines!$C$5:$C$1733,MATCH(A663,JE_Lines!$B$5:$B$1733,0))</f>
        <v>45968</v>
      </c>
      <c r="G663" s="18" t="n">
        <f aca="false">INDEX(JE_Lines!$D$5:$D$1733,MATCH(A663,JE_Lines!$B$5:$B$1733,0))</f>
        <v>45964</v>
      </c>
      <c r="H663" s="0" t="str">
        <f aca="false">INDEX(JE_Lines!$I$5:$I$1733,MATCH(A663,JE_Lines!$B$5:$B$1733,0))</f>
        <v>SYS_AP</v>
      </c>
      <c r="I663" s="0" t="str">
        <f aca="false">INDEX(JE_Lines!$J$5:$J$1733,MATCH(A663,JE_Lines!$B$5:$B$1733,0))</f>
        <v>System</v>
      </c>
      <c r="J663" s="0" t="str">
        <f aca="false">IF(LEN(INDEX(JE_Lines!$K$5:$K$1733,MATCH(A663,JE_Lines!$B$5:$B$1733,0)))=0,"",INDEX(JE_Lines!$K$5:$K$1733,MATCH(A663,JE_Lines!$B$5:$B$1733,0)))</f>
        <v>Supplier invoices</v>
      </c>
      <c r="K663" s="9" t="n">
        <f aca="false">F663-G663</f>
        <v>4</v>
      </c>
      <c r="L663" s="9" t="n">
        <f aca="false">COUNTIFS(JE_Lines!$B$5:$B$1733,A663,JE_Lines!$F$5:$F$1733,"Revenue")</f>
        <v>0</v>
      </c>
      <c r="M663" s="9" t="n">
        <f aca="false">COUNTIFS(JE_Lines!$B$5:$B$1733,A663,JE_Lines!$F$5:$F$1733,"Suspense")</f>
        <v>0</v>
      </c>
      <c r="N663" s="9" t="n">
        <f aca="false">IF(ABS(E663)&gt;Parameters!$B$23,1,0)</f>
        <v>0</v>
      </c>
      <c r="O663" s="9" t="n">
        <f aca="false">IF(WEEKDAY(F663,2)&gt;5,1,0)</f>
        <v>0</v>
      </c>
      <c r="P663" s="9" t="n">
        <f aca="false">IF(K663&gt;Parameters!$B$17,1,0)</f>
        <v>0</v>
      </c>
      <c r="Q663" s="9" t="n">
        <f aca="false">IF(AND(F663&lt;=Parameters!$B$6,F663&gt;Parameters!$B$6-Parameters!$B$18),1,0)</f>
        <v>0</v>
      </c>
      <c r="R663" s="9" t="n">
        <f aca="false">IF(COUNTIF(Parameters!$A$51:$A$58,H663)=0,1,0)</f>
        <v>0</v>
      </c>
      <c r="S663" s="9" t="n">
        <f aca="false">IF(AND(I663="Manual",L663&gt;0),1,0)</f>
        <v>0</v>
      </c>
      <c r="T663" s="9" t="n">
        <f aca="false">IF(AND(C663&gt;=Parameters!$B$22,ROUND(MOD(ROUND(C663,2),Parameters!$B$21),2)=0),1,0)</f>
        <v>0</v>
      </c>
      <c r="U663" s="9" t="n">
        <f aca="false">IF(LEN(TRIM(J663))=0,1,0)</f>
        <v>0</v>
      </c>
      <c r="V663" s="9" t="n">
        <f aca="false">IF(AND(I663="Manual",C663&lt;Parameters!$B$19,C663&gt;=Parameters!$B$19*(1-Parameters!$B$20)),1,0)</f>
        <v>0</v>
      </c>
      <c r="W663" s="9" t="n">
        <f aca="false">IF(AND(I663="Manual",M663&gt;0),1,0)</f>
        <v>0</v>
      </c>
      <c r="X663" s="9" t="n">
        <f aca="false">IF(A663-A662&gt;1,1,0)</f>
        <v>0</v>
      </c>
      <c r="Y663" s="9" t="n">
        <f aca="false">N663*Parameters!$B$38+O663*Parameters!$B$39+P663*Parameters!$B$40+Q663*Parameters!$B$41+R663*Parameters!$B$42+S663*Parameters!$B$43+T663*Parameters!$B$44+U663*Parameters!$B$45+V663*Parameters!$B$46+W663*Parameters!$B$47+X663*Parameters!$B$48</f>
        <v>0</v>
      </c>
      <c r="Z663" s="0" t="str">
        <f aca="false">IF(Y663&gt;=Parameters!$B$25,"High","")</f>
        <v/>
      </c>
    </row>
    <row r="664" customFormat="false" ht="15" hidden="false" customHeight="false" outlineLevel="0" collapsed="false">
      <c r="A664" s="16" t="n">
        <v>1671</v>
      </c>
      <c r="B664" s="9" t="n">
        <f aca="false">COUNTIF(JE_Lines!$B$5:$B$1733,A664)</f>
        <v>2</v>
      </c>
      <c r="C664" s="17" t="n">
        <f aca="false">SUMIFS(JE_Lines!$G$5:$G$1733,JE_Lines!$B$5:$B$1733,A664)</f>
        <v>1512.13</v>
      </c>
      <c r="D664" s="17" t="n">
        <f aca="false">SUMIFS(JE_Lines!$H$5:$H$1733,JE_Lines!$B$5:$B$1733,A664)</f>
        <v>1512.13</v>
      </c>
      <c r="E664" s="17" t="n">
        <f aca="false">C664-D664</f>
        <v>0</v>
      </c>
      <c r="F664" s="18" t="n">
        <f aca="false">INDEX(JE_Lines!$C$5:$C$1733,MATCH(A664,JE_Lines!$B$5:$B$1733,0))</f>
        <v>45968</v>
      </c>
      <c r="G664" s="18" t="n">
        <f aca="false">INDEX(JE_Lines!$D$5:$D$1733,MATCH(A664,JE_Lines!$B$5:$B$1733,0))</f>
        <v>45964</v>
      </c>
      <c r="H664" s="0" t="str">
        <f aca="false">INDEX(JE_Lines!$I$5:$I$1733,MATCH(A664,JE_Lines!$B$5:$B$1733,0))</f>
        <v>SYS_AR</v>
      </c>
      <c r="I664" s="0" t="str">
        <f aca="false">INDEX(JE_Lines!$J$5:$J$1733,MATCH(A664,JE_Lines!$B$5:$B$1733,0))</f>
        <v>System</v>
      </c>
      <c r="J664" s="0" t="str">
        <f aca="false">IF(LEN(INDEX(JE_Lines!$K$5:$K$1733,MATCH(A664,JE_Lines!$B$5:$B$1733,0)))=0,"",INDEX(JE_Lines!$K$5:$K$1733,MATCH(A664,JE_Lines!$B$5:$B$1733,0)))</f>
        <v>Sales invoice batch</v>
      </c>
      <c r="K664" s="9" t="n">
        <f aca="false">F664-G664</f>
        <v>4</v>
      </c>
      <c r="L664" s="9" t="n">
        <f aca="false">COUNTIFS(JE_Lines!$B$5:$B$1733,A664,JE_Lines!$F$5:$F$1733,"Revenue")</f>
        <v>1</v>
      </c>
      <c r="M664" s="9" t="n">
        <f aca="false">COUNTIFS(JE_Lines!$B$5:$B$1733,A664,JE_Lines!$F$5:$F$1733,"Suspense")</f>
        <v>0</v>
      </c>
      <c r="N664" s="9" t="n">
        <f aca="false">IF(ABS(E664)&gt;Parameters!$B$23,1,0)</f>
        <v>0</v>
      </c>
      <c r="O664" s="9" t="n">
        <f aca="false">IF(WEEKDAY(F664,2)&gt;5,1,0)</f>
        <v>0</v>
      </c>
      <c r="P664" s="9" t="n">
        <f aca="false">IF(K664&gt;Parameters!$B$17,1,0)</f>
        <v>0</v>
      </c>
      <c r="Q664" s="9" t="n">
        <f aca="false">IF(AND(F664&lt;=Parameters!$B$6,F664&gt;Parameters!$B$6-Parameters!$B$18),1,0)</f>
        <v>0</v>
      </c>
      <c r="R664" s="9" t="n">
        <f aca="false">IF(COUNTIF(Parameters!$A$51:$A$58,H664)=0,1,0)</f>
        <v>0</v>
      </c>
      <c r="S664" s="9" t="n">
        <f aca="false">IF(AND(I664="Manual",L664&gt;0),1,0)</f>
        <v>0</v>
      </c>
      <c r="T664" s="9" t="n">
        <f aca="false">IF(AND(C664&gt;=Parameters!$B$22,ROUND(MOD(ROUND(C664,2),Parameters!$B$21),2)=0),1,0)</f>
        <v>0</v>
      </c>
      <c r="U664" s="9" t="n">
        <f aca="false">IF(LEN(TRIM(J664))=0,1,0)</f>
        <v>0</v>
      </c>
      <c r="V664" s="9" t="n">
        <f aca="false">IF(AND(I664="Manual",C664&lt;Parameters!$B$19,C664&gt;=Parameters!$B$19*(1-Parameters!$B$20)),1,0)</f>
        <v>0</v>
      </c>
      <c r="W664" s="9" t="n">
        <f aca="false">IF(AND(I664="Manual",M664&gt;0),1,0)</f>
        <v>0</v>
      </c>
      <c r="X664" s="9" t="n">
        <f aca="false">IF(A664-A663&gt;1,1,0)</f>
        <v>0</v>
      </c>
      <c r="Y664" s="9" t="n">
        <f aca="false">N664*Parameters!$B$38+O664*Parameters!$B$39+P664*Parameters!$B$40+Q664*Parameters!$B$41+R664*Parameters!$B$42+S664*Parameters!$B$43+T664*Parameters!$B$44+U664*Parameters!$B$45+V664*Parameters!$B$46+W664*Parameters!$B$47+X664*Parameters!$B$48</f>
        <v>0</v>
      </c>
      <c r="Z664" s="0" t="str">
        <f aca="false">IF(Y664&gt;=Parameters!$B$25,"High","")</f>
        <v/>
      </c>
    </row>
    <row r="665" customFormat="false" ht="15" hidden="false" customHeight="false" outlineLevel="0" collapsed="false">
      <c r="A665" s="16" t="n">
        <v>1672</v>
      </c>
      <c r="B665" s="9" t="n">
        <f aca="false">COUNTIF(JE_Lines!$B$5:$B$1733,A665)</f>
        <v>2</v>
      </c>
      <c r="C665" s="17" t="n">
        <f aca="false">SUMIFS(JE_Lines!$G$5:$G$1733,JE_Lines!$B$5:$B$1733,A665)</f>
        <v>21545.62</v>
      </c>
      <c r="D665" s="17" t="n">
        <f aca="false">SUMIFS(JE_Lines!$H$5:$H$1733,JE_Lines!$B$5:$B$1733,A665)</f>
        <v>21545.62</v>
      </c>
      <c r="E665" s="17" t="n">
        <f aca="false">C665-D665</f>
        <v>0</v>
      </c>
      <c r="F665" s="18" t="n">
        <f aca="false">INDEX(JE_Lines!$C$5:$C$1733,MATCH(A665,JE_Lines!$B$5:$B$1733,0))</f>
        <v>45970</v>
      </c>
      <c r="G665" s="18" t="n">
        <f aca="false">INDEX(JE_Lines!$D$5:$D$1733,MATCH(A665,JE_Lines!$B$5:$B$1733,0))</f>
        <v>45970</v>
      </c>
      <c r="H665" s="0" t="str">
        <f aca="false">INDEX(JE_Lines!$I$5:$I$1733,MATCH(A665,JE_Lines!$B$5:$B$1733,0))</f>
        <v>SYS_AR</v>
      </c>
      <c r="I665" s="0" t="str">
        <f aca="false">INDEX(JE_Lines!$J$5:$J$1733,MATCH(A665,JE_Lines!$B$5:$B$1733,0))</f>
        <v>System</v>
      </c>
      <c r="J665" s="0" t="str">
        <f aca="false">IF(LEN(INDEX(JE_Lines!$K$5:$K$1733,MATCH(A665,JE_Lines!$B$5:$B$1733,0)))=0,"",INDEX(JE_Lines!$K$5:$K$1733,MATCH(A665,JE_Lines!$B$5:$B$1733,0)))</f>
        <v>Sales invoice batch</v>
      </c>
      <c r="K665" s="9" t="n">
        <f aca="false">F665-G665</f>
        <v>0</v>
      </c>
      <c r="L665" s="9" t="n">
        <f aca="false">COUNTIFS(JE_Lines!$B$5:$B$1733,A665,JE_Lines!$F$5:$F$1733,"Revenue")</f>
        <v>1</v>
      </c>
      <c r="M665" s="9" t="n">
        <f aca="false">COUNTIFS(JE_Lines!$B$5:$B$1733,A665,JE_Lines!$F$5:$F$1733,"Suspense")</f>
        <v>0</v>
      </c>
      <c r="N665" s="9" t="n">
        <f aca="false">IF(ABS(E665)&gt;Parameters!$B$23,1,0)</f>
        <v>0</v>
      </c>
      <c r="O665" s="9" t="n">
        <f aca="false">IF(WEEKDAY(F665,2)&gt;5,1,0)</f>
        <v>1</v>
      </c>
      <c r="P665" s="9" t="n">
        <f aca="false">IF(K665&gt;Parameters!$B$17,1,0)</f>
        <v>0</v>
      </c>
      <c r="Q665" s="9" t="n">
        <f aca="false">IF(AND(F665&lt;=Parameters!$B$6,F665&gt;Parameters!$B$6-Parameters!$B$18),1,0)</f>
        <v>0</v>
      </c>
      <c r="R665" s="9" t="n">
        <f aca="false">IF(COUNTIF(Parameters!$A$51:$A$58,H665)=0,1,0)</f>
        <v>0</v>
      </c>
      <c r="S665" s="9" t="n">
        <f aca="false">IF(AND(I665="Manual",L665&gt;0),1,0)</f>
        <v>0</v>
      </c>
      <c r="T665" s="9" t="n">
        <f aca="false">IF(AND(C665&gt;=Parameters!$B$22,ROUND(MOD(ROUND(C665,2),Parameters!$B$21),2)=0),1,0)</f>
        <v>0</v>
      </c>
      <c r="U665" s="9" t="n">
        <f aca="false">IF(LEN(TRIM(J665))=0,1,0)</f>
        <v>0</v>
      </c>
      <c r="V665" s="9" t="n">
        <f aca="false">IF(AND(I665="Manual",C665&lt;Parameters!$B$19,C665&gt;=Parameters!$B$19*(1-Parameters!$B$20)),1,0)</f>
        <v>0</v>
      </c>
      <c r="W665" s="9" t="n">
        <f aca="false">IF(AND(I665="Manual",M665&gt;0),1,0)</f>
        <v>0</v>
      </c>
      <c r="X665" s="9" t="n">
        <f aca="false">IF(A665-A664&gt;1,1,0)</f>
        <v>0</v>
      </c>
      <c r="Y665" s="9" t="n">
        <f aca="false">N665*Parameters!$B$38+O665*Parameters!$B$39+P665*Parameters!$B$40+Q665*Parameters!$B$41+R665*Parameters!$B$42+S665*Parameters!$B$43+T665*Parameters!$B$44+U665*Parameters!$B$45+V665*Parameters!$B$46+W665*Parameters!$B$47+X665*Parameters!$B$48</f>
        <v>2</v>
      </c>
      <c r="Z665" s="0" t="str">
        <f aca="false">IF(Y665&gt;=Parameters!$B$25,"High","")</f>
        <v/>
      </c>
    </row>
    <row r="666" customFormat="false" ht="15" hidden="false" customHeight="false" outlineLevel="0" collapsed="false">
      <c r="A666" s="16" t="n">
        <v>1673</v>
      </c>
      <c r="B666" s="9" t="n">
        <f aca="false">COUNTIF(JE_Lines!$B$5:$B$1733,A666)</f>
        <v>2</v>
      </c>
      <c r="C666" s="17" t="n">
        <f aca="false">SUMIFS(JE_Lines!$G$5:$G$1733,JE_Lines!$B$5:$B$1733,A666)</f>
        <v>67620.1</v>
      </c>
      <c r="D666" s="17" t="n">
        <f aca="false">SUMIFS(JE_Lines!$H$5:$H$1733,JE_Lines!$B$5:$B$1733,A666)</f>
        <v>67620.1</v>
      </c>
      <c r="E666" s="17" t="n">
        <f aca="false">C666-D666</f>
        <v>0</v>
      </c>
      <c r="F666" s="18" t="n">
        <f aca="false">INDEX(JE_Lines!$C$5:$C$1733,MATCH(A666,JE_Lines!$B$5:$B$1733,0))</f>
        <v>45971</v>
      </c>
      <c r="G666" s="18" t="n">
        <f aca="false">INDEX(JE_Lines!$D$5:$D$1733,MATCH(A666,JE_Lines!$B$5:$B$1733,0))</f>
        <v>45968</v>
      </c>
      <c r="H666" s="0" t="str">
        <f aca="false">INDEX(JE_Lines!$I$5:$I$1733,MATCH(A666,JE_Lines!$B$5:$B$1733,0))</f>
        <v>SYS_AR</v>
      </c>
      <c r="I666" s="0" t="str">
        <f aca="false">INDEX(JE_Lines!$J$5:$J$1733,MATCH(A666,JE_Lines!$B$5:$B$1733,0))</f>
        <v>System</v>
      </c>
      <c r="J666" s="0" t="str">
        <f aca="false">IF(LEN(INDEX(JE_Lines!$K$5:$K$1733,MATCH(A666,JE_Lines!$B$5:$B$1733,0)))=0,"",INDEX(JE_Lines!$K$5:$K$1733,MATCH(A666,JE_Lines!$B$5:$B$1733,0)))</f>
        <v>Cost of sales posting</v>
      </c>
      <c r="K666" s="9" t="n">
        <f aca="false">F666-G666</f>
        <v>3</v>
      </c>
      <c r="L666" s="9" t="n">
        <f aca="false">COUNTIFS(JE_Lines!$B$5:$B$1733,A666,JE_Lines!$F$5:$F$1733,"Revenue")</f>
        <v>0</v>
      </c>
      <c r="M666" s="9" t="n">
        <f aca="false">COUNTIFS(JE_Lines!$B$5:$B$1733,A666,JE_Lines!$F$5:$F$1733,"Suspense")</f>
        <v>0</v>
      </c>
      <c r="N666" s="9" t="n">
        <f aca="false">IF(ABS(E666)&gt;Parameters!$B$23,1,0)</f>
        <v>0</v>
      </c>
      <c r="O666" s="9" t="n">
        <f aca="false">IF(WEEKDAY(F666,2)&gt;5,1,0)</f>
        <v>0</v>
      </c>
      <c r="P666" s="9" t="n">
        <f aca="false">IF(K666&gt;Parameters!$B$17,1,0)</f>
        <v>0</v>
      </c>
      <c r="Q666" s="9" t="n">
        <f aca="false">IF(AND(F666&lt;=Parameters!$B$6,F666&gt;Parameters!$B$6-Parameters!$B$18),1,0)</f>
        <v>0</v>
      </c>
      <c r="R666" s="9" t="n">
        <f aca="false">IF(COUNTIF(Parameters!$A$51:$A$58,H666)=0,1,0)</f>
        <v>0</v>
      </c>
      <c r="S666" s="9" t="n">
        <f aca="false">IF(AND(I666="Manual",L666&gt;0),1,0)</f>
        <v>0</v>
      </c>
      <c r="T666" s="9" t="n">
        <f aca="false">IF(AND(C666&gt;=Parameters!$B$22,ROUND(MOD(ROUND(C666,2),Parameters!$B$21),2)=0),1,0)</f>
        <v>0</v>
      </c>
      <c r="U666" s="9" t="n">
        <f aca="false">IF(LEN(TRIM(J666))=0,1,0)</f>
        <v>0</v>
      </c>
      <c r="V666" s="9" t="n">
        <f aca="false">IF(AND(I666="Manual",C666&lt;Parameters!$B$19,C666&gt;=Parameters!$B$19*(1-Parameters!$B$20)),1,0)</f>
        <v>0</v>
      </c>
      <c r="W666" s="9" t="n">
        <f aca="false">IF(AND(I666="Manual",M666&gt;0),1,0)</f>
        <v>0</v>
      </c>
      <c r="X666" s="9" t="n">
        <f aca="false">IF(A666-A665&gt;1,1,0)</f>
        <v>0</v>
      </c>
      <c r="Y666" s="9" t="n">
        <f aca="false">N666*Parameters!$B$38+O666*Parameters!$B$39+P666*Parameters!$B$40+Q666*Parameters!$B$41+R666*Parameters!$B$42+S666*Parameters!$B$43+T666*Parameters!$B$44+U666*Parameters!$B$45+V666*Parameters!$B$46+W666*Parameters!$B$47+X666*Parameters!$B$48</f>
        <v>0</v>
      </c>
      <c r="Z666" s="0" t="str">
        <f aca="false">IF(Y666&gt;=Parameters!$B$25,"High","")</f>
        <v/>
      </c>
    </row>
    <row r="667" customFormat="false" ht="15" hidden="false" customHeight="false" outlineLevel="0" collapsed="false">
      <c r="A667" s="16" t="n">
        <v>1674</v>
      </c>
      <c r="B667" s="9" t="n">
        <f aca="false">COUNTIF(JE_Lines!$B$5:$B$1733,A667)</f>
        <v>2</v>
      </c>
      <c r="C667" s="17" t="n">
        <f aca="false">SUMIFS(JE_Lines!$G$5:$G$1733,JE_Lines!$B$5:$B$1733,A667)</f>
        <v>1352.78</v>
      </c>
      <c r="D667" s="17" t="n">
        <f aca="false">SUMIFS(JE_Lines!$H$5:$H$1733,JE_Lines!$B$5:$B$1733,A667)</f>
        <v>1352.78</v>
      </c>
      <c r="E667" s="17" t="n">
        <f aca="false">C667-D667</f>
        <v>0</v>
      </c>
      <c r="F667" s="18" t="n">
        <f aca="false">INDEX(JE_Lines!$C$5:$C$1733,MATCH(A667,JE_Lines!$B$5:$B$1733,0))</f>
        <v>45971</v>
      </c>
      <c r="G667" s="18" t="n">
        <f aca="false">INDEX(JE_Lines!$D$5:$D$1733,MATCH(A667,JE_Lines!$B$5:$B$1733,0))</f>
        <v>45971</v>
      </c>
      <c r="H667" s="0" t="str">
        <f aca="false">INDEX(JE_Lines!$I$5:$I$1733,MATCH(A667,JE_Lines!$B$5:$B$1733,0))</f>
        <v>SYS_AR</v>
      </c>
      <c r="I667" s="0" t="str">
        <f aca="false">INDEX(JE_Lines!$J$5:$J$1733,MATCH(A667,JE_Lines!$B$5:$B$1733,0))</f>
        <v>System</v>
      </c>
      <c r="J667" s="0" t="str">
        <f aca="false">IF(LEN(INDEX(JE_Lines!$K$5:$K$1733,MATCH(A667,JE_Lines!$B$5:$B$1733,0)))=0,"",INDEX(JE_Lines!$K$5:$K$1733,MATCH(A667,JE_Lines!$B$5:$B$1733,0)))</f>
        <v>Customer receipts</v>
      </c>
      <c r="K667" s="9" t="n">
        <f aca="false">F667-G667</f>
        <v>0</v>
      </c>
      <c r="L667" s="9" t="n">
        <f aca="false">COUNTIFS(JE_Lines!$B$5:$B$1733,A667,JE_Lines!$F$5:$F$1733,"Revenue")</f>
        <v>0</v>
      </c>
      <c r="M667" s="9" t="n">
        <f aca="false">COUNTIFS(JE_Lines!$B$5:$B$1733,A667,JE_Lines!$F$5:$F$1733,"Suspense")</f>
        <v>0</v>
      </c>
      <c r="N667" s="9" t="n">
        <f aca="false">IF(ABS(E667)&gt;Parameters!$B$23,1,0)</f>
        <v>0</v>
      </c>
      <c r="O667" s="9" t="n">
        <f aca="false">IF(WEEKDAY(F667,2)&gt;5,1,0)</f>
        <v>0</v>
      </c>
      <c r="P667" s="9" t="n">
        <f aca="false">IF(K667&gt;Parameters!$B$17,1,0)</f>
        <v>0</v>
      </c>
      <c r="Q667" s="9" t="n">
        <f aca="false">IF(AND(F667&lt;=Parameters!$B$6,F667&gt;Parameters!$B$6-Parameters!$B$18),1,0)</f>
        <v>0</v>
      </c>
      <c r="R667" s="9" t="n">
        <f aca="false">IF(COUNTIF(Parameters!$A$51:$A$58,H667)=0,1,0)</f>
        <v>0</v>
      </c>
      <c r="S667" s="9" t="n">
        <f aca="false">IF(AND(I667="Manual",L667&gt;0),1,0)</f>
        <v>0</v>
      </c>
      <c r="T667" s="9" t="n">
        <f aca="false">IF(AND(C667&gt;=Parameters!$B$22,ROUND(MOD(ROUND(C667,2),Parameters!$B$21),2)=0),1,0)</f>
        <v>0</v>
      </c>
      <c r="U667" s="9" t="n">
        <f aca="false">IF(LEN(TRIM(J667))=0,1,0)</f>
        <v>0</v>
      </c>
      <c r="V667" s="9" t="n">
        <f aca="false">IF(AND(I667="Manual",C667&lt;Parameters!$B$19,C667&gt;=Parameters!$B$19*(1-Parameters!$B$20)),1,0)</f>
        <v>0</v>
      </c>
      <c r="W667" s="9" t="n">
        <f aca="false">IF(AND(I667="Manual",M667&gt;0),1,0)</f>
        <v>0</v>
      </c>
      <c r="X667" s="9" t="n">
        <f aca="false">IF(A667-A666&gt;1,1,0)</f>
        <v>0</v>
      </c>
      <c r="Y667" s="9" t="n">
        <f aca="false">N667*Parameters!$B$38+O667*Parameters!$B$39+P667*Parameters!$B$40+Q667*Parameters!$B$41+R667*Parameters!$B$42+S667*Parameters!$B$43+T667*Parameters!$B$44+U667*Parameters!$B$45+V667*Parameters!$B$46+W667*Parameters!$B$47+X667*Parameters!$B$48</f>
        <v>0</v>
      </c>
      <c r="Z667" s="0" t="str">
        <f aca="false">IF(Y667&gt;=Parameters!$B$25,"High","")</f>
        <v/>
      </c>
    </row>
    <row r="668" customFormat="false" ht="15" hidden="false" customHeight="false" outlineLevel="0" collapsed="false">
      <c r="A668" s="16" t="n">
        <v>1675</v>
      </c>
      <c r="B668" s="9" t="n">
        <f aca="false">COUNTIF(JE_Lines!$B$5:$B$1733,A668)</f>
        <v>2</v>
      </c>
      <c r="C668" s="17" t="n">
        <f aca="false">SUMIFS(JE_Lines!$G$5:$G$1733,JE_Lines!$B$5:$B$1733,A668)</f>
        <v>2875.11</v>
      </c>
      <c r="D668" s="17" t="n">
        <f aca="false">SUMIFS(JE_Lines!$H$5:$H$1733,JE_Lines!$B$5:$B$1733,A668)</f>
        <v>2875.11</v>
      </c>
      <c r="E668" s="17" t="n">
        <f aca="false">C668-D668</f>
        <v>0</v>
      </c>
      <c r="F668" s="18" t="n">
        <f aca="false">INDEX(JE_Lines!$C$5:$C$1733,MATCH(A668,JE_Lines!$B$5:$B$1733,0))</f>
        <v>45972</v>
      </c>
      <c r="G668" s="18" t="n">
        <f aca="false">INDEX(JE_Lines!$D$5:$D$1733,MATCH(A668,JE_Lines!$B$5:$B$1733,0))</f>
        <v>45970</v>
      </c>
      <c r="H668" s="0" t="str">
        <f aca="false">INDEX(JE_Lines!$I$5:$I$1733,MATCH(A668,JE_Lines!$B$5:$B$1733,0))</f>
        <v>SYS_AR</v>
      </c>
      <c r="I668" s="0" t="str">
        <f aca="false">INDEX(JE_Lines!$J$5:$J$1733,MATCH(A668,JE_Lines!$B$5:$B$1733,0))</f>
        <v>System</v>
      </c>
      <c r="J668" s="0" t="str">
        <f aca="false">IF(LEN(INDEX(JE_Lines!$K$5:$K$1733,MATCH(A668,JE_Lines!$B$5:$B$1733,0)))=0,"",INDEX(JE_Lines!$K$5:$K$1733,MATCH(A668,JE_Lines!$B$5:$B$1733,0)))</f>
        <v>Customer receipts</v>
      </c>
      <c r="K668" s="9" t="n">
        <f aca="false">F668-G668</f>
        <v>2</v>
      </c>
      <c r="L668" s="9" t="n">
        <f aca="false">COUNTIFS(JE_Lines!$B$5:$B$1733,A668,JE_Lines!$F$5:$F$1733,"Revenue")</f>
        <v>0</v>
      </c>
      <c r="M668" s="9" t="n">
        <f aca="false">COUNTIFS(JE_Lines!$B$5:$B$1733,A668,JE_Lines!$F$5:$F$1733,"Suspense")</f>
        <v>0</v>
      </c>
      <c r="N668" s="9" t="n">
        <f aca="false">IF(ABS(E668)&gt;Parameters!$B$23,1,0)</f>
        <v>0</v>
      </c>
      <c r="O668" s="9" t="n">
        <f aca="false">IF(WEEKDAY(F668,2)&gt;5,1,0)</f>
        <v>0</v>
      </c>
      <c r="P668" s="9" t="n">
        <f aca="false">IF(K668&gt;Parameters!$B$17,1,0)</f>
        <v>0</v>
      </c>
      <c r="Q668" s="9" t="n">
        <f aca="false">IF(AND(F668&lt;=Parameters!$B$6,F668&gt;Parameters!$B$6-Parameters!$B$18),1,0)</f>
        <v>0</v>
      </c>
      <c r="R668" s="9" t="n">
        <f aca="false">IF(COUNTIF(Parameters!$A$51:$A$58,H668)=0,1,0)</f>
        <v>0</v>
      </c>
      <c r="S668" s="9" t="n">
        <f aca="false">IF(AND(I668="Manual",L668&gt;0),1,0)</f>
        <v>0</v>
      </c>
      <c r="T668" s="9" t="n">
        <f aca="false">IF(AND(C668&gt;=Parameters!$B$22,ROUND(MOD(ROUND(C668,2),Parameters!$B$21),2)=0),1,0)</f>
        <v>0</v>
      </c>
      <c r="U668" s="9" t="n">
        <f aca="false">IF(LEN(TRIM(J668))=0,1,0)</f>
        <v>0</v>
      </c>
      <c r="V668" s="9" t="n">
        <f aca="false">IF(AND(I668="Manual",C668&lt;Parameters!$B$19,C668&gt;=Parameters!$B$19*(1-Parameters!$B$20)),1,0)</f>
        <v>0</v>
      </c>
      <c r="W668" s="9" t="n">
        <f aca="false">IF(AND(I668="Manual",M668&gt;0),1,0)</f>
        <v>0</v>
      </c>
      <c r="X668" s="9" t="n">
        <f aca="false">IF(A668-A667&gt;1,1,0)</f>
        <v>0</v>
      </c>
      <c r="Y668" s="9" t="n">
        <f aca="false">N668*Parameters!$B$38+O668*Parameters!$B$39+P668*Parameters!$B$40+Q668*Parameters!$B$41+R668*Parameters!$B$42+S668*Parameters!$B$43+T668*Parameters!$B$44+U668*Parameters!$B$45+V668*Parameters!$B$46+W668*Parameters!$B$47+X668*Parameters!$B$48</f>
        <v>0</v>
      </c>
      <c r="Z668" s="0" t="str">
        <f aca="false">IF(Y668&gt;=Parameters!$B$25,"High","")</f>
        <v/>
      </c>
    </row>
    <row r="669" customFormat="false" ht="15" hidden="false" customHeight="false" outlineLevel="0" collapsed="false">
      <c r="A669" s="16" t="n">
        <v>1676</v>
      </c>
      <c r="B669" s="9" t="n">
        <f aca="false">COUNTIF(JE_Lines!$B$5:$B$1733,A669)</f>
        <v>2</v>
      </c>
      <c r="C669" s="17" t="n">
        <f aca="false">SUMIFS(JE_Lines!$G$5:$G$1733,JE_Lines!$B$5:$B$1733,A669)</f>
        <v>10307.25</v>
      </c>
      <c r="D669" s="17" t="n">
        <f aca="false">SUMIFS(JE_Lines!$H$5:$H$1733,JE_Lines!$B$5:$B$1733,A669)</f>
        <v>10307.25</v>
      </c>
      <c r="E669" s="17" t="n">
        <f aca="false">C669-D669</f>
        <v>0</v>
      </c>
      <c r="F669" s="18" t="n">
        <f aca="false">INDEX(JE_Lines!$C$5:$C$1733,MATCH(A669,JE_Lines!$B$5:$B$1733,0))</f>
        <v>45972</v>
      </c>
      <c r="G669" s="18" t="n">
        <f aca="false">INDEX(JE_Lines!$D$5:$D$1733,MATCH(A669,JE_Lines!$B$5:$B$1733,0))</f>
        <v>45971</v>
      </c>
      <c r="H669" s="0" t="str">
        <f aca="false">INDEX(JE_Lines!$I$5:$I$1733,MATCH(A669,JE_Lines!$B$5:$B$1733,0))</f>
        <v>SYS_AP</v>
      </c>
      <c r="I669" s="0" t="str">
        <f aca="false">INDEX(JE_Lines!$J$5:$J$1733,MATCH(A669,JE_Lines!$B$5:$B$1733,0))</f>
        <v>System</v>
      </c>
      <c r="J669" s="0" t="str">
        <f aca="false">IF(LEN(INDEX(JE_Lines!$K$5:$K$1733,MATCH(A669,JE_Lines!$B$5:$B$1733,0)))=0,"",INDEX(JE_Lines!$K$5:$K$1733,MATCH(A669,JE_Lines!$B$5:$B$1733,0)))</f>
        <v>Supplier invoices</v>
      </c>
      <c r="K669" s="9" t="n">
        <f aca="false">F669-G669</f>
        <v>1</v>
      </c>
      <c r="L669" s="9" t="n">
        <f aca="false">COUNTIFS(JE_Lines!$B$5:$B$1733,A669,JE_Lines!$F$5:$F$1733,"Revenue")</f>
        <v>0</v>
      </c>
      <c r="M669" s="9" t="n">
        <f aca="false">COUNTIFS(JE_Lines!$B$5:$B$1733,A669,JE_Lines!$F$5:$F$1733,"Suspense")</f>
        <v>0</v>
      </c>
      <c r="N669" s="9" t="n">
        <f aca="false">IF(ABS(E669)&gt;Parameters!$B$23,1,0)</f>
        <v>0</v>
      </c>
      <c r="O669" s="9" t="n">
        <f aca="false">IF(WEEKDAY(F669,2)&gt;5,1,0)</f>
        <v>0</v>
      </c>
      <c r="P669" s="9" t="n">
        <f aca="false">IF(K669&gt;Parameters!$B$17,1,0)</f>
        <v>0</v>
      </c>
      <c r="Q669" s="9" t="n">
        <f aca="false">IF(AND(F669&lt;=Parameters!$B$6,F669&gt;Parameters!$B$6-Parameters!$B$18),1,0)</f>
        <v>0</v>
      </c>
      <c r="R669" s="9" t="n">
        <f aca="false">IF(COUNTIF(Parameters!$A$51:$A$58,H669)=0,1,0)</f>
        <v>0</v>
      </c>
      <c r="S669" s="9" t="n">
        <f aca="false">IF(AND(I669="Manual",L669&gt;0),1,0)</f>
        <v>0</v>
      </c>
      <c r="T669" s="9" t="n">
        <f aca="false">IF(AND(C669&gt;=Parameters!$B$22,ROUND(MOD(ROUND(C669,2),Parameters!$B$21),2)=0),1,0)</f>
        <v>0</v>
      </c>
      <c r="U669" s="9" t="n">
        <f aca="false">IF(LEN(TRIM(J669))=0,1,0)</f>
        <v>0</v>
      </c>
      <c r="V669" s="9" t="n">
        <f aca="false">IF(AND(I669="Manual",C669&lt;Parameters!$B$19,C669&gt;=Parameters!$B$19*(1-Parameters!$B$20)),1,0)</f>
        <v>0</v>
      </c>
      <c r="W669" s="9" t="n">
        <f aca="false">IF(AND(I669="Manual",M669&gt;0),1,0)</f>
        <v>0</v>
      </c>
      <c r="X669" s="9" t="n">
        <f aca="false">IF(A669-A668&gt;1,1,0)</f>
        <v>0</v>
      </c>
      <c r="Y669" s="9" t="n">
        <f aca="false">N669*Parameters!$B$38+O669*Parameters!$B$39+P669*Parameters!$B$40+Q669*Parameters!$B$41+R669*Parameters!$B$42+S669*Parameters!$B$43+T669*Parameters!$B$44+U669*Parameters!$B$45+V669*Parameters!$B$46+W669*Parameters!$B$47+X669*Parameters!$B$48</f>
        <v>0</v>
      </c>
      <c r="Z669" s="0" t="str">
        <f aca="false">IF(Y669&gt;=Parameters!$B$25,"High","")</f>
        <v/>
      </c>
    </row>
    <row r="670" customFormat="false" ht="15" hidden="false" customHeight="false" outlineLevel="0" collapsed="false">
      <c r="A670" s="16" t="n">
        <v>1677</v>
      </c>
      <c r="B670" s="9" t="n">
        <f aca="false">COUNTIF(JE_Lines!$B$5:$B$1733,A670)</f>
        <v>2</v>
      </c>
      <c r="C670" s="17" t="n">
        <f aca="false">SUMIFS(JE_Lines!$G$5:$G$1733,JE_Lines!$B$5:$B$1733,A670)</f>
        <v>584.35</v>
      </c>
      <c r="D670" s="17" t="n">
        <f aca="false">SUMIFS(JE_Lines!$H$5:$H$1733,JE_Lines!$B$5:$B$1733,A670)</f>
        <v>584.35</v>
      </c>
      <c r="E670" s="17" t="n">
        <f aca="false">C670-D670</f>
        <v>0</v>
      </c>
      <c r="F670" s="18" t="n">
        <f aca="false">INDEX(JE_Lines!$C$5:$C$1733,MATCH(A670,JE_Lines!$B$5:$B$1733,0))</f>
        <v>45973</v>
      </c>
      <c r="G670" s="18" t="n">
        <f aca="false">INDEX(JE_Lines!$D$5:$D$1733,MATCH(A670,JE_Lines!$B$5:$B$1733,0))</f>
        <v>45969</v>
      </c>
      <c r="H670" s="0" t="str">
        <f aca="false">INDEX(JE_Lines!$I$5:$I$1733,MATCH(A670,JE_Lines!$B$5:$B$1733,0))</f>
        <v>SYS_AP</v>
      </c>
      <c r="I670" s="0" t="str">
        <f aca="false">INDEX(JE_Lines!$J$5:$J$1733,MATCH(A670,JE_Lines!$B$5:$B$1733,0))</f>
        <v>System</v>
      </c>
      <c r="J670" s="0" t="str">
        <f aca="false">IF(LEN(INDEX(JE_Lines!$K$5:$K$1733,MATCH(A670,JE_Lines!$B$5:$B$1733,0)))=0,"",INDEX(JE_Lines!$K$5:$K$1733,MATCH(A670,JE_Lines!$B$5:$B$1733,0)))</f>
        <v>Supplier invoices</v>
      </c>
      <c r="K670" s="9" t="n">
        <f aca="false">F670-G670</f>
        <v>4</v>
      </c>
      <c r="L670" s="9" t="n">
        <f aca="false">COUNTIFS(JE_Lines!$B$5:$B$1733,A670,JE_Lines!$F$5:$F$1733,"Revenue")</f>
        <v>0</v>
      </c>
      <c r="M670" s="9" t="n">
        <f aca="false">COUNTIFS(JE_Lines!$B$5:$B$1733,A670,JE_Lines!$F$5:$F$1733,"Suspense")</f>
        <v>0</v>
      </c>
      <c r="N670" s="9" t="n">
        <f aca="false">IF(ABS(E670)&gt;Parameters!$B$23,1,0)</f>
        <v>0</v>
      </c>
      <c r="O670" s="9" t="n">
        <f aca="false">IF(WEEKDAY(F670,2)&gt;5,1,0)</f>
        <v>0</v>
      </c>
      <c r="P670" s="9" t="n">
        <f aca="false">IF(K670&gt;Parameters!$B$17,1,0)</f>
        <v>0</v>
      </c>
      <c r="Q670" s="9" t="n">
        <f aca="false">IF(AND(F670&lt;=Parameters!$B$6,F670&gt;Parameters!$B$6-Parameters!$B$18),1,0)</f>
        <v>0</v>
      </c>
      <c r="R670" s="9" t="n">
        <f aca="false">IF(COUNTIF(Parameters!$A$51:$A$58,H670)=0,1,0)</f>
        <v>0</v>
      </c>
      <c r="S670" s="9" t="n">
        <f aca="false">IF(AND(I670="Manual",L670&gt;0),1,0)</f>
        <v>0</v>
      </c>
      <c r="T670" s="9" t="n">
        <f aca="false">IF(AND(C670&gt;=Parameters!$B$22,ROUND(MOD(ROUND(C670,2),Parameters!$B$21),2)=0),1,0)</f>
        <v>0</v>
      </c>
      <c r="U670" s="9" t="n">
        <f aca="false">IF(LEN(TRIM(J670))=0,1,0)</f>
        <v>0</v>
      </c>
      <c r="V670" s="9" t="n">
        <f aca="false">IF(AND(I670="Manual",C670&lt;Parameters!$B$19,C670&gt;=Parameters!$B$19*(1-Parameters!$B$20)),1,0)</f>
        <v>0</v>
      </c>
      <c r="W670" s="9" t="n">
        <f aca="false">IF(AND(I670="Manual",M670&gt;0),1,0)</f>
        <v>0</v>
      </c>
      <c r="X670" s="9" t="n">
        <f aca="false">IF(A670-A669&gt;1,1,0)</f>
        <v>0</v>
      </c>
      <c r="Y670" s="9" t="n">
        <f aca="false">N670*Parameters!$B$38+O670*Parameters!$B$39+P670*Parameters!$B$40+Q670*Parameters!$B$41+R670*Parameters!$B$42+S670*Parameters!$B$43+T670*Parameters!$B$44+U670*Parameters!$B$45+V670*Parameters!$B$46+W670*Parameters!$B$47+X670*Parameters!$B$48</f>
        <v>0</v>
      </c>
      <c r="Z670" s="0" t="str">
        <f aca="false">IF(Y670&gt;=Parameters!$B$25,"High","")</f>
        <v/>
      </c>
    </row>
    <row r="671" customFormat="false" ht="15" hidden="false" customHeight="false" outlineLevel="0" collapsed="false">
      <c r="A671" s="16" t="n">
        <v>1678</v>
      </c>
      <c r="B671" s="9" t="n">
        <f aca="false">COUNTIF(JE_Lines!$B$5:$B$1733,A671)</f>
        <v>2</v>
      </c>
      <c r="C671" s="17" t="n">
        <f aca="false">SUMIFS(JE_Lines!$G$5:$G$1733,JE_Lines!$B$5:$B$1733,A671)</f>
        <v>6077.51</v>
      </c>
      <c r="D671" s="17" t="n">
        <f aca="false">SUMIFS(JE_Lines!$H$5:$H$1733,JE_Lines!$B$5:$B$1733,A671)</f>
        <v>6077.51</v>
      </c>
      <c r="E671" s="17" t="n">
        <f aca="false">C671-D671</f>
        <v>0</v>
      </c>
      <c r="F671" s="18" t="n">
        <f aca="false">INDEX(JE_Lines!$C$5:$C$1733,MATCH(A671,JE_Lines!$B$5:$B$1733,0))</f>
        <v>45973</v>
      </c>
      <c r="G671" s="18" t="n">
        <f aca="false">INDEX(JE_Lines!$D$5:$D$1733,MATCH(A671,JE_Lines!$B$5:$B$1733,0))</f>
        <v>45972</v>
      </c>
      <c r="H671" s="0" t="str">
        <f aca="false">INDEX(JE_Lines!$I$5:$I$1733,MATCH(A671,JE_Lines!$B$5:$B$1733,0))</f>
        <v>SYS_PAY</v>
      </c>
      <c r="I671" s="0" t="str">
        <f aca="false">INDEX(JE_Lines!$J$5:$J$1733,MATCH(A671,JE_Lines!$B$5:$B$1733,0))</f>
        <v>System</v>
      </c>
      <c r="J671" s="0" t="str">
        <f aca="false">IF(LEN(INDEX(JE_Lines!$K$5:$K$1733,MATCH(A671,JE_Lines!$B$5:$B$1733,0)))=0,"",INDEX(JE_Lines!$K$5:$K$1733,MATCH(A671,JE_Lines!$B$5:$B$1733,0)))</f>
        <v>Supplier payments</v>
      </c>
      <c r="K671" s="9" t="n">
        <f aca="false">F671-G671</f>
        <v>1</v>
      </c>
      <c r="L671" s="9" t="n">
        <f aca="false">COUNTIFS(JE_Lines!$B$5:$B$1733,A671,JE_Lines!$F$5:$F$1733,"Revenue")</f>
        <v>0</v>
      </c>
      <c r="M671" s="9" t="n">
        <f aca="false">COUNTIFS(JE_Lines!$B$5:$B$1733,A671,JE_Lines!$F$5:$F$1733,"Suspense")</f>
        <v>0</v>
      </c>
      <c r="N671" s="9" t="n">
        <f aca="false">IF(ABS(E671)&gt;Parameters!$B$23,1,0)</f>
        <v>0</v>
      </c>
      <c r="O671" s="9" t="n">
        <f aca="false">IF(WEEKDAY(F671,2)&gt;5,1,0)</f>
        <v>0</v>
      </c>
      <c r="P671" s="9" t="n">
        <f aca="false">IF(K671&gt;Parameters!$B$17,1,0)</f>
        <v>0</v>
      </c>
      <c r="Q671" s="9" t="n">
        <f aca="false">IF(AND(F671&lt;=Parameters!$B$6,F671&gt;Parameters!$B$6-Parameters!$B$18),1,0)</f>
        <v>0</v>
      </c>
      <c r="R671" s="9" t="n">
        <f aca="false">IF(COUNTIF(Parameters!$A$51:$A$58,H671)=0,1,0)</f>
        <v>0</v>
      </c>
      <c r="S671" s="9" t="n">
        <f aca="false">IF(AND(I671="Manual",L671&gt;0),1,0)</f>
        <v>0</v>
      </c>
      <c r="T671" s="9" t="n">
        <f aca="false">IF(AND(C671&gt;=Parameters!$B$22,ROUND(MOD(ROUND(C671,2),Parameters!$B$21),2)=0),1,0)</f>
        <v>0</v>
      </c>
      <c r="U671" s="9" t="n">
        <f aca="false">IF(LEN(TRIM(J671))=0,1,0)</f>
        <v>0</v>
      </c>
      <c r="V671" s="9" t="n">
        <f aca="false">IF(AND(I671="Manual",C671&lt;Parameters!$B$19,C671&gt;=Parameters!$B$19*(1-Parameters!$B$20)),1,0)</f>
        <v>0</v>
      </c>
      <c r="W671" s="9" t="n">
        <f aca="false">IF(AND(I671="Manual",M671&gt;0),1,0)</f>
        <v>0</v>
      </c>
      <c r="X671" s="9" t="n">
        <f aca="false">IF(A671-A670&gt;1,1,0)</f>
        <v>0</v>
      </c>
      <c r="Y671" s="9" t="n">
        <f aca="false">N671*Parameters!$B$38+O671*Parameters!$B$39+P671*Parameters!$B$40+Q671*Parameters!$B$41+R671*Parameters!$B$42+S671*Parameters!$B$43+T671*Parameters!$B$44+U671*Parameters!$B$45+V671*Parameters!$B$46+W671*Parameters!$B$47+X671*Parameters!$B$48</f>
        <v>0</v>
      </c>
      <c r="Z671" s="0" t="str">
        <f aca="false">IF(Y671&gt;=Parameters!$B$25,"High","")</f>
        <v/>
      </c>
    </row>
    <row r="672" customFormat="false" ht="15" hidden="false" customHeight="false" outlineLevel="0" collapsed="false">
      <c r="A672" s="16" t="n">
        <v>1679</v>
      </c>
      <c r="B672" s="9" t="n">
        <f aca="false">COUNTIF(JE_Lines!$B$5:$B$1733,A672)</f>
        <v>2</v>
      </c>
      <c r="C672" s="17" t="n">
        <f aca="false">SUMIFS(JE_Lines!$G$5:$G$1733,JE_Lines!$B$5:$B$1733,A672)</f>
        <v>17608.69</v>
      </c>
      <c r="D672" s="17" t="n">
        <f aca="false">SUMIFS(JE_Lines!$H$5:$H$1733,JE_Lines!$B$5:$B$1733,A672)</f>
        <v>17608.69</v>
      </c>
      <c r="E672" s="17" t="n">
        <f aca="false">C672-D672</f>
        <v>0</v>
      </c>
      <c r="F672" s="18" t="n">
        <f aca="false">INDEX(JE_Lines!$C$5:$C$1733,MATCH(A672,JE_Lines!$B$5:$B$1733,0))</f>
        <v>45973</v>
      </c>
      <c r="G672" s="18" t="n">
        <f aca="false">INDEX(JE_Lines!$D$5:$D$1733,MATCH(A672,JE_Lines!$B$5:$B$1733,0))</f>
        <v>45972</v>
      </c>
      <c r="H672" s="0" t="str">
        <f aca="false">INDEX(JE_Lines!$I$5:$I$1733,MATCH(A672,JE_Lines!$B$5:$B$1733,0))</f>
        <v>SYS_PAY</v>
      </c>
      <c r="I672" s="0" t="str">
        <f aca="false">INDEX(JE_Lines!$J$5:$J$1733,MATCH(A672,JE_Lines!$B$5:$B$1733,0))</f>
        <v>System</v>
      </c>
      <c r="J672" s="0" t="str">
        <f aca="false">IF(LEN(INDEX(JE_Lines!$K$5:$K$1733,MATCH(A672,JE_Lines!$B$5:$B$1733,0)))=0,"",INDEX(JE_Lines!$K$5:$K$1733,MATCH(A672,JE_Lines!$B$5:$B$1733,0)))</f>
        <v>Supplier payments</v>
      </c>
      <c r="K672" s="9" t="n">
        <f aca="false">F672-G672</f>
        <v>1</v>
      </c>
      <c r="L672" s="9" t="n">
        <f aca="false">COUNTIFS(JE_Lines!$B$5:$B$1733,A672,JE_Lines!$F$5:$F$1733,"Revenue")</f>
        <v>0</v>
      </c>
      <c r="M672" s="9" t="n">
        <f aca="false">COUNTIFS(JE_Lines!$B$5:$B$1733,A672,JE_Lines!$F$5:$F$1733,"Suspense")</f>
        <v>0</v>
      </c>
      <c r="N672" s="9" t="n">
        <f aca="false">IF(ABS(E672)&gt;Parameters!$B$23,1,0)</f>
        <v>0</v>
      </c>
      <c r="O672" s="9" t="n">
        <f aca="false">IF(WEEKDAY(F672,2)&gt;5,1,0)</f>
        <v>0</v>
      </c>
      <c r="P672" s="9" t="n">
        <f aca="false">IF(K672&gt;Parameters!$B$17,1,0)</f>
        <v>0</v>
      </c>
      <c r="Q672" s="9" t="n">
        <f aca="false">IF(AND(F672&lt;=Parameters!$B$6,F672&gt;Parameters!$B$6-Parameters!$B$18),1,0)</f>
        <v>0</v>
      </c>
      <c r="R672" s="9" t="n">
        <f aca="false">IF(COUNTIF(Parameters!$A$51:$A$58,H672)=0,1,0)</f>
        <v>0</v>
      </c>
      <c r="S672" s="9" t="n">
        <f aca="false">IF(AND(I672="Manual",L672&gt;0),1,0)</f>
        <v>0</v>
      </c>
      <c r="T672" s="9" t="n">
        <f aca="false">IF(AND(C672&gt;=Parameters!$B$22,ROUND(MOD(ROUND(C672,2),Parameters!$B$21),2)=0),1,0)</f>
        <v>0</v>
      </c>
      <c r="U672" s="9" t="n">
        <f aca="false">IF(LEN(TRIM(J672))=0,1,0)</f>
        <v>0</v>
      </c>
      <c r="V672" s="9" t="n">
        <f aca="false">IF(AND(I672="Manual",C672&lt;Parameters!$B$19,C672&gt;=Parameters!$B$19*(1-Parameters!$B$20)),1,0)</f>
        <v>0</v>
      </c>
      <c r="W672" s="9" t="n">
        <f aca="false">IF(AND(I672="Manual",M672&gt;0),1,0)</f>
        <v>0</v>
      </c>
      <c r="X672" s="9" t="n">
        <f aca="false">IF(A672-A671&gt;1,1,0)</f>
        <v>0</v>
      </c>
      <c r="Y672" s="9" t="n">
        <f aca="false">N672*Parameters!$B$38+O672*Parameters!$B$39+P672*Parameters!$B$40+Q672*Parameters!$B$41+R672*Parameters!$B$42+S672*Parameters!$B$43+T672*Parameters!$B$44+U672*Parameters!$B$45+V672*Parameters!$B$46+W672*Parameters!$B$47+X672*Parameters!$B$48</f>
        <v>0</v>
      </c>
      <c r="Z672" s="0" t="str">
        <f aca="false">IF(Y672&gt;=Parameters!$B$25,"High","")</f>
        <v/>
      </c>
    </row>
    <row r="673" customFormat="false" ht="15" hidden="false" customHeight="false" outlineLevel="0" collapsed="false">
      <c r="A673" s="16" t="n">
        <v>1680</v>
      </c>
      <c r="B673" s="9" t="n">
        <f aca="false">COUNTIF(JE_Lines!$B$5:$B$1733,A673)</f>
        <v>2</v>
      </c>
      <c r="C673" s="17" t="n">
        <f aca="false">SUMIFS(JE_Lines!$G$5:$G$1733,JE_Lines!$B$5:$B$1733,A673)</f>
        <v>2450.57</v>
      </c>
      <c r="D673" s="17" t="n">
        <f aca="false">SUMIFS(JE_Lines!$H$5:$H$1733,JE_Lines!$B$5:$B$1733,A673)</f>
        <v>2450.57</v>
      </c>
      <c r="E673" s="17" t="n">
        <f aca="false">C673-D673</f>
        <v>0</v>
      </c>
      <c r="F673" s="18" t="n">
        <f aca="false">INDEX(JE_Lines!$C$5:$C$1733,MATCH(A673,JE_Lines!$B$5:$B$1733,0))</f>
        <v>45975</v>
      </c>
      <c r="G673" s="18" t="n">
        <f aca="false">INDEX(JE_Lines!$D$5:$D$1733,MATCH(A673,JE_Lines!$B$5:$B$1733,0))</f>
        <v>45974</v>
      </c>
      <c r="H673" s="0" t="str">
        <f aca="false">INDEX(JE_Lines!$I$5:$I$1733,MATCH(A673,JE_Lines!$B$5:$B$1733,0))</f>
        <v>SYS_PAY</v>
      </c>
      <c r="I673" s="0" t="str">
        <f aca="false">INDEX(JE_Lines!$J$5:$J$1733,MATCH(A673,JE_Lines!$B$5:$B$1733,0))</f>
        <v>System</v>
      </c>
      <c r="J673" s="0" t="str">
        <f aca="false">IF(LEN(INDEX(JE_Lines!$K$5:$K$1733,MATCH(A673,JE_Lines!$B$5:$B$1733,0)))=0,"",INDEX(JE_Lines!$K$5:$K$1733,MATCH(A673,JE_Lines!$B$5:$B$1733,0)))</f>
        <v>Supplier payments</v>
      </c>
      <c r="K673" s="9" t="n">
        <f aca="false">F673-G673</f>
        <v>1</v>
      </c>
      <c r="L673" s="9" t="n">
        <f aca="false">COUNTIFS(JE_Lines!$B$5:$B$1733,A673,JE_Lines!$F$5:$F$1733,"Revenue")</f>
        <v>0</v>
      </c>
      <c r="M673" s="9" t="n">
        <f aca="false">COUNTIFS(JE_Lines!$B$5:$B$1733,A673,JE_Lines!$F$5:$F$1733,"Suspense")</f>
        <v>0</v>
      </c>
      <c r="N673" s="9" t="n">
        <f aca="false">IF(ABS(E673)&gt;Parameters!$B$23,1,0)</f>
        <v>0</v>
      </c>
      <c r="O673" s="9" t="n">
        <f aca="false">IF(WEEKDAY(F673,2)&gt;5,1,0)</f>
        <v>0</v>
      </c>
      <c r="P673" s="9" t="n">
        <f aca="false">IF(K673&gt;Parameters!$B$17,1,0)</f>
        <v>0</v>
      </c>
      <c r="Q673" s="9" t="n">
        <f aca="false">IF(AND(F673&lt;=Parameters!$B$6,F673&gt;Parameters!$B$6-Parameters!$B$18),1,0)</f>
        <v>0</v>
      </c>
      <c r="R673" s="9" t="n">
        <f aca="false">IF(COUNTIF(Parameters!$A$51:$A$58,H673)=0,1,0)</f>
        <v>0</v>
      </c>
      <c r="S673" s="9" t="n">
        <f aca="false">IF(AND(I673="Manual",L673&gt;0),1,0)</f>
        <v>0</v>
      </c>
      <c r="T673" s="9" t="n">
        <f aca="false">IF(AND(C673&gt;=Parameters!$B$22,ROUND(MOD(ROUND(C673,2),Parameters!$B$21),2)=0),1,0)</f>
        <v>0</v>
      </c>
      <c r="U673" s="9" t="n">
        <f aca="false">IF(LEN(TRIM(J673))=0,1,0)</f>
        <v>0</v>
      </c>
      <c r="V673" s="9" t="n">
        <f aca="false">IF(AND(I673="Manual",C673&lt;Parameters!$B$19,C673&gt;=Parameters!$B$19*(1-Parameters!$B$20)),1,0)</f>
        <v>0</v>
      </c>
      <c r="W673" s="9" t="n">
        <f aca="false">IF(AND(I673="Manual",M673&gt;0),1,0)</f>
        <v>0</v>
      </c>
      <c r="X673" s="9" t="n">
        <f aca="false">IF(A673-A672&gt;1,1,0)</f>
        <v>0</v>
      </c>
      <c r="Y673" s="9" t="n">
        <f aca="false">N673*Parameters!$B$38+O673*Parameters!$B$39+P673*Parameters!$B$40+Q673*Parameters!$B$41+R673*Parameters!$B$42+S673*Parameters!$B$43+T673*Parameters!$B$44+U673*Parameters!$B$45+V673*Parameters!$B$46+W673*Parameters!$B$47+X673*Parameters!$B$48</f>
        <v>0</v>
      </c>
      <c r="Z673" s="0" t="str">
        <f aca="false">IF(Y673&gt;=Parameters!$B$25,"High","")</f>
        <v/>
      </c>
    </row>
    <row r="674" customFormat="false" ht="15" hidden="false" customHeight="false" outlineLevel="0" collapsed="false">
      <c r="A674" s="16" t="n">
        <v>1681</v>
      </c>
      <c r="B674" s="9" t="n">
        <f aca="false">COUNTIF(JE_Lines!$B$5:$B$1733,A674)</f>
        <v>3</v>
      </c>
      <c r="C674" s="17" t="n">
        <f aca="false">SUMIFS(JE_Lines!$G$5:$G$1733,JE_Lines!$B$5:$B$1733,A674)</f>
        <v>1067.72</v>
      </c>
      <c r="D674" s="17" t="n">
        <f aca="false">SUMIFS(JE_Lines!$H$5:$H$1733,JE_Lines!$B$5:$B$1733,A674)</f>
        <v>1067.72</v>
      </c>
      <c r="E674" s="17" t="n">
        <f aca="false">C674-D674</f>
        <v>0</v>
      </c>
      <c r="F674" s="18" t="n">
        <f aca="false">INDEX(JE_Lines!$C$5:$C$1733,MATCH(A674,JE_Lines!$B$5:$B$1733,0))</f>
        <v>45975</v>
      </c>
      <c r="G674" s="18" t="n">
        <f aca="false">INDEX(JE_Lines!$D$5:$D$1733,MATCH(A674,JE_Lines!$B$5:$B$1733,0))</f>
        <v>45975</v>
      </c>
      <c r="H674" s="0" t="str">
        <f aca="false">INDEX(JE_Lines!$I$5:$I$1733,MATCH(A674,JE_Lines!$B$5:$B$1733,0))</f>
        <v>SYS_AR</v>
      </c>
      <c r="I674" s="0" t="str">
        <f aca="false">INDEX(JE_Lines!$J$5:$J$1733,MATCH(A674,JE_Lines!$B$5:$B$1733,0))</f>
        <v>System</v>
      </c>
      <c r="J674" s="0" t="str">
        <f aca="false">IF(LEN(INDEX(JE_Lines!$K$5:$K$1733,MATCH(A674,JE_Lines!$B$5:$B$1733,0)))=0,"",INDEX(JE_Lines!$K$5:$K$1733,MATCH(A674,JE_Lines!$B$5:$B$1733,0)))</f>
        <v>Sales invoice batch</v>
      </c>
      <c r="K674" s="9" t="n">
        <f aca="false">F674-G674</f>
        <v>0</v>
      </c>
      <c r="L674" s="9" t="n">
        <f aca="false">COUNTIFS(JE_Lines!$B$5:$B$1733,A674,JE_Lines!$F$5:$F$1733,"Revenue")</f>
        <v>1</v>
      </c>
      <c r="M674" s="9" t="n">
        <f aca="false">COUNTIFS(JE_Lines!$B$5:$B$1733,A674,JE_Lines!$F$5:$F$1733,"Suspense")</f>
        <v>0</v>
      </c>
      <c r="N674" s="9" t="n">
        <f aca="false">IF(ABS(E674)&gt;Parameters!$B$23,1,0)</f>
        <v>0</v>
      </c>
      <c r="O674" s="9" t="n">
        <f aca="false">IF(WEEKDAY(F674,2)&gt;5,1,0)</f>
        <v>0</v>
      </c>
      <c r="P674" s="9" t="n">
        <f aca="false">IF(K674&gt;Parameters!$B$17,1,0)</f>
        <v>0</v>
      </c>
      <c r="Q674" s="9" t="n">
        <f aca="false">IF(AND(F674&lt;=Parameters!$B$6,F674&gt;Parameters!$B$6-Parameters!$B$18),1,0)</f>
        <v>0</v>
      </c>
      <c r="R674" s="9" t="n">
        <f aca="false">IF(COUNTIF(Parameters!$A$51:$A$58,H674)=0,1,0)</f>
        <v>0</v>
      </c>
      <c r="S674" s="9" t="n">
        <f aca="false">IF(AND(I674="Manual",L674&gt;0),1,0)</f>
        <v>0</v>
      </c>
      <c r="T674" s="9" t="n">
        <f aca="false">IF(AND(C674&gt;=Parameters!$B$22,ROUND(MOD(ROUND(C674,2),Parameters!$B$21),2)=0),1,0)</f>
        <v>0</v>
      </c>
      <c r="U674" s="9" t="n">
        <f aca="false">IF(LEN(TRIM(J674))=0,1,0)</f>
        <v>0</v>
      </c>
      <c r="V674" s="9" t="n">
        <f aca="false">IF(AND(I674="Manual",C674&lt;Parameters!$B$19,C674&gt;=Parameters!$B$19*(1-Parameters!$B$20)),1,0)</f>
        <v>0</v>
      </c>
      <c r="W674" s="9" t="n">
        <f aca="false">IF(AND(I674="Manual",M674&gt;0),1,0)</f>
        <v>0</v>
      </c>
      <c r="X674" s="9" t="n">
        <f aca="false">IF(A674-A673&gt;1,1,0)</f>
        <v>0</v>
      </c>
      <c r="Y674" s="9" t="n">
        <f aca="false">N674*Parameters!$B$38+O674*Parameters!$B$39+P674*Parameters!$B$40+Q674*Parameters!$B$41+R674*Parameters!$B$42+S674*Parameters!$B$43+T674*Parameters!$B$44+U674*Parameters!$B$45+V674*Parameters!$B$46+W674*Parameters!$B$47+X674*Parameters!$B$48</f>
        <v>0</v>
      </c>
      <c r="Z674" s="0" t="str">
        <f aca="false">IF(Y674&gt;=Parameters!$B$25,"High","")</f>
        <v/>
      </c>
    </row>
    <row r="675" customFormat="false" ht="15" hidden="false" customHeight="false" outlineLevel="0" collapsed="false">
      <c r="A675" s="16" t="n">
        <v>1682</v>
      </c>
      <c r="B675" s="9" t="n">
        <f aca="false">COUNTIF(JE_Lines!$B$5:$B$1733,A675)</f>
        <v>2</v>
      </c>
      <c r="C675" s="17" t="n">
        <f aca="false">SUMIFS(JE_Lines!$G$5:$G$1733,JE_Lines!$B$5:$B$1733,A675)</f>
        <v>311.12</v>
      </c>
      <c r="D675" s="17" t="n">
        <f aca="false">SUMIFS(JE_Lines!$H$5:$H$1733,JE_Lines!$B$5:$B$1733,A675)</f>
        <v>311.12</v>
      </c>
      <c r="E675" s="17" t="n">
        <f aca="false">C675-D675</f>
        <v>0</v>
      </c>
      <c r="F675" s="18" t="n">
        <f aca="false">INDEX(JE_Lines!$C$5:$C$1733,MATCH(A675,JE_Lines!$B$5:$B$1733,0))</f>
        <v>45975</v>
      </c>
      <c r="G675" s="18" t="n">
        <f aca="false">INDEX(JE_Lines!$D$5:$D$1733,MATCH(A675,JE_Lines!$B$5:$B$1733,0))</f>
        <v>45973</v>
      </c>
      <c r="H675" s="0" t="str">
        <f aca="false">INDEX(JE_Lines!$I$5:$I$1733,MATCH(A675,JE_Lines!$B$5:$B$1733,0))</f>
        <v>SYS_AR</v>
      </c>
      <c r="I675" s="0" t="str">
        <f aca="false">INDEX(JE_Lines!$J$5:$J$1733,MATCH(A675,JE_Lines!$B$5:$B$1733,0))</f>
        <v>System</v>
      </c>
      <c r="J675" s="0" t="str">
        <f aca="false">IF(LEN(INDEX(JE_Lines!$K$5:$K$1733,MATCH(A675,JE_Lines!$B$5:$B$1733,0)))=0,"",INDEX(JE_Lines!$K$5:$K$1733,MATCH(A675,JE_Lines!$B$5:$B$1733,0)))</f>
        <v>Customer receipts</v>
      </c>
      <c r="K675" s="9" t="n">
        <f aca="false">F675-G675</f>
        <v>2</v>
      </c>
      <c r="L675" s="9" t="n">
        <f aca="false">COUNTIFS(JE_Lines!$B$5:$B$1733,A675,JE_Lines!$F$5:$F$1733,"Revenue")</f>
        <v>0</v>
      </c>
      <c r="M675" s="9" t="n">
        <f aca="false">COUNTIFS(JE_Lines!$B$5:$B$1733,A675,JE_Lines!$F$5:$F$1733,"Suspense")</f>
        <v>0</v>
      </c>
      <c r="N675" s="9" t="n">
        <f aca="false">IF(ABS(E675)&gt;Parameters!$B$23,1,0)</f>
        <v>0</v>
      </c>
      <c r="O675" s="9" t="n">
        <f aca="false">IF(WEEKDAY(F675,2)&gt;5,1,0)</f>
        <v>0</v>
      </c>
      <c r="P675" s="9" t="n">
        <f aca="false">IF(K675&gt;Parameters!$B$17,1,0)</f>
        <v>0</v>
      </c>
      <c r="Q675" s="9" t="n">
        <f aca="false">IF(AND(F675&lt;=Parameters!$B$6,F675&gt;Parameters!$B$6-Parameters!$B$18),1,0)</f>
        <v>0</v>
      </c>
      <c r="R675" s="9" t="n">
        <f aca="false">IF(COUNTIF(Parameters!$A$51:$A$58,H675)=0,1,0)</f>
        <v>0</v>
      </c>
      <c r="S675" s="9" t="n">
        <f aca="false">IF(AND(I675="Manual",L675&gt;0),1,0)</f>
        <v>0</v>
      </c>
      <c r="T675" s="9" t="n">
        <f aca="false">IF(AND(C675&gt;=Parameters!$B$22,ROUND(MOD(ROUND(C675,2),Parameters!$B$21),2)=0),1,0)</f>
        <v>0</v>
      </c>
      <c r="U675" s="9" t="n">
        <f aca="false">IF(LEN(TRIM(J675))=0,1,0)</f>
        <v>0</v>
      </c>
      <c r="V675" s="9" t="n">
        <f aca="false">IF(AND(I675="Manual",C675&lt;Parameters!$B$19,C675&gt;=Parameters!$B$19*(1-Parameters!$B$20)),1,0)</f>
        <v>0</v>
      </c>
      <c r="W675" s="9" t="n">
        <f aca="false">IF(AND(I675="Manual",M675&gt;0),1,0)</f>
        <v>0</v>
      </c>
      <c r="X675" s="9" t="n">
        <f aca="false">IF(A675-A674&gt;1,1,0)</f>
        <v>0</v>
      </c>
      <c r="Y675" s="9" t="n">
        <f aca="false">N675*Parameters!$B$38+O675*Parameters!$B$39+P675*Parameters!$B$40+Q675*Parameters!$B$41+R675*Parameters!$B$42+S675*Parameters!$B$43+T675*Parameters!$B$44+U675*Parameters!$B$45+V675*Parameters!$B$46+W675*Parameters!$B$47+X675*Parameters!$B$48</f>
        <v>0</v>
      </c>
      <c r="Z675" s="0" t="str">
        <f aca="false">IF(Y675&gt;=Parameters!$B$25,"High","")</f>
        <v/>
      </c>
    </row>
    <row r="676" customFormat="false" ht="15" hidden="false" customHeight="false" outlineLevel="0" collapsed="false">
      <c r="A676" s="16" t="n">
        <v>1683</v>
      </c>
      <c r="B676" s="9" t="n">
        <f aca="false">COUNTIF(JE_Lines!$B$5:$B$1733,A676)</f>
        <v>2</v>
      </c>
      <c r="C676" s="17" t="n">
        <f aca="false">SUMIFS(JE_Lines!$G$5:$G$1733,JE_Lines!$B$5:$B$1733,A676)</f>
        <v>1297.74</v>
      </c>
      <c r="D676" s="17" t="n">
        <f aca="false">SUMIFS(JE_Lines!$H$5:$H$1733,JE_Lines!$B$5:$B$1733,A676)</f>
        <v>1297.74</v>
      </c>
      <c r="E676" s="17" t="n">
        <f aca="false">C676-D676</f>
        <v>0</v>
      </c>
      <c r="F676" s="18" t="n">
        <f aca="false">INDEX(JE_Lines!$C$5:$C$1733,MATCH(A676,JE_Lines!$B$5:$B$1733,0))</f>
        <v>45979</v>
      </c>
      <c r="G676" s="18" t="n">
        <f aca="false">INDEX(JE_Lines!$D$5:$D$1733,MATCH(A676,JE_Lines!$B$5:$B$1733,0))</f>
        <v>45978</v>
      </c>
      <c r="H676" s="0" t="str">
        <f aca="false">INDEX(JE_Lines!$I$5:$I$1733,MATCH(A676,JE_Lines!$B$5:$B$1733,0))</f>
        <v>SYS_AR</v>
      </c>
      <c r="I676" s="0" t="str">
        <f aca="false">INDEX(JE_Lines!$J$5:$J$1733,MATCH(A676,JE_Lines!$B$5:$B$1733,0))</f>
        <v>System</v>
      </c>
      <c r="J676" s="0" t="str">
        <f aca="false">IF(LEN(INDEX(JE_Lines!$K$5:$K$1733,MATCH(A676,JE_Lines!$B$5:$B$1733,0)))=0,"",INDEX(JE_Lines!$K$5:$K$1733,MATCH(A676,JE_Lines!$B$5:$B$1733,0)))</f>
        <v>Customer receipts</v>
      </c>
      <c r="K676" s="9" t="n">
        <f aca="false">F676-G676</f>
        <v>1</v>
      </c>
      <c r="L676" s="9" t="n">
        <f aca="false">COUNTIFS(JE_Lines!$B$5:$B$1733,A676,JE_Lines!$F$5:$F$1733,"Revenue")</f>
        <v>0</v>
      </c>
      <c r="M676" s="9" t="n">
        <f aca="false">COUNTIFS(JE_Lines!$B$5:$B$1733,A676,JE_Lines!$F$5:$F$1733,"Suspense")</f>
        <v>0</v>
      </c>
      <c r="N676" s="9" t="n">
        <f aca="false">IF(ABS(E676)&gt;Parameters!$B$23,1,0)</f>
        <v>0</v>
      </c>
      <c r="O676" s="9" t="n">
        <f aca="false">IF(WEEKDAY(F676,2)&gt;5,1,0)</f>
        <v>0</v>
      </c>
      <c r="P676" s="9" t="n">
        <f aca="false">IF(K676&gt;Parameters!$B$17,1,0)</f>
        <v>0</v>
      </c>
      <c r="Q676" s="9" t="n">
        <f aca="false">IF(AND(F676&lt;=Parameters!$B$6,F676&gt;Parameters!$B$6-Parameters!$B$18),1,0)</f>
        <v>0</v>
      </c>
      <c r="R676" s="9" t="n">
        <f aca="false">IF(COUNTIF(Parameters!$A$51:$A$58,H676)=0,1,0)</f>
        <v>0</v>
      </c>
      <c r="S676" s="9" t="n">
        <f aca="false">IF(AND(I676="Manual",L676&gt;0),1,0)</f>
        <v>0</v>
      </c>
      <c r="T676" s="9" t="n">
        <f aca="false">IF(AND(C676&gt;=Parameters!$B$22,ROUND(MOD(ROUND(C676,2),Parameters!$B$21),2)=0),1,0)</f>
        <v>0</v>
      </c>
      <c r="U676" s="9" t="n">
        <f aca="false">IF(LEN(TRIM(J676))=0,1,0)</f>
        <v>0</v>
      </c>
      <c r="V676" s="9" t="n">
        <f aca="false">IF(AND(I676="Manual",C676&lt;Parameters!$B$19,C676&gt;=Parameters!$B$19*(1-Parameters!$B$20)),1,0)</f>
        <v>0</v>
      </c>
      <c r="W676" s="9" t="n">
        <f aca="false">IF(AND(I676="Manual",M676&gt;0),1,0)</f>
        <v>0</v>
      </c>
      <c r="X676" s="9" t="n">
        <f aca="false">IF(A676-A675&gt;1,1,0)</f>
        <v>0</v>
      </c>
      <c r="Y676" s="9" t="n">
        <f aca="false">N676*Parameters!$B$38+O676*Parameters!$B$39+P676*Parameters!$B$40+Q676*Parameters!$B$41+R676*Parameters!$B$42+S676*Parameters!$B$43+T676*Parameters!$B$44+U676*Parameters!$B$45+V676*Parameters!$B$46+W676*Parameters!$B$47+X676*Parameters!$B$48</f>
        <v>0</v>
      </c>
      <c r="Z676" s="0" t="str">
        <f aca="false">IF(Y676&gt;=Parameters!$B$25,"High","")</f>
        <v/>
      </c>
    </row>
    <row r="677" customFormat="false" ht="15" hidden="false" customHeight="false" outlineLevel="0" collapsed="false">
      <c r="A677" s="16" t="n">
        <v>1684</v>
      </c>
      <c r="B677" s="9" t="n">
        <f aca="false">COUNTIF(JE_Lines!$B$5:$B$1733,A677)</f>
        <v>2</v>
      </c>
      <c r="C677" s="17" t="n">
        <f aca="false">SUMIFS(JE_Lines!$G$5:$G$1733,JE_Lines!$B$5:$B$1733,A677)</f>
        <v>401.58</v>
      </c>
      <c r="D677" s="17" t="n">
        <f aca="false">SUMIFS(JE_Lines!$H$5:$H$1733,JE_Lines!$B$5:$B$1733,A677)</f>
        <v>401.58</v>
      </c>
      <c r="E677" s="17" t="n">
        <f aca="false">C677-D677</f>
        <v>0</v>
      </c>
      <c r="F677" s="18" t="n">
        <f aca="false">INDEX(JE_Lines!$C$5:$C$1733,MATCH(A677,JE_Lines!$B$5:$B$1733,0))</f>
        <v>45980</v>
      </c>
      <c r="G677" s="18" t="n">
        <f aca="false">INDEX(JE_Lines!$D$5:$D$1733,MATCH(A677,JE_Lines!$B$5:$B$1733,0))</f>
        <v>45979</v>
      </c>
      <c r="H677" s="0" t="str">
        <f aca="false">INDEX(JE_Lines!$I$5:$I$1733,MATCH(A677,JE_Lines!$B$5:$B$1733,0))</f>
        <v>SYS_PAY</v>
      </c>
      <c r="I677" s="0" t="str">
        <f aca="false">INDEX(JE_Lines!$J$5:$J$1733,MATCH(A677,JE_Lines!$B$5:$B$1733,0))</f>
        <v>System</v>
      </c>
      <c r="J677" s="0" t="str">
        <f aca="false">IF(LEN(INDEX(JE_Lines!$K$5:$K$1733,MATCH(A677,JE_Lines!$B$5:$B$1733,0)))=0,"",INDEX(JE_Lines!$K$5:$K$1733,MATCH(A677,JE_Lines!$B$5:$B$1733,0)))</f>
        <v>Supplier payments</v>
      </c>
      <c r="K677" s="9" t="n">
        <f aca="false">F677-G677</f>
        <v>1</v>
      </c>
      <c r="L677" s="9" t="n">
        <f aca="false">COUNTIFS(JE_Lines!$B$5:$B$1733,A677,JE_Lines!$F$5:$F$1733,"Revenue")</f>
        <v>0</v>
      </c>
      <c r="M677" s="9" t="n">
        <f aca="false">COUNTIFS(JE_Lines!$B$5:$B$1733,A677,JE_Lines!$F$5:$F$1733,"Suspense")</f>
        <v>0</v>
      </c>
      <c r="N677" s="9" t="n">
        <f aca="false">IF(ABS(E677)&gt;Parameters!$B$23,1,0)</f>
        <v>0</v>
      </c>
      <c r="O677" s="9" t="n">
        <f aca="false">IF(WEEKDAY(F677,2)&gt;5,1,0)</f>
        <v>0</v>
      </c>
      <c r="P677" s="9" t="n">
        <f aca="false">IF(K677&gt;Parameters!$B$17,1,0)</f>
        <v>0</v>
      </c>
      <c r="Q677" s="9" t="n">
        <f aca="false">IF(AND(F677&lt;=Parameters!$B$6,F677&gt;Parameters!$B$6-Parameters!$B$18),1,0)</f>
        <v>0</v>
      </c>
      <c r="R677" s="9" t="n">
        <f aca="false">IF(COUNTIF(Parameters!$A$51:$A$58,H677)=0,1,0)</f>
        <v>0</v>
      </c>
      <c r="S677" s="9" t="n">
        <f aca="false">IF(AND(I677="Manual",L677&gt;0),1,0)</f>
        <v>0</v>
      </c>
      <c r="T677" s="9" t="n">
        <f aca="false">IF(AND(C677&gt;=Parameters!$B$22,ROUND(MOD(ROUND(C677,2),Parameters!$B$21),2)=0),1,0)</f>
        <v>0</v>
      </c>
      <c r="U677" s="9" t="n">
        <f aca="false">IF(LEN(TRIM(J677))=0,1,0)</f>
        <v>0</v>
      </c>
      <c r="V677" s="9" t="n">
        <f aca="false">IF(AND(I677="Manual",C677&lt;Parameters!$B$19,C677&gt;=Parameters!$B$19*(1-Parameters!$B$20)),1,0)</f>
        <v>0</v>
      </c>
      <c r="W677" s="9" t="n">
        <f aca="false">IF(AND(I677="Manual",M677&gt;0),1,0)</f>
        <v>0</v>
      </c>
      <c r="X677" s="9" t="n">
        <f aca="false">IF(A677-A676&gt;1,1,0)</f>
        <v>0</v>
      </c>
      <c r="Y677" s="9" t="n">
        <f aca="false">N677*Parameters!$B$38+O677*Parameters!$B$39+P677*Parameters!$B$40+Q677*Parameters!$B$41+R677*Parameters!$B$42+S677*Parameters!$B$43+T677*Parameters!$B$44+U677*Parameters!$B$45+V677*Parameters!$B$46+W677*Parameters!$B$47+X677*Parameters!$B$48</f>
        <v>0</v>
      </c>
      <c r="Z677" s="0" t="str">
        <f aca="false">IF(Y677&gt;=Parameters!$B$25,"High","")</f>
        <v/>
      </c>
    </row>
    <row r="678" customFormat="false" ht="15" hidden="false" customHeight="false" outlineLevel="0" collapsed="false">
      <c r="A678" s="16" t="n">
        <v>1685</v>
      </c>
      <c r="B678" s="9" t="n">
        <f aca="false">COUNTIF(JE_Lines!$B$5:$B$1733,A678)</f>
        <v>3</v>
      </c>
      <c r="C678" s="17" t="n">
        <f aca="false">SUMIFS(JE_Lines!$G$5:$G$1733,JE_Lines!$B$5:$B$1733,A678)</f>
        <v>17943.02</v>
      </c>
      <c r="D678" s="17" t="n">
        <f aca="false">SUMIFS(JE_Lines!$H$5:$H$1733,JE_Lines!$B$5:$B$1733,A678)</f>
        <v>17943.02</v>
      </c>
      <c r="E678" s="17" t="n">
        <f aca="false">C678-D678</f>
        <v>0</v>
      </c>
      <c r="F678" s="18" t="n">
        <f aca="false">INDEX(JE_Lines!$C$5:$C$1733,MATCH(A678,JE_Lines!$B$5:$B$1733,0))</f>
        <v>45980</v>
      </c>
      <c r="G678" s="18" t="n">
        <f aca="false">INDEX(JE_Lines!$D$5:$D$1733,MATCH(A678,JE_Lines!$B$5:$B$1733,0))</f>
        <v>45979</v>
      </c>
      <c r="H678" s="0" t="str">
        <f aca="false">INDEX(JE_Lines!$I$5:$I$1733,MATCH(A678,JE_Lines!$B$5:$B$1733,0))</f>
        <v>SYS_AR</v>
      </c>
      <c r="I678" s="0" t="str">
        <f aca="false">INDEX(JE_Lines!$J$5:$J$1733,MATCH(A678,JE_Lines!$B$5:$B$1733,0))</f>
        <v>System</v>
      </c>
      <c r="J678" s="0" t="str">
        <f aca="false">IF(LEN(INDEX(JE_Lines!$K$5:$K$1733,MATCH(A678,JE_Lines!$B$5:$B$1733,0)))=0,"",INDEX(JE_Lines!$K$5:$K$1733,MATCH(A678,JE_Lines!$B$5:$B$1733,0)))</f>
        <v>Customer receipts</v>
      </c>
      <c r="K678" s="9" t="n">
        <f aca="false">F678-G678</f>
        <v>1</v>
      </c>
      <c r="L678" s="9" t="n">
        <f aca="false">COUNTIFS(JE_Lines!$B$5:$B$1733,A678,JE_Lines!$F$5:$F$1733,"Revenue")</f>
        <v>0</v>
      </c>
      <c r="M678" s="9" t="n">
        <f aca="false">COUNTIFS(JE_Lines!$B$5:$B$1733,A678,JE_Lines!$F$5:$F$1733,"Suspense")</f>
        <v>0</v>
      </c>
      <c r="N678" s="9" t="n">
        <f aca="false">IF(ABS(E678)&gt;Parameters!$B$23,1,0)</f>
        <v>0</v>
      </c>
      <c r="O678" s="9" t="n">
        <f aca="false">IF(WEEKDAY(F678,2)&gt;5,1,0)</f>
        <v>0</v>
      </c>
      <c r="P678" s="9" t="n">
        <f aca="false">IF(K678&gt;Parameters!$B$17,1,0)</f>
        <v>0</v>
      </c>
      <c r="Q678" s="9" t="n">
        <f aca="false">IF(AND(F678&lt;=Parameters!$B$6,F678&gt;Parameters!$B$6-Parameters!$B$18),1,0)</f>
        <v>0</v>
      </c>
      <c r="R678" s="9" t="n">
        <f aca="false">IF(COUNTIF(Parameters!$A$51:$A$58,H678)=0,1,0)</f>
        <v>0</v>
      </c>
      <c r="S678" s="9" t="n">
        <f aca="false">IF(AND(I678="Manual",L678&gt;0),1,0)</f>
        <v>0</v>
      </c>
      <c r="T678" s="9" t="n">
        <f aca="false">IF(AND(C678&gt;=Parameters!$B$22,ROUND(MOD(ROUND(C678,2),Parameters!$B$21),2)=0),1,0)</f>
        <v>0</v>
      </c>
      <c r="U678" s="9" t="n">
        <f aca="false">IF(LEN(TRIM(J678))=0,1,0)</f>
        <v>0</v>
      </c>
      <c r="V678" s="9" t="n">
        <f aca="false">IF(AND(I678="Manual",C678&lt;Parameters!$B$19,C678&gt;=Parameters!$B$19*(1-Parameters!$B$20)),1,0)</f>
        <v>0</v>
      </c>
      <c r="W678" s="9" t="n">
        <f aca="false">IF(AND(I678="Manual",M678&gt;0),1,0)</f>
        <v>0</v>
      </c>
      <c r="X678" s="9" t="n">
        <f aca="false">IF(A678-A677&gt;1,1,0)</f>
        <v>0</v>
      </c>
      <c r="Y678" s="9" t="n">
        <f aca="false">N678*Parameters!$B$38+O678*Parameters!$B$39+P678*Parameters!$B$40+Q678*Parameters!$B$41+R678*Parameters!$B$42+S678*Parameters!$B$43+T678*Parameters!$B$44+U678*Parameters!$B$45+V678*Parameters!$B$46+W678*Parameters!$B$47+X678*Parameters!$B$48</f>
        <v>0</v>
      </c>
      <c r="Z678" s="0" t="str">
        <f aca="false">IF(Y678&gt;=Parameters!$B$25,"High","")</f>
        <v/>
      </c>
    </row>
    <row r="679" customFormat="false" ht="15" hidden="false" customHeight="false" outlineLevel="0" collapsed="false">
      <c r="A679" s="16" t="n">
        <v>1686</v>
      </c>
      <c r="B679" s="9" t="n">
        <f aca="false">COUNTIF(JE_Lines!$B$5:$B$1733,A679)</f>
        <v>2</v>
      </c>
      <c r="C679" s="17" t="n">
        <f aca="false">SUMIFS(JE_Lines!$G$5:$G$1733,JE_Lines!$B$5:$B$1733,A679)</f>
        <v>19049.05</v>
      </c>
      <c r="D679" s="17" t="n">
        <f aca="false">SUMIFS(JE_Lines!$H$5:$H$1733,JE_Lines!$B$5:$B$1733,A679)</f>
        <v>19049.05</v>
      </c>
      <c r="E679" s="17" t="n">
        <f aca="false">C679-D679</f>
        <v>0</v>
      </c>
      <c r="F679" s="18" t="n">
        <f aca="false">INDEX(JE_Lines!$C$5:$C$1733,MATCH(A679,JE_Lines!$B$5:$B$1733,0))</f>
        <v>45980</v>
      </c>
      <c r="G679" s="18" t="n">
        <f aca="false">INDEX(JE_Lines!$D$5:$D$1733,MATCH(A679,JE_Lines!$B$5:$B$1733,0))</f>
        <v>45979</v>
      </c>
      <c r="H679" s="0" t="str">
        <f aca="false">INDEX(JE_Lines!$I$5:$I$1733,MATCH(A679,JE_Lines!$B$5:$B$1733,0))</f>
        <v>SYS_AR</v>
      </c>
      <c r="I679" s="0" t="str">
        <f aca="false">INDEX(JE_Lines!$J$5:$J$1733,MATCH(A679,JE_Lines!$B$5:$B$1733,0))</f>
        <v>System</v>
      </c>
      <c r="J679" s="0" t="str">
        <f aca="false">IF(LEN(INDEX(JE_Lines!$K$5:$K$1733,MATCH(A679,JE_Lines!$B$5:$B$1733,0)))=0,"",INDEX(JE_Lines!$K$5:$K$1733,MATCH(A679,JE_Lines!$B$5:$B$1733,0)))</f>
        <v>Customer receipts</v>
      </c>
      <c r="K679" s="9" t="n">
        <f aca="false">F679-G679</f>
        <v>1</v>
      </c>
      <c r="L679" s="9" t="n">
        <f aca="false">COUNTIFS(JE_Lines!$B$5:$B$1733,A679,JE_Lines!$F$5:$F$1733,"Revenue")</f>
        <v>0</v>
      </c>
      <c r="M679" s="9" t="n">
        <f aca="false">COUNTIFS(JE_Lines!$B$5:$B$1733,A679,JE_Lines!$F$5:$F$1733,"Suspense")</f>
        <v>0</v>
      </c>
      <c r="N679" s="9" t="n">
        <f aca="false">IF(ABS(E679)&gt;Parameters!$B$23,1,0)</f>
        <v>0</v>
      </c>
      <c r="O679" s="9" t="n">
        <f aca="false">IF(WEEKDAY(F679,2)&gt;5,1,0)</f>
        <v>0</v>
      </c>
      <c r="P679" s="9" t="n">
        <f aca="false">IF(K679&gt;Parameters!$B$17,1,0)</f>
        <v>0</v>
      </c>
      <c r="Q679" s="9" t="n">
        <f aca="false">IF(AND(F679&lt;=Parameters!$B$6,F679&gt;Parameters!$B$6-Parameters!$B$18),1,0)</f>
        <v>0</v>
      </c>
      <c r="R679" s="9" t="n">
        <f aca="false">IF(COUNTIF(Parameters!$A$51:$A$58,H679)=0,1,0)</f>
        <v>0</v>
      </c>
      <c r="S679" s="9" t="n">
        <f aca="false">IF(AND(I679="Manual",L679&gt;0),1,0)</f>
        <v>0</v>
      </c>
      <c r="T679" s="9" t="n">
        <f aca="false">IF(AND(C679&gt;=Parameters!$B$22,ROUND(MOD(ROUND(C679,2),Parameters!$B$21),2)=0),1,0)</f>
        <v>0</v>
      </c>
      <c r="U679" s="9" t="n">
        <f aca="false">IF(LEN(TRIM(J679))=0,1,0)</f>
        <v>0</v>
      </c>
      <c r="V679" s="9" t="n">
        <f aca="false">IF(AND(I679="Manual",C679&lt;Parameters!$B$19,C679&gt;=Parameters!$B$19*(1-Parameters!$B$20)),1,0)</f>
        <v>0</v>
      </c>
      <c r="W679" s="9" t="n">
        <f aca="false">IF(AND(I679="Manual",M679&gt;0),1,0)</f>
        <v>0</v>
      </c>
      <c r="X679" s="9" t="n">
        <f aca="false">IF(A679-A678&gt;1,1,0)</f>
        <v>0</v>
      </c>
      <c r="Y679" s="9" t="n">
        <f aca="false">N679*Parameters!$B$38+O679*Parameters!$B$39+P679*Parameters!$B$40+Q679*Parameters!$B$41+R679*Parameters!$B$42+S679*Parameters!$B$43+T679*Parameters!$B$44+U679*Parameters!$B$45+V679*Parameters!$B$46+W679*Parameters!$B$47+X679*Parameters!$B$48</f>
        <v>0</v>
      </c>
      <c r="Z679" s="0" t="str">
        <f aca="false">IF(Y679&gt;=Parameters!$B$25,"High","")</f>
        <v/>
      </c>
    </row>
    <row r="680" customFormat="false" ht="15" hidden="false" customHeight="false" outlineLevel="0" collapsed="false">
      <c r="A680" s="16" t="n">
        <v>1687</v>
      </c>
      <c r="B680" s="9" t="n">
        <f aca="false">COUNTIF(JE_Lines!$B$5:$B$1733,A680)</f>
        <v>2</v>
      </c>
      <c r="C680" s="17" t="n">
        <f aca="false">SUMIFS(JE_Lines!$G$5:$G$1733,JE_Lines!$B$5:$B$1733,A680)</f>
        <v>353.9</v>
      </c>
      <c r="D680" s="17" t="n">
        <f aca="false">SUMIFS(JE_Lines!$H$5:$H$1733,JE_Lines!$B$5:$B$1733,A680)</f>
        <v>353.9</v>
      </c>
      <c r="E680" s="17" t="n">
        <f aca="false">C680-D680</f>
        <v>0</v>
      </c>
      <c r="F680" s="18" t="n">
        <f aca="false">INDEX(JE_Lines!$C$5:$C$1733,MATCH(A680,JE_Lines!$B$5:$B$1733,0))</f>
        <v>45980</v>
      </c>
      <c r="G680" s="18" t="n">
        <f aca="false">INDEX(JE_Lines!$D$5:$D$1733,MATCH(A680,JE_Lines!$B$5:$B$1733,0))</f>
        <v>45976</v>
      </c>
      <c r="H680" s="0" t="str">
        <f aca="false">INDEX(JE_Lines!$I$5:$I$1733,MATCH(A680,JE_Lines!$B$5:$B$1733,0))</f>
        <v>SYS_PAY</v>
      </c>
      <c r="I680" s="0" t="str">
        <f aca="false">INDEX(JE_Lines!$J$5:$J$1733,MATCH(A680,JE_Lines!$B$5:$B$1733,0))</f>
        <v>System</v>
      </c>
      <c r="J680" s="0" t="str">
        <f aca="false">IF(LEN(INDEX(JE_Lines!$K$5:$K$1733,MATCH(A680,JE_Lines!$B$5:$B$1733,0)))=0,"",INDEX(JE_Lines!$K$5:$K$1733,MATCH(A680,JE_Lines!$B$5:$B$1733,0)))</f>
        <v>Supplier payments</v>
      </c>
      <c r="K680" s="9" t="n">
        <f aca="false">F680-G680</f>
        <v>4</v>
      </c>
      <c r="L680" s="9" t="n">
        <f aca="false">COUNTIFS(JE_Lines!$B$5:$B$1733,A680,JE_Lines!$F$5:$F$1733,"Revenue")</f>
        <v>0</v>
      </c>
      <c r="M680" s="9" t="n">
        <f aca="false">COUNTIFS(JE_Lines!$B$5:$B$1733,A680,JE_Lines!$F$5:$F$1733,"Suspense")</f>
        <v>0</v>
      </c>
      <c r="N680" s="9" t="n">
        <f aca="false">IF(ABS(E680)&gt;Parameters!$B$23,1,0)</f>
        <v>0</v>
      </c>
      <c r="O680" s="9" t="n">
        <f aca="false">IF(WEEKDAY(F680,2)&gt;5,1,0)</f>
        <v>0</v>
      </c>
      <c r="P680" s="9" t="n">
        <f aca="false">IF(K680&gt;Parameters!$B$17,1,0)</f>
        <v>0</v>
      </c>
      <c r="Q680" s="9" t="n">
        <f aca="false">IF(AND(F680&lt;=Parameters!$B$6,F680&gt;Parameters!$B$6-Parameters!$B$18),1,0)</f>
        <v>0</v>
      </c>
      <c r="R680" s="9" t="n">
        <f aca="false">IF(COUNTIF(Parameters!$A$51:$A$58,H680)=0,1,0)</f>
        <v>0</v>
      </c>
      <c r="S680" s="9" t="n">
        <f aca="false">IF(AND(I680="Manual",L680&gt;0),1,0)</f>
        <v>0</v>
      </c>
      <c r="T680" s="9" t="n">
        <f aca="false">IF(AND(C680&gt;=Parameters!$B$22,ROUND(MOD(ROUND(C680,2),Parameters!$B$21),2)=0),1,0)</f>
        <v>0</v>
      </c>
      <c r="U680" s="9" t="n">
        <f aca="false">IF(LEN(TRIM(J680))=0,1,0)</f>
        <v>0</v>
      </c>
      <c r="V680" s="9" t="n">
        <f aca="false">IF(AND(I680="Manual",C680&lt;Parameters!$B$19,C680&gt;=Parameters!$B$19*(1-Parameters!$B$20)),1,0)</f>
        <v>0</v>
      </c>
      <c r="W680" s="9" t="n">
        <f aca="false">IF(AND(I680="Manual",M680&gt;0),1,0)</f>
        <v>0</v>
      </c>
      <c r="X680" s="9" t="n">
        <f aca="false">IF(A680-A679&gt;1,1,0)</f>
        <v>0</v>
      </c>
      <c r="Y680" s="9" t="n">
        <f aca="false">N680*Parameters!$B$38+O680*Parameters!$B$39+P680*Parameters!$B$40+Q680*Parameters!$B$41+R680*Parameters!$B$42+S680*Parameters!$B$43+T680*Parameters!$B$44+U680*Parameters!$B$45+V680*Parameters!$B$46+W680*Parameters!$B$47+X680*Parameters!$B$48</f>
        <v>0</v>
      </c>
      <c r="Z680" s="0" t="str">
        <f aca="false">IF(Y680&gt;=Parameters!$B$25,"High","")</f>
        <v/>
      </c>
    </row>
    <row r="681" customFormat="false" ht="15" hidden="false" customHeight="false" outlineLevel="0" collapsed="false">
      <c r="A681" s="16" t="n">
        <v>1688</v>
      </c>
      <c r="B681" s="9" t="n">
        <f aca="false">COUNTIF(JE_Lines!$B$5:$B$1733,A681)</f>
        <v>3</v>
      </c>
      <c r="C681" s="17" t="n">
        <f aca="false">SUMIFS(JE_Lines!$G$5:$G$1733,JE_Lines!$B$5:$B$1733,A681)</f>
        <v>256</v>
      </c>
      <c r="D681" s="17" t="n">
        <f aca="false">SUMIFS(JE_Lines!$H$5:$H$1733,JE_Lines!$B$5:$B$1733,A681)</f>
        <v>256</v>
      </c>
      <c r="E681" s="17" t="n">
        <f aca="false">C681-D681</f>
        <v>0</v>
      </c>
      <c r="F681" s="18" t="n">
        <f aca="false">INDEX(JE_Lines!$C$5:$C$1733,MATCH(A681,JE_Lines!$B$5:$B$1733,0))</f>
        <v>45980</v>
      </c>
      <c r="G681" s="18" t="n">
        <f aca="false">INDEX(JE_Lines!$D$5:$D$1733,MATCH(A681,JE_Lines!$B$5:$B$1733,0))</f>
        <v>45980</v>
      </c>
      <c r="H681" s="0" t="str">
        <f aca="false">INDEX(JE_Lines!$I$5:$I$1733,MATCH(A681,JE_Lines!$B$5:$B$1733,0))</f>
        <v>SYS_PAY</v>
      </c>
      <c r="I681" s="0" t="str">
        <f aca="false">INDEX(JE_Lines!$J$5:$J$1733,MATCH(A681,JE_Lines!$B$5:$B$1733,0))</f>
        <v>System</v>
      </c>
      <c r="J681" s="0" t="str">
        <f aca="false">IF(LEN(INDEX(JE_Lines!$K$5:$K$1733,MATCH(A681,JE_Lines!$B$5:$B$1733,0)))=0,"",INDEX(JE_Lines!$K$5:$K$1733,MATCH(A681,JE_Lines!$B$5:$B$1733,0)))</f>
        <v>Supplier payments</v>
      </c>
      <c r="K681" s="9" t="n">
        <f aca="false">F681-G681</f>
        <v>0</v>
      </c>
      <c r="L681" s="9" t="n">
        <f aca="false">COUNTIFS(JE_Lines!$B$5:$B$1733,A681,JE_Lines!$F$5:$F$1733,"Revenue")</f>
        <v>0</v>
      </c>
      <c r="M681" s="9" t="n">
        <f aca="false">COUNTIFS(JE_Lines!$B$5:$B$1733,A681,JE_Lines!$F$5:$F$1733,"Suspense")</f>
        <v>0</v>
      </c>
      <c r="N681" s="9" t="n">
        <f aca="false">IF(ABS(E681)&gt;Parameters!$B$23,1,0)</f>
        <v>0</v>
      </c>
      <c r="O681" s="9" t="n">
        <f aca="false">IF(WEEKDAY(F681,2)&gt;5,1,0)</f>
        <v>0</v>
      </c>
      <c r="P681" s="9" t="n">
        <f aca="false">IF(K681&gt;Parameters!$B$17,1,0)</f>
        <v>0</v>
      </c>
      <c r="Q681" s="9" t="n">
        <f aca="false">IF(AND(F681&lt;=Parameters!$B$6,F681&gt;Parameters!$B$6-Parameters!$B$18),1,0)</f>
        <v>0</v>
      </c>
      <c r="R681" s="9" t="n">
        <f aca="false">IF(COUNTIF(Parameters!$A$51:$A$58,H681)=0,1,0)</f>
        <v>0</v>
      </c>
      <c r="S681" s="9" t="n">
        <f aca="false">IF(AND(I681="Manual",L681&gt;0),1,0)</f>
        <v>0</v>
      </c>
      <c r="T681" s="9" t="n">
        <f aca="false">IF(AND(C681&gt;=Parameters!$B$22,ROUND(MOD(ROUND(C681,2),Parameters!$B$21),2)=0),1,0)</f>
        <v>0</v>
      </c>
      <c r="U681" s="9" t="n">
        <f aca="false">IF(LEN(TRIM(J681))=0,1,0)</f>
        <v>0</v>
      </c>
      <c r="V681" s="9" t="n">
        <f aca="false">IF(AND(I681="Manual",C681&lt;Parameters!$B$19,C681&gt;=Parameters!$B$19*(1-Parameters!$B$20)),1,0)</f>
        <v>0</v>
      </c>
      <c r="W681" s="9" t="n">
        <f aca="false">IF(AND(I681="Manual",M681&gt;0),1,0)</f>
        <v>0</v>
      </c>
      <c r="X681" s="9" t="n">
        <f aca="false">IF(A681-A680&gt;1,1,0)</f>
        <v>0</v>
      </c>
      <c r="Y681" s="9" t="n">
        <f aca="false">N681*Parameters!$B$38+O681*Parameters!$B$39+P681*Parameters!$B$40+Q681*Parameters!$B$41+R681*Parameters!$B$42+S681*Parameters!$B$43+T681*Parameters!$B$44+U681*Parameters!$B$45+V681*Parameters!$B$46+W681*Parameters!$B$47+X681*Parameters!$B$48</f>
        <v>0</v>
      </c>
      <c r="Z681" s="0" t="str">
        <f aca="false">IF(Y681&gt;=Parameters!$B$25,"High","")</f>
        <v/>
      </c>
    </row>
    <row r="682" customFormat="false" ht="15" hidden="false" customHeight="false" outlineLevel="0" collapsed="false">
      <c r="A682" s="16" t="n">
        <v>1689</v>
      </c>
      <c r="B682" s="9" t="n">
        <f aca="false">COUNTIF(JE_Lines!$B$5:$B$1733,A682)</f>
        <v>2</v>
      </c>
      <c r="C682" s="17" t="n">
        <f aca="false">SUMIFS(JE_Lines!$G$5:$G$1733,JE_Lines!$B$5:$B$1733,A682)</f>
        <v>23055.9</v>
      </c>
      <c r="D682" s="17" t="n">
        <f aca="false">SUMIFS(JE_Lines!$H$5:$H$1733,JE_Lines!$B$5:$B$1733,A682)</f>
        <v>23055.9</v>
      </c>
      <c r="E682" s="17" t="n">
        <f aca="false">C682-D682</f>
        <v>0</v>
      </c>
      <c r="F682" s="18" t="n">
        <f aca="false">INDEX(JE_Lines!$C$5:$C$1733,MATCH(A682,JE_Lines!$B$5:$B$1733,0))</f>
        <v>45981</v>
      </c>
      <c r="G682" s="18" t="n">
        <f aca="false">INDEX(JE_Lines!$D$5:$D$1733,MATCH(A682,JE_Lines!$B$5:$B$1733,0))</f>
        <v>45977</v>
      </c>
      <c r="H682" s="0" t="str">
        <f aca="false">INDEX(JE_Lines!$I$5:$I$1733,MATCH(A682,JE_Lines!$B$5:$B$1733,0))</f>
        <v>SYS_PAY</v>
      </c>
      <c r="I682" s="0" t="str">
        <f aca="false">INDEX(JE_Lines!$J$5:$J$1733,MATCH(A682,JE_Lines!$B$5:$B$1733,0))</f>
        <v>System</v>
      </c>
      <c r="J682" s="0" t="str">
        <f aca="false">IF(LEN(INDEX(JE_Lines!$K$5:$K$1733,MATCH(A682,JE_Lines!$B$5:$B$1733,0)))=0,"",INDEX(JE_Lines!$K$5:$K$1733,MATCH(A682,JE_Lines!$B$5:$B$1733,0)))</f>
        <v>Supplier payments</v>
      </c>
      <c r="K682" s="9" t="n">
        <f aca="false">F682-G682</f>
        <v>4</v>
      </c>
      <c r="L682" s="9" t="n">
        <f aca="false">COUNTIFS(JE_Lines!$B$5:$B$1733,A682,JE_Lines!$F$5:$F$1733,"Revenue")</f>
        <v>0</v>
      </c>
      <c r="M682" s="9" t="n">
        <f aca="false">COUNTIFS(JE_Lines!$B$5:$B$1733,A682,JE_Lines!$F$5:$F$1733,"Suspense")</f>
        <v>0</v>
      </c>
      <c r="N682" s="9" t="n">
        <f aca="false">IF(ABS(E682)&gt;Parameters!$B$23,1,0)</f>
        <v>0</v>
      </c>
      <c r="O682" s="9" t="n">
        <f aca="false">IF(WEEKDAY(F682,2)&gt;5,1,0)</f>
        <v>0</v>
      </c>
      <c r="P682" s="9" t="n">
        <f aca="false">IF(K682&gt;Parameters!$B$17,1,0)</f>
        <v>0</v>
      </c>
      <c r="Q682" s="9" t="n">
        <f aca="false">IF(AND(F682&lt;=Parameters!$B$6,F682&gt;Parameters!$B$6-Parameters!$B$18),1,0)</f>
        <v>0</v>
      </c>
      <c r="R682" s="9" t="n">
        <f aca="false">IF(COUNTIF(Parameters!$A$51:$A$58,H682)=0,1,0)</f>
        <v>0</v>
      </c>
      <c r="S682" s="9" t="n">
        <f aca="false">IF(AND(I682="Manual",L682&gt;0),1,0)</f>
        <v>0</v>
      </c>
      <c r="T682" s="9" t="n">
        <f aca="false">IF(AND(C682&gt;=Parameters!$B$22,ROUND(MOD(ROUND(C682,2),Parameters!$B$21),2)=0),1,0)</f>
        <v>0</v>
      </c>
      <c r="U682" s="9" t="n">
        <f aca="false">IF(LEN(TRIM(J682))=0,1,0)</f>
        <v>0</v>
      </c>
      <c r="V682" s="9" t="n">
        <f aca="false">IF(AND(I682="Manual",C682&lt;Parameters!$B$19,C682&gt;=Parameters!$B$19*(1-Parameters!$B$20)),1,0)</f>
        <v>0</v>
      </c>
      <c r="W682" s="9" t="n">
        <f aca="false">IF(AND(I682="Manual",M682&gt;0),1,0)</f>
        <v>0</v>
      </c>
      <c r="X682" s="9" t="n">
        <f aca="false">IF(A682-A681&gt;1,1,0)</f>
        <v>0</v>
      </c>
      <c r="Y682" s="9" t="n">
        <f aca="false">N682*Parameters!$B$38+O682*Parameters!$B$39+P682*Parameters!$B$40+Q682*Parameters!$B$41+R682*Parameters!$B$42+S682*Parameters!$B$43+T682*Parameters!$B$44+U682*Parameters!$B$45+V682*Parameters!$B$46+W682*Parameters!$B$47+X682*Parameters!$B$48</f>
        <v>0</v>
      </c>
      <c r="Z682" s="0" t="str">
        <f aca="false">IF(Y682&gt;=Parameters!$B$25,"High","")</f>
        <v/>
      </c>
    </row>
    <row r="683" customFormat="false" ht="15" hidden="false" customHeight="false" outlineLevel="0" collapsed="false">
      <c r="A683" s="16" t="n">
        <v>1690</v>
      </c>
      <c r="B683" s="9" t="n">
        <f aca="false">COUNTIF(JE_Lines!$B$5:$B$1733,A683)</f>
        <v>2</v>
      </c>
      <c r="C683" s="17" t="n">
        <f aca="false">SUMIFS(JE_Lines!$G$5:$G$1733,JE_Lines!$B$5:$B$1733,A683)</f>
        <v>63002.99</v>
      </c>
      <c r="D683" s="17" t="n">
        <f aca="false">SUMIFS(JE_Lines!$H$5:$H$1733,JE_Lines!$B$5:$B$1733,A683)</f>
        <v>63002.99</v>
      </c>
      <c r="E683" s="17" t="n">
        <f aca="false">C683-D683</f>
        <v>0</v>
      </c>
      <c r="F683" s="18" t="n">
        <f aca="false">INDEX(JE_Lines!$C$5:$C$1733,MATCH(A683,JE_Lines!$B$5:$B$1733,0))</f>
        <v>45982</v>
      </c>
      <c r="G683" s="18" t="n">
        <f aca="false">INDEX(JE_Lines!$D$5:$D$1733,MATCH(A683,JE_Lines!$B$5:$B$1733,0))</f>
        <v>45982</v>
      </c>
      <c r="H683" s="0" t="str">
        <f aca="false">INDEX(JE_Lines!$I$5:$I$1733,MATCH(A683,JE_Lines!$B$5:$B$1733,0))</f>
        <v>SYS_AR</v>
      </c>
      <c r="I683" s="0" t="str">
        <f aca="false">INDEX(JE_Lines!$J$5:$J$1733,MATCH(A683,JE_Lines!$B$5:$B$1733,0))</f>
        <v>System</v>
      </c>
      <c r="J683" s="0" t="str">
        <f aca="false">IF(LEN(INDEX(JE_Lines!$K$5:$K$1733,MATCH(A683,JE_Lines!$B$5:$B$1733,0)))=0,"",INDEX(JE_Lines!$K$5:$K$1733,MATCH(A683,JE_Lines!$B$5:$B$1733,0)))</f>
        <v>Customer receipts</v>
      </c>
      <c r="K683" s="9" t="n">
        <f aca="false">F683-G683</f>
        <v>0</v>
      </c>
      <c r="L683" s="9" t="n">
        <f aca="false">COUNTIFS(JE_Lines!$B$5:$B$1733,A683,JE_Lines!$F$5:$F$1733,"Revenue")</f>
        <v>0</v>
      </c>
      <c r="M683" s="9" t="n">
        <f aca="false">COUNTIFS(JE_Lines!$B$5:$B$1733,A683,JE_Lines!$F$5:$F$1733,"Suspense")</f>
        <v>0</v>
      </c>
      <c r="N683" s="9" t="n">
        <f aca="false">IF(ABS(E683)&gt;Parameters!$B$23,1,0)</f>
        <v>0</v>
      </c>
      <c r="O683" s="9" t="n">
        <f aca="false">IF(WEEKDAY(F683,2)&gt;5,1,0)</f>
        <v>0</v>
      </c>
      <c r="P683" s="9" t="n">
        <f aca="false">IF(K683&gt;Parameters!$B$17,1,0)</f>
        <v>0</v>
      </c>
      <c r="Q683" s="9" t="n">
        <f aca="false">IF(AND(F683&lt;=Parameters!$B$6,F683&gt;Parameters!$B$6-Parameters!$B$18),1,0)</f>
        <v>0</v>
      </c>
      <c r="R683" s="9" t="n">
        <f aca="false">IF(COUNTIF(Parameters!$A$51:$A$58,H683)=0,1,0)</f>
        <v>0</v>
      </c>
      <c r="S683" s="9" t="n">
        <f aca="false">IF(AND(I683="Manual",L683&gt;0),1,0)</f>
        <v>0</v>
      </c>
      <c r="T683" s="9" t="n">
        <f aca="false">IF(AND(C683&gt;=Parameters!$B$22,ROUND(MOD(ROUND(C683,2),Parameters!$B$21),2)=0),1,0)</f>
        <v>0</v>
      </c>
      <c r="U683" s="9" t="n">
        <f aca="false">IF(LEN(TRIM(J683))=0,1,0)</f>
        <v>0</v>
      </c>
      <c r="V683" s="9" t="n">
        <f aca="false">IF(AND(I683="Manual",C683&lt;Parameters!$B$19,C683&gt;=Parameters!$B$19*(1-Parameters!$B$20)),1,0)</f>
        <v>0</v>
      </c>
      <c r="W683" s="9" t="n">
        <f aca="false">IF(AND(I683="Manual",M683&gt;0),1,0)</f>
        <v>0</v>
      </c>
      <c r="X683" s="9" t="n">
        <f aca="false">IF(A683-A682&gt;1,1,0)</f>
        <v>0</v>
      </c>
      <c r="Y683" s="9" t="n">
        <f aca="false">N683*Parameters!$B$38+O683*Parameters!$B$39+P683*Parameters!$B$40+Q683*Parameters!$B$41+R683*Parameters!$B$42+S683*Parameters!$B$43+T683*Parameters!$B$44+U683*Parameters!$B$45+V683*Parameters!$B$46+W683*Parameters!$B$47+X683*Parameters!$B$48</f>
        <v>0</v>
      </c>
      <c r="Z683" s="0" t="str">
        <f aca="false">IF(Y683&gt;=Parameters!$B$25,"High","")</f>
        <v/>
      </c>
    </row>
    <row r="684" customFormat="false" ht="15" hidden="false" customHeight="false" outlineLevel="0" collapsed="false">
      <c r="A684" s="16" t="n">
        <v>1691</v>
      </c>
      <c r="B684" s="9" t="n">
        <f aca="false">COUNTIF(JE_Lines!$B$5:$B$1733,A684)</f>
        <v>2</v>
      </c>
      <c r="C684" s="17" t="n">
        <f aca="false">SUMIFS(JE_Lines!$G$5:$G$1733,JE_Lines!$B$5:$B$1733,A684)</f>
        <v>309.08</v>
      </c>
      <c r="D684" s="17" t="n">
        <f aca="false">SUMIFS(JE_Lines!$H$5:$H$1733,JE_Lines!$B$5:$B$1733,A684)</f>
        <v>309.08</v>
      </c>
      <c r="E684" s="17" t="n">
        <f aca="false">C684-D684</f>
        <v>0</v>
      </c>
      <c r="F684" s="18" t="n">
        <f aca="false">INDEX(JE_Lines!$C$5:$C$1733,MATCH(A684,JE_Lines!$B$5:$B$1733,0))</f>
        <v>45982</v>
      </c>
      <c r="G684" s="18" t="n">
        <f aca="false">INDEX(JE_Lines!$D$5:$D$1733,MATCH(A684,JE_Lines!$B$5:$B$1733,0))</f>
        <v>45980</v>
      </c>
      <c r="H684" s="0" t="str">
        <f aca="false">INDEX(JE_Lines!$I$5:$I$1733,MATCH(A684,JE_Lines!$B$5:$B$1733,0))</f>
        <v>SYS_AR</v>
      </c>
      <c r="I684" s="0" t="str">
        <f aca="false">INDEX(JE_Lines!$J$5:$J$1733,MATCH(A684,JE_Lines!$B$5:$B$1733,0))</f>
        <v>System</v>
      </c>
      <c r="J684" s="0" t="str">
        <f aca="false">IF(LEN(INDEX(JE_Lines!$K$5:$K$1733,MATCH(A684,JE_Lines!$B$5:$B$1733,0)))=0,"",INDEX(JE_Lines!$K$5:$K$1733,MATCH(A684,JE_Lines!$B$5:$B$1733,0)))</f>
        <v>Customer receipts</v>
      </c>
      <c r="K684" s="9" t="n">
        <f aca="false">F684-G684</f>
        <v>2</v>
      </c>
      <c r="L684" s="9" t="n">
        <f aca="false">COUNTIFS(JE_Lines!$B$5:$B$1733,A684,JE_Lines!$F$5:$F$1733,"Revenue")</f>
        <v>0</v>
      </c>
      <c r="M684" s="9" t="n">
        <f aca="false">COUNTIFS(JE_Lines!$B$5:$B$1733,A684,JE_Lines!$F$5:$F$1733,"Suspense")</f>
        <v>0</v>
      </c>
      <c r="N684" s="9" t="n">
        <f aca="false">IF(ABS(E684)&gt;Parameters!$B$23,1,0)</f>
        <v>0</v>
      </c>
      <c r="O684" s="9" t="n">
        <f aca="false">IF(WEEKDAY(F684,2)&gt;5,1,0)</f>
        <v>0</v>
      </c>
      <c r="P684" s="9" t="n">
        <f aca="false">IF(K684&gt;Parameters!$B$17,1,0)</f>
        <v>0</v>
      </c>
      <c r="Q684" s="9" t="n">
        <f aca="false">IF(AND(F684&lt;=Parameters!$B$6,F684&gt;Parameters!$B$6-Parameters!$B$18),1,0)</f>
        <v>0</v>
      </c>
      <c r="R684" s="9" t="n">
        <f aca="false">IF(COUNTIF(Parameters!$A$51:$A$58,H684)=0,1,0)</f>
        <v>0</v>
      </c>
      <c r="S684" s="9" t="n">
        <f aca="false">IF(AND(I684="Manual",L684&gt;0),1,0)</f>
        <v>0</v>
      </c>
      <c r="T684" s="9" t="n">
        <f aca="false">IF(AND(C684&gt;=Parameters!$B$22,ROUND(MOD(ROUND(C684,2),Parameters!$B$21),2)=0),1,0)</f>
        <v>0</v>
      </c>
      <c r="U684" s="9" t="n">
        <f aca="false">IF(LEN(TRIM(J684))=0,1,0)</f>
        <v>0</v>
      </c>
      <c r="V684" s="9" t="n">
        <f aca="false">IF(AND(I684="Manual",C684&lt;Parameters!$B$19,C684&gt;=Parameters!$B$19*(1-Parameters!$B$20)),1,0)</f>
        <v>0</v>
      </c>
      <c r="W684" s="9" t="n">
        <f aca="false">IF(AND(I684="Manual",M684&gt;0),1,0)</f>
        <v>0</v>
      </c>
      <c r="X684" s="9" t="n">
        <f aca="false">IF(A684-A683&gt;1,1,0)</f>
        <v>0</v>
      </c>
      <c r="Y684" s="9" t="n">
        <f aca="false">N684*Parameters!$B$38+O684*Parameters!$B$39+P684*Parameters!$B$40+Q684*Parameters!$B$41+R684*Parameters!$B$42+S684*Parameters!$B$43+T684*Parameters!$B$44+U684*Parameters!$B$45+V684*Parameters!$B$46+W684*Parameters!$B$47+X684*Parameters!$B$48</f>
        <v>0</v>
      </c>
      <c r="Z684" s="0" t="str">
        <f aca="false">IF(Y684&gt;=Parameters!$B$25,"High","")</f>
        <v/>
      </c>
    </row>
    <row r="685" customFormat="false" ht="15" hidden="false" customHeight="false" outlineLevel="0" collapsed="false">
      <c r="A685" s="16" t="n">
        <v>1692</v>
      </c>
      <c r="B685" s="9" t="n">
        <f aca="false">COUNTIF(JE_Lines!$B$5:$B$1733,A685)</f>
        <v>2</v>
      </c>
      <c r="C685" s="17" t="n">
        <f aca="false">SUMIFS(JE_Lines!$G$5:$G$1733,JE_Lines!$B$5:$B$1733,A685)</f>
        <v>32474.35</v>
      </c>
      <c r="D685" s="17" t="n">
        <f aca="false">SUMIFS(JE_Lines!$H$5:$H$1733,JE_Lines!$B$5:$B$1733,A685)</f>
        <v>32474.35</v>
      </c>
      <c r="E685" s="17" t="n">
        <f aca="false">C685-D685</f>
        <v>0</v>
      </c>
      <c r="F685" s="18" t="n">
        <f aca="false">INDEX(JE_Lines!$C$5:$C$1733,MATCH(A685,JE_Lines!$B$5:$B$1733,0))</f>
        <v>45983</v>
      </c>
      <c r="G685" s="18" t="n">
        <f aca="false">INDEX(JE_Lines!$D$5:$D$1733,MATCH(A685,JE_Lines!$B$5:$B$1733,0))</f>
        <v>45983</v>
      </c>
      <c r="H685" s="0" t="str">
        <f aca="false">INDEX(JE_Lines!$I$5:$I$1733,MATCH(A685,JE_Lines!$B$5:$B$1733,0))</f>
        <v>FIN05</v>
      </c>
      <c r="I685" s="0" t="str">
        <f aca="false">INDEX(JE_Lines!$J$5:$J$1733,MATCH(A685,JE_Lines!$B$5:$B$1733,0))</f>
        <v>Manual</v>
      </c>
      <c r="J685" s="0" t="str">
        <f aca="false">IF(LEN(INDEX(JE_Lines!$K$5:$K$1733,MATCH(A685,JE_Lines!$B$5:$B$1733,0)))=0,"",INDEX(JE_Lines!$K$5:$K$1733,MATCH(A685,JE_Lines!$B$5:$B$1733,0)))</f>
        <v>Weekend adjustment 8</v>
      </c>
      <c r="K685" s="9" t="n">
        <f aca="false">F685-G685</f>
        <v>0</v>
      </c>
      <c r="L685" s="9" t="n">
        <f aca="false">COUNTIFS(JE_Lines!$B$5:$B$1733,A685,JE_Lines!$F$5:$F$1733,"Revenue")</f>
        <v>0</v>
      </c>
      <c r="M685" s="9" t="n">
        <f aca="false">COUNTIFS(JE_Lines!$B$5:$B$1733,A685,JE_Lines!$F$5:$F$1733,"Suspense")</f>
        <v>0</v>
      </c>
      <c r="N685" s="9" t="n">
        <f aca="false">IF(ABS(E685)&gt;Parameters!$B$23,1,0)</f>
        <v>0</v>
      </c>
      <c r="O685" s="9" t="n">
        <f aca="false">IF(WEEKDAY(F685,2)&gt;5,1,0)</f>
        <v>1</v>
      </c>
      <c r="P685" s="9" t="n">
        <f aca="false">IF(K685&gt;Parameters!$B$17,1,0)</f>
        <v>0</v>
      </c>
      <c r="Q685" s="9" t="n">
        <f aca="false">IF(AND(F685&lt;=Parameters!$B$6,F685&gt;Parameters!$B$6-Parameters!$B$18),1,0)</f>
        <v>0</v>
      </c>
      <c r="R685" s="9" t="n">
        <f aca="false">IF(COUNTIF(Parameters!$A$51:$A$58,H685)=0,1,0)</f>
        <v>0</v>
      </c>
      <c r="S685" s="9" t="n">
        <f aca="false">IF(AND(I685="Manual",L685&gt;0),1,0)</f>
        <v>0</v>
      </c>
      <c r="T685" s="9" t="n">
        <f aca="false">IF(AND(C685&gt;=Parameters!$B$22,ROUND(MOD(ROUND(C685,2),Parameters!$B$21),2)=0),1,0)</f>
        <v>0</v>
      </c>
      <c r="U685" s="9" t="n">
        <f aca="false">IF(LEN(TRIM(J685))=0,1,0)</f>
        <v>0</v>
      </c>
      <c r="V685" s="9" t="n">
        <f aca="false">IF(AND(I685="Manual",C685&lt;Parameters!$B$19,C685&gt;=Parameters!$B$19*(1-Parameters!$B$20)),1,0)</f>
        <v>0</v>
      </c>
      <c r="W685" s="9" t="n">
        <f aca="false">IF(AND(I685="Manual",M685&gt;0),1,0)</f>
        <v>0</v>
      </c>
      <c r="X685" s="9" t="n">
        <f aca="false">IF(A685-A684&gt;1,1,0)</f>
        <v>0</v>
      </c>
      <c r="Y685" s="9" t="n">
        <f aca="false">N685*Parameters!$B$38+O685*Parameters!$B$39+P685*Parameters!$B$40+Q685*Parameters!$B$41+R685*Parameters!$B$42+S685*Parameters!$B$43+T685*Parameters!$B$44+U685*Parameters!$B$45+V685*Parameters!$B$46+W685*Parameters!$B$47+X685*Parameters!$B$48</f>
        <v>2</v>
      </c>
      <c r="Z685" s="0" t="str">
        <f aca="false">IF(Y685&gt;=Parameters!$B$25,"High","")</f>
        <v/>
      </c>
    </row>
    <row r="686" customFormat="false" ht="15" hidden="false" customHeight="false" outlineLevel="0" collapsed="false">
      <c r="A686" s="16" t="n">
        <v>1693</v>
      </c>
      <c r="B686" s="9" t="n">
        <f aca="false">COUNTIF(JE_Lines!$B$5:$B$1733,A686)</f>
        <v>3</v>
      </c>
      <c r="C686" s="17" t="n">
        <f aca="false">SUMIFS(JE_Lines!$G$5:$G$1733,JE_Lines!$B$5:$B$1733,A686)</f>
        <v>26877.84</v>
      </c>
      <c r="D686" s="17" t="n">
        <f aca="false">SUMIFS(JE_Lines!$H$5:$H$1733,JE_Lines!$B$5:$B$1733,A686)</f>
        <v>26877.84</v>
      </c>
      <c r="E686" s="17" t="n">
        <f aca="false">C686-D686</f>
        <v>0</v>
      </c>
      <c r="F686" s="18" t="n">
        <f aca="false">INDEX(JE_Lines!$C$5:$C$1733,MATCH(A686,JE_Lines!$B$5:$B$1733,0))</f>
        <v>45985</v>
      </c>
      <c r="G686" s="18" t="n">
        <f aca="false">INDEX(JE_Lines!$D$5:$D$1733,MATCH(A686,JE_Lines!$B$5:$B$1733,0))</f>
        <v>45984</v>
      </c>
      <c r="H686" s="0" t="str">
        <f aca="false">INDEX(JE_Lines!$I$5:$I$1733,MATCH(A686,JE_Lines!$B$5:$B$1733,0))</f>
        <v>SYS_AR</v>
      </c>
      <c r="I686" s="0" t="str">
        <f aca="false">INDEX(JE_Lines!$J$5:$J$1733,MATCH(A686,JE_Lines!$B$5:$B$1733,0))</f>
        <v>System</v>
      </c>
      <c r="J686" s="0" t="str">
        <f aca="false">IF(LEN(INDEX(JE_Lines!$K$5:$K$1733,MATCH(A686,JE_Lines!$B$5:$B$1733,0)))=0,"",INDEX(JE_Lines!$K$5:$K$1733,MATCH(A686,JE_Lines!$B$5:$B$1733,0)))</f>
        <v>Cost of sales posting</v>
      </c>
      <c r="K686" s="9" t="n">
        <f aca="false">F686-G686</f>
        <v>1</v>
      </c>
      <c r="L686" s="9" t="n">
        <f aca="false">COUNTIFS(JE_Lines!$B$5:$B$1733,A686,JE_Lines!$F$5:$F$1733,"Revenue")</f>
        <v>0</v>
      </c>
      <c r="M686" s="9" t="n">
        <f aca="false">COUNTIFS(JE_Lines!$B$5:$B$1733,A686,JE_Lines!$F$5:$F$1733,"Suspense")</f>
        <v>0</v>
      </c>
      <c r="N686" s="9" t="n">
        <f aca="false">IF(ABS(E686)&gt;Parameters!$B$23,1,0)</f>
        <v>0</v>
      </c>
      <c r="O686" s="9" t="n">
        <f aca="false">IF(WEEKDAY(F686,2)&gt;5,1,0)</f>
        <v>0</v>
      </c>
      <c r="P686" s="9" t="n">
        <f aca="false">IF(K686&gt;Parameters!$B$17,1,0)</f>
        <v>0</v>
      </c>
      <c r="Q686" s="9" t="n">
        <f aca="false">IF(AND(F686&lt;=Parameters!$B$6,F686&gt;Parameters!$B$6-Parameters!$B$18),1,0)</f>
        <v>0</v>
      </c>
      <c r="R686" s="9" t="n">
        <f aca="false">IF(COUNTIF(Parameters!$A$51:$A$58,H686)=0,1,0)</f>
        <v>0</v>
      </c>
      <c r="S686" s="9" t="n">
        <f aca="false">IF(AND(I686="Manual",L686&gt;0),1,0)</f>
        <v>0</v>
      </c>
      <c r="T686" s="9" t="n">
        <f aca="false">IF(AND(C686&gt;=Parameters!$B$22,ROUND(MOD(ROUND(C686,2),Parameters!$B$21),2)=0),1,0)</f>
        <v>0</v>
      </c>
      <c r="U686" s="9" t="n">
        <f aca="false">IF(LEN(TRIM(J686))=0,1,0)</f>
        <v>0</v>
      </c>
      <c r="V686" s="9" t="n">
        <f aca="false">IF(AND(I686="Manual",C686&lt;Parameters!$B$19,C686&gt;=Parameters!$B$19*(1-Parameters!$B$20)),1,0)</f>
        <v>0</v>
      </c>
      <c r="W686" s="9" t="n">
        <f aca="false">IF(AND(I686="Manual",M686&gt;0),1,0)</f>
        <v>0</v>
      </c>
      <c r="X686" s="9" t="n">
        <f aca="false">IF(A686-A685&gt;1,1,0)</f>
        <v>0</v>
      </c>
      <c r="Y686" s="9" t="n">
        <f aca="false">N686*Parameters!$B$38+O686*Parameters!$B$39+P686*Parameters!$B$40+Q686*Parameters!$B$41+R686*Parameters!$B$42+S686*Parameters!$B$43+T686*Parameters!$B$44+U686*Parameters!$B$45+V686*Parameters!$B$46+W686*Parameters!$B$47+X686*Parameters!$B$48</f>
        <v>0</v>
      </c>
      <c r="Z686" s="0" t="str">
        <f aca="false">IF(Y686&gt;=Parameters!$B$25,"High","")</f>
        <v/>
      </c>
    </row>
    <row r="687" customFormat="false" ht="15" hidden="false" customHeight="false" outlineLevel="0" collapsed="false">
      <c r="A687" s="16" t="n">
        <v>1694</v>
      </c>
      <c r="B687" s="9" t="n">
        <f aca="false">COUNTIF(JE_Lines!$B$5:$B$1733,A687)</f>
        <v>2</v>
      </c>
      <c r="C687" s="17" t="n">
        <f aca="false">SUMIFS(JE_Lines!$G$5:$G$1733,JE_Lines!$B$5:$B$1733,A687)</f>
        <v>31551.16</v>
      </c>
      <c r="D687" s="17" t="n">
        <f aca="false">SUMIFS(JE_Lines!$H$5:$H$1733,JE_Lines!$B$5:$B$1733,A687)</f>
        <v>31551.16</v>
      </c>
      <c r="E687" s="17" t="n">
        <f aca="false">C687-D687</f>
        <v>0</v>
      </c>
      <c r="F687" s="18" t="n">
        <f aca="false">INDEX(JE_Lines!$C$5:$C$1733,MATCH(A687,JE_Lines!$B$5:$B$1733,0))</f>
        <v>45985</v>
      </c>
      <c r="G687" s="18" t="n">
        <f aca="false">INDEX(JE_Lines!$D$5:$D$1733,MATCH(A687,JE_Lines!$B$5:$B$1733,0))</f>
        <v>45982</v>
      </c>
      <c r="H687" s="0" t="str">
        <f aca="false">INDEX(JE_Lines!$I$5:$I$1733,MATCH(A687,JE_Lines!$B$5:$B$1733,0))</f>
        <v>SYS_AR</v>
      </c>
      <c r="I687" s="0" t="str">
        <f aca="false">INDEX(JE_Lines!$J$5:$J$1733,MATCH(A687,JE_Lines!$B$5:$B$1733,0))</f>
        <v>System</v>
      </c>
      <c r="J687" s="0" t="str">
        <f aca="false">IF(LEN(INDEX(JE_Lines!$K$5:$K$1733,MATCH(A687,JE_Lines!$B$5:$B$1733,0)))=0,"",INDEX(JE_Lines!$K$5:$K$1733,MATCH(A687,JE_Lines!$B$5:$B$1733,0)))</f>
        <v>Cost of sales posting</v>
      </c>
      <c r="K687" s="9" t="n">
        <f aca="false">F687-G687</f>
        <v>3</v>
      </c>
      <c r="L687" s="9" t="n">
        <f aca="false">COUNTIFS(JE_Lines!$B$5:$B$1733,A687,JE_Lines!$F$5:$F$1733,"Revenue")</f>
        <v>0</v>
      </c>
      <c r="M687" s="9" t="n">
        <f aca="false">COUNTIFS(JE_Lines!$B$5:$B$1733,A687,JE_Lines!$F$5:$F$1733,"Suspense")</f>
        <v>0</v>
      </c>
      <c r="N687" s="9" t="n">
        <f aca="false">IF(ABS(E687)&gt;Parameters!$B$23,1,0)</f>
        <v>0</v>
      </c>
      <c r="O687" s="9" t="n">
        <f aca="false">IF(WEEKDAY(F687,2)&gt;5,1,0)</f>
        <v>0</v>
      </c>
      <c r="P687" s="9" t="n">
        <f aca="false">IF(K687&gt;Parameters!$B$17,1,0)</f>
        <v>0</v>
      </c>
      <c r="Q687" s="9" t="n">
        <f aca="false">IF(AND(F687&lt;=Parameters!$B$6,F687&gt;Parameters!$B$6-Parameters!$B$18),1,0)</f>
        <v>0</v>
      </c>
      <c r="R687" s="9" t="n">
        <f aca="false">IF(COUNTIF(Parameters!$A$51:$A$58,H687)=0,1,0)</f>
        <v>0</v>
      </c>
      <c r="S687" s="9" t="n">
        <f aca="false">IF(AND(I687="Manual",L687&gt;0),1,0)</f>
        <v>0</v>
      </c>
      <c r="T687" s="9" t="n">
        <f aca="false">IF(AND(C687&gt;=Parameters!$B$22,ROUND(MOD(ROUND(C687,2),Parameters!$B$21),2)=0),1,0)</f>
        <v>0</v>
      </c>
      <c r="U687" s="9" t="n">
        <f aca="false">IF(LEN(TRIM(J687))=0,1,0)</f>
        <v>0</v>
      </c>
      <c r="V687" s="9" t="n">
        <f aca="false">IF(AND(I687="Manual",C687&lt;Parameters!$B$19,C687&gt;=Parameters!$B$19*(1-Parameters!$B$20)),1,0)</f>
        <v>0</v>
      </c>
      <c r="W687" s="9" t="n">
        <f aca="false">IF(AND(I687="Manual",M687&gt;0),1,0)</f>
        <v>0</v>
      </c>
      <c r="X687" s="9" t="n">
        <f aca="false">IF(A687-A686&gt;1,1,0)</f>
        <v>0</v>
      </c>
      <c r="Y687" s="9" t="n">
        <f aca="false">N687*Parameters!$B$38+O687*Parameters!$B$39+P687*Parameters!$B$40+Q687*Parameters!$B$41+R687*Parameters!$B$42+S687*Parameters!$B$43+T687*Parameters!$B$44+U687*Parameters!$B$45+V687*Parameters!$B$46+W687*Parameters!$B$47+X687*Parameters!$B$48</f>
        <v>0</v>
      </c>
      <c r="Z687" s="0" t="str">
        <f aca="false">IF(Y687&gt;=Parameters!$B$25,"High","")</f>
        <v/>
      </c>
    </row>
    <row r="688" customFormat="false" ht="15" hidden="false" customHeight="false" outlineLevel="0" collapsed="false">
      <c r="A688" s="16" t="n">
        <v>1695</v>
      </c>
      <c r="B688" s="9" t="n">
        <f aca="false">COUNTIF(JE_Lines!$B$5:$B$1733,A688)</f>
        <v>2</v>
      </c>
      <c r="C688" s="17" t="n">
        <f aca="false">SUMIFS(JE_Lines!$G$5:$G$1733,JE_Lines!$B$5:$B$1733,A688)</f>
        <v>11496.03</v>
      </c>
      <c r="D688" s="17" t="n">
        <f aca="false">SUMIFS(JE_Lines!$H$5:$H$1733,JE_Lines!$B$5:$B$1733,A688)</f>
        <v>11496.03</v>
      </c>
      <c r="E688" s="17" t="n">
        <f aca="false">C688-D688</f>
        <v>0</v>
      </c>
      <c r="F688" s="18" t="n">
        <f aca="false">INDEX(JE_Lines!$C$5:$C$1733,MATCH(A688,JE_Lines!$B$5:$B$1733,0))</f>
        <v>45985</v>
      </c>
      <c r="G688" s="18" t="n">
        <f aca="false">INDEX(JE_Lines!$D$5:$D$1733,MATCH(A688,JE_Lines!$B$5:$B$1733,0))</f>
        <v>45984</v>
      </c>
      <c r="H688" s="0" t="str">
        <f aca="false">INDEX(JE_Lines!$I$5:$I$1733,MATCH(A688,JE_Lines!$B$5:$B$1733,0))</f>
        <v>SYS_PAY</v>
      </c>
      <c r="I688" s="0" t="str">
        <f aca="false">INDEX(JE_Lines!$J$5:$J$1733,MATCH(A688,JE_Lines!$B$5:$B$1733,0))</f>
        <v>System</v>
      </c>
      <c r="J688" s="0" t="str">
        <f aca="false">IF(LEN(INDEX(JE_Lines!$K$5:$K$1733,MATCH(A688,JE_Lines!$B$5:$B$1733,0)))=0,"",INDEX(JE_Lines!$K$5:$K$1733,MATCH(A688,JE_Lines!$B$5:$B$1733,0)))</f>
        <v>Supplier payments</v>
      </c>
      <c r="K688" s="9" t="n">
        <f aca="false">F688-G688</f>
        <v>1</v>
      </c>
      <c r="L688" s="9" t="n">
        <f aca="false">COUNTIFS(JE_Lines!$B$5:$B$1733,A688,JE_Lines!$F$5:$F$1733,"Revenue")</f>
        <v>0</v>
      </c>
      <c r="M688" s="9" t="n">
        <f aca="false">COUNTIFS(JE_Lines!$B$5:$B$1733,A688,JE_Lines!$F$5:$F$1733,"Suspense")</f>
        <v>0</v>
      </c>
      <c r="N688" s="9" t="n">
        <f aca="false">IF(ABS(E688)&gt;Parameters!$B$23,1,0)</f>
        <v>0</v>
      </c>
      <c r="O688" s="9" t="n">
        <f aca="false">IF(WEEKDAY(F688,2)&gt;5,1,0)</f>
        <v>0</v>
      </c>
      <c r="P688" s="9" t="n">
        <f aca="false">IF(K688&gt;Parameters!$B$17,1,0)</f>
        <v>0</v>
      </c>
      <c r="Q688" s="9" t="n">
        <f aca="false">IF(AND(F688&lt;=Parameters!$B$6,F688&gt;Parameters!$B$6-Parameters!$B$18),1,0)</f>
        <v>0</v>
      </c>
      <c r="R688" s="9" t="n">
        <f aca="false">IF(COUNTIF(Parameters!$A$51:$A$58,H688)=0,1,0)</f>
        <v>0</v>
      </c>
      <c r="S688" s="9" t="n">
        <f aca="false">IF(AND(I688="Manual",L688&gt;0),1,0)</f>
        <v>0</v>
      </c>
      <c r="T688" s="9" t="n">
        <f aca="false">IF(AND(C688&gt;=Parameters!$B$22,ROUND(MOD(ROUND(C688,2),Parameters!$B$21),2)=0),1,0)</f>
        <v>0</v>
      </c>
      <c r="U688" s="9" t="n">
        <f aca="false">IF(LEN(TRIM(J688))=0,1,0)</f>
        <v>0</v>
      </c>
      <c r="V688" s="9" t="n">
        <f aca="false">IF(AND(I688="Manual",C688&lt;Parameters!$B$19,C688&gt;=Parameters!$B$19*(1-Parameters!$B$20)),1,0)</f>
        <v>0</v>
      </c>
      <c r="W688" s="9" t="n">
        <f aca="false">IF(AND(I688="Manual",M688&gt;0),1,0)</f>
        <v>0</v>
      </c>
      <c r="X688" s="9" t="n">
        <f aca="false">IF(A688-A687&gt;1,1,0)</f>
        <v>0</v>
      </c>
      <c r="Y688" s="9" t="n">
        <f aca="false">N688*Parameters!$B$38+O688*Parameters!$B$39+P688*Parameters!$B$40+Q688*Parameters!$B$41+R688*Parameters!$B$42+S688*Parameters!$B$43+T688*Parameters!$B$44+U688*Parameters!$B$45+V688*Parameters!$B$46+W688*Parameters!$B$47+X688*Parameters!$B$48</f>
        <v>0</v>
      </c>
      <c r="Z688" s="0" t="str">
        <f aca="false">IF(Y688&gt;=Parameters!$B$25,"High","")</f>
        <v/>
      </c>
    </row>
    <row r="689" customFormat="false" ht="15" hidden="false" customHeight="false" outlineLevel="0" collapsed="false">
      <c r="A689" s="16" t="n">
        <v>1696</v>
      </c>
      <c r="B689" s="9" t="n">
        <f aca="false">COUNTIF(JE_Lines!$B$5:$B$1733,A689)</f>
        <v>2</v>
      </c>
      <c r="C689" s="17" t="n">
        <f aca="false">SUMIFS(JE_Lines!$G$5:$G$1733,JE_Lines!$B$5:$B$1733,A689)</f>
        <v>104272.76</v>
      </c>
      <c r="D689" s="17" t="n">
        <f aca="false">SUMIFS(JE_Lines!$H$5:$H$1733,JE_Lines!$B$5:$B$1733,A689)</f>
        <v>104272.76</v>
      </c>
      <c r="E689" s="17" t="n">
        <f aca="false">C689-D689</f>
        <v>0</v>
      </c>
      <c r="F689" s="18" t="n">
        <f aca="false">INDEX(JE_Lines!$C$5:$C$1733,MATCH(A689,JE_Lines!$B$5:$B$1733,0))</f>
        <v>45986</v>
      </c>
      <c r="G689" s="18" t="n">
        <f aca="false">INDEX(JE_Lines!$D$5:$D$1733,MATCH(A689,JE_Lines!$B$5:$B$1733,0))</f>
        <v>45986</v>
      </c>
      <c r="H689" s="0" t="str">
        <f aca="false">INDEX(JE_Lines!$I$5:$I$1733,MATCH(A689,JE_Lines!$B$5:$B$1733,0))</f>
        <v>SYS_AR</v>
      </c>
      <c r="I689" s="0" t="str">
        <f aca="false">INDEX(JE_Lines!$J$5:$J$1733,MATCH(A689,JE_Lines!$B$5:$B$1733,0))</f>
        <v>System</v>
      </c>
      <c r="J689" s="0" t="str">
        <f aca="false">IF(LEN(INDEX(JE_Lines!$K$5:$K$1733,MATCH(A689,JE_Lines!$B$5:$B$1733,0)))=0,"",INDEX(JE_Lines!$K$5:$K$1733,MATCH(A689,JE_Lines!$B$5:$B$1733,0)))</f>
        <v>Sales invoice batch</v>
      </c>
      <c r="K689" s="9" t="n">
        <f aca="false">F689-G689</f>
        <v>0</v>
      </c>
      <c r="L689" s="9" t="n">
        <f aca="false">COUNTIFS(JE_Lines!$B$5:$B$1733,A689,JE_Lines!$F$5:$F$1733,"Revenue")</f>
        <v>1</v>
      </c>
      <c r="M689" s="9" t="n">
        <f aca="false">COUNTIFS(JE_Lines!$B$5:$B$1733,A689,JE_Lines!$F$5:$F$1733,"Suspense")</f>
        <v>0</v>
      </c>
      <c r="N689" s="9" t="n">
        <f aca="false">IF(ABS(E689)&gt;Parameters!$B$23,1,0)</f>
        <v>0</v>
      </c>
      <c r="O689" s="9" t="n">
        <f aca="false">IF(WEEKDAY(F689,2)&gt;5,1,0)</f>
        <v>0</v>
      </c>
      <c r="P689" s="9" t="n">
        <f aca="false">IF(K689&gt;Parameters!$B$17,1,0)</f>
        <v>0</v>
      </c>
      <c r="Q689" s="9" t="n">
        <f aca="false">IF(AND(F689&lt;=Parameters!$B$6,F689&gt;Parameters!$B$6-Parameters!$B$18),1,0)</f>
        <v>0</v>
      </c>
      <c r="R689" s="9" t="n">
        <f aca="false">IF(COUNTIF(Parameters!$A$51:$A$58,H689)=0,1,0)</f>
        <v>0</v>
      </c>
      <c r="S689" s="9" t="n">
        <f aca="false">IF(AND(I689="Manual",L689&gt;0),1,0)</f>
        <v>0</v>
      </c>
      <c r="T689" s="9" t="n">
        <f aca="false">IF(AND(C689&gt;=Parameters!$B$22,ROUND(MOD(ROUND(C689,2),Parameters!$B$21),2)=0),1,0)</f>
        <v>0</v>
      </c>
      <c r="U689" s="9" t="n">
        <f aca="false">IF(LEN(TRIM(J689))=0,1,0)</f>
        <v>0</v>
      </c>
      <c r="V689" s="9" t="n">
        <f aca="false">IF(AND(I689="Manual",C689&lt;Parameters!$B$19,C689&gt;=Parameters!$B$19*(1-Parameters!$B$20)),1,0)</f>
        <v>0</v>
      </c>
      <c r="W689" s="9" t="n">
        <f aca="false">IF(AND(I689="Manual",M689&gt;0),1,0)</f>
        <v>0</v>
      </c>
      <c r="X689" s="9" t="n">
        <f aca="false">IF(A689-A688&gt;1,1,0)</f>
        <v>0</v>
      </c>
      <c r="Y689" s="9" t="n">
        <f aca="false">N689*Parameters!$B$38+O689*Parameters!$B$39+P689*Parameters!$B$40+Q689*Parameters!$B$41+R689*Parameters!$B$42+S689*Parameters!$B$43+T689*Parameters!$B$44+U689*Parameters!$B$45+V689*Parameters!$B$46+W689*Parameters!$B$47+X689*Parameters!$B$48</f>
        <v>0</v>
      </c>
      <c r="Z689" s="0" t="str">
        <f aca="false">IF(Y689&gt;=Parameters!$B$25,"High","")</f>
        <v/>
      </c>
    </row>
    <row r="690" customFormat="false" ht="15" hidden="false" customHeight="false" outlineLevel="0" collapsed="false">
      <c r="A690" s="16" t="n">
        <v>1697</v>
      </c>
      <c r="B690" s="9" t="n">
        <f aca="false">COUNTIF(JE_Lines!$B$5:$B$1733,A690)</f>
        <v>2</v>
      </c>
      <c r="C690" s="17" t="n">
        <f aca="false">SUMIFS(JE_Lines!$G$5:$G$1733,JE_Lines!$B$5:$B$1733,A690)</f>
        <v>244000</v>
      </c>
      <c r="D690" s="17" t="n">
        <f aca="false">SUMIFS(JE_Lines!$H$5:$H$1733,JE_Lines!$B$5:$B$1733,A690)</f>
        <v>244000</v>
      </c>
      <c r="E690" s="17" t="n">
        <f aca="false">C690-D690</f>
        <v>0</v>
      </c>
      <c r="F690" s="18" t="n">
        <f aca="false">INDEX(JE_Lines!$C$5:$C$1733,MATCH(A690,JE_Lines!$B$5:$B$1733,0))</f>
        <v>45986</v>
      </c>
      <c r="G690" s="18" t="n">
        <f aca="false">INDEX(JE_Lines!$D$5:$D$1733,MATCH(A690,JE_Lines!$B$5:$B$1733,0))</f>
        <v>45986</v>
      </c>
      <c r="H690" s="0" t="str">
        <f aca="false">INDEX(JE_Lines!$I$5:$I$1733,MATCH(A690,JE_Lines!$B$5:$B$1733,0))</f>
        <v>SYS_PAY</v>
      </c>
      <c r="I690" s="0" t="str">
        <f aca="false">INDEX(JE_Lines!$J$5:$J$1733,MATCH(A690,JE_Lines!$B$5:$B$1733,0))</f>
        <v>System</v>
      </c>
      <c r="J690" s="0" t="str">
        <f aca="false">IF(LEN(INDEX(JE_Lines!$K$5:$K$1733,MATCH(A690,JE_Lines!$B$5:$B$1733,0)))=0,"",INDEX(JE_Lines!$K$5:$K$1733,MATCH(A690,JE_Lines!$B$5:$B$1733,0)))</f>
        <v>Monthly payroll</v>
      </c>
      <c r="K690" s="9" t="n">
        <f aca="false">F690-G690</f>
        <v>0</v>
      </c>
      <c r="L690" s="9" t="n">
        <f aca="false">COUNTIFS(JE_Lines!$B$5:$B$1733,A690,JE_Lines!$F$5:$F$1733,"Revenue")</f>
        <v>0</v>
      </c>
      <c r="M690" s="9" t="n">
        <f aca="false">COUNTIFS(JE_Lines!$B$5:$B$1733,A690,JE_Lines!$F$5:$F$1733,"Suspense")</f>
        <v>0</v>
      </c>
      <c r="N690" s="9" t="n">
        <f aca="false">IF(ABS(E690)&gt;Parameters!$B$23,1,0)</f>
        <v>0</v>
      </c>
      <c r="O690" s="9" t="n">
        <f aca="false">IF(WEEKDAY(F690,2)&gt;5,1,0)</f>
        <v>0</v>
      </c>
      <c r="P690" s="9" t="n">
        <f aca="false">IF(K690&gt;Parameters!$B$17,1,0)</f>
        <v>0</v>
      </c>
      <c r="Q690" s="9" t="n">
        <f aca="false">IF(AND(F690&lt;=Parameters!$B$6,F690&gt;Parameters!$B$6-Parameters!$B$18),1,0)</f>
        <v>0</v>
      </c>
      <c r="R690" s="9" t="n">
        <f aca="false">IF(COUNTIF(Parameters!$A$51:$A$58,H690)=0,1,0)</f>
        <v>0</v>
      </c>
      <c r="S690" s="9" t="n">
        <f aca="false">IF(AND(I690="Manual",L690&gt;0),1,0)</f>
        <v>0</v>
      </c>
      <c r="T690" s="9" t="n">
        <f aca="false">IF(AND(C690&gt;=Parameters!$B$22,ROUND(MOD(ROUND(C690,2),Parameters!$B$21),2)=0),1,0)</f>
        <v>1</v>
      </c>
      <c r="U690" s="9" t="n">
        <f aca="false">IF(LEN(TRIM(J690))=0,1,0)</f>
        <v>0</v>
      </c>
      <c r="V690" s="9" t="n">
        <f aca="false">IF(AND(I690="Manual",C690&lt;Parameters!$B$19,C690&gt;=Parameters!$B$19*(1-Parameters!$B$20)),1,0)</f>
        <v>0</v>
      </c>
      <c r="W690" s="9" t="n">
        <f aca="false">IF(AND(I690="Manual",M690&gt;0),1,0)</f>
        <v>0</v>
      </c>
      <c r="X690" s="9" t="n">
        <f aca="false">IF(A690-A689&gt;1,1,0)</f>
        <v>0</v>
      </c>
      <c r="Y690" s="9" t="n">
        <f aca="false">N690*Parameters!$B$38+O690*Parameters!$B$39+P690*Parameters!$B$40+Q690*Parameters!$B$41+R690*Parameters!$B$42+S690*Parameters!$B$43+T690*Parameters!$B$44+U690*Parameters!$B$45+V690*Parameters!$B$46+W690*Parameters!$B$47+X690*Parameters!$B$48</f>
        <v>2</v>
      </c>
      <c r="Z690" s="0" t="str">
        <f aca="false">IF(Y690&gt;=Parameters!$B$25,"High","")</f>
        <v/>
      </c>
    </row>
    <row r="691" customFormat="false" ht="15" hidden="false" customHeight="false" outlineLevel="0" collapsed="false">
      <c r="A691" s="16" t="n">
        <v>1698</v>
      </c>
      <c r="B691" s="9" t="n">
        <f aca="false">COUNTIF(JE_Lines!$B$5:$B$1733,A691)</f>
        <v>2</v>
      </c>
      <c r="C691" s="17" t="n">
        <f aca="false">SUMIFS(JE_Lines!$G$5:$G$1733,JE_Lines!$B$5:$B$1733,A691)</f>
        <v>7514.12</v>
      </c>
      <c r="D691" s="17" t="n">
        <f aca="false">SUMIFS(JE_Lines!$H$5:$H$1733,JE_Lines!$B$5:$B$1733,A691)</f>
        <v>7514.12</v>
      </c>
      <c r="E691" s="17" t="n">
        <f aca="false">C691-D691</f>
        <v>0</v>
      </c>
      <c r="F691" s="18" t="n">
        <f aca="false">INDEX(JE_Lines!$C$5:$C$1733,MATCH(A691,JE_Lines!$B$5:$B$1733,0))</f>
        <v>45986</v>
      </c>
      <c r="G691" s="18" t="n">
        <f aca="false">INDEX(JE_Lines!$D$5:$D$1733,MATCH(A691,JE_Lines!$B$5:$B$1733,0))</f>
        <v>45982</v>
      </c>
      <c r="H691" s="0" t="str">
        <f aca="false">INDEX(JE_Lines!$I$5:$I$1733,MATCH(A691,JE_Lines!$B$5:$B$1733,0))</f>
        <v>SYS_AP</v>
      </c>
      <c r="I691" s="0" t="str">
        <f aca="false">INDEX(JE_Lines!$J$5:$J$1733,MATCH(A691,JE_Lines!$B$5:$B$1733,0))</f>
        <v>System</v>
      </c>
      <c r="J691" s="0" t="str">
        <f aca="false">IF(LEN(INDEX(JE_Lines!$K$5:$K$1733,MATCH(A691,JE_Lines!$B$5:$B$1733,0)))=0,"",INDEX(JE_Lines!$K$5:$K$1733,MATCH(A691,JE_Lines!$B$5:$B$1733,0)))</f>
        <v>Supplier invoices</v>
      </c>
      <c r="K691" s="9" t="n">
        <f aca="false">F691-G691</f>
        <v>4</v>
      </c>
      <c r="L691" s="9" t="n">
        <f aca="false">COUNTIFS(JE_Lines!$B$5:$B$1733,A691,JE_Lines!$F$5:$F$1733,"Revenue")</f>
        <v>0</v>
      </c>
      <c r="M691" s="9" t="n">
        <f aca="false">COUNTIFS(JE_Lines!$B$5:$B$1733,A691,JE_Lines!$F$5:$F$1733,"Suspense")</f>
        <v>0</v>
      </c>
      <c r="N691" s="9" t="n">
        <f aca="false">IF(ABS(E691)&gt;Parameters!$B$23,1,0)</f>
        <v>0</v>
      </c>
      <c r="O691" s="9" t="n">
        <f aca="false">IF(WEEKDAY(F691,2)&gt;5,1,0)</f>
        <v>0</v>
      </c>
      <c r="P691" s="9" t="n">
        <f aca="false">IF(K691&gt;Parameters!$B$17,1,0)</f>
        <v>0</v>
      </c>
      <c r="Q691" s="9" t="n">
        <f aca="false">IF(AND(F691&lt;=Parameters!$B$6,F691&gt;Parameters!$B$6-Parameters!$B$18),1,0)</f>
        <v>0</v>
      </c>
      <c r="R691" s="9" t="n">
        <f aca="false">IF(COUNTIF(Parameters!$A$51:$A$58,H691)=0,1,0)</f>
        <v>0</v>
      </c>
      <c r="S691" s="9" t="n">
        <f aca="false">IF(AND(I691="Manual",L691&gt;0),1,0)</f>
        <v>0</v>
      </c>
      <c r="T691" s="9" t="n">
        <f aca="false">IF(AND(C691&gt;=Parameters!$B$22,ROUND(MOD(ROUND(C691,2),Parameters!$B$21),2)=0),1,0)</f>
        <v>0</v>
      </c>
      <c r="U691" s="9" t="n">
        <f aca="false">IF(LEN(TRIM(J691))=0,1,0)</f>
        <v>0</v>
      </c>
      <c r="V691" s="9" t="n">
        <f aca="false">IF(AND(I691="Manual",C691&lt;Parameters!$B$19,C691&gt;=Parameters!$B$19*(1-Parameters!$B$20)),1,0)</f>
        <v>0</v>
      </c>
      <c r="W691" s="9" t="n">
        <f aca="false">IF(AND(I691="Manual",M691&gt;0),1,0)</f>
        <v>0</v>
      </c>
      <c r="X691" s="9" t="n">
        <f aca="false">IF(A691-A690&gt;1,1,0)</f>
        <v>0</v>
      </c>
      <c r="Y691" s="9" t="n">
        <f aca="false">N691*Parameters!$B$38+O691*Parameters!$B$39+P691*Parameters!$B$40+Q691*Parameters!$B$41+R691*Parameters!$B$42+S691*Parameters!$B$43+T691*Parameters!$B$44+U691*Parameters!$B$45+V691*Parameters!$B$46+W691*Parameters!$B$47+X691*Parameters!$B$48</f>
        <v>0</v>
      </c>
      <c r="Z691" s="0" t="str">
        <f aca="false">IF(Y691&gt;=Parameters!$B$25,"High","")</f>
        <v/>
      </c>
    </row>
    <row r="692" customFormat="false" ht="15" hidden="false" customHeight="false" outlineLevel="0" collapsed="false">
      <c r="A692" s="16" t="n">
        <v>1699</v>
      </c>
      <c r="B692" s="9" t="n">
        <f aca="false">COUNTIF(JE_Lines!$B$5:$B$1733,A692)</f>
        <v>3</v>
      </c>
      <c r="C692" s="17" t="n">
        <f aca="false">SUMIFS(JE_Lines!$G$5:$G$1733,JE_Lines!$B$5:$B$1733,A692)</f>
        <v>559.03</v>
      </c>
      <c r="D692" s="17" t="n">
        <f aca="false">SUMIFS(JE_Lines!$H$5:$H$1733,JE_Lines!$B$5:$B$1733,A692)</f>
        <v>559.03</v>
      </c>
      <c r="E692" s="17" t="n">
        <f aca="false">C692-D692</f>
        <v>0</v>
      </c>
      <c r="F692" s="18" t="n">
        <f aca="false">INDEX(JE_Lines!$C$5:$C$1733,MATCH(A692,JE_Lines!$B$5:$B$1733,0))</f>
        <v>45986</v>
      </c>
      <c r="G692" s="18" t="n">
        <f aca="false">INDEX(JE_Lines!$D$5:$D$1733,MATCH(A692,JE_Lines!$B$5:$B$1733,0))</f>
        <v>45982</v>
      </c>
      <c r="H692" s="0" t="str">
        <f aca="false">INDEX(JE_Lines!$I$5:$I$1733,MATCH(A692,JE_Lines!$B$5:$B$1733,0))</f>
        <v>SYS_AR</v>
      </c>
      <c r="I692" s="0" t="str">
        <f aca="false">INDEX(JE_Lines!$J$5:$J$1733,MATCH(A692,JE_Lines!$B$5:$B$1733,0))</f>
        <v>System</v>
      </c>
      <c r="J692" s="0" t="str">
        <f aca="false">IF(LEN(INDEX(JE_Lines!$K$5:$K$1733,MATCH(A692,JE_Lines!$B$5:$B$1733,0)))=0,"",INDEX(JE_Lines!$K$5:$K$1733,MATCH(A692,JE_Lines!$B$5:$B$1733,0)))</f>
        <v>Sales invoice batch</v>
      </c>
      <c r="K692" s="9" t="n">
        <f aca="false">F692-G692</f>
        <v>4</v>
      </c>
      <c r="L692" s="9" t="n">
        <f aca="false">COUNTIFS(JE_Lines!$B$5:$B$1733,A692,JE_Lines!$F$5:$F$1733,"Revenue")</f>
        <v>1</v>
      </c>
      <c r="M692" s="9" t="n">
        <f aca="false">COUNTIFS(JE_Lines!$B$5:$B$1733,A692,JE_Lines!$F$5:$F$1733,"Suspense")</f>
        <v>0</v>
      </c>
      <c r="N692" s="9" t="n">
        <f aca="false">IF(ABS(E692)&gt;Parameters!$B$23,1,0)</f>
        <v>0</v>
      </c>
      <c r="O692" s="9" t="n">
        <f aca="false">IF(WEEKDAY(F692,2)&gt;5,1,0)</f>
        <v>0</v>
      </c>
      <c r="P692" s="9" t="n">
        <f aca="false">IF(K692&gt;Parameters!$B$17,1,0)</f>
        <v>0</v>
      </c>
      <c r="Q692" s="9" t="n">
        <f aca="false">IF(AND(F692&lt;=Parameters!$B$6,F692&gt;Parameters!$B$6-Parameters!$B$18),1,0)</f>
        <v>0</v>
      </c>
      <c r="R692" s="9" t="n">
        <f aca="false">IF(COUNTIF(Parameters!$A$51:$A$58,H692)=0,1,0)</f>
        <v>0</v>
      </c>
      <c r="S692" s="9" t="n">
        <f aca="false">IF(AND(I692="Manual",L692&gt;0),1,0)</f>
        <v>0</v>
      </c>
      <c r="T692" s="9" t="n">
        <f aca="false">IF(AND(C692&gt;=Parameters!$B$22,ROUND(MOD(ROUND(C692,2),Parameters!$B$21),2)=0),1,0)</f>
        <v>0</v>
      </c>
      <c r="U692" s="9" t="n">
        <f aca="false">IF(LEN(TRIM(J692))=0,1,0)</f>
        <v>0</v>
      </c>
      <c r="V692" s="9" t="n">
        <f aca="false">IF(AND(I692="Manual",C692&lt;Parameters!$B$19,C692&gt;=Parameters!$B$19*(1-Parameters!$B$20)),1,0)</f>
        <v>0</v>
      </c>
      <c r="W692" s="9" t="n">
        <f aca="false">IF(AND(I692="Manual",M692&gt;0),1,0)</f>
        <v>0</v>
      </c>
      <c r="X692" s="9" t="n">
        <f aca="false">IF(A692-A691&gt;1,1,0)</f>
        <v>0</v>
      </c>
      <c r="Y692" s="9" t="n">
        <f aca="false">N692*Parameters!$B$38+O692*Parameters!$B$39+P692*Parameters!$B$40+Q692*Parameters!$B$41+R692*Parameters!$B$42+S692*Parameters!$B$43+T692*Parameters!$B$44+U692*Parameters!$B$45+V692*Parameters!$B$46+W692*Parameters!$B$47+X692*Parameters!$B$48</f>
        <v>0</v>
      </c>
      <c r="Z692" s="0" t="str">
        <f aca="false">IF(Y692&gt;=Parameters!$B$25,"High","")</f>
        <v/>
      </c>
    </row>
    <row r="693" customFormat="false" ht="15" hidden="false" customHeight="false" outlineLevel="0" collapsed="false">
      <c r="A693" s="16" t="n">
        <v>1700</v>
      </c>
      <c r="B693" s="9" t="n">
        <f aca="false">COUNTIF(JE_Lines!$B$5:$B$1733,A693)</f>
        <v>2</v>
      </c>
      <c r="C693" s="17" t="n">
        <f aca="false">SUMIFS(JE_Lines!$G$5:$G$1733,JE_Lines!$B$5:$B$1733,A693)</f>
        <v>1609.95</v>
      </c>
      <c r="D693" s="17" t="n">
        <f aca="false">SUMIFS(JE_Lines!$H$5:$H$1733,JE_Lines!$B$5:$B$1733,A693)</f>
        <v>1609.95</v>
      </c>
      <c r="E693" s="17" t="n">
        <f aca="false">C693-D693</f>
        <v>0</v>
      </c>
      <c r="F693" s="18" t="n">
        <f aca="false">INDEX(JE_Lines!$C$5:$C$1733,MATCH(A693,JE_Lines!$B$5:$B$1733,0))</f>
        <v>45986</v>
      </c>
      <c r="G693" s="18" t="n">
        <f aca="false">INDEX(JE_Lines!$D$5:$D$1733,MATCH(A693,JE_Lines!$B$5:$B$1733,0))</f>
        <v>45983</v>
      </c>
      <c r="H693" s="0" t="str">
        <f aca="false">INDEX(JE_Lines!$I$5:$I$1733,MATCH(A693,JE_Lines!$B$5:$B$1733,0))</f>
        <v>SYS_AR</v>
      </c>
      <c r="I693" s="0" t="str">
        <f aca="false">INDEX(JE_Lines!$J$5:$J$1733,MATCH(A693,JE_Lines!$B$5:$B$1733,0))</f>
        <v>System</v>
      </c>
      <c r="J693" s="0" t="str">
        <f aca="false">IF(LEN(INDEX(JE_Lines!$K$5:$K$1733,MATCH(A693,JE_Lines!$B$5:$B$1733,0)))=0,"",INDEX(JE_Lines!$K$5:$K$1733,MATCH(A693,JE_Lines!$B$5:$B$1733,0)))</f>
        <v>Sales invoice batch</v>
      </c>
      <c r="K693" s="9" t="n">
        <f aca="false">F693-G693</f>
        <v>3</v>
      </c>
      <c r="L693" s="9" t="n">
        <f aca="false">COUNTIFS(JE_Lines!$B$5:$B$1733,A693,JE_Lines!$F$5:$F$1733,"Revenue")</f>
        <v>1</v>
      </c>
      <c r="M693" s="9" t="n">
        <f aca="false">COUNTIFS(JE_Lines!$B$5:$B$1733,A693,JE_Lines!$F$5:$F$1733,"Suspense")</f>
        <v>0</v>
      </c>
      <c r="N693" s="9" t="n">
        <f aca="false">IF(ABS(E693)&gt;Parameters!$B$23,1,0)</f>
        <v>0</v>
      </c>
      <c r="O693" s="9" t="n">
        <f aca="false">IF(WEEKDAY(F693,2)&gt;5,1,0)</f>
        <v>0</v>
      </c>
      <c r="P693" s="9" t="n">
        <f aca="false">IF(K693&gt;Parameters!$B$17,1,0)</f>
        <v>0</v>
      </c>
      <c r="Q693" s="9" t="n">
        <f aca="false">IF(AND(F693&lt;=Parameters!$B$6,F693&gt;Parameters!$B$6-Parameters!$B$18),1,0)</f>
        <v>0</v>
      </c>
      <c r="R693" s="9" t="n">
        <f aca="false">IF(COUNTIF(Parameters!$A$51:$A$58,H693)=0,1,0)</f>
        <v>0</v>
      </c>
      <c r="S693" s="9" t="n">
        <f aca="false">IF(AND(I693="Manual",L693&gt;0),1,0)</f>
        <v>0</v>
      </c>
      <c r="T693" s="9" t="n">
        <f aca="false">IF(AND(C693&gt;=Parameters!$B$22,ROUND(MOD(ROUND(C693,2),Parameters!$B$21),2)=0),1,0)</f>
        <v>0</v>
      </c>
      <c r="U693" s="9" t="n">
        <f aca="false">IF(LEN(TRIM(J693))=0,1,0)</f>
        <v>0</v>
      </c>
      <c r="V693" s="9" t="n">
        <f aca="false">IF(AND(I693="Manual",C693&lt;Parameters!$B$19,C693&gt;=Parameters!$B$19*(1-Parameters!$B$20)),1,0)</f>
        <v>0</v>
      </c>
      <c r="W693" s="9" t="n">
        <f aca="false">IF(AND(I693="Manual",M693&gt;0),1,0)</f>
        <v>0</v>
      </c>
      <c r="X693" s="9" t="n">
        <f aca="false">IF(A693-A692&gt;1,1,0)</f>
        <v>0</v>
      </c>
      <c r="Y693" s="9" t="n">
        <f aca="false">N693*Parameters!$B$38+O693*Parameters!$B$39+P693*Parameters!$B$40+Q693*Parameters!$B$41+R693*Parameters!$B$42+S693*Parameters!$B$43+T693*Parameters!$B$44+U693*Parameters!$B$45+V693*Parameters!$B$46+W693*Parameters!$B$47+X693*Parameters!$B$48</f>
        <v>0</v>
      </c>
      <c r="Z693" s="0" t="str">
        <f aca="false">IF(Y693&gt;=Parameters!$B$25,"High","")</f>
        <v/>
      </c>
    </row>
    <row r="694" customFormat="false" ht="15" hidden="false" customHeight="false" outlineLevel="0" collapsed="false">
      <c r="A694" s="16" t="n">
        <v>1701</v>
      </c>
      <c r="B694" s="9" t="n">
        <f aca="false">COUNTIF(JE_Lines!$B$5:$B$1733,A694)</f>
        <v>2</v>
      </c>
      <c r="C694" s="17" t="n">
        <f aca="false">SUMIFS(JE_Lines!$G$5:$G$1733,JE_Lines!$B$5:$B$1733,A694)</f>
        <v>21527.93</v>
      </c>
      <c r="D694" s="17" t="n">
        <f aca="false">SUMIFS(JE_Lines!$H$5:$H$1733,JE_Lines!$B$5:$B$1733,A694)</f>
        <v>21527.93</v>
      </c>
      <c r="E694" s="17" t="n">
        <f aca="false">C694-D694</f>
        <v>0</v>
      </c>
      <c r="F694" s="18" t="n">
        <f aca="false">INDEX(JE_Lines!$C$5:$C$1733,MATCH(A694,JE_Lines!$B$5:$B$1733,0))</f>
        <v>45987</v>
      </c>
      <c r="G694" s="18" t="n">
        <f aca="false">INDEX(JE_Lines!$D$5:$D$1733,MATCH(A694,JE_Lines!$B$5:$B$1733,0))</f>
        <v>45987</v>
      </c>
      <c r="H694" s="0" t="str">
        <f aca="false">INDEX(JE_Lines!$I$5:$I$1733,MATCH(A694,JE_Lines!$B$5:$B$1733,0))</f>
        <v>SYS_AR</v>
      </c>
      <c r="I694" s="0" t="str">
        <f aca="false">INDEX(JE_Lines!$J$5:$J$1733,MATCH(A694,JE_Lines!$B$5:$B$1733,0))</f>
        <v>System</v>
      </c>
      <c r="J694" s="0" t="str">
        <f aca="false">IF(LEN(INDEX(JE_Lines!$K$5:$K$1733,MATCH(A694,JE_Lines!$B$5:$B$1733,0)))=0,"",INDEX(JE_Lines!$K$5:$K$1733,MATCH(A694,JE_Lines!$B$5:$B$1733,0)))</f>
        <v>Cost of sales posting</v>
      </c>
      <c r="K694" s="9" t="n">
        <f aca="false">F694-G694</f>
        <v>0</v>
      </c>
      <c r="L694" s="9" t="n">
        <f aca="false">COUNTIFS(JE_Lines!$B$5:$B$1733,A694,JE_Lines!$F$5:$F$1733,"Revenue")</f>
        <v>0</v>
      </c>
      <c r="M694" s="9" t="n">
        <f aca="false">COUNTIFS(JE_Lines!$B$5:$B$1733,A694,JE_Lines!$F$5:$F$1733,"Suspense")</f>
        <v>0</v>
      </c>
      <c r="N694" s="9" t="n">
        <f aca="false">IF(ABS(E694)&gt;Parameters!$B$23,1,0)</f>
        <v>0</v>
      </c>
      <c r="O694" s="9" t="n">
        <f aca="false">IF(WEEKDAY(F694,2)&gt;5,1,0)</f>
        <v>0</v>
      </c>
      <c r="P694" s="9" t="n">
        <f aca="false">IF(K694&gt;Parameters!$B$17,1,0)</f>
        <v>0</v>
      </c>
      <c r="Q694" s="9" t="n">
        <f aca="false">IF(AND(F694&lt;=Parameters!$B$6,F694&gt;Parameters!$B$6-Parameters!$B$18),1,0)</f>
        <v>0</v>
      </c>
      <c r="R694" s="9" t="n">
        <f aca="false">IF(COUNTIF(Parameters!$A$51:$A$58,H694)=0,1,0)</f>
        <v>0</v>
      </c>
      <c r="S694" s="9" t="n">
        <f aca="false">IF(AND(I694="Manual",L694&gt;0),1,0)</f>
        <v>0</v>
      </c>
      <c r="T694" s="9" t="n">
        <f aca="false">IF(AND(C694&gt;=Parameters!$B$22,ROUND(MOD(ROUND(C694,2),Parameters!$B$21),2)=0),1,0)</f>
        <v>0</v>
      </c>
      <c r="U694" s="9" t="n">
        <f aca="false">IF(LEN(TRIM(J694))=0,1,0)</f>
        <v>0</v>
      </c>
      <c r="V694" s="9" t="n">
        <f aca="false">IF(AND(I694="Manual",C694&lt;Parameters!$B$19,C694&gt;=Parameters!$B$19*(1-Parameters!$B$20)),1,0)</f>
        <v>0</v>
      </c>
      <c r="W694" s="9" t="n">
        <f aca="false">IF(AND(I694="Manual",M694&gt;0),1,0)</f>
        <v>0</v>
      </c>
      <c r="X694" s="9" t="n">
        <f aca="false">IF(A694-A693&gt;1,1,0)</f>
        <v>0</v>
      </c>
      <c r="Y694" s="9" t="n">
        <f aca="false">N694*Parameters!$B$38+O694*Parameters!$B$39+P694*Parameters!$B$40+Q694*Parameters!$B$41+R694*Parameters!$B$42+S694*Parameters!$B$43+T694*Parameters!$B$44+U694*Parameters!$B$45+V694*Parameters!$B$46+W694*Parameters!$B$47+X694*Parameters!$B$48</f>
        <v>0</v>
      </c>
      <c r="Z694" s="0" t="str">
        <f aca="false">IF(Y694&gt;=Parameters!$B$25,"High","")</f>
        <v/>
      </c>
    </row>
    <row r="695" customFormat="false" ht="15" hidden="false" customHeight="false" outlineLevel="0" collapsed="false">
      <c r="A695" s="16" t="n">
        <v>1702</v>
      </c>
      <c r="B695" s="9" t="n">
        <f aca="false">COUNTIF(JE_Lines!$B$5:$B$1733,A695)</f>
        <v>2</v>
      </c>
      <c r="C695" s="17" t="n">
        <f aca="false">SUMIFS(JE_Lines!$G$5:$G$1733,JE_Lines!$B$5:$B$1733,A695)</f>
        <v>54053.59</v>
      </c>
      <c r="D695" s="17" t="n">
        <f aca="false">SUMIFS(JE_Lines!$H$5:$H$1733,JE_Lines!$B$5:$B$1733,A695)</f>
        <v>54053.59</v>
      </c>
      <c r="E695" s="17" t="n">
        <f aca="false">C695-D695</f>
        <v>0</v>
      </c>
      <c r="F695" s="18" t="n">
        <f aca="false">INDEX(JE_Lines!$C$5:$C$1733,MATCH(A695,JE_Lines!$B$5:$B$1733,0))</f>
        <v>45987</v>
      </c>
      <c r="G695" s="18" t="n">
        <f aca="false">INDEX(JE_Lines!$D$5:$D$1733,MATCH(A695,JE_Lines!$B$5:$B$1733,0))</f>
        <v>45983</v>
      </c>
      <c r="H695" s="0" t="str">
        <f aca="false">INDEX(JE_Lines!$I$5:$I$1733,MATCH(A695,JE_Lines!$B$5:$B$1733,0))</f>
        <v>SYS_AP</v>
      </c>
      <c r="I695" s="0" t="str">
        <f aca="false">INDEX(JE_Lines!$J$5:$J$1733,MATCH(A695,JE_Lines!$B$5:$B$1733,0))</f>
        <v>System</v>
      </c>
      <c r="J695" s="0" t="str">
        <f aca="false">IF(LEN(INDEX(JE_Lines!$K$5:$K$1733,MATCH(A695,JE_Lines!$B$5:$B$1733,0)))=0,"",INDEX(JE_Lines!$K$5:$K$1733,MATCH(A695,JE_Lines!$B$5:$B$1733,0)))</f>
        <v>Supplier invoices</v>
      </c>
      <c r="K695" s="9" t="n">
        <f aca="false">F695-G695</f>
        <v>4</v>
      </c>
      <c r="L695" s="9" t="n">
        <f aca="false">COUNTIFS(JE_Lines!$B$5:$B$1733,A695,JE_Lines!$F$5:$F$1733,"Revenue")</f>
        <v>0</v>
      </c>
      <c r="M695" s="9" t="n">
        <f aca="false">COUNTIFS(JE_Lines!$B$5:$B$1733,A695,JE_Lines!$F$5:$F$1733,"Suspense")</f>
        <v>0</v>
      </c>
      <c r="N695" s="9" t="n">
        <f aca="false">IF(ABS(E695)&gt;Parameters!$B$23,1,0)</f>
        <v>0</v>
      </c>
      <c r="O695" s="9" t="n">
        <f aca="false">IF(WEEKDAY(F695,2)&gt;5,1,0)</f>
        <v>0</v>
      </c>
      <c r="P695" s="9" t="n">
        <f aca="false">IF(K695&gt;Parameters!$B$17,1,0)</f>
        <v>0</v>
      </c>
      <c r="Q695" s="9" t="n">
        <f aca="false">IF(AND(F695&lt;=Parameters!$B$6,F695&gt;Parameters!$B$6-Parameters!$B$18),1,0)</f>
        <v>0</v>
      </c>
      <c r="R695" s="9" t="n">
        <f aca="false">IF(COUNTIF(Parameters!$A$51:$A$58,H695)=0,1,0)</f>
        <v>0</v>
      </c>
      <c r="S695" s="9" t="n">
        <f aca="false">IF(AND(I695="Manual",L695&gt;0),1,0)</f>
        <v>0</v>
      </c>
      <c r="T695" s="9" t="n">
        <f aca="false">IF(AND(C695&gt;=Parameters!$B$22,ROUND(MOD(ROUND(C695,2),Parameters!$B$21),2)=0),1,0)</f>
        <v>0</v>
      </c>
      <c r="U695" s="9" t="n">
        <f aca="false">IF(LEN(TRIM(J695))=0,1,0)</f>
        <v>0</v>
      </c>
      <c r="V695" s="9" t="n">
        <f aca="false">IF(AND(I695="Manual",C695&lt;Parameters!$B$19,C695&gt;=Parameters!$B$19*(1-Parameters!$B$20)),1,0)</f>
        <v>0</v>
      </c>
      <c r="W695" s="9" t="n">
        <f aca="false">IF(AND(I695="Manual",M695&gt;0),1,0)</f>
        <v>0</v>
      </c>
      <c r="X695" s="9" t="n">
        <f aca="false">IF(A695-A694&gt;1,1,0)</f>
        <v>0</v>
      </c>
      <c r="Y695" s="9" t="n">
        <f aca="false">N695*Parameters!$B$38+O695*Parameters!$B$39+P695*Parameters!$B$40+Q695*Parameters!$B$41+R695*Parameters!$B$42+S695*Parameters!$B$43+T695*Parameters!$B$44+U695*Parameters!$B$45+V695*Parameters!$B$46+W695*Parameters!$B$47+X695*Parameters!$B$48</f>
        <v>0</v>
      </c>
      <c r="Z695" s="0" t="str">
        <f aca="false">IF(Y695&gt;=Parameters!$B$25,"High","")</f>
        <v/>
      </c>
    </row>
    <row r="696" customFormat="false" ht="15" hidden="false" customHeight="false" outlineLevel="0" collapsed="false">
      <c r="A696" s="16" t="n">
        <v>1703</v>
      </c>
      <c r="B696" s="9" t="n">
        <f aca="false">COUNTIF(JE_Lines!$B$5:$B$1733,A696)</f>
        <v>3</v>
      </c>
      <c r="C696" s="17" t="n">
        <f aca="false">SUMIFS(JE_Lines!$G$5:$G$1733,JE_Lines!$B$5:$B$1733,A696)</f>
        <v>3134.64</v>
      </c>
      <c r="D696" s="17" t="n">
        <f aca="false">SUMIFS(JE_Lines!$H$5:$H$1733,JE_Lines!$B$5:$B$1733,A696)</f>
        <v>3134.64</v>
      </c>
      <c r="E696" s="17" t="n">
        <f aca="false">C696-D696</f>
        <v>0</v>
      </c>
      <c r="F696" s="18" t="n">
        <f aca="false">INDEX(JE_Lines!$C$5:$C$1733,MATCH(A696,JE_Lines!$B$5:$B$1733,0))</f>
        <v>45987</v>
      </c>
      <c r="G696" s="18" t="n">
        <f aca="false">INDEX(JE_Lines!$D$5:$D$1733,MATCH(A696,JE_Lines!$B$5:$B$1733,0))</f>
        <v>45983</v>
      </c>
      <c r="H696" s="0" t="str">
        <f aca="false">INDEX(JE_Lines!$I$5:$I$1733,MATCH(A696,JE_Lines!$B$5:$B$1733,0))</f>
        <v>SYS_AR</v>
      </c>
      <c r="I696" s="0" t="str">
        <f aca="false">INDEX(JE_Lines!$J$5:$J$1733,MATCH(A696,JE_Lines!$B$5:$B$1733,0))</f>
        <v>System</v>
      </c>
      <c r="J696" s="0" t="str">
        <f aca="false">IF(LEN(INDEX(JE_Lines!$K$5:$K$1733,MATCH(A696,JE_Lines!$B$5:$B$1733,0)))=0,"",INDEX(JE_Lines!$K$5:$K$1733,MATCH(A696,JE_Lines!$B$5:$B$1733,0)))</f>
        <v>Customer receipts</v>
      </c>
      <c r="K696" s="9" t="n">
        <f aca="false">F696-G696</f>
        <v>4</v>
      </c>
      <c r="L696" s="9" t="n">
        <f aca="false">COUNTIFS(JE_Lines!$B$5:$B$1733,A696,JE_Lines!$F$5:$F$1733,"Revenue")</f>
        <v>0</v>
      </c>
      <c r="M696" s="9" t="n">
        <f aca="false">COUNTIFS(JE_Lines!$B$5:$B$1733,A696,JE_Lines!$F$5:$F$1733,"Suspense")</f>
        <v>0</v>
      </c>
      <c r="N696" s="9" t="n">
        <f aca="false">IF(ABS(E696)&gt;Parameters!$B$23,1,0)</f>
        <v>0</v>
      </c>
      <c r="O696" s="9" t="n">
        <f aca="false">IF(WEEKDAY(F696,2)&gt;5,1,0)</f>
        <v>0</v>
      </c>
      <c r="P696" s="9" t="n">
        <f aca="false">IF(K696&gt;Parameters!$B$17,1,0)</f>
        <v>0</v>
      </c>
      <c r="Q696" s="9" t="n">
        <f aca="false">IF(AND(F696&lt;=Parameters!$B$6,F696&gt;Parameters!$B$6-Parameters!$B$18),1,0)</f>
        <v>0</v>
      </c>
      <c r="R696" s="9" t="n">
        <f aca="false">IF(COUNTIF(Parameters!$A$51:$A$58,H696)=0,1,0)</f>
        <v>0</v>
      </c>
      <c r="S696" s="9" t="n">
        <f aca="false">IF(AND(I696="Manual",L696&gt;0),1,0)</f>
        <v>0</v>
      </c>
      <c r="T696" s="9" t="n">
        <f aca="false">IF(AND(C696&gt;=Parameters!$B$22,ROUND(MOD(ROUND(C696,2),Parameters!$B$21),2)=0),1,0)</f>
        <v>0</v>
      </c>
      <c r="U696" s="9" t="n">
        <f aca="false">IF(LEN(TRIM(J696))=0,1,0)</f>
        <v>0</v>
      </c>
      <c r="V696" s="9" t="n">
        <f aca="false">IF(AND(I696="Manual",C696&lt;Parameters!$B$19,C696&gt;=Parameters!$B$19*(1-Parameters!$B$20)),1,0)</f>
        <v>0</v>
      </c>
      <c r="W696" s="9" t="n">
        <f aca="false">IF(AND(I696="Manual",M696&gt;0),1,0)</f>
        <v>0</v>
      </c>
      <c r="X696" s="9" t="n">
        <f aca="false">IF(A696-A695&gt;1,1,0)</f>
        <v>0</v>
      </c>
      <c r="Y696" s="9" t="n">
        <f aca="false">N696*Parameters!$B$38+O696*Parameters!$B$39+P696*Parameters!$B$40+Q696*Parameters!$B$41+R696*Parameters!$B$42+S696*Parameters!$B$43+T696*Parameters!$B$44+U696*Parameters!$B$45+V696*Parameters!$B$46+W696*Parameters!$B$47+X696*Parameters!$B$48</f>
        <v>0</v>
      </c>
      <c r="Z696" s="0" t="str">
        <f aca="false">IF(Y696&gt;=Parameters!$B$25,"High","")</f>
        <v/>
      </c>
    </row>
    <row r="697" customFormat="false" ht="15" hidden="false" customHeight="false" outlineLevel="0" collapsed="false">
      <c r="A697" s="16" t="n">
        <v>1704</v>
      </c>
      <c r="B697" s="9" t="n">
        <f aca="false">COUNTIF(JE_Lines!$B$5:$B$1733,A697)</f>
        <v>3</v>
      </c>
      <c r="C697" s="17" t="n">
        <f aca="false">SUMIFS(JE_Lines!$G$5:$G$1733,JE_Lines!$B$5:$B$1733,A697)</f>
        <v>93119.73</v>
      </c>
      <c r="D697" s="17" t="n">
        <f aca="false">SUMIFS(JE_Lines!$H$5:$H$1733,JE_Lines!$B$5:$B$1733,A697)</f>
        <v>93119.73</v>
      </c>
      <c r="E697" s="17" t="n">
        <f aca="false">C697-D697</f>
        <v>0</v>
      </c>
      <c r="F697" s="18" t="n">
        <f aca="false">INDEX(JE_Lines!$C$5:$C$1733,MATCH(A697,JE_Lines!$B$5:$B$1733,0))</f>
        <v>45987</v>
      </c>
      <c r="G697" s="18" t="n">
        <f aca="false">INDEX(JE_Lines!$D$5:$D$1733,MATCH(A697,JE_Lines!$B$5:$B$1733,0))</f>
        <v>45986</v>
      </c>
      <c r="H697" s="0" t="str">
        <f aca="false">INDEX(JE_Lines!$I$5:$I$1733,MATCH(A697,JE_Lines!$B$5:$B$1733,0))</f>
        <v>SYS_PAY</v>
      </c>
      <c r="I697" s="0" t="str">
        <f aca="false">INDEX(JE_Lines!$J$5:$J$1733,MATCH(A697,JE_Lines!$B$5:$B$1733,0))</f>
        <v>System</v>
      </c>
      <c r="J697" s="0" t="str">
        <f aca="false">IF(LEN(INDEX(JE_Lines!$K$5:$K$1733,MATCH(A697,JE_Lines!$B$5:$B$1733,0)))=0,"",INDEX(JE_Lines!$K$5:$K$1733,MATCH(A697,JE_Lines!$B$5:$B$1733,0)))</f>
        <v>Supplier payments</v>
      </c>
      <c r="K697" s="9" t="n">
        <f aca="false">F697-G697</f>
        <v>1</v>
      </c>
      <c r="L697" s="9" t="n">
        <f aca="false">COUNTIFS(JE_Lines!$B$5:$B$1733,A697,JE_Lines!$F$5:$F$1733,"Revenue")</f>
        <v>0</v>
      </c>
      <c r="M697" s="9" t="n">
        <f aca="false">COUNTIFS(JE_Lines!$B$5:$B$1733,A697,JE_Lines!$F$5:$F$1733,"Suspense")</f>
        <v>0</v>
      </c>
      <c r="N697" s="9" t="n">
        <f aca="false">IF(ABS(E697)&gt;Parameters!$B$23,1,0)</f>
        <v>0</v>
      </c>
      <c r="O697" s="9" t="n">
        <f aca="false">IF(WEEKDAY(F697,2)&gt;5,1,0)</f>
        <v>0</v>
      </c>
      <c r="P697" s="9" t="n">
        <f aca="false">IF(K697&gt;Parameters!$B$17,1,0)</f>
        <v>0</v>
      </c>
      <c r="Q697" s="9" t="n">
        <f aca="false">IF(AND(F697&lt;=Parameters!$B$6,F697&gt;Parameters!$B$6-Parameters!$B$18),1,0)</f>
        <v>0</v>
      </c>
      <c r="R697" s="9" t="n">
        <f aca="false">IF(COUNTIF(Parameters!$A$51:$A$58,H697)=0,1,0)</f>
        <v>0</v>
      </c>
      <c r="S697" s="9" t="n">
        <f aca="false">IF(AND(I697="Manual",L697&gt;0),1,0)</f>
        <v>0</v>
      </c>
      <c r="T697" s="9" t="n">
        <f aca="false">IF(AND(C697&gt;=Parameters!$B$22,ROUND(MOD(ROUND(C697,2),Parameters!$B$21),2)=0),1,0)</f>
        <v>0</v>
      </c>
      <c r="U697" s="9" t="n">
        <f aca="false">IF(LEN(TRIM(J697))=0,1,0)</f>
        <v>0</v>
      </c>
      <c r="V697" s="9" t="n">
        <f aca="false">IF(AND(I697="Manual",C697&lt;Parameters!$B$19,C697&gt;=Parameters!$B$19*(1-Parameters!$B$20)),1,0)</f>
        <v>0</v>
      </c>
      <c r="W697" s="9" t="n">
        <f aca="false">IF(AND(I697="Manual",M697&gt;0),1,0)</f>
        <v>0</v>
      </c>
      <c r="X697" s="9" t="n">
        <f aca="false">IF(A697-A696&gt;1,1,0)</f>
        <v>0</v>
      </c>
      <c r="Y697" s="9" t="n">
        <f aca="false">N697*Parameters!$B$38+O697*Parameters!$B$39+P697*Parameters!$B$40+Q697*Parameters!$B$41+R697*Parameters!$B$42+S697*Parameters!$B$43+T697*Parameters!$B$44+U697*Parameters!$B$45+V697*Parameters!$B$46+W697*Parameters!$B$47+X697*Parameters!$B$48</f>
        <v>0</v>
      </c>
      <c r="Z697" s="0" t="str">
        <f aca="false">IF(Y697&gt;=Parameters!$B$25,"High","")</f>
        <v/>
      </c>
    </row>
    <row r="698" customFormat="false" ht="15" hidden="false" customHeight="false" outlineLevel="0" collapsed="false">
      <c r="A698" s="16" t="n">
        <v>1705</v>
      </c>
      <c r="B698" s="9" t="n">
        <f aca="false">COUNTIF(JE_Lines!$B$5:$B$1733,A698)</f>
        <v>2</v>
      </c>
      <c r="C698" s="17" t="n">
        <f aca="false">SUMIFS(JE_Lines!$G$5:$G$1733,JE_Lines!$B$5:$B$1733,A698)</f>
        <v>21993.19</v>
      </c>
      <c r="D698" s="17" t="n">
        <f aca="false">SUMIFS(JE_Lines!$H$5:$H$1733,JE_Lines!$B$5:$B$1733,A698)</f>
        <v>21993.19</v>
      </c>
      <c r="E698" s="17" t="n">
        <f aca="false">C698-D698</f>
        <v>0</v>
      </c>
      <c r="F698" s="18" t="n">
        <f aca="false">INDEX(JE_Lines!$C$5:$C$1733,MATCH(A698,JE_Lines!$B$5:$B$1733,0))</f>
        <v>45987</v>
      </c>
      <c r="G698" s="18" t="n">
        <f aca="false">INDEX(JE_Lines!$D$5:$D$1733,MATCH(A698,JE_Lines!$B$5:$B$1733,0))</f>
        <v>45984</v>
      </c>
      <c r="H698" s="0" t="str">
        <f aca="false">INDEX(JE_Lines!$I$5:$I$1733,MATCH(A698,JE_Lines!$B$5:$B$1733,0))</f>
        <v>SYS_AR</v>
      </c>
      <c r="I698" s="0" t="str">
        <f aca="false">INDEX(JE_Lines!$J$5:$J$1733,MATCH(A698,JE_Lines!$B$5:$B$1733,0))</f>
        <v>System</v>
      </c>
      <c r="J698" s="0" t="str">
        <f aca="false">IF(LEN(INDEX(JE_Lines!$K$5:$K$1733,MATCH(A698,JE_Lines!$B$5:$B$1733,0)))=0,"",INDEX(JE_Lines!$K$5:$K$1733,MATCH(A698,JE_Lines!$B$5:$B$1733,0)))</f>
        <v>Cost of sales posting</v>
      </c>
      <c r="K698" s="9" t="n">
        <f aca="false">F698-G698</f>
        <v>3</v>
      </c>
      <c r="L698" s="9" t="n">
        <f aca="false">COUNTIFS(JE_Lines!$B$5:$B$1733,A698,JE_Lines!$F$5:$F$1733,"Revenue")</f>
        <v>0</v>
      </c>
      <c r="M698" s="9" t="n">
        <f aca="false">COUNTIFS(JE_Lines!$B$5:$B$1733,A698,JE_Lines!$F$5:$F$1733,"Suspense")</f>
        <v>0</v>
      </c>
      <c r="N698" s="9" t="n">
        <f aca="false">IF(ABS(E698)&gt;Parameters!$B$23,1,0)</f>
        <v>0</v>
      </c>
      <c r="O698" s="9" t="n">
        <f aca="false">IF(WEEKDAY(F698,2)&gt;5,1,0)</f>
        <v>0</v>
      </c>
      <c r="P698" s="9" t="n">
        <f aca="false">IF(K698&gt;Parameters!$B$17,1,0)</f>
        <v>0</v>
      </c>
      <c r="Q698" s="9" t="n">
        <f aca="false">IF(AND(F698&lt;=Parameters!$B$6,F698&gt;Parameters!$B$6-Parameters!$B$18),1,0)</f>
        <v>0</v>
      </c>
      <c r="R698" s="9" t="n">
        <f aca="false">IF(COUNTIF(Parameters!$A$51:$A$58,H698)=0,1,0)</f>
        <v>0</v>
      </c>
      <c r="S698" s="9" t="n">
        <f aca="false">IF(AND(I698="Manual",L698&gt;0),1,0)</f>
        <v>0</v>
      </c>
      <c r="T698" s="9" t="n">
        <f aca="false">IF(AND(C698&gt;=Parameters!$B$22,ROUND(MOD(ROUND(C698,2),Parameters!$B$21),2)=0),1,0)</f>
        <v>0</v>
      </c>
      <c r="U698" s="9" t="n">
        <f aca="false">IF(LEN(TRIM(J698))=0,1,0)</f>
        <v>0</v>
      </c>
      <c r="V698" s="9" t="n">
        <f aca="false">IF(AND(I698="Manual",C698&lt;Parameters!$B$19,C698&gt;=Parameters!$B$19*(1-Parameters!$B$20)),1,0)</f>
        <v>0</v>
      </c>
      <c r="W698" s="9" t="n">
        <f aca="false">IF(AND(I698="Manual",M698&gt;0),1,0)</f>
        <v>0</v>
      </c>
      <c r="X698" s="9" t="n">
        <f aca="false">IF(A698-A697&gt;1,1,0)</f>
        <v>0</v>
      </c>
      <c r="Y698" s="9" t="n">
        <f aca="false">N698*Parameters!$B$38+O698*Parameters!$B$39+P698*Parameters!$B$40+Q698*Parameters!$B$41+R698*Parameters!$B$42+S698*Parameters!$B$43+T698*Parameters!$B$44+U698*Parameters!$B$45+V698*Parameters!$B$46+W698*Parameters!$B$47+X698*Parameters!$B$48</f>
        <v>0</v>
      </c>
      <c r="Z698" s="0" t="str">
        <f aca="false">IF(Y698&gt;=Parameters!$B$25,"High","")</f>
        <v/>
      </c>
    </row>
    <row r="699" customFormat="false" ht="15" hidden="false" customHeight="false" outlineLevel="0" collapsed="false">
      <c r="A699" s="16" t="n">
        <v>1706</v>
      </c>
      <c r="B699" s="9" t="n">
        <f aca="false">COUNTIF(JE_Lines!$B$5:$B$1733,A699)</f>
        <v>2</v>
      </c>
      <c r="C699" s="17" t="n">
        <f aca="false">SUMIFS(JE_Lines!$G$5:$G$1733,JE_Lines!$B$5:$B$1733,A699)</f>
        <v>3144.61</v>
      </c>
      <c r="D699" s="17" t="n">
        <f aca="false">SUMIFS(JE_Lines!$H$5:$H$1733,JE_Lines!$B$5:$B$1733,A699)</f>
        <v>3144.61</v>
      </c>
      <c r="E699" s="17" t="n">
        <f aca="false">C699-D699</f>
        <v>0</v>
      </c>
      <c r="F699" s="18" t="n">
        <f aca="false">INDEX(JE_Lines!$C$5:$C$1733,MATCH(A699,JE_Lines!$B$5:$B$1733,0))</f>
        <v>45988</v>
      </c>
      <c r="G699" s="18" t="n">
        <f aca="false">INDEX(JE_Lines!$D$5:$D$1733,MATCH(A699,JE_Lines!$B$5:$B$1733,0))</f>
        <v>45987</v>
      </c>
      <c r="H699" s="0" t="str">
        <f aca="false">INDEX(JE_Lines!$I$5:$I$1733,MATCH(A699,JE_Lines!$B$5:$B$1733,0))</f>
        <v>SYS_AR</v>
      </c>
      <c r="I699" s="0" t="str">
        <f aca="false">INDEX(JE_Lines!$J$5:$J$1733,MATCH(A699,JE_Lines!$B$5:$B$1733,0))</f>
        <v>System</v>
      </c>
      <c r="J699" s="0" t="str">
        <f aca="false">IF(LEN(INDEX(JE_Lines!$K$5:$K$1733,MATCH(A699,JE_Lines!$B$5:$B$1733,0)))=0,"",INDEX(JE_Lines!$K$5:$K$1733,MATCH(A699,JE_Lines!$B$5:$B$1733,0)))</f>
        <v>Customer receipts</v>
      </c>
      <c r="K699" s="9" t="n">
        <f aca="false">F699-G699</f>
        <v>1</v>
      </c>
      <c r="L699" s="9" t="n">
        <f aca="false">COUNTIFS(JE_Lines!$B$5:$B$1733,A699,JE_Lines!$F$5:$F$1733,"Revenue")</f>
        <v>0</v>
      </c>
      <c r="M699" s="9" t="n">
        <f aca="false">COUNTIFS(JE_Lines!$B$5:$B$1733,A699,JE_Lines!$F$5:$F$1733,"Suspense")</f>
        <v>0</v>
      </c>
      <c r="N699" s="9" t="n">
        <f aca="false">IF(ABS(E699)&gt;Parameters!$B$23,1,0)</f>
        <v>0</v>
      </c>
      <c r="O699" s="9" t="n">
        <f aca="false">IF(WEEKDAY(F699,2)&gt;5,1,0)</f>
        <v>0</v>
      </c>
      <c r="P699" s="9" t="n">
        <f aca="false">IF(K699&gt;Parameters!$B$17,1,0)</f>
        <v>0</v>
      </c>
      <c r="Q699" s="9" t="n">
        <f aca="false">IF(AND(F699&lt;=Parameters!$B$6,F699&gt;Parameters!$B$6-Parameters!$B$18),1,0)</f>
        <v>0</v>
      </c>
      <c r="R699" s="9" t="n">
        <f aca="false">IF(COUNTIF(Parameters!$A$51:$A$58,H699)=0,1,0)</f>
        <v>0</v>
      </c>
      <c r="S699" s="9" t="n">
        <f aca="false">IF(AND(I699="Manual",L699&gt;0),1,0)</f>
        <v>0</v>
      </c>
      <c r="T699" s="9" t="n">
        <f aca="false">IF(AND(C699&gt;=Parameters!$B$22,ROUND(MOD(ROUND(C699,2),Parameters!$B$21),2)=0),1,0)</f>
        <v>0</v>
      </c>
      <c r="U699" s="9" t="n">
        <f aca="false">IF(LEN(TRIM(J699))=0,1,0)</f>
        <v>0</v>
      </c>
      <c r="V699" s="9" t="n">
        <f aca="false">IF(AND(I699="Manual",C699&lt;Parameters!$B$19,C699&gt;=Parameters!$B$19*(1-Parameters!$B$20)),1,0)</f>
        <v>0</v>
      </c>
      <c r="W699" s="9" t="n">
        <f aca="false">IF(AND(I699="Manual",M699&gt;0),1,0)</f>
        <v>0</v>
      </c>
      <c r="X699" s="9" t="n">
        <f aca="false">IF(A699-A698&gt;1,1,0)</f>
        <v>0</v>
      </c>
      <c r="Y699" s="9" t="n">
        <f aca="false">N699*Parameters!$B$38+O699*Parameters!$B$39+P699*Parameters!$B$40+Q699*Parameters!$B$41+R699*Parameters!$B$42+S699*Parameters!$B$43+T699*Parameters!$B$44+U699*Parameters!$B$45+V699*Parameters!$B$46+W699*Parameters!$B$47+X699*Parameters!$B$48</f>
        <v>0</v>
      </c>
      <c r="Z699" s="0" t="str">
        <f aca="false">IF(Y699&gt;=Parameters!$B$25,"High","")</f>
        <v/>
      </c>
    </row>
    <row r="700" customFormat="false" ht="15" hidden="false" customHeight="false" outlineLevel="0" collapsed="false">
      <c r="A700" s="16" t="n">
        <v>1707</v>
      </c>
      <c r="B700" s="9" t="n">
        <f aca="false">COUNTIF(JE_Lines!$B$5:$B$1733,A700)</f>
        <v>2</v>
      </c>
      <c r="C700" s="17" t="n">
        <f aca="false">SUMIFS(JE_Lines!$G$5:$G$1733,JE_Lines!$B$5:$B$1733,A700)</f>
        <v>29167.64</v>
      </c>
      <c r="D700" s="17" t="n">
        <f aca="false">SUMIFS(JE_Lines!$H$5:$H$1733,JE_Lines!$B$5:$B$1733,A700)</f>
        <v>29167.64</v>
      </c>
      <c r="E700" s="17" t="n">
        <f aca="false">C700-D700</f>
        <v>0</v>
      </c>
      <c r="F700" s="18" t="n">
        <f aca="false">INDEX(JE_Lines!$C$5:$C$1733,MATCH(A700,JE_Lines!$B$5:$B$1733,0))</f>
        <v>45988</v>
      </c>
      <c r="G700" s="18" t="n">
        <f aca="false">INDEX(JE_Lines!$D$5:$D$1733,MATCH(A700,JE_Lines!$B$5:$B$1733,0))</f>
        <v>45984</v>
      </c>
      <c r="H700" s="0" t="str">
        <f aca="false">INDEX(JE_Lines!$I$5:$I$1733,MATCH(A700,JE_Lines!$B$5:$B$1733,0))</f>
        <v>SYS_AR</v>
      </c>
      <c r="I700" s="0" t="str">
        <f aca="false">INDEX(JE_Lines!$J$5:$J$1733,MATCH(A700,JE_Lines!$B$5:$B$1733,0))</f>
        <v>System</v>
      </c>
      <c r="J700" s="0" t="str">
        <f aca="false">IF(LEN(INDEX(JE_Lines!$K$5:$K$1733,MATCH(A700,JE_Lines!$B$5:$B$1733,0)))=0,"",INDEX(JE_Lines!$K$5:$K$1733,MATCH(A700,JE_Lines!$B$5:$B$1733,0)))</f>
        <v>Customer receipts</v>
      </c>
      <c r="K700" s="9" t="n">
        <f aca="false">F700-G700</f>
        <v>4</v>
      </c>
      <c r="L700" s="9" t="n">
        <f aca="false">COUNTIFS(JE_Lines!$B$5:$B$1733,A700,JE_Lines!$F$5:$F$1733,"Revenue")</f>
        <v>0</v>
      </c>
      <c r="M700" s="9" t="n">
        <f aca="false">COUNTIFS(JE_Lines!$B$5:$B$1733,A700,JE_Lines!$F$5:$F$1733,"Suspense")</f>
        <v>0</v>
      </c>
      <c r="N700" s="9" t="n">
        <f aca="false">IF(ABS(E700)&gt;Parameters!$B$23,1,0)</f>
        <v>0</v>
      </c>
      <c r="O700" s="9" t="n">
        <f aca="false">IF(WEEKDAY(F700,2)&gt;5,1,0)</f>
        <v>0</v>
      </c>
      <c r="P700" s="9" t="n">
        <f aca="false">IF(K700&gt;Parameters!$B$17,1,0)</f>
        <v>0</v>
      </c>
      <c r="Q700" s="9" t="n">
        <f aca="false">IF(AND(F700&lt;=Parameters!$B$6,F700&gt;Parameters!$B$6-Parameters!$B$18),1,0)</f>
        <v>0</v>
      </c>
      <c r="R700" s="9" t="n">
        <f aca="false">IF(COUNTIF(Parameters!$A$51:$A$58,H700)=0,1,0)</f>
        <v>0</v>
      </c>
      <c r="S700" s="9" t="n">
        <f aca="false">IF(AND(I700="Manual",L700&gt;0),1,0)</f>
        <v>0</v>
      </c>
      <c r="T700" s="9" t="n">
        <f aca="false">IF(AND(C700&gt;=Parameters!$B$22,ROUND(MOD(ROUND(C700,2),Parameters!$B$21),2)=0),1,0)</f>
        <v>0</v>
      </c>
      <c r="U700" s="9" t="n">
        <f aca="false">IF(LEN(TRIM(J700))=0,1,0)</f>
        <v>0</v>
      </c>
      <c r="V700" s="9" t="n">
        <f aca="false">IF(AND(I700="Manual",C700&lt;Parameters!$B$19,C700&gt;=Parameters!$B$19*(1-Parameters!$B$20)),1,0)</f>
        <v>0</v>
      </c>
      <c r="W700" s="9" t="n">
        <f aca="false">IF(AND(I700="Manual",M700&gt;0),1,0)</f>
        <v>0</v>
      </c>
      <c r="X700" s="9" t="n">
        <f aca="false">IF(A700-A699&gt;1,1,0)</f>
        <v>0</v>
      </c>
      <c r="Y700" s="9" t="n">
        <f aca="false">N700*Parameters!$B$38+O700*Parameters!$B$39+P700*Parameters!$B$40+Q700*Parameters!$B$41+R700*Parameters!$B$42+S700*Parameters!$B$43+T700*Parameters!$B$44+U700*Parameters!$B$45+V700*Parameters!$B$46+W700*Parameters!$B$47+X700*Parameters!$B$48</f>
        <v>0</v>
      </c>
      <c r="Z700" s="0" t="str">
        <f aca="false">IF(Y700&gt;=Parameters!$B$25,"High","")</f>
        <v/>
      </c>
    </row>
    <row r="701" customFormat="false" ht="15" hidden="false" customHeight="false" outlineLevel="0" collapsed="false">
      <c r="A701" s="16" t="n">
        <v>1708</v>
      </c>
      <c r="B701" s="9" t="n">
        <f aca="false">COUNTIF(JE_Lines!$B$5:$B$1733,A701)</f>
        <v>2</v>
      </c>
      <c r="C701" s="17" t="n">
        <f aca="false">SUMIFS(JE_Lines!$G$5:$G$1733,JE_Lines!$B$5:$B$1733,A701)</f>
        <v>18667.97</v>
      </c>
      <c r="D701" s="17" t="n">
        <f aca="false">SUMIFS(JE_Lines!$H$5:$H$1733,JE_Lines!$B$5:$B$1733,A701)</f>
        <v>18667.97</v>
      </c>
      <c r="E701" s="17" t="n">
        <f aca="false">C701-D701</f>
        <v>0</v>
      </c>
      <c r="F701" s="18" t="n">
        <f aca="false">INDEX(JE_Lines!$C$5:$C$1733,MATCH(A701,JE_Lines!$B$5:$B$1733,0))</f>
        <v>45988</v>
      </c>
      <c r="G701" s="18" t="n">
        <f aca="false">INDEX(JE_Lines!$D$5:$D$1733,MATCH(A701,JE_Lines!$B$5:$B$1733,0))</f>
        <v>45986</v>
      </c>
      <c r="H701" s="0" t="str">
        <f aca="false">INDEX(JE_Lines!$I$5:$I$1733,MATCH(A701,JE_Lines!$B$5:$B$1733,0))</f>
        <v>SYS_AR</v>
      </c>
      <c r="I701" s="0" t="str">
        <f aca="false">INDEX(JE_Lines!$J$5:$J$1733,MATCH(A701,JE_Lines!$B$5:$B$1733,0))</f>
        <v>System</v>
      </c>
      <c r="J701" s="0" t="str">
        <f aca="false">IF(LEN(INDEX(JE_Lines!$K$5:$K$1733,MATCH(A701,JE_Lines!$B$5:$B$1733,0)))=0,"",INDEX(JE_Lines!$K$5:$K$1733,MATCH(A701,JE_Lines!$B$5:$B$1733,0)))</f>
        <v>Sales invoice batch</v>
      </c>
      <c r="K701" s="9" t="n">
        <f aca="false">F701-G701</f>
        <v>2</v>
      </c>
      <c r="L701" s="9" t="n">
        <f aca="false">COUNTIFS(JE_Lines!$B$5:$B$1733,A701,JE_Lines!$F$5:$F$1733,"Revenue")</f>
        <v>1</v>
      </c>
      <c r="M701" s="9" t="n">
        <f aca="false">COUNTIFS(JE_Lines!$B$5:$B$1733,A701,JE_Lines!$F$5:$F$1733,"Suspense")</f>
        <v>0</v>
      </c>
      <c r="N701" s="9" t="n">
        <f aca="false">IF(ABS(E701)&gt;Parameters!$B$23,1,0)</f>
        <v>0</v>
      </c>
      <c r="O701" s="9" t="n">
        <f aca="false">IF(WEEKDAY(F701,2)&gt;5,1,0)</f>
        <v>0</v>
      </c>
      <c r="P701" s="9" t="n">
        <f aca="false">IF(K701&gt;Parameters!$B$17,1,0)</f>
        <v>0</v>
      </c>
      <c r="Q701" s="9" t="n">
        <f aca="false">IF(AND(F701&lt;=Parameters!$B$6,F701&gt;Parameters!$B$6-Parameters!$B$18),1,0)</f>
        <v>0</v>
      </c>
      <c r="R701" s="9" t="n">
        <f aca="false">IF(COUNTIF(Parameters!$A$51:$A$58,H701)=0,1,0)</f>
        <v>0</v>
      </c>
      <c r="S701" s="9" t="n">
        <f aca="false">IF(AND(I701="Manual",L701&gt;0),1,0)</f>
        <v>0</v>
      </c>
      <c r="T701" s="9" t="n">
        <f aca="false">IF(AND(C701&gt;=Parameters!$B$22,ROUND(MOD(ROUND(C701,2),Parameters!$B$21),2)=0),1,0)</f>
        <v>0</v>
      </c>
      <c r="U701" s="9" t="n">
        <f aca="false">IF(LEN(TRIM(J701))=0,1,0)</f>
        <v>0</v>
      </c>
      <c r="V701" s="9" t="n">
        <f aca="false">IF(AND(I701="Manual",C701&lt;Parameters!$B$19,C701&gt;=Parameters!$B$19*(1-Parameters!$B$20)),1,0)</f>
        <v>0</v>
      </c>
      <c r="W701" s="9" t="n">
        <f aca="false">IF(AND(I701="Manual",M701&gt;0),1,0)</f>
        <v>0</v>
      </c>
      <c r="X701" s="9" t="n">
        <f aca="false">IF(A701-A700&gt;1,1,0)</f>
        <v>0</v>
      </c>
      <c r="Y701" s="9" t="n">
        <f aca="false">N701*Parameters!$B$38+O701*Parameters!$B$39+P701*Parameters!$B$40+Q701*Parameters!$B$41+R701*Parameters!$B$42+S701*Parameters!$B$43+T701*Parameters!$B$44+U701*Parameters!$B$45+V701*Parameters!$B$46+W701*Parameters!$B$47+X701*Parameters!$B$48</f>
        <v>0</v>
      </c>
      <c r="Z701" s="0" t="str">
        <f aca="false">IF(Y701&gt;=Parameters!$B$25,"High","")</f>
        <v/>
      </c>
    </row>
    <row r="702" customFormat="false" ht="15" hidden="false" customHeight="false" outlineLevel="0" collapsed="false">
      <c r="A702" s="16" t="n">
        <v>1709</v>
      </c>
      <c r="B702" s="9" t="n">
        <f aca="false">COUNTIF(JE_Lines!$B$5:$B$1733,A702)</f>
        <v>2</v>
      </c>
      <c r="C702" s="17" t="n">
        <f aca="false">SUMIFS(JE_Lines!$G$5:$G$1733,JE_Lines!$B$5:$B$1733,A702)</f>
        <v>1324.5</v>
      </c>
      <c r="D702" s="17" t="n">
        <f aca="false">SUMIFS(JE_Lines!$H$5:$H$1733,JE_Lines!$B$5:$B$1733,A702)</f>
        <v>1324.5</v>
      </c>
      <c r="E702" s="17" t="n">
        <f aca="false">C702-D702</f>
        <v>0</v>
      </c>
      <c r="F702" s="18" t="n">
        <f aca="false">INDEX(JE_Lines!$C$5:$C$1733,MATCH(A702,JE_Lines!$B$5:$B$1733,0))</f>
        <v>45988</v>
      </c>
      <c r="G702" s="18" t="n">
        <f aca="false">INDEX(JE_Lines!$D$5:$D$1733,MATCH(A702,JE_Lines!$B$5:$B$1733,0))</f>
        <v>45985</v>
      </c>
      <c r="H702" s="0" t="str">
        <f aca="false">INDEX(JE_Lines!$I$5:$I$1733,MATCH(A702,JE_Lines!$B$5:$B$1733,0))</f>
        <v>SYS_AP</v>
      </c>
      <c r="I702" s="0" t="str">
        <f aca="false">INDEX(JE_Lines!$J$5:$J$1733,MATCH(A702,JE_Lines!$B$5:$B$1733,0))</f>
        <v>System</v>
      </c>
      <c r="J702" s="0" t="str">
        <f aca="false">IF(LEN(INDEX(JE_Lines!$K$5:$K$1733,MATCH(A702,JE_Lines!$B$5:$B$1733,0)))=0,"",INDEX(JE_Lines!$K$5:$K$1733,MATCH(A702,JE_Lines!$B$5:$B$1733,0)))</f>
        <v>Supplier invoices</v>
      </c>
      <c r="K702" s="9" t="n">
        <f aca="false">F702-G702</f>
        <v>3</v>
      </c>
      <c r="L702" s="9" t="n">
        <f aca="false">COUNTIFS(JE_Lines!$B$5:$B$1733,A702,JE_Lines!$F$5:$F$1733,"Revenue")</f>
        <v>0</v>
      </c>
      <c r="M702" s="9" t="n">
        <f aca="false">COUNTIFS(JE_Lines!$B$5:$B$1733,A702,JE_Lines!$F$5:$F$1733,"Suspense")</f>
        <v>0</v>
      </c>
      <c r="N702" s="9" t="n">
        <f aca="false">IF(ABS(E702)&gt;Parameters!$B$23,1,0)</f>
        <v>0</v>
      </c>
      <c r="O702" s="9" t="n">
        <f aca="false">IF(WEEKDAY(F702,2)&gt;5,1,0)</f>
        <v>0</v>
      </c>
      <c r="P702" s="9" t="n">
        <f aca="false">IF(K702&gt;Parameters!$B$17,1,0)</f>
        <v>0</v>
      </c>
      <c r="Q702" s="9" t="n">
        <f aca="false">IF(AND(F702&lt;=Parameters!$B$6,F702&gt;Parameters!$B$6-Parameters!$B$18),1,0)</f>
        <v>0</v>
      </c>
      <c r="R702" s="9" t="n">
        <f aca="false">IF(COUNTIF(Parameters!$A$51:$A$58,H702)=0,1,0)</f>
        <v>0</v>
      </c>
      <c r="S702" s="9" t="n">
        <f aca="false">IF(AND(I702="Manual",L702&gt;0),1,0)</f>
        <v>0</v>
      </c>
      <c r="T702" s="9" t="n">
        <f aca="false">IF(AND(C702&gt;=Parameters!$B$22,ROUND(MOD(ROUND(C702,2),Parameters!$B$21),2)=0),1,0)</f>
        <v>0</v>
      </c>
      <c r="U702" s="9" t="n">
        <f aca="false">IF(LEN(TRIM(J702))=0,1,0)</f>
        <v>0</v>
      </c>
      <c r="V702" s="9" t="n">
        <f aca="false">IF(AND(I702="Manual",C702&lt;Parameters!$B$19,C702&gt;=Parameters!$B$19*(1-Parameters!$B$20)),1,0)</f>
        <v>0</v>
      </c>
      <c r="W702" s="9" t="n">
        <f aca="false">IF(AND(I702="Manual",M702&gt;0),1,0)</f>
        <v>0</v>
      </c>
      <c r="X702" s="9" t="n">
        <f aca="false">IF(A702-A701&gt;1,1,0)</f>
        <v>0</v>
      </c>
      <c r="Y702" s="9" t="n">
        <f aca="false">N702*Parameters!$B$38+O702*Parameters!$B$39+P702*Parameters!$B$40+Q702*Parameters!$B$41+R702*Parameters!$B$42+S702*Parameters!$B$43+T702*Parameters!$B$44+U702*Parameters!$B$45+V702*Parameters!$B$46+W702*Parameters!$B$47+X702*Parameters!$B$48</f>
        <v>0</v>
      </c>
      <c r="Z702" s="0" t="str">
        <f aca="false">IF(Y702&gt;=Parameters!$B$25,"High","")</f>
        <v/>
      </c>
    </row>
    <row r="703" customFormat="false" ht="15" hidden="false" customHeight="false" outlineLevel="0" collapsed="false">
      <c r="A703" s="16" t="n">
        <v>1710</v>
      </c>
      <c r="B703" s="9" t="n">
        <f aca="false">COUNTIF(JE_Lines!$B$5:$B$1733,A703)</f>
        <v>2</v>
      </c>
      <c r="C703" s="17" t="n">
        <f aca="false">SUMIFS(JE_Lines!$G$5:$G$1733,JE_Lines!$B$5:$B$1733,A703)</f>
        <v>364.17</v>
      </c>
      <c r="D703" s="17" t="n">
        <f aca="false">SUMIFS(JE_Lines!$H$5:$H$1733,JE_Lines!$B$5:$B$1733,A703)</f>
        <v>364.17</v>
      </c>
      <c r="E703" s="17" t="n">
        <f aca="false">C703-D703</f>
        <v>0</v>
      </c>
      <c r="F703" s="18" t="n">
        <f aca="false">INDEX(JE_Lines!$C$5:$C$1733,MATCH(A703,JE_Lines!$B$5:$B$1733,0))</f>
        <v>45988</v>
      </c>
      <c r="G703" s="18" t="n">
        <f aca="false">INDEX(JE_Lines!$D$5:$D$1733,MATCH(A703,JE_Lines!$B$5:$B$1733,0))</f>
        <v>45988</v>
      </c>
      <c r="H703" s="0" t="str">
        <f aca="false">INDEX(JE_Lines!$I$5:$I$1733,MATCH(A703,JE_Lines!$B$5:$B$1733,0))</f>
        <v>TEMP02</v>
      </c>
      <c r="I703" s="0" t="str">
        <f aca="false">INDEX(JE_Lines!$J$5:$J$1733,MATCH(A703,JE_Lines!$B$5:$B$1733,0))</f>
        <v>Manual</v>
      </c>
      <c r="J703" s="0" t="str">
        <f aca="false">IF(LEN(INDEX(JE_Lines!$K$5:$K$1733,MATCH(A703,JE_Lines!$B$5:$B$1733,0)))=0,"",INDEX(JE_Lines!$K$5:$K$1733,MATCH(A703,JE_Lines!$B$5:$B$1733,0)))</f>
        <v>Manual journal 2</v>
      </c>
      <c r="K703" s="9" t="n">
        <f aca="false">F703-G703</f>
        <v>0</v>
      </c>
      <c r="L703" s="9" t="n">
        <f aca="false">COUNTIFS(JE_Lines!$B$5:$B$1733,A703,JE_Lines!$F$5:$F$1733,"Revenue")</f>
        <v>0</v>
      </c>
      <c r="M703" s="9" t="n">
        <f aca="false">COUNTIFS(JE_Lines!$B$5:$B$1733,A703,JE_Lines!$F$5:$F$1733,"Suspense")</f>
        <v>0</v>
      </c>
      <c r="N703" s="9" t="n">
        <f aca="false">IF(ABS(E703)&gt;Parameters!$B$23,1,0)</f>
        <v>0</v>
      </c>
      <c r="O703" s="9" t="n">
        <f aca="false">IF(WEEKDAY(F703,2)&gt;5,1,0)</f>
        <v>0</v>
      </c>
      <c r="P703" s="9" t="n">
        <f aca="false">IF(K703&gt;Parameters!$B$17,1,0)</f>
        <v>0</v>
      </c>
      <c r="Q703" s="9" t="n">
        <f aca="false">IF(AND(F703&lt;=Parameters!$B$6,F703&gt;Parameters!$B$6-Parameters!$B$18),1,0)</f>
        <v>0</v>
      </c>
      <c r="R703" s="9" t="n">
        <f aca="false">IF(COUNTIF(Parameters!$A$51:$A$58,H703)=0,1,0)</f>
        <v>1</v>
      </c>
      <c r="S703" s="9" t="n">
        <f aca="false">IF(AND(I703="Manual",L703&gt;0),1,0)</f>
        <v>0</v>
      </c>
      <c r="T703" s="9" t="n">
        <f aca="false">IF(AND(C703&gt;=Parameters!$B$22,ROUND(MOD(ROUND(C703,2),Parameters!$B$21),2)=0),1,0)</f>
        <v>0</v>
      </c>
      <c r="U703" s="9" t="n">
        <f aca="false">IF(LEN(TRIM(J703))=0,1,0)</f>
        <v>0</v>
      </c>
      <c r="V703" s="9" t="n">
        <f aca="false">IF(AND(I703="Manual",C703&lt;Parameters!$B$19,C703&gt;=Parameters!$B$19*(1-Parameters!$B$20)),1,0)</f>
        <v>0</v>
      </c>
      <c r="W703" s="9" t="n">
        <f aca="false">IF(AND(I703="Manual",M703&gt;0),1,0)</f>
        <v>0</v>
      </c>
      <c r="X703" s="9" t="n">
        <f aca="false">IF(A703-A702&gt;1,1,0)</f>
        <v>0</v>
      </c>
      <c r="Y703" s="9" t="n">
        <f aca="false">N703*Parameters!$B$38+O703*Parameters!$B$39+P703*Parameters!$B$40+Q703*Parameters!$B$41+R703*Parameters!$B$42+S703*Parameters!$B$43+T703*Parameters!$B$44+U703*Parameters!$B$45+V703*Parameters!$B$46+W703*Parameters!$B$47+X703*Parameters!$B$48</f>
        <v>3</v>
      </c>
      <c r="Z703" s="0" t="str">
        <f aca="false">IF(Y703&gt;=Parameters!$B$25,"High","")</f>
        <v/>
      </c>
    </row>
    <row r="704" customFormat="false" ht="15" hidden="false" customHeight="false" outlineLevel="0" collapsed="false">
      <c r="A704" s="16" t="n">
        <v>1711</v>
      </c>
      <c r="B704" s="9" t="n">
        <f aca="false">COUNTIF(JE_Lines!$B$5:$B$1733,A704)</f>
        <v>2</v>
      </c>
      <c r="C704" s="17" t="n">
        <f aca="false">SUMIFS(JE_Lines!$G$5:$G$1733,JE_Lines!$B$5:$B$1733,A704)</f>
        <v>56086.72</v>
      </c>
      <c r="D704" s="17" t="n">
        <f aca="false">SUMIFS(JE_Lines!$H$5:$H$1733,JE_Lines!$B$5:$B$1733,A704)</f>
        <v>56086.72</v>
      </c>
      <c r="E704" s="17" t="n">
        <f aca="false">C704-D704</f>
        <v>0</v>
      </c>
      <c r="F704" s="18" t="n">
        <f aca="false">INDEX(JE_Lines!$C$5:$C$1733,MATCH(A704,JE_Lines!$B$5:$B$1733,0))</f>
        <v>45988</v>
      </c>
      <c r="G704" s="18" t="n">
        <f aca="false">INDEX(JE_Lines!$D$5:$D$1733,MATCH(A704,JE_Lines!$B$5:$B$1733,0))</f>
        <v>45987</v>
      </c>
      <c r="H704" s="0" t="str">
        <f aca="false">INDEX(JE_Lines!$I$5:$I$1733,MATCH(A704,JE_Lines!$B$5:$B$1733,0))</f>
        <v>SYS_AR</v>
      </c>
      <c r="I704" s="0" t="str">
        <f aca="false">INDEX(JE_Lines!$J$5:$J$1733,MATCH(A704,JE_Lines!$B$5:$B$1733,0))</f>
        <v>System</v>
      </c>
      <c r="J704" s="0" t="str">
        <f aca="false">IF(LEN(INDEX(JE_Lines!$K$5:$K$1733,MATCH(A704,JE_Lines!$B$5:$B$1733,0)))=0,"",INDEX(JE_Lines!$K$5:$K$1733,MATCH(A704,JE_Lines!$B$5:$B$1733,0)))</f>
        <v>Sales invoice batch</v>
      </c>
      <c r="K704" s="9" t="n">
        <f aca="false">F704-G704</f>
        <v>1</v>
      </c>
      <c r="L704" s="9" t="n">
        <f aca="false">COUNTIFS(JE_Lines!$B$5:$B$1733,A704,JE_Lines!$F$5:$F$1733,"Revenue")</f>
        <v>1</v>
      </c>
      <c r="M704" s="9" t="n">
        <f aca="false">COUNTIFS(JE_Lines!$B$5:$B$1733,A704,JE_Lines!$F$5:$F$1733,"Suspense")</f>
        <v>0</v>
      </c>
      <c r="N704" s="9" t="n">
        <f aca="false">IF(ABS(E704)&gt;Parameters!$B$23,1,0)</f>
        <v>0</v>
      </c>
      <c r="O704" s="9" t="n">
        <f aca="false">IF(WEEKDAY(F704,2)&gt;5,1,0)</f>
        <v>0</v>
      </c>
      <c r="P704" s="9" t="n">
        <f aca="false">IF(K704&gt;Parameters!$B$17,1,0)</f>
        <v>0</v>
      </c>
      <c r="Q704" s="9" t="n">
        <f aca="false">IF(AND(F704&lt;=Parameters!$B$6,F704&gt;Parameters!$B$6-Parameters!$B$18),1,0)</f>
        <v>0</v>
      </c>
      <c r="R704" s="9" t="n">
        <f aca="false">IF(COUNTIF(Parameters!$A$51:$A$58,H704)=0,1,0)</f>
        <v>0</v>
      </c>
      <c r="S704" s="9" t="n">
        <f aca="false">IF(AND(I704="Manual",L704&gt;0),1,0)</f>
        <v>0</v>
      </c>
      <c r="T704" s="9" t="n">
        <f aca="false">IF(AND(C704&gt;=Parameters!$B$22,ROUND(MOD(ROUND(C704,2),Parameters!$B$21),2)=0),1,0)</f>
        <v>0</v>
      </c>
      <c r="U704" s="9" t="n">
        <f aca="false">IF(LEN(TRIM(J704))=0,1,0)</f>
        <v>0</v>
      </c>
      <c r="V704" s="9" t="n">
        <f aca="false">IF(AND(I704="Manual",C704&lt;Parameters!$B$19,C704&gt;=Parameters!$B$19*(1-Parameters!$B$20)),1,0)</f>
        <v>0</v>
      </c>
      <c r="W704" s="9" t="n">
        <f aca="false">IF(AND(I704="Manual",M704&gt;0),1,0)</f>
        <v>0</v>
      </c>
      <c r="X704" s="9" t="n">
        <f aca="false">IF(A704-A703&gt;1,1,0)</f>
        <v>0</v>
      </c>
      <c r="Y704" s="9" t="n">
        <f aca="false">N704*Parameters!$B$38+O704*Parameters!$B$39+P704*Parameters!$B$40+Q704*Parameters!$B$41+R704*Parameters!$B$42+S704*Parameters!$B$43+T704*Parameters!$B$44+U704*Parameters!$B$45+V704*Parameters!$B$46+W704*Parameters!$B$47+X704*Parameters!$B$48</f>
        <v>0</v>
      </c>
      <c r="Z704" s="0" t="str">
        <f aca="false">IF(Y704&gt;=Parameters!$B$25,"High","")</f>
        <v/>
      </c>
    </row>
    <row r="705" customFormat="false" ht="15" hidden="false" customHeight="false" outlineLevel="0" collapsed="false">
      <c r="A705" s="16" t="n">
        <v>1712</v>
      </c>
      <c r="B705" s="9" t="n">
        <f aca="false">COUNTIF(JE_Lines!$B$5:$B$1733,A705)</f>
        <v>2</v>
      </c>
      <c r="C705" s="17" t="n">
        <f aca="false">SUMIFS(JE_Lines!$G$5:$G$1733,JE_Lines!$B$5:$B$1733,A705)</f>
        <v>116492.04</v>
      </c>
      <c r="D705" s="17" t="n">
        <f aca="false">SUMIFS(JE_Lines!$H$5:$H$1733,JE_Lines!$B$5:$B$1733,A705)</f>
        <v>116492.04</v>
      </c>
      <c r="E705" s="17" t="n">
        <f aca="false">C705-D705</f>
        <v>0</v>
      </c>
      <c r="F705" s="18" t="n">
        <f aca="false">INDEX(JE_Lines!$C$5:$C$1733,MATCH(A705,JE_Lines!$B$5:$B$1733,0))</f>
        <v>45990</v>
      </c>
      <c r="G705" s="18" t="n">
        <f aca="false">INDEX(JE_Lines!$D$5:$D$1733,MATCH(A705,JE_Lines!$B$5:$B$1733,0))</f>
        <v>45989</v>
      </c>
      <c r="H705" s="0" t="str">
        <f aca="false">INDEX(JE_Lines!$I$5:$I$1733,MATCH(A705,JE_Lines!$B$5:$B$1733,0))</f>
        <v>SYS_AR</v>
      </c>
      <c r="I705" s="0" t="str">
        <f aca="false">INDEX(JE_Lines!$J$5:$J$1733,MATCH(A705,JE_Lines!$B$5:$B$1733,0))</f>
        <v>System</v>
      </c>
      <c r="J705" s="0" t="str">
        <f aca="false">IF(LEN(INDEX(JE_Lines!$K$5:$K$1733,MATCH(A705,JE_Lines!$B$5:$B$1733,0)))=0,"",INDEX(JE_Lines!$K$5:$K$1733,MATCH(A705,JE_Lines!$B$5:$B$1733,0)))</f>
        <v>Sales invoice batch</v>
      </c>
      <c r="K705" s="9" t="n">
        <f aca="false">F705-G705</f>
        <v>1</v>
      </c>
      <c r="L705" s="9" t="n">
        <f aca="false">COUNTIFS(JE_Lines!$B$5:$B$1733,A705,JE_Lines!$F$5:$F$1733,"Revenue")</f>
        <v>1</v>
      </c>
      <c r="M705" s="9" t="n">
        <f aca="false">COUNTIFS(JE_Lines!$B$5:$B$1733,A705,JE_Lines!$F$5:$F$1733,"Suspense")</f>
        <v>0</v>
      </c>
      <c r="N705" s="9" t="n">
        <f aca="false">IF(ABS(E705)&gt;Parameters!$B$23,1,0)</f>
        <v>0</v>
      </c>
      <c r="O705" s="9" t="n">
        <f aca="false">IF(WEEKDAY(F705,2)&gt;5,1,0)</f>
        <v>1</v>
      </c>
      <c r="P705" s="9" t="n">
        <f aca="false">IF(K705&gt;Parameters!$B$17,1,0)</f>
        <v>0</v>
      </c>
      <c r="Q705" s="9" t="n">
        <f aca="false">IF(AND(F705&lt;=Parameters!$B$6,F705&gt;Parameters!$B$6-Parameters!$B$18),1,0)</f>
        <v>0</v>
      </c>
      <c r="R705" s="9" t="n">
        <f aca="false">IF(COUNTIF(Parameters!$A$51:$A$58,H705)=0,1,0)</f>
        <v>0</v>
      </c>
      <c r="S705" s="9" t="n">
        <f aca="false">IF(AND(I705="Manual",L705&gt;0),1,0)</f>
        <v>0</v>
      </c>
      <c r="T705" s="9" t="n">
        <f aca="false">IF(AND(C705&gt;=Parameters!$B$22,ROUND(MOD(ROUND(C705,2),Parameters!$B$21),2)=0),1,0)</f>
        <v>0</v>
      </c>
      <c r="U705" s="9" t="n">
        <f aca="false">IF(LEN(TRIM(J705))=0,1,0)</f>
        <v>0</v>
      </c>
      <c r="V705" s="9" t="n">
        <f aca="false">IF(AND(I705="Manual",C705&lt;Parameters!$B$19,C705&gt;=Parameters!$B$19*(1-Parameters!$B$20)),1,0)</f>
        <v>0</v>
      </c>
      <c r="W705" s="9" t="n">
        <f aca="false">IF(AND(I705="Manual",M705&gt;0),1,0)</f>
        <v>0</v>
      </c>
      <c r="X705" s="9" t="n">
        <f aca="false">IF(A705-A704&gt;1,1,0)</f>
        <v>0</v>
      </c>
      <c r="Y705" s="9" t="n">
        <f aca="false">N705*Parameters!$B$38+O705*Parameters!$B$39+P705*Parameters!$B$40+Q705*Parameters!$B$41+R705*Parameters!$B$42+S705*Parameters!$B$43+T705*Parameters!$B$44+U705*Parameters!$B$45+V705*Parameters!$B$46+W705*Parameters!$B$47+X705*Parameters!$B$48</f>
        <v>2</v>
      </c>
      <c r="Z705" s="0" t="str">
        <f aca="false">IF(Y705&gt;=Parameters!$B$25,"High","")</f>
        <v/>
      </c>
    </row>
    <row r="706" customFormat="false" ht="15" hidden="false" customHeight="false" outlineLevel="0" collapsed="false">
      <c r="A706" s="16" t="n">
        <v>1713</v>
      </c>
      <c r="B706" s="9" t="n">
        <f aca="false">COUNTIF(JE_Lines!$B$5:$B$1733,A706)</f>
        <v>2</v>
      </c>
      <c r="C706" s="17" t="n">
        <f aca="false">SUMIFS(JE_Lines!$G$5:$G$1733,JE_Lines!$B$5:$B$1733,A706)</f>
        <v>658.79</v>
      </c>
      <c r="D706" s="17" t="n">
        <f aca="false">SUMIFS(JE_Lines!$H$5:$H$1733,JE_Lines!$B$5:$B$1733,A706)</f>
        <v>658.79</v>
      </c>
      <c r="E706" s="17" t="n">
        <f aca="false">C706-D706</f>
        <v>0</v>
      </c>
      <c r="F706" s="18" t="n">
        <f aca="false">INDEX(JE_Lines!$C$5:$C$1733,MATCH(A706,JE_Lines!$B$5:$B$1733,0))</f>
        <v>45990</v>
      </c>
      <c r="G706" s="18" t="n">
        <f aca="false">INDEX(JE_Lines!$D$5:$D$1733,MATCH(A706,JE_Lines!$B$5:$B$1733,0))</f>
        <v>45989</v>
      </c>
      <c r="H706" s="0" t="str">
        <f aca="false">INDEX(JE_Lines!$I$5:$I$1733,MATCH(A706,JE_Lines!$B$5:$B$1733,0))</f>
        <v>SYS_AR</v>
      </c>
      <c r="I706" s="0" t="str">
        <f aca="false">INDEX(JE_Lines!$J$5:$J$1733,MATCH(A706,JE_Lines!$B$5:$B$1733,0))</f>
        <v>System</v>
      </c>
      <c r="J706" s="0" t="str">
        <f aca="false">IF(LEN(INDEX(JE_Lines!$K$5:$K$1733,MATCH(A706,JE_Lines!$B$5:$B$1733,0)))=0,"",INDEX(JE_Lines!$K$5:$K$1733,MATCH(A706,JE_Lines!$B$5:$B$1733,0)))</f>
        <v>Cost of sales posting</v>
      </c>
      <c r="K706" s="9" t="n">
        <f aca="false">F706-G706</f>
        <v>1</v>
      </c>
      <c r="L706" s="9" t="n">
        <f aca="false">COUNTIFS(JE_Lines!$B$5:$B$1733,A706,JE_Lines!$F$5:$F$1733,"Revenue")</f>
        <v>0</v>
      </c>
      <c r="M706" s="9" t="n">
        <f aca="false">COUNTIFS(JE_Lines!$B$5:$B$1733,A706,JE_Lines!$F$5:$F$1733,"Suspense")</f>
        <v>0</v>
      </c>
      <c r="N706" s="9" t="n">
        <f aca="false">IF(ABS(E706)&gt;Parameters!$B$23,1,0)</f>
        <v>0</v>
      </c>
      <c r="O706" s="9" t="n">
        <f aca="false">IF(WEEKDAY(F706,2)&gt;5,1,0)</f>
        <v>1</v>
      </c>
      <c r="P706" s="9" t="n">
        <f aca="false">IF(K706&gt;Parameters!$B$17,1,0)</f>
        <v>0</v>
      </c>
      <c r="Q706" s="9" t="n">
        <f aca="false">IF(AND(F706&lt;=Parameters!$B$6,F706&gt;Parameters!$B$6-Parameters!$B$18),1,0)</f>
        <v>0</v>
      </c>
      <c r="R706" s="9" t="n">
        <f aca="false">IF(COUNTIF(Parameters!$A$51:$A$58,H706)=0,1,0)</f>
        <v>0</v>
      </c>
      <c r="S706" s="9" t="n">
        <f aca="false">IF(AND(I706="Manual",L706&gt;0),1,0)</f>
        <v>0</v>
      </c>
      <c r="T706" s="9" t="n">
        <f aca="false">IF(AND(C706&gt;=Parameters!$B$22,ROUND(MOD(ROUND(C706,2),Parameters!$B$21),2)=0),1,0)</f>
        <v>0</v>
      </c>
      <c r="U706" s="9" t="n">
        <f aca="false">IF(LEN(TRIM(J706))=0,1,0)</f>
        <v>0</v>
      </c>
      <c r="V706" s="9" t="n">
        <f aca="false">IF(AND(I706="Manual",C706&lt;Parameters!$B$19,C706&gt;=Parameters!$B$19*(1-Parameters!$B$20)),1,0)</f>
        <v>0</v>
      </c>
      <c r="W706" s="9" t="n">
        <f aca="false">IF(AND(I706="Manual",M706&gt;0),1,0)</f>
        <v>0</v>
      </c>
      <c r="X706" s="9" t="n">
        <f aca="false">IF(A706-A705&gt;1,1,0)</f>
        <v>0</v>
      </c>
      <c r="Y706" s="9" t="n">
        <f aca="false">N706*Parameters!$B$38+O706*Parameters!$B$39+P706*Parameters!$B$40+Q706*Parameters!$B$41+R706*Parameters!$B$42+S706*Parameters!$B$43+T706*Parameters!$B$44+U706*Parameters!$B$45+V706*Parameters!$B$46+W706*Parameters!$B$47+X706*Parameters!$B$48</f>
        <v>2</v>
      </c>
      <c r="Z706" s="0" t="str">
        <f aca="false">IF(Y706&gt;=Parameters!$B$25,"High","")</f>
        <v/>
      </c>
    </row>
    <row r="707" customFormat="false" ht="15" hidden="false" customHeight="false" outlineLevel="0" collapsed="false">
      <c r="A707" s="16" t="n">
        <v>1714</v>
      </c>
      <c r="B707" s="9" t="n">
        <f aca="false">COUNTIF(JE_Lines!$B$5:$B$1733,A707)</f>
        <v>3</v>
      </c>
      <c r="C707" s="17" t="n">
        <f aca="false">SUMIFS(JE_Lines!$G$5:$G$1733,JE_Lines!$B$5:$B$1733,A707)</f>
        <v>3905.03</v>
      </c>
      <c r="D707" s="17" t="n">
        <f aca="false">SUMIFS(JE_Lines!$H$5:$H$1733,JE_Lines!$B$5:$B$1733,A707)</f>
        <v>3905.03</v>
      </c>
      <c r="E707" s="17" t="n">
        <f aca="false">C707-D707</f>
        <v>0</v>
      </c>
      <c r="F707" s="18" t="n">
        <f aca="false">INDEX(JE_Lines!$C$5:$C$1733,MATCH(A707,JE_Lines!$B$5:$B$1733,0))</f>
        <v>45994</v>
      </c>
      <c r="G707" s="18" t="n">
        <f aca="false">INDEX(JE_Lines!$D$5:$D$1733,MATCH(A707,JE_Lines!$B$5:$B$1733,0))</f>
        <v>45993</v>
      </c>
      <c r="H707" s="0" t="str">
        <f aca="false">INDEX(JE_Lines!$I$5:$I$1733,MATCH(A707,JE_Lines!$B$5:$B$1733,0))</f>
        <v>SYS_PAY</v>
      </c>
      <c r="I707" s="0" t="str">
        <f aca="false">INDEX(JE_Lines!$J$5:$J$1733,MATCH(A707,JE_Lines!$B$5:$B$1733,0))</f>
        <v>System</v>
      </c>
      <c r="J707" s="0" t="str">
        <f aca="false">IF(LEN(INDEX(JE_Lines!$K$5:$K$1733,MATCH(A707,JE_Lines!$B$5:$B$1733,0)))=0,"",INDEX(JE_Lines!$K$5:$K$1733,MATCH(A707,JE_Lines!$B$5:$B$1733,0)))</f>
        <v>Supplier payments</v>
      </c>
      <c r="K707" s="9" t="n">
        <f aca="false">F707-G707</f>
        <v>1</v>
      </c>
      <c r="L707" s="9" t="n">
        <f aca="false">COUNTIFS(JE_Lines!$B$5:$B$1733,A707,JE_Lines!$F$5:$F$1733,"Revenue")</f>
        <v>0</v>
      </c>
      <c r="M707" s="9" t="n">
        <f aca="false">COUNTIFS(JE_Lines!$B$5:$B$1733,A707,JE_Lines!$F$5:$F$1733,"Suspense")</f>
        <v>0</v>
      </c>
      <c r="N707" s="9" t="n">
        <f aca="false">IF(ABS(E707)&gt;Parameters!$B$23,1,0)</f>
        <v>0</v>
      </c>
      <c r="O707" s="9" t="n">
        <f aca="false">IF(WEEKDAY(F707,2)&gt;5,1,0)</f>
        <v>0</v>
      </c>
      <c r="P707" s="9" t="n">
        <f aca="false">IF(K707&gt;Parameters!$B$17,1,0)</f>
        <v>0</v>
      </c>
      <c r="Q707" s="9" t="n">
        <f aca="false">IF(AND(F707&lt;=Parameters!$B$6,F707&gt;Parameters!$B$6-Parameters!$B$18),1,0)</f>
        <v>0</v>
      </c>
      <c r="R707" s="9" t="n">
        <f aca="false">IF(COUNTIF(Parameters!$A$51:$A$58,H707)=0,1,0)</f>
        <v>0</v>
      </c>
      <c r="S707" s="9" t="n">
        <f aca="false">IF(AND(I707="Manual",L707&gt;0),1,0)</f>
        <v>0</v>
      </c>
      <c r="T707" s="9" t="n">
        <f aca="false">IF(AND(C707&gt;=Parameters!$B$22,ROUND(MOD(ROUND(C707,2),Parameters!$B$21),2)=0),1,0)</f>
        <v>0</v>
      </c>
      <c r="U707" s="9" t="n">
        <f aca="false">IF(LEN(TRIM(J707))=0,1,0)</f>
        <v>0</v>
      </c>
      <c r="V707" s="9" t="n">
        <f aca="false">IF(AND(I707="Manual",C707&lt;Parameters!$B$19,C707&gt;=Parameters!$B$19*(1-Parameters!$B$20)),1,0)</f>
        <v>0</v>
      </c>
      <c r="W707" s="9" t="n">
        <f aca="false">IF(AND(I707="Manual",M707&gt;0),1,0)</f>
        <v>0</v>
      </c>
      <c r="X707" s="9" t="n">
        <f aca="false">IF(A707-A706&gt;1,1,0)</f>
        <v>0</v>
      </c>
      <c r="Y707" s="9" t="n">
        <f aca="false">N707*Parameters!$B$38+O707*Parameters!$B$39+P707*Parameters!$B$40+Q707*Parameters!$B$41+R707*Parameters!$B$42+S707*Parameters!$B$43+T707*Parameters!$B$44+U707*Parameters!$B$45+V707*Parameters!$B$46+W707*Parameters!$B$47+X707*Parameters!$B$48</f>
        <v>0</v>
      </c>
      <c r="Z707" s="0" t="str">
        <f aca="false">IF(Y707&gt;=Parameters!$B$25,"High","")</f>
        <v/>
      </c>
    </row>
    <row r="708" customFormat="false" ht="15" hidden="false" customHeight="false" outlineLevel="0" collapsed="false">
      <c r="A708" s="16" t="n">
        <v>1715</v>
      </c>
      <c r="B708" s="9" t="n">
        <f aca="false">COUNTIF(JE_Lines!$B$5:$B$1733,A708)</f>
        <v>3</v>
      </c>
      <c r="C708" s="17" t="n">
        <f aca="false">SUMIFS(JE_Lines!$G$5:$G$1733,JE_Lines!$B$5:$B$1733,A708)</f>
        <v>3521.17</v>
      </c>
      <c r="D708" s="17" t="n">
        <f aca="false">SUMIFS(JE_Lines!$H$5:$H$1733,JE_Lines!$B$5:$B$1733,A708)</f>
        <v>3521.17</v>
      </c>
      <c r="E708" s="17" t="n">
        <f aca="false">C708-D708</f>
        <v>0</v>
      </c>
      <c r="F708" s="18" t="n">
        <f aca="false">INDEX(JE_Lines!$C$5:$C$1733,MATCH(A708,JE_Lines!$B$5:$B$1733,0))</f>
        <v>45994</v>
      </c>
      <c r="G708" s="18" t="n">
        <f aca="false">INDEX(JE_Lines!$D$5:$D$1733,MATCH(A708,JE_Lines!$B$5:$B$1733,0))</f>
        <v>45991</v>
      </c>
      <c r="H708" s="0" t="str">
        <f aca="false">INDEX(JE_Lines!$I$5:$I$1733,MATCH(A708,JE_Lines!$B$5:$B$1733,0))</f>
        <v>SYS_AP</v>
      </c>
      <c r="I708" s="0" t="str">
        <f aca="false">INDEX(JE_Lines!$J$5:$J$1733,MATCH(A708,JE_Lines!$B$5:$B$1733,0))</f>
        <v>System</v>
      </c>
      <c r="J708" s="0" t="str">
        <f aca="false">IF(LEN(INDEX(JE_Lines!$K$5:$K$1733,MATCH(A708,JE_Lines!$B$5:$B$1733,0)))=0,"",INDEX(JE_Lines!$K$5:$K$1733,MATCH(A708,JE_Lines!$B$5:$B$1733,0)))</f>
        <v>Supplier invoices</v>
      </c>
      <c r="K708" s="9" t="n">
        <f aca="false">F708-G708</f>
        <v>3</v>
      </c>
      <c r="L708" s="9" t="n">
        <f aca="false">COUNTIFS(JE_Lines!$B$5:$B$1733,A708,JE_Lines!$F$5:$F$1733,"Revenue")</f>
        <v>0</v>
      </c>
      <c r="M708" s="9" t="n">
        <f aca="false">COUNTIFS(JE_Lines!$B$5:$B$1733,A708,JE_Lines!$F$5:$F$1733,"Suspense")</f>
        <v>0</v>
      </c>
      <c r="N708" s="9" t="n">
        <f aca="false">IF(ABS(E708)&gt;Parameters!$B$23,1,0)</f>
        <v>0</v>
      </c>
      <c r="O708" s="9" t="n">
        <f aca="false">IF(WEEKDAY(F708,2)&gt;5,1,0)</f>
        <v>0</v>
      </c>
      <c r="P708" s="9" t="n">
        <f aca="false">IF(K708&gt;Parameters!$B$17,1,0)</f>
        <v>0</v>
      </c>
      <c r="Q708" s="9" t="n">
        <f aca="false">IF(AND(F708&lt;=Parameters!$B$6,F708&gt;Parameters!$B$6-Parameters!$B$18),1,0)</f>
        <v>0</v>
      </c>
      <c r="R708" s="9" t="n">
        <f aca="false">IF(COUNTIF(Parameters!$A$51:$A$58,H708)=0,1,0)</f>
        <v>0</v>
      </c>
      <c r="S708" s="9" t="n">
        <f aca="false">IF(AND(I708="Manual",L708&gt;0),1,0)</f>
        <v>0</v>
      </c>
      <c r="T708" s="9" t="n">
        <f aca="false">IF(AND(C708&gt;=Parameters!$B$22,ROUND(MOD(ROUND(C708,2),Parameters!$B$21),2)=0),1,0)</f>
        <v>0</v>
      </c>
      <c r="U708" s="9" t="n">
        <f aca="false">IF(LEN(TRIM(J708))=0,1,0)</f>
        <v>0</v>
      </c>
      <c r="V708" s="9" t="n">
        <f aca="false">IF(AND(I708="Manual",C708&lt;Parameters!$B$19,C708&gt;=Parameters!$B$19*(1-Parameters!$B$20)),1,0)</f>
        <v>0</v>
      </c>
      <c r="W708" s="9" t="n">
        <f aca="false">IF(AND(I708="Manual",M708&gt;0),1,0)</f>
        <v>0</v>
      </c>
      <c r="X708" s="9" t="n">
        <f aca="false">IF(A708-A707&gt;1,1,0)</f>
        <v>0</v>
      </c>
      <c r="Y708" s="9" t="n">
        <f aca="false">N708*Parameters!$B$38+O708*Parameters!$B$39+P708*Parameters!$B$40+Q708*Parameters!$B$41+R708*Parameters!$B$42+S708*Parameters!$B$43+T708*Parameters!$B$44+U708*Parameters!$B$45+V708*Parameters!$B$46+W708*Parameters!$B$47+X708*Parameters!$B$48</f>
        <v>0</v>
      </c>
      <c r="Z708" s="0" t="str">
        <f aca="false">IF(Y708&gt;=Parameters!$B$25,"High","")</f>
        <v/>
      </c>
    </row>
    <row r="709" customFormat="false" ht="15" hidden="false" customHeight="false" outlineLevel="0" collapsed="false">
      <c r="A709" s="16" t="n">
        <v>1716</v>
      </c>
      <c r="B709" s="9" t="n">
        <f aca="false">COUNTIF(JE_Lines!$B$5:$B$1733,A709)</f>
        <v>2</v>
      </c>
      <c r="C709" s="17" t="n">
        <f aca="false">SUMIFS(JE_Lines!$G$5:$G$1733,JE_Lines!$B$5:$B$1733,A709)</f>
        <v>64566.65</v>
      </c>
      <c r="D709" s="17" t="n">
        <f aca="false">SUMIFS(JE_Lines!$H$5:$H$1733,JE_Lines!$B$5:$B$1733,A709)</f>
        <v>64566.65</v>
      </c>
      <c r="E709" s="17" t="n">
        <f aca="false">C709-D709</f>
        <v>0</v>
      </c>
      <c r="F709" s="18" t="n">
        <f aca="false">INDEX(JE_Lines!$C$5:$C$1733,MATCH(A709,JE_Lines!$B$5:$B$1733,0))</f>
        <v>45995</v>
      </c>
      <c r="G709" s="18" t="n">
        <f aca="false">INDEX(JE_Lines!$D$5:$D$1733,MATCH(A709,JE_Lines!$B$5:$B$1733,0))</f>
        <v>45991</v>
      </c>
      <c r="H709" s="0" t="str">
        <f aca="false">INDEX(JE_Lines!$I$5:$I$1733,MATCH(A709,JE_Lines!$B$5:$B$1733,0))</f>
        <v>SYS_AP</v>
      </c>
      <c r="I709" s="0" t="str">
        <f aca="false">INDEX(JE_Lines!$J$5:$J$1733,MATCH(A709,JE_Lines!$B$5:$B$1733,0))</f>
        <v>System</v>
      </c>
      <c r="J709" s="0" t="str">
        <f aca="false">IF(LEN(INDEX(JE_Lines!$K$5:$K$1733,MATCH(A709,JE_Lines!$B$5:$B$1733,0)))=0,"",INDEX(JE_Lines!$K$5:$K$1733,MATCH(A709,JE_Lines!$B$5:$B$1733,0)))</f>
        <v>Supplier invoices</v>
      </c>
      <c r="K709" s="9" t="n">
        <f aca="false">F709-G709</f>
        <v>4</v>
      </c>
      <c r="L709" s="9" t="n">
        <f aca="false">COUNTIFS(JE_Lines!$B$5:$B$1733,A709,JE_Lines!$F$5:$F$1733,"Revenue")</f>
        <v>0</v>
      </c>
      <c r="M709" s="9" t="n">
        <f aca="false">COUNTIFS(JE_Lines!$B$5:$B$1733,A709,JE_Lines!$F$5:$F$1733,"Suspense")</f>
        <v>0</v>
      </c>
      <c r="N709" s="9" t="n">
        <f aca="false">IF(ABS(E709)&gt;Parameters!$B$23,1,0)</f>
        <v>0</v>
      </c>
      <c r="O709" s="9" t="n">
        <f aca="false">IF(WEEKDAY(F709,2)&gt;5,1,0)</f>
        <v>0</v>
      </c>
      <c r="P709" s="9" t="n">
        <f aca="false">IF(K709&gt;Parameters!$B$17,1,0)</f>
        <v>0</v>
      </c>
      <c r="Q709" s="9" t="n">
        <f aca="false">IF(AND(F709&lt;=Parameters!$B$6,F709&gt;Parameters!$B$6-Parameters!$B$18),1,0)</f>
        <v>0</v>
      </c>
      <c r="R709" s="9" t="n">
        <f aca="false">IF(COUNTIF(Parameters!$A$51:$A$58,H709)=0,1,0)</f>
        <v>0</v>
      </c>
      <c r="S709" s="9" t="n">
        <f aca="false">IF(AND(I709="Manual",L709&gt;0),1,0)</f>
        <v>0</v>
      </c>
      <c r="T709" s="9" t="n">
        <f aca="false">IF(AND(C709&gt;=Parameters!$B$22,ROUND(MOD(ROUND(C709,2),Parameters!$B$21),2)=0),1,0)</f>
        <v>0</v>
      </c>
      <c r="U709" s="9" t="n">
        <f aca="false">IF(LEN(TRIM(J709))=0,1,0)</f>
        <v>0</v>
      </c>
      <c r="V709" s="9" t="n">
        <f aca="false">IF(AND(I709="Manual",C709&lt;Parameters!$B$19,C709&gt;=Parameters!$B$19*(1-Parameters!$B$20)),1,0)</f>
        <v>0</v>
      </c>
      <c r="W709" s="9" t="n">
        <f aca="false">IF(AND(I709="Manual",M709&gt;0),1,0)</f>
        <v>0</v>
      </c>
      <c r="X709" s="9" t="n">
        <f aca="false">IF(A709-A708&gt;1,1,0)</f>
        <v>0</v>
      </c>
      <c r="Y709" s="9" t="n">
        <f aca="false">N709*Parameters!$B$38+O709*Parameters!$B$39+P709*Parameters!$B$40+Q709*Parameters!$B$41+R709*Parameters!$B$42+S709*Parameters!$B$43+T709*Parameters!$B$44+U709*Parameters!$B$45+V709*Parameters!$B$46+W709*Parameters!$B$47+X709*Parameters!$B$48</f>
        <v>0</v>
      </c>
      <c r="Z709" s="0" t="str">
        <f aca="false">IF(Y709&gt;=Parameters!$B$25,"High","")</f>
        <v/>
      </c>
    </row>
    <row r="710" customFormat="false" ht="15" hidden="false" customHeight="false" outlineLevel="0" collapsed="false">
      <c r="A710" s="16" t="n">
        <v>1717</v>
      </c>
      <c r="B710" s="9" t="n">
        <f aca="false">COUNTIF(JE_Lines!$B$5:$B$1733,A710)</f>
        <v>2</v>
      </c>
      <c r="C710" s="17" t="n">
        <f aca="false">SUMIFS(JE_Lines!$G$5:$G$1733,JE_Lines!$B$5:$B$1733,A710)</f>
        <v>283.42</v>
      </c>
      <c r="D710" s="17" t="n">
        <f aca="false">SUMIFS(JE_Lines!$H$5:$H$1733,JE_Lines!$B$5:$B$1733,A710)</f>
        <v>283.42</v>
      </c>
      <c r="E710" s="17" t="n">
        <f aca="false">C710-D710</f>
        <v>0</v>
      </c>
      <c r="F710" s="18" t="n">
        <f aca="false">INDEX(JE_Lines!$C$5:$C$1733,MATCH(A710,JE_Lines!$B$5:$B$1733,0))</f>
        <v>45995</v>
      </c>
      <c r="G710" s="18" t="n">
        <f aca="false">INDEX(JE_Lines!$D$5:$D$1733,MATCH(A710,JE_Lines!$B$5:$B$1733,0))</f>
        <v>45995</v>
      </c>
      <c r="H710" s="0" t="str">
        <f aca="false">INDEX(JE_Lines!$I$5:$I$1733,MATCH(A710,JE_Lines!$B$5:$B$1733,0))</f>
        <v>SYS_AR</v>
      </c>
      <c r="I710" s="0" t="str">
        <f aca="false">INDEX(JE_Lines!$J$5:$J$1733,MATCH(A710,JE_Lines!$B$5:$B$1733,0))</f>
        <v>System</v>
      </c>
      <c r="J710" s="0" t="str">
        <f aca="false">IF(LEN(INDEX(JE_Lines!$K$5:$K$1733,MATCH(A710,JE_Lines!$B$5:$B$1733,0)))=0,"",INDEX(JE_Lines!$K$5:$K$1733,MATCH(A710,JE_Lines!$B$5:$B$1733,0)))</f>
        <v>Customer receipts</v>
      </c>
      <c r="K710" s="9" t="n">
        <f aca="false">F710-G710</f>
        <v>0</v>
      </c>
      <c r="L710" s="9" t="n">
        <f aca="false">COUNTIFS(JE_Lines!$B$5:$B$1733,A710,JE_Lines!$F$5:$F$1733,"Revenue")</f>
        <v>0</v>
      </c>
      <c r="M710" s="9" t="n">
        <f aca="false">COUNTIFS(JE_Lines!$B$5:$B$1733,A710,JE_Lines!$F$5:$F$1733,"Suspense")</f>
        <v>0</v>
      </c>
      <c r="N710" s="9" t="n">
        <f aca="false">IF(ABS(E710)&gt;Parameters!$B$23,1,0)</f>
        <v>0</v>
      </c>
      <c r="O710" s="9" t="n">
        <f aca="false">IF(WEEKDAY(F710,2)&gt;5,1,0)</f>
        <v>0</v>
      </c>
      <c r="P710" s="9" t="n">
        <f aca="false">IF(K710&gt;Parameters!$B$17,1,0)</f>
        <v>0</v>
      </c>
      <c r="Q710" s="9" t="n">
        <f aca="false">IF(AND(F710&lt;=Parameters!$B$6,F710&gt;Parameters!$B$6-Parameters!$B$18),1,0)</f>
        <v>0</v>
      </c>
      <c r="R710" s="9" t="n">
        <f aca="false">IF(COUNTIF(Parameters!$A$51:$A$58,H710)=0,1,0)</f>
        <v>0</v>
      </c>
      <c r="S710" s="9" t="n">
        <f aca="false">IF(AND(I710="Manual",L710&gt;0),1,0)</f>
        <v>0</v>
      </c>
      <c r="T710" s="9" t="n">
        <f aca="false">IF(AND(C710&gt;=Parameters!$B$22,ROUND(MOD(ROUND(C710,2),Parameters!$B$21),2)=0),1,0)</f>
        <v>0</v>
      </c>
      <c r="U710" s="9" t="n">
        <f aca="false">IF(LEN(TRIM(J710))=0,1,0)</f>
        <v>0</v>
      </c>
      <c r="V710" s="9" t="n">
        <f aca="false">IF(AND(I710="Manual",C710&lt;Parameters!$B$19,C710&gt;=Parameters!$B$19*(1-Parameters!$B$20)),1,0)</f>
        <v>0</v>
      </c>
      <c r="W710" s="9" t="n">
        <f aca="false">IF(AND(I710="Manual",M710&gt;0),1,0)</f>
        <v>0</v>
      </c>
      <c r="X710" s="9" t="n">
        <f aca="false">IF(A710-A709&gt;1,1,0)</f>
        <v>0</v>
      </c>
      <c r="Y710" s="9" t="n">
        <f aca="false">N710*Parameters!$B$38+O710*Parameters!$B$39+P710*Parameters!$B$40+Q710*Parameters!$B$41+R710*Parameters!$B$42+S710*Parameters!$B$43+T710*Parameters!$B$44+U710*Parameters!$B$45+V710*Parameters!$B$46+W710*Parameters!$B$47+X710*Parameters!$B$48</f>
        <v>0</v>
      </c>
      <c r="Z710" s="0" t="str">
        <f aca="false">IF(Y710&gt;=Parameters!$B$25,"High","")</f>
        <v/>
      </c>
    </row>
    <row r="711" customFormat="false" ht="15" hidden="false" customHeight="false" outlineLevel="0" collapsed="false">
      <c r="A711" s="16" t="n">
        <v>1718</v>
      </c>
      <c r="B711" s="9" t="n">
        <f aca="false">COUNTIF(JE_Lines!$B$5:$B$1733,A711)</f>
        <v>2</v>
      </c>
      <c r="C711" s="17" t="n">
        <f aca="false">SUMIFS(JE_Lines!$G$5:$G$1733,JE_Lines!$B$5:$B$1733,A711)</f>
        <v>9386.29</v>
      </c>
      <c r="D711" s="17" t="n">
        <f aca="false">SUMIFS(JE_Lines!$H$5:$H$1733,JE_Lines!$B$5:$B$1733,A711)</f>
        <v>9386.29</v>
      </c>
      <c r="E711" s="17" t="n">
        <f aca="false">C711-D711</f>
        <v>0</v>
      </c>
      <c r="F711" s="18" t="n">
        <f aca="false">INDEX(JE_Lines!$C$5:$C$1733,MATCH(A711,JE_Lines!$B$5:$B$1733,0))</f>
        <v>45995</v>
      </c>
      <c r="G711" s="18" t="n">
        <f aca="false">INDEX(JE_Lines!$D$5:$D$1733,MATCH(A711,JE_Lines!$B$5:$B$1733,0))</f>
        <v>45991</v>
      </c>
      <c r="H711" s="0" t="str">
        <f aca="false">INDEX(JE_Lines!$I$5:$I$1733,MATCH(A711,JE_Lines!$B$5:$B$1733,0))</f>
        <v>SYS_PAY</v>
      </c>
      <c r="I711" s="0" t="str">
        <f aca="false">INDEX(JE_Lines!$J$5:$J$1733,MATCH(A711,JE_Lines!$B$5:$B$1733,0))</f>
        <v>System</v>
      </c>
      <c r="J711" s="0" t="str">
        <f aca="false">IF(LEN(INDEX(JE_Lines!$K$5:$K$1733,MATCH(A711,JE_Lines!$B$5:$B$1733,0)))=0,"",INDEX(JE_Lines!$K$5:$K$1733,MATCH(A711,JE_Lines!$B$5:$B$1733,0)))</f>
        <v>Supplier payments</v>
      </c>
      <c r="K711" s="9" t="n">
        <f aca="false">F711-G711</f>
        <v>4</v>
      </c>
      <c r="L711" s="9" t="n">
        <f aca="false">COUNTIFS(JE_Lines!$B$5:$B$1733,A711,JE_Lines!$F$5:$F$1733,"Revenue")</f>
        <v>0</v>
      </c>
      <c r="M711" s="9" t="n">
        <f aca="false">COUNTIFS(JE_Lines!$B$5:$B$1733,A711,JE_Lines!$F$5:$F$1733,"Suspense")</f>
        <v>0</v>
      </c>
      <c r="N711" s="9" t="n">
        <f aca="false">IF(ABS(E711)&gt;Parameters!$B$23,1,0)</f>
        <v>0</v>
      </c>
      <c r="O711" s="9" t="n">
        <f aca="false">IF(WEEKDAY(F711,2)&gt;5,1,0)</f>
        <v>0</v>
      </c>
      <c r="P711" s="9" t="n">
        <f aca="false">IF(K711&gt;Parameters!$B$17,1,0)</f>
        <v>0</v>
      </c>
      <c r="Q711" s="9" t="n">
        <f aca="false">IF(AND(F711&lt;=Parameters!$B$6,F711&gt;Parameters!$B$6-Parameters!$B$18),1,0)</f>
        <v>0</v>
      </c>
      <c r="R711" s="9" t="n">
        <f aca="false">IF(COUNTIF(Parameters!$A$51:$A$58,H711)=0,1,0)</f>
        <v>0</v>
      </c>
      <c r="S711" s="9" t="n">
        <f aca="false">IF(AND(I711="Manual",L711&gt;0),1,0)</f>
        <v>0</v>
      </c>
      <c r="T711" s="9" t="n">
        <f aca="false">IF(AND(C711&gt;=Parameters!$B$22,ROUND(MOD(ROUND(C711,2),Parameters!$B$21),2)=0),1,0)</f>
        <v>0</v>
      </c>
      <c r="U711" s="9" t="n">
        <f aca="false">IF(LEN(TRIM(J711))=0,1,0)</f>
        <v>0</v>
      </c>
      <c r="V711" s="9" t="n">
        <f aca="false">IF(AND(I711="Manual",C711&lt;Parameters!$B$19,C711&gt;=Parameters!$B$19*(1-Parameters!$B$20)),1,0)</f>
        <v>0</v>
      </c>
      <c r="W711" s="9" t="n">
        <f aca="false">IF(AND(I711="Manual",M711&gt;0),1,0)</f>
        <v>0</v>
      </c>
      <c r="X711" s="9" t="n">
        <f aca="false">IF(A711-A710&gt;1,1,0)</f>
        <v>0</v>
      </c>
      <c r="Y711" s="9" t="n">
        <f aca="false">N711*Parameters!$B$38+O711*Parameters!$B$39+P711*Parameters!$B$40+Q711*Parameters!$B$41+R711*Parameters!$B$42+S711*Parameters!$B$43+T711*Parameters!$B$44+U711*Parameters!$B$45+V711*Parameters!$B$46+W711*Parameters!$B$47+X711*Parameters!$B$48</f>
        <v>0</v>
      </c>
      <c r="Z711" s="0" t="str">
        <f aca="false">IF(Y711&gt;=Parameters!$B$25,"High","")</f>
        <v/>
      </c>
    </row>
    <row r="712" customFormat="false" ht="15" hidden="false" customHeight="false" outlineLevel="0" collapsed="false">
      <c r="A712" s="16" t="n">
        <v>1719</v>
      </c>
      <c r="B712" s="9" t="n">
        <f aca="false">COUNTIF(JE_Lines!$B$5:$B$1733,A712)</f>
        <v>2</v>
      </c>
      <c r="C712" s="17" t="n">
        <f aca="false">SUMIFS(JE_Lines!$G$5:$G$1733,JE_Lines!$B$5:$B$1733,A712)</f>
        <v>4315.32</v>
      </c>
      <c r="D712" s="17" t="n">
        <f aca="false">SUMIFS(JE_Lines!$H$5:$H$1733,JE_Lines!$B$5:$B$1733,A712)</f>
        <v>4315.32</v>
      </c>
      <c r="E712" s="17" t="n">
        <f aca="false">C712-D712</f>
        <v>0</v>
      </c>
      <c r="F712" s="18" t="n">
        <f aca="false">INDEX(JE_Lines!$C$5:$C$1733,MATCH(A712,JE_Lines!$B$5:$B$1733,0))</f>
        <v>45996</v>
      </c>
      <c r="G712" s="18" t="n">
        <f aca="false">INDEX(JE_Lines!$D$5:$D$1733,MATCH(A712,JE_Lines!$B$5:$B$1733,0))</f>
        <v>45996</v>
      </c>
      <c r="H712" s="0" t="str">
        <f aca="false">INDEX(JE_Lines!$I$5:$I$1733,MATCH(A712,JE_Lines!$B$5:$B$1733,0))</f>
        <v>SYS_PAY</v>
      </c>
      <c r="I712" s="0" t="str">
        <f aca="false">INDEX(JE_Lines!$J$5:$J$1733,MATCH(A712,JE_Lines!$B$5:$B$1733,0))</f>
        <v>System</v>
      </c>
      <c r="J712" s="0" t="str">
        <f aca="false">IF(LEN(INDEX(JE_Lines!$K$5:$K$1733,MATCH(A712,JE_Lines!$B$5:$B$1733,0)))=0,"",INDEX(JE_Lines!$K$5:$K$1733,MATCH(A712,JE_Lines!$B$5:$B$1733,0)))</f>
        <v>Supplier payments</v>
      </c>
      <c r="K712" s="9" t="n">
        <f aca="false">F712-G712</f>
        <v>0</v>
      </c>
      <c r="L712" s="9" t="n">
        <f aca="false">COUNTIFS(JE_Lines!$B$5:$B$1733,A712,JE_Lines!$F$5:$F$1733,"Revenue")</f>
        <v>0</v>
      </c>
      <c r="M712" s="9" t="n">
        <f aca="false">COUNTIFS(JE_Lines!$B$5:$B$1733,A712,JE_Lines!$F$5:$F$1733,"Suspense")</f>
        <v>0</v>
      </c>
      <c r="N712" s="9" t="n">
        <f aca="false">IF(ABS(E712)&gt;Parameters!$B$23,1,0)</f>
        <v>0</v>
      </c>
      <c r="O712" s="9" t="n">
        <f aca="false">IF(WEEKDAY(F712,2)&gt;5,1,0)</f>
        <v>0</v>
      </c>
      <c r="P712" s="9" t="n">
        <f aca="false">IF(K712&gt;Parameters!$B$17,1,0)</f>
        <v>0</v>
      </c>
      <c r="Q712" s="9" t="n">
        <f aca="false">IF(AND(F712&lt;=Parameters!$B$6,F712&gt;Parameters!$B$6-Parameters!$B$18),1,0)</f>
        <v>0</v>
      </c>
      <c r="R712" s="9" t="n">
        <f aca="false">IF(COUNTIF(Parameters!$A$51:$A$58,H712)=0,1,0)</f>
        <v>0</v>
      </c>
      <c r="S712" s="9" t="n">
        <f aca="false">IF(AND(I712="Manual",L712&gt;0),1,0)</f>
        <v>0</v>
      </c>
      <c r="T712" s="9" t="n">
        <f aca="false">IF(AND(C712&gt;=Parameters!$B$22,ROUND(MOD(ROUND(C712,2),Parameters!$B$21),2)=0),1,0)</f>
        <v>0</v>
      </c>
      <c r="U712" s="9" t="n">
        <f aca="false">IF(LEN(TRIM(J712))=0,1,0)</f>
        <v>0</v>
      </c>
      <c r="V712" s="9" t="n">
        <f aca="false">IF(AND(I712="Manual",C712&lt;Parameters!$B$19,C712&gt;=Parameters!$B$19*(1-Parameters!$B$20)),1,0)</f>
        <v>0</v>
      </c>
      <c r="W712" s="9" t="n">
        <f aca="false">IF(AND(I712="Manual",M712&gt;0),1,0)</f>
        <v>0</v>
      </c>
      <c r="X712" s="9" t="n">
        <f aca="false">IF(A712-A711&gt;1,1,0)</f>
        <v>0</v>
      </c>
      <c r="Y712" s="9" t="n">
        <f aca="false">N712*Parameters!$B$38+O712*Parameters!$B$39+P712*Parameters!$B$40+Q712*Parameters!$B$41+R712*Parameters!$B$42+S712*Parameters!$B$43+T712*Parameters!$B$44+U712*Parameters!$B$45+V712*Parameters!$B$46+W712*Parameters!$B$47+X712*Parameters!$B$48</f>
        <v>0</v>
      </c>
      <c r="Z712" s="0" t="str">
        <f aca="false">IF(Y712&gt;=Parameters!$B$25,"High","")</f>
        <v/>
      </c>
    </row>
    <row r="713" customFormat="false" ht="15" hidden="false" customHeight="false" outlineLevel="0" collapsed="false">
      <c r="A713" s="16" t="n">
        <v>1720</v>
      </c>
      <c r="B713" s="9" t="n">
        <f aca="false">COUNTIF(JE_Lines!$B$5:$B$1733,A713)</f>
        <v>2</v>
      </c>
      <c r="C713" s="17" t="n">
        <f aca="false">SUMIFS(JE_Lines!$G$5:$G$1733,JE_Lines!$B$5:$B$1733,A713)</f>
        <v>91657.86</v>
      </c>
      <c r="D713" s="17" t="n">
        <f aca="false">SUMIFS(JE_Lines!$H$5:$H$1733,JE_Lines!$B$5:$B$1733,A713)</f>
        <v>91657.86</v>
      </c>
      <c r="E713" s="17" t="n">
        <f aca="false">C713-D713</f>
        <v>0</v>
      </c>
      <c r="F713" s="18" t="n">
        <f aca="false">INDEX(JE_Lines!$C$5:$C$1733,MATCH(A713,JE_Lines!$B$5:$B$1733,0))</f>
        <v>45996</v>
      </c>
      <c r="G713" s="18" t="n">
        <f aca="false">INDEX(JE_Lines!$D$5:$D$1733,MATCH(A713,JE_Lines!$B$5:$B$1733,0))</f>
        <v>45994</v>
      </c>
      <c r="H713" s="0" t="str">
        <f aca="false">INDEX(JE_Lines!$I$5:$I$1733,MATCH(A713,JE_Lines!$B$5:$B$1733,0))</f>
        <v>SYS_AR</v>
      </c>
      <c r="I713" s="0" t="str">
        <f aca="false">INDEX(JE_Lines!$J$5:$J$1733,MATCH(A713,JE_Lines!$B$5:$B$1733,0))</f>
        <v>System</v>
      </c>
      <c r="J713" s="0" t="str">
        <f aca="false">IF(LEN(INDEX(JE_Lines!$K$5:$K$1733,MATCH(A713,JE_Lines!$B$5:$B$1733,0)))=0,"",INDEX(JE_Lines!$K$5:$K$1733,MATCH(A713,JE_Lines!$B$5:$B$1733,0)))</f>
        <v>Sales invoice batch</v>
      </c>
      <c r="K713" s="9" t="n">
        <f aca="false">F713-G713</f>
        <v>2</v>
      </c>
      <c r="L713" s="9" t="n">
        <f aca="false">COUNTIFS(JE_Lines!$B$5:$B$1733,A713,JE_Lines!$F$5:$F$1733,"Revenue")</f>
        <v>1</v>
      </c>
      <c r="M713" s="9" t="n">
        <f aca="false">COUNTIFS(JE_Lines!$B$5:$B$1733,A713,JE_Lines!$F$5:$F$1733,"Suspense")</f>
        <v>0</v>
      </c>
      <c r="N713" s="9" t="n">
        <f aca="false">IF(ABS(E713)&gt;Parameters!$B$23,1,0)</f>
        <v>0</v>
      </c>
      <c r="O713" s="9" t="n">
        <f aca="false">IF(WEEKDAY(F713,2)&gt;5,1,0)</f>
        <v>0</v>
      </c>
      <c r="P713" s="9" t="n">
        <f aca="false">IF(K713&gt;Parameters!$B$17,1,0)</f>
        <v>0</v>
      </c>
      <c r="Q713" s="9" t="n">
        <f aca="false">IF(AND(F713&lt;=Parameters!$B$6,F713&gt;Parameters!$B$6-Parameters!$B$18),1,0)</f>
        <v>0</v>
      </c>
      <c r="R713" s="9" t="n">
        <f aca="false">IF(COUNTIF(Parameters!$A$51:$A$58,H713)=0,1,0)</f>
        <v>0</v>
      </c>
      <c r="S713" s="9" t="n">
        <f aca="false">IF(AND(I713="Manual",L713&gt;0),1,0)</f>
        <v>0</v>
      </c>
      <c r="T713" s="9" t="n">
        <f aca="false">IF(AND(C713&gt;=Parameters!$B$22,ROUND(MOD(ROUND(C713,2),Parameters!$B$21),2)=0),1,0)</f>
        <v>0</v>
      </c>
      <c r="U713" s="9" t="n">
        <f aca="false">IF(LEN(TRIM(J713))=0,1,0)</f>
        <v>0</v>
      </c>
      <c r="V713" s="9" t="n">
        <f aca="false">IF(AND(I713="Manual",C713&lt;Parameters!$B$19,C713&gt;=Parameters!$B$19*(1-Parameters!$B$20)),1,0)</f>
        <v>0</v>
      </c>
      <c r="W713" s="9" t="n">
        <f aca="false">IF(AND(I713="Manual",M713&gt;0),1,0)</f>
        <v>0</v>
      </c>
      <c r="X713" s="9" t="n">
        <f aca="false">IF(A713-A712&gt;1,1,0)</f>
        <v>0</v>
      </c>
      <c r="Y713" s="9" t="n">
        <f aca="false">N713*Parameters!$B$38+O713*Parameters!$B$39+P713*Parameters!$B$40+Q713*Parameters!$B$41+R713*Parameters!$B$42+S713*Parameters!$B$43+T713*Parameters!$B$44+U713*Parameters!$B$45+V713*Parameters!$B$46+W713*Parameters!$B$47+X713*Parameters!$B$48</f>
        <v>0</v>
      </c>
      <c r="Z713" s="0" t="str">
        <f aca="false">IF(Y713&gt;=Parameters!$B$25,"High","")</f>
        <v/>
      </c>
    </row>
    <row r="714" customFormat="false" ht="15" hidden="false" customHeight="false" outlineLevel="0" collapsed="false">
      <c r="A714" s="16" t="n">
        <v>1721</v>
      </c>
      <c r="B714" s="9" t="n">
        <f aca="false">COUNTIF(JE_Lines!$B$5:$B$1733,A714)</f>
        <v>2</v>
      </c>
      <c r="C714" s="17" t="n">
        <f aca="false">SUMIFS(JE_Lines!$G$5:$G$1733,JE_Lines!$B$5:$B$1733,A714)</f>
        <v>1860.42</v>
      </c>
      <c r="D714" s="17" t="n">
        <f aca="false">SUMIFS(JE_Lines!$H$5:$H$1733,JE_Lines!$B$5:$B$1733,A714)</f>
        <v>1860.42</v>
      </c>
      <c r="E714" s="17" t="n">
        <f aca="false">C714-D714</f>
        <v>0</v>
      </c>
      <c r="F714" s="18" t="n">
        <f aca="false">INDEX(JE_Lines!$C$5:$C$1733,MATCH(A714,JE_Lines!$B$5:$B$1733,0))</f>
        <v>45996</v>
      </c>
      <c r="G714" s="18" t="n">
        <f aca="false">INDEX(JE_Lines!$D$5:$D$1733,MATCH(A714,JE_Lines!$B$5:$B$1733,0))</f>
        <v>45994</v>
      </c>
      <c r="H714" s="0" t="str">
        <f aca="false">INDEX(JE_Lines!$I$5:$I$1733,MATCH(A714,JE_Lines!$B$5:$B$1733,0))</f>
        <v>SYS_AP</v>
      </c>
      <c r="I714" s="0" t="str">
        <f aca="false">INDEX(JE_Lines!$J$5:$J$1733,MATCH(A714,JE_Lines!$B$5:$B$1733,0))</f>
        <v>System</v>
      </c>
      <c r="J714" s="0" t="str">
        <f aca="false">IF(LEN(INDEX(JE_Lines!$K$5:$K$1733,MATCH(A714,JE_Lines!$B$5:$B$1733,0)))=0,"",INDEX(JE_Lines!$K$5:$K$1733,MATCH(A714,JE_Lines!$B$5:$B$1733,0)))</f>
        <v>Supplier invoices</v>
      </c>
      <c r="K714" s="9" t="n">
        <f aca="false">F714-G714</f>
        <v>2</v>
      </c>
      <c r="L714" s="9" t="n">
        <f aca="false">COUNTIFS(JE_Lines!$B$5:$B$1733,A714,JE_Lines!$F$5:$F$1733,"Revenue")</f>
        <v>0</v>
      </c>
      <c r="M714" s="9" t="n">
        <f aca="false">COUNTIFS(JE_Lines!$B$5:$B$1733,A714,JE_Lines!$F$5:$F$1733,"Suspense")</f>
        <v>0</v>
      </c>
      <c r="N714" s="9" t="n">
        <f aca="false">IF(ABS(E714)&gt;Parameters!$B$23,1,0)</f>
        <v>0</v>
      </c>
      <c r="O714" s="9" t="n">
        <f aca="false">IF(WEEKDAY(F714,2)&gt;5,1,0)</f>
        <v>0</v>
      </c>
      <c r="P714" s="9" t="n">
        <f aca="false">IF(K714&gt;Parameters!$B$17,1,0)</f>
        <v>0</v>
      </c>
      <c r="Q714" s="9" t="n">
        <f aca="false">IF(AND(F714&lt;=Parameters!$B$6,F714&gt;Parameters!$B$6-Parameters!$B$18),1,0)</f>
        <v>0</v>
      </c>
      <c r="R714" s="9" t="n">
        <f aca="false">IF(COUNTIF(Parameters!$A$51:$A$58,H714)=0,1,0)</f>
        <v>0</v>
      </c>
      <c r="S714" s="9" t="n">
        <f aca="false">IF(AND(I714="Manual",L714&gt;0),1,0)</f>
        <v>0</v>
      </c>
      <c r="T714" s="9" t="n">
        <f aca="false">IF(AND(C714&gt;=Parameters!$B$22,ROUND(MOD(ROUND(C714,2),Parameters!$B$21),2)=0),1,0)</f>
        <v>0</v>
      </c>
      <c r="U714" s="9" t="n">
        <f aca="false">IF(LEN(TRIM(J714))=0,1,0)</f>
        <v>0</v>
      </c>
      <c r="V714" s="9" t="n">
        <f aca="false">IF(AND(I714="Manual",C714&lt;Parameters!$B$19,C714&gt;=Parameters!$B$19*(1-Parameters!$B$20)),1,0)</f>
        <v>0</v>
      </c>
      <c r="W714" s="9" t="n">
        <f aca="false">IF(AND(I714="Manual",M714&gt;0),1,0)</f>
        <v>0</v>
      </c>
      <c r="X714" s="9" t="n">
        <f aca="false">IF(A714-A713&gt;1,1,0)</f>
        <v>0</v>
      </c>
      <c r="Y714" s="9" t="n">
        <f aca="false">N714*Parameters!$B$38+O714*Parameters!$B$39+P714*Parameters!$B$40+Q714*Parameters!$B$41+R714*Parameters!$B$42+S714*Parameters!$B$43+T714*Parameters!$B$44+U714*Parameters!$B$45+V714*Parameters!$B$46+W714*Parameters!$B$47+X714*Parameters!$B$48</f>
        <v>0</v>
      </c>
      <c r="Z714" s="0" t="str">
        <f aca="false">IF(Y714&gt;=Parameters!$B$25,"High","")</f>
        <v/>
      </c>
    </row>
    <row r="715" customFormat="false" ht="15" hidden="false" customHeight="false" outlineLevel="0" collapsed="false">
      <c r="A715" s="16" t="n">
        <v>1722</v>
      </c>
      <c r="B715" s="9" t="n">
        <f aca="false">COUNTIF(JE_Lines!$B$5:$B$1733,A715)</f>
        <v>2</v>
      </c>
      <c r="C715" s="17" t="n">
        <f aca="false">SUMIFS(JE_Lines!$G$5:$G$1733,JE_Lines!$B$5:$B$1733,A715)</f>
        <v>6563.6</v>
      </c>
      <c r="D715" s="17" t="n">
        <f aca="false">SUMIFS(JE_Lines!$H$5:$H$1733,JE_Lines!$B$5:$B$1733,A715)</f>
        <v>6563.6</v>
      </c>
      <c r="E715" s="17" t="n">
        <f aca="false">C715-D715</f>
        <v>0</v>
      </c>
      <c r="F715" s="18" t="n">
        <f aca="false">INDEX(JE_Lines!$C$5:$C$1733,MATCH(A715,JE_Lines!$B$5:$B$1733,0))</f>
        <v>45996</v>
      </c>
      <c r="G715" s="18" t="n">
        <f aca="false">INDEX(JE_Lines!$D$5:$D$1733,MATCH(A715,JE_Lines!$B$5:$B$1733,0))</f>
        <v>45996</v>
      </c>
      <c r="H715" s="0" t="str">
        <f aca="false">INDEX(JE_Lines!$I$5:$I$1733,MATCH(A715,JE_Lines!$B$5:$B$1733,0))</f>
        <v>FIN05</v>
      </c>
      <c r="I715" s="0" t="str">
        <f aca="false">INDEX(JE_Lines!$J$5:$J$1733,MATCH(A715,JE_Lines!$B$5:$B$1733,0))</f>
        <v>Manual</v>
      </c>
      <c r="J715" s="0" t="str">
        <f aca="false">IF(LEN(INDEX(JE_Lines!$K$5:$K$1733,MATCH(A715,JE_Lines!$B$5:$B$1733,0)))=0,"",INDEX(JE_Lines!$K$5:$K$1733,MATCH(A715,JE_Lines!$B$5:$B$1733,0)))</f>
        <v>Accrual reversal</v>
      </c>
      <c r="K715" s="9" t="n">
        <f aca="false">F715-G715</f>
        <v>0</v>
      </c>
      <c r="L715" s="9" t="n">
        <f aca="false">COUNTIFS(JE_Lines!$B$5:$B$1733,A715,JE_Lines!$F$5:$F$1733,"Revenue")</f>
        <v>0</v>
      </c>
      <c r="M715" s="9" t="n">
        <f aca="false">COUNTIFS(JE_Lines!$B$5:$B$1733,A715,JE_Lines!$F$5:$F$1733,"Suspense")</f>
        <v>0</v>
      </c>
      <c r="N715" s="9" t="n">
        <f aca="false">IF(ABS(E715)&gt;Parameters!$B$23,1,0)</f>
        <v>0</v>
      </c>
      <c r="O715" s="9" t="n">
        <f aca="false">IF(WEEKDAY(F715,2)&gt;5,1,0)</f>
        <v>0</v>
      </c>
      <c r="P715" s="9" t="n">
        <f aca="false">IF(K715&gt;Parameters!$B$17,1,0)</f>
        <v>0</v>
      </c>
      <c r="Q715" s="9" t="n">
        <f aca="false">IF(AND(F715&lt;=Parameters!$B$6,F715&gt;Parameters!$B$6-Parameters!$B$18),1,0)</f>
        <v>0</v>
      </c>
      <c r="R715" s="9" t="n">
        <f aca="false">IF(COUNTIF(Parameters!$A$51:$A$58,H715)=0,1,0)</f>
        <v>0</v>
      </c>
      <c r="S715" s="9" t="n">
        <f aca="false">IF(AND(I715="Manual",L715&gt;0),1,0)</f>
        <v>0</v>
      </c>
      <c r="T715" s="9" t="n">
        <f aca="false">IF(AND(C715&gt;=Parameters!$B$22,ROUND(MOD(ROUND(C715,2),Parameters!$B$21),2)=0),1,0)</f>
        <v>0</v>
      </c>
      <c r="U715" s="9" t="n">
        <f aca="false">IF(LEN(TRIM(J715))=0,1,0)</f>
        <v>0</v>
      </c>
      <c r="V715" s="9" t="n">
        <f aca="false">IF(AND(I715="Manual",C715&lt;Parameters!$B$19,C715&gt;=Parameters!$B$19*(1-Parameters!$B$20)),1,0)</f>
        <v>0</v>
      </c>
      <c r="W715" s="9" t="n">
        <f aca="false">IF(AND(I715="Manual",M715&gt;0),1,0)</f>
        <v>0</v>
      </c>
      <c r="X715" s="9" t="n">
        <f aca="false">IF(A715-A714&gt;1,1,0)</f>
        <v>0</v>
      </c>
      <c r="Y715" s="9" t="n">
        <f aca="false">N715*Parameters!$B$38+O715*Parameters!$B$39+P715*Parameters!$B$40+Q715*Parameters!$B$41+R715*Parameters!$B$42+S715*Parameters!$B$43+T715*Parameters!$B$44+U715*Parameters!$B$45+V715*Parameters!$B$46+W715*Parameters!$B$47+X715*Parameters!$B$48</f>
        <v>0</v>
      </c>
      <c r="Z715" s="0" t="str">
        <f aca="false">IF(Y715&gt;=Parameters!$B$25,"High","")</f>
        <v/>
      </c>
    </row>
    <row r="716" customFormat="false" ht="15" hidden="false" customHeight="false" outlineLevel="0" collapsed="false">
      <c r="A716" s="16" t="n">
        <v>1723</v>
      </c>
      <c r="B716" s="9" t="n">
        <f aca="false">COUNTIF(JE_Lines!$B$5:$B$1733,A716)</f>
        <v>2</v>
      </c>
      <c r="C716" s="17" t="n">
        <f aca="false">SUMIFS(JE_Lines!$G$5:$G$1733,JE_Lines!$B$5:$B$1733,A716)</f>
        <v>12386.96</v>
      </c>
      <c r="D716" s="17" t="n">
        <f aca="false">SUMIFS(JE_Lines!$H$5:$H$1733,JE_Lines!$B$5:$B$1733,A716)</f>
        <v>12386.96</v>
      </c>
      <c r="E716" s="17" t="n">
        <f aca="false">C716-D716</f>
        <v>0</v>
      </c>
      <c r="F716" s="18" t="n">
        <f aca="false">INDEX(JE_Lines!$C$5:$C$1733,MATCH(A716,JE_Lines!$B$5:$B$1733,0))</f>
        <v>45996</v>
      </c>
      <c r="G716" s="18" t="n">
        <f aca="false">INDEX(JE_Lines!$D$5:$D$1733,MATCH(A716,JE_Lines!$B$5:$B$1733,0))</f>
        <v>45996</v>
      </c>
      <c r="H716" s="0" t="str">
        <f aca="false">INDEX(JE_Lines!$I$5:$I$1733,MATCH(A716,JE_Lines!$B$5:$B$1733,0))</f>
        <v>SYS_AR</v>
      </c>
      <c r="I716" s="0" t="str">
        <f aca="false">INDEX(JE_Lines!$J$5:$J$1733,MATCH(A716,JE_Lines!$B$5:$B$1733,0))</f>
        <v>System</v>
      </c>
      <c r="J716" s="0" t="str">
        <f aca="false">IF(LEN(INDEX(JE_Lines!$K$5:$K$1733,MATCH(A716,JE_Lines!$B$5:$B$1733,0)))=0,"",INDEX(JE_Lines!$K$5:$K$1733,MATCH(A716,JE_Lines!$B$5:$B$1733,0)))</f>
        <v>Customer receipts</v>
      </c>
      <c r="K716" s="9" t="n">
        <f aca="false">F716-G716</f>
        <v>0</v>
      </c>
      <c r="L716" s="9" t="n">
        <f aca="false">COUNTIFS(JE_Lines!$B$5:$B$1733,A716,JE_Lines!$F$5:$F$1733,"Revenue")</f>
        <v>0</v>
      </c>
      <c r="M716" s="9" t="n">
        <f aca="false">COUNTIFS(JE_Lines!$B$5:$B$1733,A716,JE_Lines!$F$5:$F$1733,"Suspense")</f>
        <v>0</v>
      </c>
      <c r="N716" s="9" t="n">
        <f aca="false">IF(ABS(E716)&gt;Parameters!$B$23,1,0)</f>
        <v>0</v>
      </c>
      <c r="O716" s="9" t="n">
        <f aca="false">IF(WEEKDAY(F716,2)&gt;5,1,0)</f>
        <v>0</v>
      </c>
      <c r="P716" s="9" t="n">
        <f aca="false">IF(K716&gt;Parameters!$B$17,1,0)</f>
        <v>0</v>
      </c>
      <c r="Q716" s="9" t="n">
        <f aca="false">IF(AND(F716&lt;=Parameters!$B$6,F716&gt;Parameters!$B$6-Parameters!$B$18),1,0)</f>
        <v>0</v>
      </c>
      <c r="R716" s="9" t="n">
        <f aca="false">IF(COUNTIF(Parameters!$A$51:$A$58,H716)=0,1,0)</f>
        <v>0</v>
      </c>
      <c r="S716" s="9" t="n">
        <f aca="false">IF(AND(I716="Manual",L716&gt;0),1,0)</f>
        <v>0</v>
      </c>
      <c r="T716" s="9" t="n">
        <f aca="false">IF(AND(C716&gt;=Parameters!$B$22,ROUND(MOD(ROUND(C716,2),Parameters!$B$21),2)=0),1,0)</f>
        <v>0</v>
      </c>
      <c r="U716" s="9" t="n">
        <f aca="false">IF(LEN(TRIM(J716))=0,1,0)</f>
        <v>0</v>
      </c>
      <c r="V716" s="9" t="n">
        <f aca="false">IF(AND(I716="Manual",C716&lt;Parameters!$B$19,C716&gt;=Parameters!$B$19*(1-Parameters!$B$20)),1,0)</f>
        <v>0</v>
      </c>
      <c r="W716" s="9" t="n">
        <f aca="false">IF(AND(I716="Manual",M716&gt;0),1,0)</f>
        <v>0</v>
      </c>
      <c r="X716" s="9" t="n">
        <f aca="false">IF(A716-A715&gt;1,1,0)</f>
        <v>0</v>
      </c>
      <c r="Y716" s="9" t="n">
        <f aca="false">N716*Parameters!$B$38+O716*Parameters!$B$39+P716*Parameters!$B$40+Q716*Parameters!$B$41+R716*Parameters!$B$42+S716*Parameters!$B$43+T716*Parameters!$B$44+U716*Parameters!$B$45+V716*Parameters!$B$46+W716*Parameters!$B$47+X716*Parameters!$B$48</f>
        <v>0</v>
      </c>
      <c r="Z716" s="0" t="str">
        <f aca="false">IF(Y716&gt;=Parameters!$B$25,"High","")</f>
        <v/>
      </c>
    </row>
    <row r="717" customFormat="false" ht="15" hidden="false" customHeight="false" outlineLevel="0" collapsed="false">
      <c r="A717" s="16" t="n">
        <v>1724</v>
      </c>
      <c r="B717" s="9" t="n">
        <f aca="false">COUNTIF(JE_Lines!$B$5:$B$1733,A717)</f>
        <v>2</v>
      </c>
      <c r="C717" s="17" t="n">
        <f aca="false">SUMIFS(JE_Lines!$G$5:$G$1733,JE_Lines!$B$5:$B$1733,A717)</f>
        <v>18241.13</v>
      </c>
      <c r="D717" s="17" t="n">
        <f aca="false">SUMIFS(JE_Lines!$H$5:$H$1733,JE_Lines!$B$5:$B$1733,A717)</f>
        <v>18241.13</v>
      </c>
      <c r="E717" s="17" t="n">
        <f aca="false">C717-D717</f>
        <v>0</v>
      </c>
      <c r="F717" s="18" t="n">
        <f aca="false">INDEX(JE_Lines!$C$5:$C$1733,MATCH(A717,JE_Lines!$B$5:$B$1733,0))</f>
        <v>45996</v>
      </c>
      <c r="G717" s="18" t="n">
        <f aca="false">INDEX(JE_Lines!$D$5:$D$1733,MATCH(A717,JE_Lines!$B$5:$B$1733,0))</f>
        <v>45994</v>
      </c>
      <c r="H717" s="0" t="str">
        <f aca="false">INDEX(JE_Lines!$I$5:$I$1733,MATCH(A717,JE_Lines!$B$5:$B$1733,0))</f>
        <v>SYS_AR</v>
      </c>
      <c r="I717" s="0" t="str">
        <f aca="false">INDEX(JE_Lines!$J$5:$J$1733,MATCH(A717,JE_Lines!$B$5:$B$1733,0))</f>
        <v>System</v>
      </c>
      <c r="J717" s="0" t="str">
        <f aca="false">IF(LEN(INDEX(JE_Lines!$K$5:$K$1733,MATCH(A717,JE_Lines!$B$5:$B$1733,0)))=0,"",INDEX(JE_Lines!$K$5:$K$1733,MATCH(A717,JE_Lines!$B$5:$B$1733,0)))</f>
        <v>Customer receipts</v>
      </c>
      <c r="K717" s="9" t="n">
        <f aca="false">F717-G717</f>
        <v>2</v>
      </c>
      <c r="L717" s="9" t="n">
        <f aca="false">COUNTIFS(JE_Lines!$B$5:$B$1733,A717,JE_Lines!$F$5:$F$1733,"Revenue")</f>
        <v>0</v>
      </c>
      <c r="M717" s="9" t="n">
        <f aca="false">COUNTIFS(JE_Lines!$B$5:$B$1733,A717,JE_Lines!$F$5:$F$1733,"Suspense")</f>
        <v>0</v>
      </c>
      <c r="N717" s="9" t="n">
        <f aca="false">IF(ABS(E717)&gt;Parameters!$B$23,1,0)</f>
        <v>0</v>
      </c>
      <c r="O717" s="9" t="n">
        <f aca="false">IF(WEEKDAY(F717,2)&gt;5,1,0)</f>
        <v>0</v>
      </c>
      <c r="P717" s="9" t="n">
        <f aca="false">IF(K717&gt;Parameters!$B$17,1,0)</f>
        <v>0</v>
      </c>
      <c r="Q717" s="9" t="n">
        <f aca="false">IF(AND(F717&lt;=Parameters!$B$6,F717&gt;Parameters!$B$6-Parameters!$B$18),1,0)</f>
        <v>0</v>
      </c>
      <c r="R717" s="9" t="n">
        <f aca="false">IF(COUNTIF(Parameters!$A$51:$A$58,H717)=0,1,0)</f>
        <v>0</v>
      </c>
      <c r="S717" s="9" t="n">
        <f aca="false">IF(AND(I717="Manual",L717&gt;0),1,0)</f>
        <v>0</v>
      </c>
      <c r="T717" s="9" t="n">
        <f aca="false">IF(AND(C717&gt;=Parameters!$B$22,ROUND(MOD(ROUND(C717,2),Parameters!$B$21),2)=0),1,0)</f>
        <v>0</v>
      </c>
      <c r="U717" s="9" t="n">
        <f aca="false">IF(LEN(TRIM(J717))=0,1,0)</f>
        <v>0</v>
      </c>
      <c r="V717" s="9" t="n">
        <f aca="false">IF(AND(I717="Manual",C717&lt;Parameters!$B$19,C717&gt;=Parameters!$B$19*(1-Parameters!$B$20)),1,0)</f>
        <v>0</v>
      </c>
      <c r="W717" s="9" t="n">
        <f aca="false">IF(AND(I717="Manual",M717&gt;0),1,0)</f>
        <v>0</v>
      </c>
      <c r="X717" s="9" t="n">
        <f aca="false">IF(A717-A716&gt;1,1,0)</f>
        <v>0</v>
      </c>
      <c r="Y717" s="9" t="n">
        <f aca="false">N717*Parameters!$B$38+O717*Parameters!$B$39+P717*Parameters!$B$40+Q717*Parameters!$B$41+R717*Parameters!$B$42+S717*Parameters!$B$43+T717*Parameters!$B$44+U717*Parameters!$B$45+V717*Parameters!$B$46+W717*Parameters!$B$47+X717*Parameters!$B$48</f>
        <v>0</v>
      </c>
      <c r="Z717" s="0" t="str">
        <f aca="false">IF(Y717&gt;=Parameters!$B$25,"High","")</f>
        <v/>
      </c>
    </row>
    <row r="718" customFormat="false" ht="15" hidden="false" customHeight="false" outlineLevel="0" collapsed="false">
      <c r="A718" s="16" t="n">
        <v>1725</v>
      </c>
      <c r="B718" s="9" t="n">
        <f aca="false">COUNTIF(JE_Lines!$B$5:$B$1733,A718)</f>
        <v>2</v>
      </c>
      <c r="C718" s="17" t="n">
        <f aca="false">SUMIFS(JE_Lines!$G$5:$G$1733,JE_Lines!$B$5:$B$1733,A718)</f>
        <v>4903.28</v>
      </c>
      <c r="D718" s="17" t="n">
        <f aca="false">SUMIFS(JE_Lines!$H$5:$H$1733,JE_Lines!$B$5:$B$1733,A718)</f>
        <v>4903.28</v>
      </c>
      <c r="E718" s="17" t="n">
        <f aca="false">C718-D718</f>
        <v>0</v>
      </c>
      <c r="F718" s="18" t="n">
        <f aca="false">INDEX(JE_Lines!$C$5:$C$1733,MATCH(A718,JE_Lines!$B$5:$B$1733,0))</f>
        <v>45996</v>
      </c>
      <c r="G718" s="18" t="n">
        <f aca="false">INDEX(JE_Lines!$D$5:$D$1733,MATCH(A718,JE_Lines!$B$5:$B$1733,0))</f>
        <v>45993</v>
      </c>
      <c r="H718" s="0" t="str">
        <f aca="false">INDEX(JE_Lines!$I$5:$I$1733,MATCH(A718,JE_Lines!$B$5:$B$1733,0))</f>
        <v>SYS_AR</v>
      </c>
      <c r="I718" s="0" t="str">
        <f aca="false">INDEX(JE_Lines!$J$5:$J$1733,MATCH(A718,JE_Lines!$B$5:$B$1733,0))</f>
        <v>System</v>
      </c>
      <c r="J718" s="0" t="str">
        <f aca="false">IF(LEN(INDEX(JE_Lines!$K$5:$K$1733,MATCH(A718,JE_Lines!$B$5:$B$1733,0)))=0,"",INDEX(JE_Lines!$K$5:$K$1733,MATCH(A718,JE_Lines!$B$5:$B$1733,0)))</f>
        <v>Customer receipts</v>
      </c>
      <c r="K718" s="9" t="n">
        <f aca="false">F718-G718</f>
        <v>3</v>
      </c>
      <c r="L718" s="9" t="n">
        <f aca="false">COUNTIFS(JE_Lines!$B$5:$B$1733,A718,JE_Lines!$F$5:$F$1733,"Revenue")</f>
        <v>0</v>
      </c>
      <c r="M718" s="9" t="n">
        <f aca="false">COUNTIFS(JE_Lines!$B$5:$B$1733,A718,JE_Lines!$F$5:$F$1733,"Suspense")</f>
        <v>0</v>
      </c>
      <c r="N718" s="9" t="n">
        <f aca="false">IF(ABS(E718)&gt;Parameters!$B$23,1,0)</f>
        <v>0</v>
      </c>
      <c r="O718" s="9" t="n">
        <f aca="false">IF(WEEKDAY(F718,2)&gt;5,1,0)</f>
        <v>0</v>
      </c>
      <c r="P718" s="9" t="n">
        <f aca="false">IF(K718&gt;Parameters!$B$17,1,0)</f>
        <v>0</v>
      </c>
      <c r="Q718" s="9" t="n">
        <f aca="false">IF(AND(F718&lt;=Parameters!$B$6,F718&gt;Parameters!$B$6-Parameters!$B$18),1,0)</f>
        <v>0</v>
      </c>
      <c r="R718" s="9" t="n">
        <f aca="false">IF(COUNTIF(Parameters!$A$51:$A$58,H718)=0,1,0)</f>
        <v>0</v>
      </c>
      <c r="S718" s="9" t="n">
        <f aca="false">IF(AND(I718="Manual",L718&gt;0),1,0)</f>
        <v>0</v>
      </c>
      <c r="T718" s="9" t="n">
        <f aca="false">IF(AND(C718&gt;=Parameters!$B$22,ROUND(MOD(ROUND(C718,2),Parameters!$B$21),2)=0),1,0)</f>
        <v>0</v>
      </c>
      <c r="U718" s="9" t="n">
        <f aca="false">IF(LEN(TRIM(J718))=0,1,0)</f>
        <v>0</v>
      </c>
      <c r="V718" s="9" t="n">
        <f aca="false">IF(AND(I718="Manual",C718&lt;Parameters!$B$19,C718&gt;=Parameters!$B$19*(1-Parameters!$B$20)),1,0)</f>
        <v>0</v>
      </c>
      <c r="W718" s="9" t="n">
        <f aca="false">IF(AND(I718="Manual",M718&gt;0),1,0)</f>
        <v>0</v>
      </c>
      <c r="X718" s="9" t="n">
        <f aca="false">IF(A718-A717&gt;1,1,0)</f>
        <v>0</v>
      </c>
      <c r="Y718" s="9" t="n">
        <f aca="false">N718*Parameters!$B$38+O718*Parameters!$B$39+P718*Parameters!$B$40+Q718*Parameters!$B$41+R718*Parameters!$B$42+S718*Parameters!$B$43+T718*Parameters!$B$44+U718*Parameters!$B$45+V718*Parameters!$B$46+W718*Parameters!$B$47+X718*Parameters!$B$48</f>
        <v>0</v>
      </c>
      <c r="Z718" s="0" t="str">
        <f aca="false">IF(Y718&gt;=Parameters!$B$25,"High","")</f>
        <v/>
      </c>
    </row>
    <row r="719" customFormat="false" ht="15" hidden="false" customHeight="false" outlineLevel="0" collapsed="false">
      <c r="A719" s="16" t="n">
        <v>1726</v>
      </c>
      <c r="B719" s="9" t="n">
        <f aca="false">COUNTIF(JE_Lines!$B$5:$B$1733,A719)</f>
        <v>2</v>
      </c>
      <c r="C719" s="17" t="n">
        <f aca="false">SUMIFS(JE_Lines!$G$5:$G$1733,JE_Lines!$B$5:$B$1733,A719)</f>
        <v>55010.27</v>
      </c>
      <c r="D719" s="17" t="n">
        <f aca="false">SUMIFS(JE_Lines!$H$5:$H$1733,JE_Lines!$B$5:$B$1733,A719)</f>
        <v>55010.27</v>
      </c>
      <c r="E719" s="17" t="n">
        <f aca="false">C719-D719</f>
        <v>0</v>
      </c>
      <c r="F719" s="18" t="n">
        <f aca="false">INDEX(JE_Lines!$C$5:$C$1733,MATCH(A719,JE_Lines!$B$5:$B$1733,0))</f>
        <v>45996</v>
      </c>
      <c r="G719" s="18" t="n">
        <f aca="false">INDEX(JE_Lines!$D$5:$D$1733,MATCH(A719,JE_Lines!$B$5:$B$1733,0))</f>
        <v>45995</v>
      </c>
      <c r="H719" s="0" t="str">
        <f aca="false">INDEX(JE_Lines!$I$5:$I$1733,MATCH(A719,JE_Lines!$B$5:$B$1733,0))</f>
        <v>SYS_AR</v>
      </c>
      <c r="I719" s="0" t="str">
        <f aca="false">INDEX(JE_Lines!$J$5:$J$1733,MATCH(A719,JE_Lines!$B$5:$B$1733,0))</f>
        <v>System</v>
      </c>
      <c r="J719" s="0" t="str">
        <f aca="false">IF(LEN(INDEX(JE_Lines!$K$5:$K$1733,MATCH(A719,JE_Lines!$B$5:$B$1733,0)))=0,"",INDEX(JE_Lines!$K$5:$K$1733,MATCH(A719,JE_Lines!$B$5:$B$1733,0)))</f>
        <v>Customer receipts</v>
      </c>
      <c r="K719" s="9" t="n">
        <f aca="false">F719-G719</f>
        <v>1</v>
      </c>
      <c r="L719" s="9" t="n">
        <f aca="false">COUNTIFS(JE_Lines!$B$5:$B$1733,A719,JE_Lines!$F$5:$F$1733,"Revenue")</f>
        <v>0</v>
      </c>
      <c r="M719" s="9" t="n">
        <f aca="false">COUNTIFS(JE_Lines!$B$5:$B$1733,A719,JE_Lines!$F$5:$F$1733,"Suspense")</f>
        <v>0</v>
      </c>
      <c r="N719" s="9" t="n">
        <f aca="false">IF(ABS(E719)&gt;Parameters!$B$23,1,0)</f>
        <v>0</v>
      </c>
      <c r="O719" s="9" t="n">
        <f aca="false">IF(WEEKDAY(F719,2)&gt;5,1,0)</f>
        <v>0</v>
      </c>
      <c r="P719" s="9" t="n">
        <f aca="false">IF(K719&gt;Parameters!$B$17,1,0)</f>
        <v>0</v>
      </c>
      <c r="Q719" s="9" t="n">
        <f aca="false">IF(AND(F719&lt;=Parameters!$B$6,F719&gt;Parameters!$B$6-Parameters!$B$18),1,0)</f>
        <v>0</v>
      </c>
      <c r="R719" s="9" t="n">
        <f aca="false">IF(COUNTIF(Parameters!$A$51:$A$58,H719)=0,1,0)</f>
        <v>0</v>
      </c>
      <c r="S719" s="9" t="n">
        <f aca="false">IF(AND(I719="Manual",L719&gt;0),1,0)</f>
        <v>0</v>
      </c>
      <c r="T719" s="9" t="n">
        <f aca="false">IF(AND(C719&gt;=Parameters!$B$22,ROUND(MOD(ROUND(C719,2),Parameters!$B$21),2)=0),1,0)</f>
        <v>0</v>
      </c>
      <c r="U719" s="9" t="n">
        <f aca="false">IF(LEN(TRIM(J719))=0,1,0)</f>
        <v>0</v>
      </c>
      <c r="V719" s="9" t="n">
        <f aca="false">IF(AND(I719="Manual",C719&lt;Parameters!$B$19,C719&gt;=Parameters!$B$19*(1-Parameters!$B$20)),1,0)</f>
        <v>0</v>
      </c>
      <c r="W719" s="9" t="n">
        <f aca="false">IF(AND(I719="Manual",M719&gt;0),1,0)</f>
        <v>0</v>
      </c>
      <c r="X719" s="9" t="n">
        <f aca="false">IF(A719-A718&gt;1,1,0)</f>
        <v>0</v>
      </c>
      <c r="Y719" s="9" t="n">
        <f aca="false">N719*Parameters!$B$38+O719*Parameters!$B$39+P719*Parameters!$B$40+Q719*Parameters!$B$41+R719*Parameters!$B$42+S719*Parameters!$B$43+T719*Parameters!$B$44+U719*Parameters!$B$45+V719*Parameters!$B$46+W719*Parameters!$B$47+X719*Parameters!$B$48</f>
        <v>0</v>
      </c>
      <c r="Z719" s="0" t="str">
        <f aca="false">IF(Y719&gt;=Parameters!$B$25,"High","")</f>
        <v/>
      </c>
    </row>
    <row r="720" customFormat="false" ht="15" hidden="false" customHeight="false" outlineLevel="0" collapsed="false">
      <c r="A720" s="16" t="n">
        <v>1727</v>
      </c>
      <c r="B720" s="9" t="n">
        <f aca="false">COUNTIF(JE_Lines!$B$5:$B$1733,A720)</f>
        <v>2</v>
      </c>
      <c r="C720" s="17" t="n">
        <f aca="false">SUMIFS(JE_Lines!$G$5:$G$1733,JE_Lines!$B$5:$B$1733,A720)</f>
        <v>12092.27</v>
      </c>
      <c r="D720" s="17" t="n">
        <f aca="false">SUMIFS(JE_Lines!$H$5:$H$1733,JE_Lines!$B$5:$B$1733,A720)</f>
        <v>12092.27</v>
      </c>
      <c r="E720" s="17" t="n">
        <f aca="false">C720-D720</f>
        <v>0</v>
      </c>
      <c r="F720" s="18" t="n">
        <f aca="false">INDEX(JE_Lines!$C$5:$C$1733,MATCH(A720,JE_Lines!$B$5:$B$1733,0))</f>
        <v>45999</v>
      </c>
      <c r="G720" s="18" t="n">
        <f aca="false">INDEX(JE_Lines!$D$5:$D$1733,MATCH(A720,JE_Lines!$B$5:$B$1733,0))</f>
        <v>45999</v>
      </c>
      <c r="H720" s="0" t="str">
        <f aca="false">INDEX(JE_Lines!$I$5:$I$1733,MATCH(A720,JE_Lines!$B$5:$B$1733,0))</f>
        <v>SYS_PAY</v>
      </c>
      <c r="I720" s="0" t="str">
        <f aca="false">INDEX(JE_Lines!$J$5:$J$1733,MATCH(A720,JE_Lines!$B$5:$B$1733,0))</f>
        <v>System</v>
      </c>
      <c r="J720" s="0" t="str">
        <f aca="false">IF(LEN(INDEX(JE_Lines!$K$5:$K$1733,MATCH(A720,JE_Lines!$B$5:$B$1733,0)))=0,"",INDEX(JE_Lines!$K$5:$K$1733,MATCH(A720,JE_Lines!$B$5:$B$1733,0)))</f>
        <v>Supplier payments</v>
      </c>
      <c r="K720" s="9" t="n">
        <f aca="false">F720-G720</f>
        <v>0</v>
      </c>
      <c r="L720" s="9" t="n">
        <f aca="false">COUNTIFS(JE_Lines!$B$5:$B$1733,A720,JE_Lines!$F$5:$F$1733,"Revenue")</f>
        <v>0</v>
      </c>
      <c r="M720" s="9" t="n">
        <f aca="false">COUNTIFS(JE_Lines!$B$5:$B$1733,A720,JE_Lines!$F$5:$F$1733,"Suspense")</f>
        <v>0</v>
      </c>
      <c r="N720" s="9" t="n">
        <f aca="false">IF(ABS(E720)&gt;Parameters!$B$23,1,0)</f>
        <v>0</v>
      </c>
      <c r="O720" s="9" t="n">
        <f aca="false">IF(WEEKDAY(F720,2)&gt;5,1,0)</f>
        <v>0</v>
      </c>
      <c r="P720" s="9" t="n">
        <f aca="false">IF(K720&gt;Parameters!$B$17,1,0)</f>
        <v>0</v>
      </c>
      <c r="Q720" s="9" t="n">
        <f aca="false">IF(AND(F720&lt;=Parameters!$B$6,F720&gt;Parameters!$B$6-Parameters!$B$18),1,0)</f>
        <v>0</v>
      </c>
      <c r="R720" s="9" t="n">
        <f aca="false">IF(COUNTIF(Parameters!$A$51:$A$58,H720)=0,1,0)</f>
        <v>0</v>
      </c>
      <c r="S720" s="9" t="n">
        <f aca="false">IF(AND(I720="Manual",L720&gt;0),1,0)</f>
        <v>0</v>
      </c>
      <c r="T720" s="9" t="n">
        <f aca="false">IF(AND(C720&gt;=Parameters!$B$22,ROUND(MOD(ROUND(C720,2),Parameters!$B$21),2)=0),1,0)</f>
        <v>0</v>
      </c>
      <c r="U720" s="9" t="n">
        <f aca="false">IF(LEN(TRIM(J720))=0,1,0)</f>
        <v>0</v>
      </c>
      <c r="V720" s="9" t="n">
        <f aca="false">IF(AND(I720="Manual",C720&lt;Parameters!$B$19,C720&gt;=Parameters!$B$19*(1-Parameters!$B$20)),1,0)</f>
        <v>0</v>
      </c>
      <c r="W720" s="9" t="n">
        <f aca="false">IF(AND(I720="Manual",M720&gt;0),1,0)</f>
        <v>0</v>
      </c>
      <c r="X720" s="9" t="n">
        <f aca="false">IF(A720-A719&gt;1,1,0)</f>
        <v>0</v>
      </c>
      <c r="Y720" s="9" t="n">
        <f aca="false">N720*Parameters!$B$38+O720*Parameters!$B$39+P720*Parameters!$B$40+Q720*Parameters!$B$41+R720*Parameters!$B$42+S720*Parameters!$B$43+T720*Parameters!$B$44+U720*Parameters!$B$45+V720*Parameters!$B$46+W720*Parameters!$B$47+X720*Parameters!$B$48</f>
        <v>0</v>
      </c>
      <c r="Z720" s="0" t="str">
        <f aca="false">IF(Y720&gt;=Parameters!$B$25,"High","")</f>
        <v/>
      </c>
    </row>
    <row r="721" customFormat="false" ht="15" hidden="false" customHeight="false" outlineLevel="0" collapsed="false">
      <c r="A721" s="16" t="n">
        <v>1728</v>
      </c>
      <c r="B721" s="9" t="n">
        <f aca="false">COUNTIF(JE_Lines!$B$5:$B$1733,A721)</f>
        <v>2</v>
      </c>
      <c r="C721" s="17" t="n">
        <f aca="false">SUMIFS(JE_Lines!$G$5:$G$1733,JE_Lines!$B$5:$B$1733,A721)</f>
        <v>130283.36</v>
      </c>
      <c r="D721" s="17" t="n">
        <f aca="false">SUMIFS(JE_Lines!$H$5:$H$1733,JE_Lines!$B$5:$B$1733,A721)</f>
        <v>130283.36</v>
      </c>
      <c r="E721" s="17" t="n">
        <f aca="false">C721-D721</f>
        <v>0</v>
      </c>
      <c r="F721" s="18" t="n">
        <f aca="false">INDEX(JE_Lines!$C$5:$C$1733,MATCH(A721,JE_Lines!$B$5:$B$1733,0))</f>
        <v>45999</v>
      </c>
      <c r="G721" s="18" t="n">
        <f aca="false">INDEX(JE_Lines!$D$5:$D$1733,MATCH(A721,JE_Lines!$B$5:$B$1733,0))</f>
        <v>45996</v>
      </c>
      <c r="H721" s="0" t="str">
        <f aca="false">INDEX(JE_Lines!$I$5:$I$1733,MATCH(A721,JE_Lines!$B$5:$B$1733,0))</f>
        <v>FIN02</v>
      </c>
      <c r="I721" s="0" t="str">
        <f aca="false">INDEX(JE_Lines!$J$5:$J$1733,MATCH(A721,JE_Lines!$B$5:$B$1733,0))</f>
        <v>Manual</v>
      </c>
      <c r="J721" s="0" t="str">
        <f aca="false">IF(LEN(INDEX(JE_Lines!$K$5:$K$1733,MATCH(A721,JE_Lines!$B$5:$B$1733,0)))=0,"",INDEX(JE_Lines!$K$5:$K$1733,MATCH(A721,JE_Lines!$B$5:$B$1733,0)))</f>
        <v>Accrual for sundry costs</v>
      </c>
      <c r="K721" s="9" t="n">
        <f aca="false">F721-G721</f>
        <v>3</v>
      </c>
      <c r="L721" s="9" t="n">
        <f aca="false">COUNTIFS(JE_Lines!$B$5:$B$1733,A721,JE_Lines!$F$5:$F$1733,"Revenue")</f>
        <v>0</v>
      </c>
      <c r="M721" s="9" t="n">
        <f aca="false">COUNTIFS(JE_Lines!$B$5:$B$1733,A721,JE_Lines!$F$5:$F$1733,"Suspense")</f>
        <v>0</v>
      </c>
      <c r="N721" s="9" t="n">
        <f aca="false">IF(ABS(E721)&gt;Parameters!$B$23,1,0)</f>
        <v>0</v>
      </c>
      <c r="O721" s="9" t="n">
        <f aca="false">IF(WEEKDAY(F721,2)&gt;5,1,0)</f>
        <v>0</v>
      </c>
      <c r="P721" s="9" t="n">
        <f aca="false">IF(K721&gt;Parameters!$B$17,1,0)</f>
        <v>0</v>
      </c>
      <c r="Q721" s="9" t="n">
        <f aca="false">IF(AND(F721&lt;=Parameters!$B$6,F721&gt;Parameters!$B$6-Parameters!$B$18),1,0)</f>
        <v>0</v>
      </c>
      <c r="R721" s="9" t="n">
        <f aca="false">IF(COUNTIF(Parameters!$A$51:$A$58,H721)=0,1,0)</f>
        <v>0</v>
      </c>
      <c r="S721" s="9" t="n">
        <f aca="false">IF(AND(I721="Manual",L721&gt;0),1,0)</f>
        <v>0</v>
      </c>
      <c r="T721" s="9" t="n">
        <f aca="false">IF(AND(C721&gt;=Parameters!$B$22,ROUND(MOD(ROUND(C721,2),Parameters!$B$21),2)=0),1,0)</f>
        <v>0</v>
      </c>
      <c r="U721" s="9" t="n">
        <f aca="false">IF(LEN(TRIM(J721))=0,1,0)</f>
        <v>0</v>
      </c>
      <c r="V721" s="9" t="n">
        <f aca="false">IF(AND(I721="Manual",C721&lt;Parameters!$B$19,C721&gt;=Parameters!$B$19*(1-Parameters!$B$20)),1,0)</f>
        <v>0</v>
      </c>
      <c r="W721" s="9" t="n">
        <f aca="false">IF(AND(I721="Manual",M721&gt;0),1,0)</f>
        <v>0</v>
      </c>
      <c r="X721" s="9" t="n">
        <f aca="false">IF(A721-A720&gt;1,1,0)</f>
        <v>0</v>
      </c>
      <c r="Y721" s="9" t="n">
        <f aca="false">N721*Parameters!$B$38+O721*Parameters!$B$39+P721*Parameters!$B$40+Q721*Parameters!$B$41+R721*Parameters!$B$42+S721*Parameters!$B$43+T721*Parameters!$B$44+U721*Parameters!$B$45+V721*Parameters!$B$46+W721*Parameters!$B$47+X721*Parameters!$B$48</f>
        <v>0</v>
      </c>
      <c r="Z721" s="0" t="str">
        <f aca="false">IF(Y721&gt;=Parameters!$B$25,"High","")</f>
        <v/>
      </c>
    </row>
    <row r="722" customFormat="false" ht="15" hidden="false" customHeight="false" outlineLevel="0" collapsed="false">
      <c r="A722" s="16" t="n">
        <v>1729</v>
      </c>
      <c r="B722" s="9" t="n">
        <f aca="false">COUNTIF(JE_Lines!$B$5:$B$1733,A722)</f>
        <v>2</v>
      </c>
      <c r="C722" s="17" t="n">
        <f aca="false">SUMIFS(JE_Lines!$G$5:$G$1733,JE_Lines!$B$5:$B$1733,A722)</f>
        <v>7883</v>
      </c>
      <c r="D722" s="17" t="n">
        <f aca="false">SUMIFS(JE_Lines!$H$5:$H$1733,JE_Lines!$B$5:$B$1733,A722)</f>
        <v>7883</v>
      </c>
      <c r="E722" s="17" t="n">
        <f aca="false">C722-D722</f>
        <v>0</v>
      </c>
      <c r="F722" s="18" t="n">
        <f aca="false">INDEX(JE_Lines!$C$5:$C$1733,MATCH(A722,JE_Lines!$B$5:$B$1733,0))</f>
        <v>46000</v>
      </c>
      <c r="G722" s="18" t="n">
        <f aca="false">INDEX(JE_Lines!$D$5:$D$1733,MATCH(A722,JE_Lines!$B$5:$B$1733,0))</f>
        <v>46000</v>
      </c>
      <c r="H722" s="0" t="str">
        <f aca="false">INDEX(JE_Lines!$I$5:$I$1733,MATCH(A722,JE_Lines!$B$5:$B$1733,0))</f>
        <v>SYS_AP</v>
      </c>
      <c r="I722" s="0" t="str">
        <f aca="false">INDEX(JE_Lines!$J$5:$J$1733,MATCH(A722,JE_Lines!$B$5:$B$1733,0))</f>
        <v>System</v>
      </c>
      <c r="J722" s="0" t="str">
        <f aca="false">IF(LEN(INDEX(JE_Lines!$K$5:$K$1733,MATCH(A722,JE_Lines!$B$5:$B$1733,0)))=0,"",INDEX(JE_Lines!$K$5:$K$1733,MATCH(A722,JE_Lines!$B$5:$B$1733,0)))</f>
        <v>Utilities invoices</v>
      </c>
      <c r="K722" s="9" t="n">
        <f aca="false">F722-G722</f>
        <v>0</v>
      </c>
      <c r="L722" s="9" t="n">
        <f aca="false">COUNTIFS(JE_Lines!$B$5:$B$1733,A722,JE_Lines!$F$5:$F$1733,"Revenue")</f>
        <v>0</v>
      </c>
      <c r="M722" s="9" t="n">
        <f aca="false">COUNTIFS(JE_Lines!$B$5:$B$1733,A722,JE_Lines!$F$5:$F$1733,"Suspense")</f>
        <v>0</v>
      </c>
      <c r="N722" s="9" t="n">
        <f aca="false">IF(ABS(E722)&gt;Parameters!$B$23,1,0)</f>
        <v>0</v>
      </c>
      <c r="O722" s="9" t="n">
        <f aca="false">IF(WEEKDAY(F722,2)&gt;5,1,0)</f>
        <v>0</v>
      </c>
      <c r="P722" s="9" t="n">
        <f aca="false">IF(K722&gt;Parameters!$B$17,1,0)</f>
        <v>0</v>
      </c>
      <c r="Q722" s="9" t="n">
        <f aca="false">IF(AND(F722&lt;=Parameters!$B$6,F722&gt;Parameters!$B$6-Parameters!$B$18),1,0)</f>
        <v>0</v>
      </c>
      <c r="R722" s="9" t="n">
        <f aca="false">IF(COUNTIF(Parameters!$A$51:$A$58,H722)=0,1,0)</f>
        <v>0</v>
      </c>
      <c r="S722" s="9" t="n">
        <f aca="false">IF(AND(I722="Manual",L722&gt;0),1,0)</f>
        <v>0</v>
      </c>
      <c r="T722" s="9" t="n">
        <f aca="false">IF(AND(C722&gt;=Parameters!$B$22,ROUND(MOD(ROUND(C722,2),Parameters!$B$21),2)=0),1,0)</f>
        <v>0</v>
      </c>
      <c r="U722" s="9" t="n">
        <f aca="false">IF(LEN(TRIM(J722))=0,1,0)</f>
        <v>0</v>
      </c>
      <c r="V722" s="9" t="n">
        <f aca="false">IF(AND(I722="Manual",C722&lt;Parameters!$B$19,C722&gt;=Parameters!$B$19*(1-Parameters!$B$20)),1,0)</f>
        <v>0</v>
      </c>
      <c r="W722" s="9" t="n">
        <f aca="false">IF(AND(I722="Manual",M722&gt;0),1,0)</f>
        <v>0</v>
      </c>
      <c r="X722" s="9" t="n">
        <f aca="false">IF(A722-A721&gt;1,1,0)</f>
        <v>0</v>
      </c>
      <c r="Y722" s="9" t="n">
        <f aca="false">N722*Parameters!$B$38+O722*Parameters!$B$39+P722*Parameters!$B$40+Q722*Parameters!$B$41+R722*Parameters!$B$42+S722*Parameters!$B$43+T722*Parameters!$B$44+U722*Parameters!$B$45+V722*Parameters!$B$46+W722*Parameters!$B$47+X722*Parameters!$B$48</f>
        <v>0</v>
      </c>
      <c r="Z722" s="0" t="str">
        <f aca="false">IF(Y722&gt;=Parameters!$B$25,"High","")</f>
        <v/>
      </c>
    </row>
    <row r="723" customFormat="false" ht="15" hidden="false" customHeight="false" outlineLevel="0" collapsed="false">
      <c r="A723" s="16" t="n">
        <v>1730</v>
      </c>
      <c r="B723" s="9" t="n">
        <f aca="false">COUNTIF(JE_Lines!$B$5:$B$1733,A723)</f>
        <v>2</v>
      </c>
      <c r="C723" s="17" t="n">
        <f aca="false">SUMIFS(JE_Lines!$G$5:$G$1733,JE_Lines!$B$5:$B$1733,A723)</f>
        <v>49714.23</v>
      </c>
      <c r="D723" s="17" t="n">
        <f aca="false">SUMIFS(JE_Lines!$H$5:$H$1733,JE_Lines!$B$5:$B$1733,A723)</f>
        <v>49714.23</v>
      </c>
      <c r="E723" s="17" t="n">
        <f aca="false">C723-D723</f>
        <v>0</v>
      </c>
      <c r="F723" s="18" t="n">
        <f aca="false">INDEX(JE_Lines!$C$5:$C$1733,MATCH(A723,JE_Lines!$B$5:$B$1733,0))</f>
        <v>46001</v>
      </c>
      <c r="G723" s="18" t="n">
        <f aca="false">INDEX(JE_Lines!$D$5:$D$1733,MATCH(A723,JE_Lines!$B$5:$B$1733,0))</f>
        <v>45999</v>
      </c>
      <c r="H723" s="0" t="str">
        <f aca="false">INDEX(JE_Lines!$I$5:$I$1733,MATCH(A723,JE_Lines!$B$5:$B$1733,0))</f>
        <v>SYS_PAY</v>
      </c>
      <c r="I723" s="0" t="str">
        <f aca="false">INDEX(JE_Lines!$J$5:$J$1733,MATCH(A723,JE_Lines!$B$5:$B$1733,0))</f>
        <v>System</v>
      </c>
      <c r="J723" s="0" t="str">
        <f aca="false">IF(LEN(INDEX(JE_Lines!$K$5:$K$1733,MATCH(A723,JE_Lines!$B$5:$B$1733,0)))=0,"",INDEX(JE_Lines!$K$5:$K$1733,MATCH(A723,JE_Lines!$B$5:$B$1733,0)))</f>
        <v>Supplier payments</v>
      </c>
      <c r="K723" s="9" t="n">
        <f aca="false">F723-G723</f>
        <v>2</v>
      </c>
      <c r="L723" s="9" t="n">
        <f aca="false">COUNTIFS(JE_Lines!$B$5:$B$1733,A723,JE_Lines!$F$5:$F$1733,"Revenue")</f>
        <v>0</v>
      </c>
      <c r="M723" s="9" t="n">
        <f aca="false">COUNTIFS(JE_Lines!$B$5:$B$1733,A723,JE_Lines!$F$5:$F$1733,"Suspense")</f>
        <v>0</v>
      </c>
      <c r="N723" s="9" t="n">
        <f aca="false">IF(ABS(E723)&gt;Parameters!$B$23,1,0)</f>
        <v>0</v>
      </c>
      <c r="O723" s="9" t="n">
        <f aca="false">IF(WEEKDAY(F723,2)&gt;5,1,0)</f>
        <v>0</v>
      </c>
      <c r="P723" s="9" t="n">
        <f aca="false">IF(K723&gt;Parameters!$B$17,1,0)</f>
        <v>0</v>
      </c>
      <c r="Q723" s="9" t="n">
        <f aca="false">IF(AND(F723&lt;=Parameters!$B$6,F723&gt;Parameters!$B$6-Parameters!$B$18),1,0)</f>
        <v>0</v>
      </c>
      <c r="R723" s="9" t="n">
        <f aca="false">IF(COUNTIF(Parameters!$A$51:$A$58,H723)=0,1,0)</f>
        <v>0</v>
      </c>
      <c r="S723" s="9" t="n">
        <f aca="false">IF(AND(I723="Manual",L723&gt;0),1,0)</f>
        <v>0</v>
      </c>
      <c r="T723" s="9" t="n">
        <f aca="false">IF(AND(C723&gt;=Parameters!$B$22,ROUND(MOD(ROUND(C723,2),Parameters!$B$21),2)=0),1,0)</f>
        <v>0</v>
      </c>
      <c r="U723" s="9" t="n">
        <f aca="false">IF(LEN(TRIM(J723))=0,1,0)</f>
        <v>0</v>
      </c>
      <c r="V723" s="9" t="n">
        <f aca="false">IF(AND(I723="Manual",C723&lt;Parameters!$B$19,C723&gt;=Parameters!$B$19*(1-Parameters!$B$20)),1,0)</f>
        <v>0</v>
      </c>
      <c r="W723" s="9" t="n">
        <f aca="false">IF(AND(I723="Manual",M723&gt;0),1,0)</f>
        <v>0</v>
      </c>
      <c r="X723" s="9" t="n">
        <f aca="false">IF(A723-A722&gt;1,1,0)</f>
        <v>0</v>
      </c>
      <c r="Y723" s="9" t="n">
        <f aca="false">N723*Parameters!$B$38+O723*Parameters!$B$39+P723*Parameters!$B$40+Q723*Parameters!$B$41+R723*Parameters!$B$42+S723*Parameters!$B$43+T723*Parameters!$B$44+U723*Parameters!$B$45+V723*Parameters!$B$46+W723*Parameters!$B$47+X723*Parameters!$B$48</f>
        <v>0</v>
      </c>
      <c r="Z723" s="0" t="str">
        <f aca="false">IF(Y723&gt;=Parameters!$B$25,"High","")</f>
        <v/>
      </c>
    </row>
    <row r="724" customFormat="false" ht="15" hidden="false" customHeight="false" outlineLevel="0" collapsed="false">
      <c r="A724" s="16" t="n">
        <v>1731</v>
      </c>
      <c r="B724" s="9" t="n">
        <f aca="false">COUNTIF(JE_Lines!$B$5:$B$1733,A724)</f>
        <v>2</v>
      </c>
      <c r="C724" s="17" t="n">
        <f aca="false">SUMIFS(JE_Lines!$G$5:$G$1733,JE_Lines!$B$5:$B$1733,A724)</f>
        <v>7638.11</v>
      </c>
      <c r="D724" s="17" t="n">
        <f aca="false">SUMIFS(JE_Lines!$H$5:$H$1733,JE_Lines!$B$5:$B$1733,A724)</f>
        <v>7638.11</v>
      </c>
      <c r="E724" s="17" t="n">
        <f aca="false">C724-D724</f>
        <v>0</v>
      </c>
      <c r="F724" s="18" t="n">
        <f aca="false">INDEX(JE_Lines!$C$5:$C$1733,MATCH(A724,JE_Lines!$B$5:$B$1733,0))</f>
        <v>46001</v>
      </c>
      <c r="G724" s="18" t="n">
        <f aca="false">INDEX(JE_Lines!$D$5:$D$1733,MATCH(A724,JE_Lines!$B$5:$B$1733,0))</f>
        <v>45997</v>
      </c>
      <c r="H724" s="0" t="str">
        <f aca="false">INDEX(JE_Lines!$I$5:$I$1733,MATCH(A724,JE_Lines!$B$5:$B$1733,0))</f>
        <v>SYS_AP</v>
      </c>
      <c r="I724" s="0" t="str">
        <f aca="false">INDEX(JE_Lines!$J$5:$J$1733,MATCH(A724,JE_Lines!$B$5:$B$1733,0))</f>
        <v>System</v>
      </c>
      <c r="J724" s="0" t="str">
        <f aca="false">IF(LEN(INDEX(JE_Lines!$K$5:$K$1733,MATCH(A724,JE_Lines!$B$5:$B$1733,0)))=0,"",INDEX(JE_Lines!$K$5:$K$1733,MATCH(A724,JE_Lines!$B$5:$B$1733,0)))</f>
        <v>Supplier invoices</v>
      </c>
      <c r="K724" s="9" t="n">
        <f aca="false">F724-G724</f>
        <v>4</v>
      </c>
      <c r="L724" s="9" t="n">
        <f aca="false">COUNTIFS(JE_Lines!$B$5:$B$1733,A724,JE_Lines!$F$5:$F$1733,"Revenue")</f>
        <v>0</v>
      </c>
      <c r="M724" s="9" t="n">
        <f aca="false">COUNTIFS(JE_Lines!$B$5:$B$1733,A724,JE_Lines!$F$5:$F$1733,"Suspense")</f>
        <v>0</v>
      </c>
      <c r="N724" s="9" t="n">
        <f aca="false">IF(ABS(E724)&gt;Parameters!$B$23,1,0)</f>
        <v>0</v>
      </c>
      <c r="O724" s="9" t="n">
        <f aca="false">IF(WEEKDAY(F724,2)&gt;5,1,0)</f>
        <v>0</v>
      </c>
      <c r="P724" s="9" t="n">
        <f aca="false">IF(K724&gt;Parameters!$B$17,1,0)</f>
        <v>0</v>
      </c>
      <c r="Q724" s="9" t="n">
        <f aca="false">IF(AND(F724&lt;=Parameters!$B$6,F724&gt;Parameters!$B$6-Parameters!$B$18),1,0)</f>
        <v>0</v>
      </c>
      <c r="R724" s="9" t="n">
        <f aca="false">IF(COUNTIF(Parameters!$A$51:$A$58,H724)=0,1,0)</f>
        <v>0</v>
      </c>
      <c r="S724" s="9" t="n">
        <f aca="false">IF(AND(I724="Manual",L724&gt;0),1,0)</f>
        <v>0</v>
      </c>
      <c r="T724" s="9" t="n">
        <f aca="false">IF(AND(C724&gt;=Parameters!$B$22,ROUND(MOD(ROUND(C724,2),Parameters!$B$21),2)=0),1,0)</f>
        <v>0</v>
      </c>
      <c r="U724" s="9" t="n">
        <f aca="false">IF(LEN(TRIM(J724))=0,1,0)</f>
        <v>0</v>
      </c>
      <c r="V724" s="9" t="n">
        <f aca="false">IF(AND(I724="Manual",C724&lt;Parameters!$B$19,C724&gt;=Parameters!$B$19*(1-Parameters!$B$20)),1,0)</f>
        <v>0</v>
      </c>
      <c r="W724" s="9" t="n">
        <f aca="false">IF(AND(I724="Manual",M724&gt;0),1,0)</f>
        <v>0</v>
      </c>
      <c r="X724" s="9" t="n">
        <f aca="false">IF(A724-A723&gt;1,1,0)</f>
        <v>0</v>
      </c>
      <c r="Y724" s="9" t="n">
        <f aca="false">N724*Parameters!$B$38+O724*Parameters!$B$39+P724*Parameters!$B$40+Q724*Parameters!$B$41+R724*Parameters!$B$42+S724*Parameters!$B$43+T724*Parameters!$B$44+U724*Parameters!$B$45+V724*Parameters!$B$46+W724*Parameters!$B$47+X724*Parameters!$B$48</f>
        <v>0</v>
      </c>
      <c r="Z724" s="0" t="str">
        <f aca="false">IF(Y724&gt;=Parameters!$B$25,"High","")</f>
        <v/>
      </c>
    </row>
    <row r="725" customFormat="false" ht="15" hidden="false" customHeight="false" outlineLevel="0" collapsed="false">
      <c r="A725" s="16" t="n">
        <v>1732</v>
      </c>
      <c r="B725" s="9" t="n">
        <f aca="false">COUNTIF(JE_Lines!$B$5:$B$1733,A725)</f>
        <v>3</v>
      </c>
      <c r="C725" s="17" t="n">
        <f aca="false">SUMIFS(JE_Lines!$G$5:$G$1733,JE_Lines!$B$5:$B$1733,A725)</f>
        <v>14453.89</v>
      </c>
      <c r="D725" s="17" t="n">
        <f aca="false">SUMIFS(JE_Lines!$H$5:$H$1733,JE_Lines!$B$5:$B$1733,A725)</f>
        <v>14453.89</v>
      </c>
      <c r="E725" s="17" t="n">
        <f aca="false">C725-D725</f>
        <v>0</v>
      </c>
      <c r="F725" s="18" t="n">
        <f aca="false">INDEX(JE_Lines!$C$5:$C$1733,MATCH(A725,JE_Lines!$B$5:$B$1733,0))</f>
        <v>46001</v>
      </c>
      <c r="G725" s="18" t="n">
        <f aca="false">INDEX(JE_Lines!$D$5:$D$1733,MATCH(A725,JE_Lines!$B$5:$B$1733,0))</f>
        <v>46001</v>
      </c>
      <c r="H725" s="0" t="str">
        <f aca="false">INDEX(JE_Lines!$I$5:$I$1733,MATCH(A725,JE_Lines!$B$5:$B$1733,0))</f>
        <v>SYS_AR</v>
      </c>
      <c r="I725" s="0" t="str">
        <f aca="false">INDEX(JE_Lines!$J$5:$J$1733,MATCH(A725,JE_Lines!$B$5:$B$1733,0))</f>
        <v>System</v>
      </c>
      <c r="J725" s="0" t="str">
        <f aca="false">IF(LEN(INDEX(JE_Lines!$K$5:$K$1733,MATCH(A725,JE_Lines!$B$5:$B$1733,0)))=0,"",INDEX(JE_Lines!$K$5:$K$1733,MATCH(A725,JE_Lines!$B$5:$B$1733,0)))</f>
        <v>Sales invoice batch</v>
      </c>
      <c r="K725" s="9" t="n">
        <f aca="false">F725-G725</f>
        <v>0</v>
      </c>
      <c r="L725" s="9" t="n">
        <f aca="false">COUNTIFS(JE_Lines!$B$5:$B$1733,A725,JE_Lines!$F$5:$F$1733,"Revenue")</f>
        <v>1</v>
      </c>
      <c r="M725" s="9" t="n">
        <f aca="false">COUNTIFS(JE_Lines!$B$5:$B$1733,A725,JE_Lines!$F$5:$F$1733,"Suspense")</f>
        <v>0</v>
      </c>
      <c r="N725" s="9" t="n">
        <f aca="false">IF(ABS(E725)&gt;Parameters!$B$23,1,0)</f>
        <v>0</v>
      </c>
      <c r="O725" s="9" t="n">
        <f aca="false">IF(WEEKDAY(F725,2)&gt;5,1,0)</f>
        <v>0</v>
      </c>
      <c r="P725" s="9" t="n">
        <f aca="false">IF(K725&gt;Parameters!$B$17,1,0)</f>
        <v>0</v>
      </c>
      <c r="Q725" s="9" t="n">
        <f aca="false">IF(AND(F725&lt;=Parameters!$B$6,F725&gt;Parameters!$B$6-Parameters!$B$18),1,0)</f>
        <v>0</v>
      </c>
      <c r="R725" s="9" t="n">
        <f aca="false">IF(COUNTIF(Parameters!$A$51:$A$58,H725)=0,1,0)</f>
        <v>0</v>
      </c>
      <c r="S725" s="9" t="n">
        <f aca="false">IF(AND(I725="Manual",L725&gt;0),1,0)</f>
        <v>0</v>
      </c>
      <c r="T725" s="9" t="n">
        <f aca="false">IF(AND(C725&gt;=Parameters!$B$22,ROUND(MOD(ROUND(C725,2),Parameters!$B$21),2)=0),1,0)</f>
        <v>0</v>
      </c>
      <c r="U725" s="9" t="n">
        <f aca="false">IF(LEN(TRIM(J725))=0,1,0)</f>
        <v>0</v>
      </c>
      <c r="V725" s="9" t="n">
        <f aca="false">IF(AND(I725="Manual",C725&lt;Parameters!$B$19,C725&gt;=Parameters!$B$19*(1-Parameters!$B$20)),1,0)</f>
        <v>0</v>
      </c>
      <c r="W725" s="9" t="n">
        <f aca="false">IF(AND(I725="Manual",M725&gt;0),1,0)</f>
        <v>0</v>
      </c>
      <c r="X725" s="9" t="n">
        <f aca="false">IF(A725-A724&gt;1,1,0)</f>
        <v>0</v>
      </c>
      <c r="Y725" s="9" t="n">
        <f aca="false">N725*Parameters!$B$38+O725*Parameters!$B$39+P725*Parameters!$B$40+Q725*Parameters!$B$41+R725*Parameters!$B$42+S725*Parameters!$B$43+T725*Parameters!$B$44+U725*Parameters!$B$45+V725*Parameters!$B$46+W725*Parameters!$B$47+X725*Parameters!$B$48</f>
        <v>0</v>
      </c>
      <c r="Z725" s="0" t="str">
        <f aca="false">IF(Y725&gt;=Parameters!$B$25,"High","")</f>
        <v/>
      </c>
    </row>
    <row r="726" customFormat="false" ht="15" hidden="false" customHeight="false" outlineLevel="0" collapsed="false">
      <c r="A726" s="16" t="n">
        <v>1733</v>
      </c>
      <c r="B726" s="9" t="n">
        <f aca="false">COUNTIF(JE_Lines!$B$5:$B$1733,A726)</f>
        <v>2</v>
      </c>
      <c r="C726" s="17" t="n">
        <f aca="false">SUMIFS(JE_Lines!$G$5:$G$1733,JE_Lines!$B$5:$B$1733,A726)</f>
        <v>1466.65</v>
      </c>
      <c r="D726" s="17" t="n">
        <f aca="false">SUMIFS(JE_Lines!$H$5:$H$1733,JE_Lines!$B$5:$B$1733,A726)</f>
        <v>1466.65</v>
      </c>
      <c r="E726" s="17" t="n">
        <f aca="false">C726-D726</f>
        <v>0</v>
      </c>
      <c r="F726" s="18" t="n">
        <f aca="false">INDEX(JE_Lines!$C$5:$C$1733,MATCH(A726,JE_Lines!$B$5:$B$1733,0))</f>
        <v>46001</v>
      </c>
      <c r="G726" s="18" t="n">
        <f aca="false">INDEX(JE_Lines!$D$5:$D$1733,MATCH(A726,JE_Lines!$B$5:$B$1733,0))</f>
        <v>45997</v>
      </c>
      <c r="H726" s="0" t="str">
        <f aca="false">INDEX(JE_Lines!$I$5:$I$1733,MATCH(A726,JE_Lines!$B$5:$B$1733,0))</f>
        <v>SYS_AP</v>
      </c>
      <c r="I726" s="0" t="str">
        <f aca="false">INDEX(JE_Lines!$J$5:$J$1733,MATCH(A726,JE_Lines!$B$5:$B$1733,0))</f>
        <v>System</v>
      </c>
      <c r="J726" s="0" t="str">
        <f aca="false">IF(LEN(INDEX(JE_Lines!$K$5:$K$1733,MATCH(A726,JE_Lines!$B$5:$B$1733,0)))=0,"",INDEX(JE_Lines!$K$5:$K$1733,MATCH(A726,JE_Lines!$B$5:$B$1733,0)))</f>
        <v>Utilities invoices</v>
      </c>
      <c r="K726" s="9" t="n">
        <f aca="false">F726-G726</f>
        <v>4</v>
      </c>
      <c r="L726" s="9" t="n">
        <f aca="false">COUNTIFS(JE_Lines!$B$5:$B$1733,A726,JE_Lines!$F$5:$F$1733,"Revenue")</f>
        <v>0</v>
      </c>
      <c r="M726" s="9" t="n">
        <f aca="false">COUNTIFS(JE_Lines!$B$5:$B$1733,A726,JE_Lines!$F$5:$F$1733,"Suspense")</f>
        <v>0</v>
      </c>
      <c r="N726" s="9" t="n">
        <f aca="false">IF(ABS(E726)&gt;Parameters!$B$23,1,0)</f>
        <v>0</v>
      </c>
      <c r="O726" s="9" t="n">
        <f aca="false">IF(WEEKDAY(F726,2)&gt;5,1,0)</f>
        <v>0</v>
      </c>
      <c r="P726" s="9" t="n">
        <f aca="false">IF(K726&gt;Parameters!$B$17,1,0)</f>
        <v>0</v>
      </c>
      <c r="Q726" s="9" t="n">
        <f aca="false">IF(AND(F726&lt;=Parameters!$B$6,F726&gt;Parameters!$B$6-Parameters!$B$18),1,0)</f>
        <v>0</v>
      </c>
      <c r="R726" s="9" t="n">
        <f aca="false">IF(COUNTIF(Parameters!$A$51:$A$58,H726)=0,1,0)</f>
        <v>0</v>
      </c>
      <c r="S726" s="9" t="n">
        <f aca="false">IF(AND(I726="Manual",L726&gt;0),1,0)</f>
        <v>0</v>
      </c>
      <c r="T726" s="9" t="n">
        <f aca="false">IF(AND(C726&gt;=Parameters!$B$22,ROUND(MOD(ROUND(C726,2),Parameters!$B$21),2)=0),1,0)</f>
        <v>0</v>
      </c>
      <c r="U726" s="9" t="n">
        <f aca="false">IF(LEN(TRIM(J726))=0,1,0)</f>
        <v>0</v>
      </c>
      <c r="V726" s="9" t="n">
        <f aca="false">IF(AND(I726="Manual",C726&lt;Parameters!$B$19,C726&gt;=Parameters!$B$19*(1-Parameters!$B$20)),1,0)</f>
        <v>0</v>
      </c>
      <c r="W726" s="9" t="n">
        <f aca="false">IF(AND(I726="Manual",M726&gt;0),1,0)</f>
        <v>0</v>
      </c>
      <c r="X726" s="9" t="n">
        <f aca="false">IF(A726-A725&gt;1,1,0)</f>
        <v>0</v>
      </c>
      <c r="Y726" s="9" t="n">
        <f aca="false">N726*Parameters!$B$38+O726*Parameters!$B$39+P726*Parameters!$B$40+Q726*Parameters!$B$41+R726*Parameters!$B$42+S726*Parameters!$B$43+T726*Parameters!$B$44+U726*Parameters!$B$45+V726*Parameters!$B$46+W726*Parameters!$B$47+X726*Parameters!$B$48</f>
        <v>0</v>
      </c>
      <c r="Z726" s="0" t="str">
        <f aca="false">IF(Y726&gt;=Parameters!$B$25,"High","")</f>
        <v/>
      </c>
    </row>
    <row r="727" customFormat="false" ht="15" hidden="false" customHeight="false" outlineLevel="0" collapsed="false">
      <c r="A727" s="16" t="n">
        <v>1734</v>
      </c>
      <c r="B727" s="9" t="n">
        <f aca="false">COUNTIF(JE_Lines!$B$5:$B$1733,A727)</f>
        <v>2</v>
      </c>
      <c r="C727" s="17" t="n">
        <f aca="false">SUMIFS(JE_Lines!$G$5:$G$1733,JE_Lines!$B$5:$B$1733,A727)</f>
        <v>2286.94</v>
      </c>
      <c r="D727" s="17" t="n">
        <f aca="false">SUMIFS(JE_Lines!$H$5:$H$1733,JE_Lines!$B$5:$B$1733,A727)</f>
        <v>2286.94</v>
      </c>
      <c r="E727" s="17" t="n">
        <f aca="false">C727-D727</f>
        <v>0</v>
      </c>
      <c r="F727" s="18" t="n">
        <f aca="false">INDEX(JE_Lines!$C$5:$C$1733,MATCH(A727,JE_Lines!$B$5:$B$1733,0))</f>
        <v>46001</v>
      </c>
      <c r="G727" s="18" t="n">
        <f aca="false">INDEX(JE_Lines!$D$5:$D$1733,MATCH(A727,JE_Lines!$B$5:$B$1733,0))</f>
        <v>46000</v>
      </c>
      <c r="H727" s="0" t="str">
        <f aca="false">INDEX(JE_Lines!$I$5:$I$1733,MATCH(A727,JE_Lines!$B$5:$B$1733,0))</f>
        <v>SYS_PAY</v>
      </c>
      <c r="I727" s="0" t="str">
        <f aca="false">INDEX(JE_Lines!$J$5:$J$1733,MATCH(A727,JE_Lines!$B$5:$B$1733,0))</f>
        <v>System</v>
      </c>
      <c r="J727" s="0" t="str">
        <f aca="false">IF(LEN(INDEX(JE_Lines!$K$5:$K$1733,MATCH(A727,JE_Lines!$B$5:$B$1733,0)))=0,"",INDEX(JE_Lines!$K$5:$K$1733,MATCH(A727,JE_Lines!$B$5:$B$1733,0)))</f>
        <v>Supplier payments</v>
      </c>
      <c r="K727" s="9" t="n">
        <f aca="false">F727-G727</f>
        <v>1</v>
      </c>
      <c r="L727" s="9" t="n">
        <f aca="false">COUNTIFS(JE_Lines!$B$5:$B$1733,A727,JE_Lines!$F$5:$F$1733,"Revenue")</f>
        <v>0</v>
      </c>
      <c r="M727" s="9" t="n">
        <f aca="false">COUNTIFS(JE_Lines!$B$5:$B$1733,A727,JE_Lines!$F$5:$F$1733,"Suspense")</f>
        <v>0</v>
      </c>
      <c r="N727" s="9" t="n">
        <f aca="false">IF(ABS(E727)&gt;Parameters!$B$23,1,0)</f>
        <v>0</v>
      </c>
      <c r="O727" s="9" t="n">
        <f aca="false">IF(WEEKDAY(F727,2)&gt;5,1,0)</f>
        <v>0</v>
      </c>
      <c r="P727" s="9" t="n">
        <f aca="false">IF(K727&gt;Parameters!$B$17,1,0)</f>
        <v>0</v>
      </c>
      <c r="Q727" s="9" t="n">
        <f aca="false">IF(AND(F727&lt;=Parameters!$B$6,F727&gt;Parameters!$B$6-Parameters!$B$18),1,0)</f>
        <v>0</v>
      </c>
      <c r="R727" s="9" t="n">
        <f aca="false">IF(COUNTIF(Parameters!$A$51:$A$58,H727)=0,1,0)</f>
        <v>0</v>
      </c>
      <c r="S727" s="9" t="n">
        <f aca="false">IF(AND(I727="Manual",L727&gt;0),1,0)</f>
        <v>0</v>
      </c>
      <c r="T727" s="9" t="n">
        <f aca="false">IF(AND(C727&gt;=Parameters!$B$22,ROUND(MOD(ROUND(C727,2),Parameters!$B$21),2)=0),1,0)</f>
        <v>0</v>
      </c>
      <c r="U727" s="9" t="n">
        <f aca="false">IF(LEN(TRIM(J727))=0,1,0)</f>
        <v>0</v>
      </c>
      <c r="V727" s="9" t="n">
        <f aca="false">IF(AND(I727="Manual",C727&lt;Parameters!$B$19,C727&gt;=Parameters!$B$19*(1-Parameters!$B$20)),1,0)</f>
        <v>0</v>
      </c>
      <c r="W727" s="9" t="n">
        <f aca="false">IF(AND(I727="Manual",M727&gt;0),1,0)</f>
        <v>0</v>
      </c>
      <c r="X727" s="9" t="n">
        <f aca="false">IF(A727-A726&gt;1,1,0)</f>
        <v>0</v>
      </c>
      <c r="Y727" s="9" t="n">
        <f aca="false">N727*Parameters!$B$38+O727*Parameters!$B$39+P727*Parameters!$B$40+Q727*Parameters!$B$41+R727*Parameters!$B$42+S727*Parameters!$B$43+T727*Parameters!$B$44+U727*Parameters!$B$45+V727*Parameters!$B$46+W727*Parameters!$B$47+X727*Parameters!$B$48</f>
        <v>0</v>
      </c>
      <c r="Z727" s="0" t="str">
        <f aca="false">IF(Y727&gt;=Parameters!$B$25,"High","")</f>
        <v/>
      </c>
    </row>
    <row r="728" customFormat="false" ht="15" hidden="false" customHeight="false" outlineLevel="0" collapsed="false">
      <c r="A728" s="16" t="n">
        <v>1735</v>
      </c>
      <c r="B728" s="9" t="n">
        <f aca="false">COUNTIF(JE_Lines!$B$5:$B$1733,A728)</f>
        <v>2</v>
      </c>
      <c r="C728" s="17" t="n">
        <f aca="false">SUMIFS(JE_Lines!$G$5:$G$1733,JE_Lines!$B$5:$B$1733,A728)</f>
        <v>4954.03</v>
      </c>
      <c r="D728" s="17" t="n">
        <f aca="false">SUMIFS(JE_Lines!$H$5:$H$1733,JE_Lines!$B$5:$B$1733,A728)</f>
        <v>4954.03</v>
      </c>
      <c r="E728" s="17" t="n">
        <f aca="false">C728-D728</f>
        <v>0</v>
      </c>
      <c r="F728" s="18" t="n">
        <f aca="false">INDEX(JE_Lines!$C$5:$C$1733,MATCH(A728,JE_Lines!$B$5:$B$1733,0))</f>
        <v>46002</v>
      </c>
      <c r="G728" s="18" t="n">
        <f aca="false">INDEX(JE_Lines!$D$5:$D$1733,MATCH(A728,JE_Lines!$B$5:$B$1733,0))</f>
        <v>45998</v>
      </c>
      <c r="H728" s="0" t="str">
        <f aca="false">INDEX(JE_Lines!$I$5:$I$1733,MATCH(A728,JE_Lines!$B$5:$B$1733,0))</f>
        <v>SYS_AP</v>
      </c>
      <c r="I728" s="0" t="str">
        <f aca="false">INDEX(JE_Lines!$J$5:$J$1733,MATCH(A728,JE_Lines!$B$5:$B$1733,0))</f>
        <v>System</v>
      </c>
      <c r="J728" s="0" t="str">
        <f aca="false">IF(LEN(INDEX(JE_Lines!$K$5:$K$1733,MATCH(A728,JE_Lines!$B$5:$B$1733,0)))=0,"",INDEX(JE_Lines!$K$5:$K$1733,MATCH(A728,JE_Lines!$B$5:$B$1733,0)))</f>
        <v>Supplier invoices</v>
      </c>
      <c r="K728" s="9" t="n">
        <f aca="false">F728-G728</f>
        <v>4</v>
      </c>
      <c r="L728" s="9" t="n">
        <f aca="false">COUNTIFS(JE_Lines!$B$5:$B$1733,A728,JE_Lines!$F$5:$F$1733,"Revenue")</f>
        <v>0</v>
      </c>
      <c r="M728" s="9" t="n">
        <f aca="false">COUNTIFS(JE_Lines!$B$5:$B$1733,A728,JE_Lines!$F$5:$F$1733,"Suspense")</f>
        <v>0</v>
      </c>
      <c r="N728" s="9" t="n">
        <f aca="false">IF(ABS(E728)&gt;Parameters!$B$23,1,0)</f>
        <v>0</v>
      </c>
      <c r="O728" s="9" t="n">
        <f aca="false">IF(WEEKDAY(F728,2)&gt;5,1,0)</f>
        <v>0</v>
      </c>
      <c r="P728" s="9" t="n">
        <f aca="false">IF(K728&gt;Parameters!$B$17,1,0)</f>
        <v>0</v>
      </c>
      <c r="Q728" s="9" t="n">
        <f aca="false">IF(AND(F728&lt;=Parameters!$B$6,F728&gt;Parameters!$B$6-Parameters!$B$18),1,0)</f>
        <v>0</v>
      </c>
      <c r="R728" s="9" t="n">
        <f aca="false">IF(COUNTIF(Parameters!$A$51:$A$58,H728)=0,1,0)</f>
        <v>0</v>
      </c>
      <c r="S728" s="9" t="n">
        <f aca="false">IF(AND(I728="Manual",L728&gt;0),1,0)</f>
        <v>0</v>
      </c>
      <c r="T728" s="9" t="n">
        <f aca="false">IF(AND(C728&gt;=Parameters!$B$22,ROUND(MOD(ROUND(C728,2),Parameters!$B$21),2)=0),1,0)</f>
        <v>0</v>
      </c>
      <c r="U728" s="9" t="n">
        <f aca="false">IF(LEN(TRIM(J728))=0,1,0)</f>
        <v>0</v>
      </c>
      <c r="V728" s="9" t="n">
        <f aca="false">IF(AND(I728="Manual",C728&lt;Parameters!$B$19,C728&gt;=Parameters!$B$19*(1-Parameters!$B$20)),1,0)</f>
        <v>0</v>
      </c>
      <c r="W728" s="9" t="n">
        <f aca="false">IF(AND(I728="Manual",M728&gt;0),1,0)</f>
        <v>0</v>
      </c>
      <c r="X728" s="9" t="n">
        <f aca="false">IF(A728-A727&gt;1,1,0)</f>
        <v>0</v>
      </c>
      <c r="Y728" s="9" t="n">
        <f aca="false">N728*Parameters!$B$38+O728*Parameters!$B$39+P728*Parameters!$B$40+Q728*Parameters!$B$41+R728*Parameters!$B$42+S728*Parameters!$B$43+T728*Parameters!$B$44+U728*Parameters!$B$45+V728*Parameters!$B$46+W728*Parameters!$B$47+X728*Parameters!$B$48</f>
        <v>0</v>
      </c>
      <c r="Z728" s="0" t="str">
        <f aca="false">IF(Y728&gt;=Parameters!$B$25,"High","")</f>
        <v/>
      </c>
    </row>
    <row r="729" customFormat="false" ht="15" hidden="false" customHeight="false" outlineLevel="0" collapsed="false">
      <c r="A729" s="16" t="n">
        <v>1736</v>
      </c>
      <c r="B729" s="9" t="n">
        <f aca="false">COUNTIF(JE_Lines!$B$5:$B$1733,A729)</f>
        <v>2</v>
      </c>
      <c r="C729" s="17" t="n">
        <f aca="false">SUMIFS(JE_Lines!$G$5:$G$1733,JE_Lines!$B$5:$B$1733,A729)</f>
        <v>1974.07</v>
      </c>
      <c r="D729" s="17" t="n">
        <f aca="false">SUMIFS(JE_Lines!$H$5:$H$1733,JE_Lines!$B$5:$B$1733,A729)</f>
        <v>1974.07</v>
      </c>
      <c r="E729" s="17" t="n">
        <f aca="false">C729-D729</f>
        <v>0</v>
      </c>
      <c r="F729" s="18" t="n">
        <f aca="false">INDEX(JE_Lines!$C$5:$C$1733,MATCH(A729,JE_Lines!$B$5:$B$1733,0))</f>
        <v>46002</v>
      </c>
      <c r="G729" s="18" t="n">
        <f aca="false">INDEX(JE_Lines!$D$5:$D$1733,MATCH(A729,JE_Lines!$B$5:$B$1733,0))</f>
        <v>46001</v>
      </c>
      <c r="H729" s="0" t="str">
        <f aca="false">INDEX(JE_Lines!$I$5:$I$1733,MATCH(A729,JE_Lines!$B$5:$B$1733,0))</f>
        <v>SYS_AR</v>
      </c>
      <c r="I729" s="0" t="str">
        <f aca="false">INDEX(JE_Lines!$J$5:$J$1733,MATCH(A729,JE_Lines!$B$5:$B$1733,0))</f>
        <v>System</v>
      </c>
      <c r="J729" s="0" t="str">
        <f aca="false">IF(LEN(INDEX(JE_Lines!$K$5:$K$1733,MATCH(A729,JE_Lines!$B$5:$B$1733,0)))=0,"",INDEX(JE_Lines!$K$5:$K$1733,MATCH(A729,JE_Lines!$B$5:$B$1733,0)))</f>
        <v>Sales invoice batch</v>
      </c>
      <c r="K729" s="9" t="n">
        <f aca="false">F729-G729</f>
        <v>1</v>
      </c>
      <c r="L729" s="9" t="n">
        <f aca="false">COUNTIFS(JE_Lines!$B$5:$B$1733,A729,JE_Lines!$F$5:$F$1733,"Revenue")</f>
        <v>1</v>
      </c>
      <c r="M729" s="9" t="n">
        <f aca="false">COUNTIFS(JE_Lines!$B$5:$B$1733,A729,JE_Lines!$F$5:$F$1733,"Suspense")</f>
        <v>0</v>
      </c>
      <c r="N729" s="9" t="n">
        <f aca="false">IF(ABS(E729)&gt;Parameters!$B$23,1,0)</f>
        <v>0</v>
      </c>
      <c r="O729" s="9" t="n">
        <f aca="false">IF(WEEKDAY(F729,2)&gt;5,1,0)</f>
        <v>0</v>
      </c>
      <c r="P729" s="9" t="n">
        <f aca="false">IF(K729&gt;Parameters!$B$17,1,0)</f>
        <v>0</v>
      </c>
      <c r="Q729" s="9" t="n">
        <f aca="false">IF(AND(F729&lt;=Parameters!$B$6,F729&gt;Parameters!$B$6-Parameters!$B$18),1,0)</f>
        <v>0</v>
      </c>
      <c r="R729" s="9" t="n">
        <f aca="false">IF(COUNTIF(Parameters!$A$51:$A$58,H729)=0,1,0)</f>
        <v>0</v>
      </c>
      <c r="S729" s="9" t="n">
        <f aca="false">IF(AND(I729="Manual",L729&gt;0),1,0)</f>
        <v>0</v>
      </c>
      <c r="T729" s="9" t="n">
        <f aca="false">IF(AND(C729&gt;=Parameters!$B$22,ROUND(MOD(ROUND(C729,2),Parameters!$B$21),2)=0),1,0)</f>
        <v>0</v>
      </c>
      <c r="U729" s="9" t="n">
        <f aca="false">IF(LEN(TRIM(J729))=0,1,0)</f>
        <v>0</v>
      </c>
      <c r="V729" s="9" t="n">
        <f aca="false">IF(AND(I729="Manual",C729&lt;Parameters!$B$19,C729&gt;=Parameters!$B$19*(1-Parameters!$B$20)),1,0)</f>
        <v>0</v>
      </c>
      <c r="W729" s="9" t="n">
        <f aca="false">IF(AND(I729="Manual",M729&gt;0),1,0)</f>
        <v>0</v>
      </c>
      <c r="X729" s="9" t="n">
        <f aca="false">IF(A729-A728&gt;1,1,0)</f>
        <v>0</v>
      </c>
      <c r="Y729" s="9" t="n">
        <f aca="false">N729*Parameters!$B$38+O729*Parameters!$B$39+P729*Parameters!$B$40+Q729*Parameters!$B$41+R729*Parameters!$B$42+S729*Parameters!$B$43+T729*Parameters!$B$44+U729*Parameters!$B$45+V729*Parameters!$B$46+W729*Parameters!$B$47+X729*Parameters!$B$48</f>
        <v>0</v>
      </c>
      <c r="Z729" s="0" t="str">
        <f aca="false">IF(Y729&gt;=Parameters!$B$25,"High","")</f>
        <v/>
      </c>
    </row>
    <row r="730" customFormat="false" ht="15" hidden="false" customHeight="false" outlineLevel="0" collapsed="false">
      <c r="A730" s="16" t="n">
        <v>1737</v>
      </c>
      <c r="B730" s="9" t="n">
        <f aca="false">COUNTIF(JE_Lines!$B$5:$B$1733,A730)</f>
        <v>2</v>
      </c>
      <c r="C730" s="17" t="n">
        <f aca="false">SUMIFS(JE_Lines!$G$5:$G$1733,JE_Lines!$B$5:$B$1733,A730)</f>
        <v>335.17</v>
      </c>
      <c r="D730" s="17" t="n">
        <f aca="false">SUMIFS(JE_Lines!$H$5:$H$1733,JE_Lines!$B$5:$B$1733,A730)</f>
        <v>335.17</v>
      </c>
      <c r="E730" s="17" t="n">
        <f aca="false">C730-D730</f>
        <v>0</v>
      </c>
      <c r="F730" s="18" t="n">
        <f aca="false">INDEX(JE_Lines!$C$5:$C$1733,MATCH(A730,JE_Lines!$B$5:$B$1733,0))</f>
        <v>46002</v>
      </c>
      <c r="G730" s="18" t="n">
        <f aca="false">INDEX(JE_Lines!$D$5:$D$1733,MATCH(A730,JE_Lines!$B$5:$B$1733,0))</f>
        <v>46002</v>
      </c>
      <c r="H730" s="0" t="str">
        <f aca="false">INDEX(JE_Lines!$I$5:$I$1733,MATCH(A730,JE_Lines!$B$5:$B$1733,0))</f>
        <v>SYS_AR</v>
      </c>
      <c r="I730" s="0" t="str">
        <f aca="false">INDEX(JE_Lines!$J$5:$J$1733,MATCH(A730,JE_Lines!$B$5:$B$1733,0))</f>
        <v>System</v>
      </c>
      <c r="J730" s="0" t="str">
        <f aca="false">IF(LEN(INDEX(JE_Lines!$K$5:$K$1733,MATCH(A730,JE_Lines!$B$5:$B$1733,0)))=0,"",INDEX(JE_Lines!$K$5:$K$1733,MATCH(A730,JE_Lines!$B$5:$B$1733,0)))</f>
        <v>Customer receipts</v>
      </c>
      <c r="K730" s="9" t="n">
        <f aca="false">F730-G730</f>
        <v>0</v>
      </c>
      <c r="L730" s="9" t="n">
        <f aca="false">COUNTIFS(JE_Lines!$B$5:$B$1733,A730,JE_Lines!$F$5:$F$1733,"Revenue")</f>
        <v>0</v>
      </c>
      <c r="M730" s="9" t="n">
        <f aca="false">COUNTIFS(JE_Lines!$B$5:$B$1733,A730,JE_Lines!$F$5:$F$1733,"Suspense")</f>
        <v>0</v>
      </c>
      <c r="N730" s="9" t="n">
        <f aca="false">IF(ABS(E730)&gt;Parameters!$B$23,1,0)</f>
        <v>0</v>
      </c>
      <c r="O730" s="9" t="n">
        <f aca="false">IF(WEEKDAY(F730,2)&gt;5,1,0)</f>
        <v>0</v>
      </c>
      <c r="P730" s="9" t="n">
        <f aca="false">IF(K730&gt;Parameters!$B$17,1,0)</f>
        <v>0</v>
      </c>
      <c r="Q730" s="9" t="n">
        <f aca="false">IF(AND(F730&lt;=Parameters!$B$6,F730&gt;Parameters!$B$6-Parameters!$B$18),1,0)</f>
        <v>0</v>
      </c>
      <c r="R730" s="9" t="n">
        <f aca="false">IF(COUNTIF(Parameters!$A$51:$A$58,H730)=0,1,0)</f>
        <v>0</v>
      </c>
      <c r="S730" s="9" t="n">
        <f aca="false">IF(AND(I730="Manual",L730&gt;0),1,0)</f>
        <v>0</v>
      </c>
      <c r="T730" s="9" t="n">
        <f aca="false">IF(AND(C730&gt;=Parameters!$B$22,ROUND(MOD(ROUND(C730,2),Parameters!$B$21),2)=0),1,0)</f>
        <v>0</v>
      </c>
      <c r="U730" s="9" t="n">
        <f aca="false">IF(LEN(TRIM(J730))=0,1,0)</f>
        <v>0</v>
      </c>
      <c r="V730" s="9" t="n">
        <f aca="false">IF(AND(I730="Manual",C730&lt;Parameters!$B$19,C730&gt;=Parameters!$B$19*(1-Parameters!$B$20)),1,0)</f>
        <v>0</v>
      </c>
      <c r="W730" s="9" t="n">
        <f aca="false">IF(AND(I730="Manual",M730&gt;0),1,0)</f>
        <v>0</v>
      </c>
      <c r="X730" s="9" t="n">
        <f aca="false">IF(A730-A729&gt;1,1,0)</f>
        <v>0</v>
      </c>
      <c r="Y730" s="9" t="n">
        <f aca="false">N730*Parameters!$B$38+O730*Parameters!$B$39+P730*Parameters!$B$40+Q730*Parameters!$B$41+R730*Parameters!$B$42+S730*Parameters!$B$43+T730*Parameters!$B$44+U730*Parameters!$B$45+V730*Parameters!$B$46+W730*Parameters!$B$47+X730*Parameters!$B$48</f>
        <v>0</v>
      </c>
      <c r="Z730" s="0" t="str">
        <f aca="false">IF(Y730&gt;=Parameters!$B$25,"High","")</f>
        <v/>
      </c>
    </row>
    <row r="731" customFormat="false" ht="15" hidden="false" customHeight="false" outlineLevel="0" collapsed="false">
      <c r="A731" s="16" t="n">
        <v>1738</v>
      </c>
      <c r="B731" s="9" t="n">
        <f aca="false">COUNTIF(JE_Lines!$B$5:$B$1733,A731)</f>
        <v>3</v>
      </c>
      <c r="C731" s="17" t="n">
        <f aca="false">SUMIFS(JE_Lines!$G$5:$G$1733,JE_Lines!$B$5:$B$1733,A731)</f>
        <v>23622.91</v>
      </c>
      <c r="D731" s="17" t="n">
        <f aca="false">SUMIFS(JE_Lines!$H$5:$H$1733,JE_Lines!$B$5:$B$1733,A731)</f>
        <v>23622.91</v>
      </c>
      <c r="E731" s="17" t="n">
        <f aca="false">C731-D731</f>
        <v>0</v>
      </c>
      <c r="F731" s="18" t="n">
        <f aca="false">INDEX(JE_Lines!$C$5:$C$1733,MATCH(A731,JE_Lines!$B$5:$B$1733,0))</f>
        <v>46002</v>
      </c>
      <c r="G731" s="18" t="n">
        <f aca="false">INDEX(JE_Lines!$D$5:$D$1733,MATCH(A731,JE_Lines!$B$5:$B$1733,0))</f>
        <v>46000</v>
      </c>
      <c r="H731" s="0" t="str">
        <f aca="false">INDEX(JE_Lines!$I$5:$I$1733,MATCH(A731,JE_Lines!$B$5:$B$1733,0))</f>
        <v>SYS_AR</v>
      </c>
      <c r="I731" s="0" t="str">
        <f aca="false">INDEX(JE_Lines!$J$5:$J$1733,MATCH(A731,JE_Lines!$B$5:$B$1733,0))</f>
        <v>System</v>
      </c>
      <c r="J731" s="0" t="str">
        <f aca="false">IF(LEN(INDEX(JE_Lines!$K$5:$K$1733,MATCH(A731,JE_Lines!$B$5:$B$1733,0)))=0,"",INDEX(JE_Lines!$K$5:$K$1733,MATCH(A731,JE_Lines!$B$5:$B$1733,0)))</f>
        <v>Sales invoice batch</v>
      </c>
      <c r="K731" s="9" t="n">
        <f aca="false">F731-G731</f>
        <v>2</v>
      </c>
      <c r="L731" s="9" t="n">
        <f aca="false">COUNTIFS(JE_Lines!$B$5:$B$1733,A731,JE_Lines!$F$5:$F$1733,"Revenue")</f>
        <v>1</v>
      </c>
      <c r="M731" s="9" t="n">
        <f aca="false">COUNTIFS(JE_Lines!$B$5:$B$1733,A731,JE_Lines!$F$5:$F$1733,"Suspense")</f>
        <v>0</v>
      </c>
      <c r="N731" s="9" t="n">
        <f aca="false">IF(ABS(E731)&gt;Parameters!$B$23,1,0)</f>
        <v>0</v>
      </c>
      <c r="O731" s="9" t="n">
        <f aca="false">IF(WEEKDAY(F731,2)&gt;5,1,0)</f>
        <v>0</v>
      </c>
      <c r="P731" s="9" t="n">
        <f aca="false">IF(K731&gt;Parameters!$B$17,1,0)</f>
        <v>0</v>
      </c>
      <c r="Q731" s="9" t="n">
        <f aca="false">IF(AND(F731&lt;=Parameters!$B$6,F731&gt;Parameters!$B$6-Parameters!$B$18),1,0)</f>
        <v>0</v>
      </c>
      <c r="R731" s="9" t="n">
        <f aca="false">IF(COUNTIF(Parameters!$A$51:$A$58,H731)=0,1,0)</f>
        <v>0</v>
      </c>
      <c r="S731" s="9" t="n">
        <f aca="false">IF(AND(I731="Manual",L731&gt;0),1,0)</f>
        <v>0</v>
      </c>
      <c r="T731" s="9" t="n">
        <f aca="false">IF(AND(C731&gt;=Parameters!$B$22,ROUND(MOD(ROUND(C731,2),Parameters!$B$21),2)=0),1,0)</f>
        <v>0</v>
      </c>
      <c r="U731" s="9" t="n">
        <f aca="false">IF(LEN(TRIM(J731))=0,1,0)</f>
        <v>0</v>
      </c>
      <c r="V731" s="9" t="n">
        <f aca="false">IF(AND(I731="Manual",C731&lt;Parameters!$B$19,C731&gt;=Parameters!$B$19*(1-Parameters!$B$20)),1,0)</f>
        <v>0</v>
      </c>
      <c r="W731" s="9" t="n">
        <f aca="false">IF(AND(I731="Manual",M731&gt;0),1,0)</f>
        <v>0</v>
      </c>
      <c r="X731" s="9" t="n">
        <f aca="false">IF(A731-A730&gt;1,1,0)</f>
        <v>0</v>
      </c>
      <c r="Y731" s="9" t="n">
        <f aca="false">N731*Parameters!$B$38+O731*Parameters!$B$39+P731*Parameters!$B$40+Q731*Parameters!$B$41+R731*Parameters!$B$42+S731*Parameters!$B$43+T731*Parameters!$B$44+U731*Parameters!$B$45+V731*Parameters!$B$46+W731*Parameters!$B$47+X731*Parameters!$B$48</f>
        <v>0</v>
      </c>
      <c r="Z731" s="0" t="str">
        <f aca="false">IF(Y731&gt;=Parameters!$B$25,"High","")</f>
        <v/>
      </c>
    </row>
    <row r="732" customFormat="false" ht="15" hidden="false" customHeight="false" outlineLevel="0" collapsed="false">
      <c r="A732" s="16" t="n">
        <v>1739</v>
      </c>
      <c r="B732" s="9" t="n">
        <f aca="false">COUNTIF(JE_Lines!$B$5:$B$1733,A732)</f>
        <v>3</v>
      </c>
      <c r="C732" s="17" t="n">
        <f aca="false">SUMIFS(JE_Lines!$G$5:$G$1733,JE_Lines!$B$5:$B$1733,A732)</f>
        <v>2069.25</v>
      </c>
      <c r="D732" s="17" t="n">
        <f aca="false">SUMIFS(JE_Lines!$H$5:$H$1733,JE_Lines!$B$5:$B$1733,A732)</f>
        <v>2069.25</v>
      </c>
      <c r="E732" s="17" t="n">
        <f aca="false">C732-D732</f>
        <v>0</v>
      </c>
      <c r="F732" s="18" t="n">
        <f aca="false">INDEX(JE_Lines!$C$5:$C$1733,MATCH(A732,JE_Lines!$B$5:$B$1733,0))</f>
        <v>46002</v>
      </c>
      <c r="G732" s="18" t="n">
        <f aca="false">INDEX(JE_Lines!$D$5:$D$1733,MATCH(A732,JE_Lines!$B$5:$B$1733,0))</f>
        <v>46000</v>
      </c>
      <c r="H732" s="0" t="str">
        <f aca="false">INDEX(JE_Lines!$I$5:$I$1733,MATCH(A732,JE_Lines!$B$5:$B$1733,0))</f>
        <v>SYS_AR</v>
      </c>
      <c r="I732" s="0" t="str">
        <f aca="false">INDEX(JE_Lines!$J$5:$J$1733,MATCH(A732,JE_Lines!$B$5:$B$1733,0))</f>
        <v>System</v>
      </c>
      <c r="J732" s="0" t="str">
        <f aca="false">IF(LEN(INDEX(JE_Lines!$K$5:$K$1733,MATCH(A732,JE_Lines!$B$5:$B$1733,0)))=0,"",INDEX(JE_Lines!$K$5:$K$1733,MATCH(A732,JE_Lines!$B$5:$B$1733,0)))</f>
        <v>Customer receipts</v>
      </c>
      <c r="K732" s="9" t="n">
        <f aca="false">F732-G732</f>
        <v>2</v>
      </c>
      <c r="L732" s="9" t="n">
        <f aca="false">COUNTIFS(JE_Lines!$B$5:$B$1733,A732,JE_Lines!$F$5:$F$1733,"Revenue")</f>
        <v>0</v>
      </c>
      <c r="M732" s="9" t="n">
        <f aca="false">COUNTIFS(JE_Lines!$B$5:$B$1733,A732,JE_Lines!$F$5:$F$1733,"Suspense")</f>
        <v>0</v>
      </c>
      <c r="N732" s="9" t="n">
        <f aca="false">IF(ABS(E732)&gt;Parameters!$B$23,1,0)</f>
        <v>0</v>
      </c>
      <c r="O732" s="9" t="n">
        <f aca="false">IF(WEEKDAY(F732,2)&gt;5,1,0)</f>
        <v>0</v>
      </c>
      <c r="P732" s="9" t="n">
        <f aca="false">IF(K732&gt;Parameters!$B$17,1,0)</f>
        <v>0</v>
      </c>
      <c r="Q732" s="9" t="n">
        <f aca="false">IF(AND(F732&lt;=Parameters!$B$6,F732&gt;Parameters!$B$6-Parameters!$B$18),1,0)</f>
        <v>0</v>
      </c>
      <c r="R732" s="9" t="n">
        <f aca="false">IF(COUNTIF(Parameters!$A$51:$A$58,H732)=0,1,0)</f>
        <v>0</v>
      </c>
      <c r="S732" s="9" t="n">
        <f aca="false">IF(AND(I732="Manual",L732&gt;0),1,0)</f>
        <v>0</v>
      </c>
      <c r="T732" s="9" t="n">
        <f aca="false">IF(AND(C732&gt;=Parameters!$B$22,ROUND(MOD(ROUND(C732,2),Parameters!$B$21),2)=0),1,0)</f>
        <v>0</v>
      </c>
      <c r="U732" s="9" t="n">
        <f aca="false">IF(LEN(TRIM(J732))=0,1,0)</f>
        <v>0</v>
      </c>
      <c r="V732" s="9" t="n">
        <f aca="false">IF(AND(I732="Manual",C732&lt;Parameters!$B$19,C732&gt;=Parameters!$B$19*(1-Parameters!$B$20)),1,0)</f>
        <v>0</v>
      </c>
      <c r="W732" s="9" t="n">
        <f aca="false">IF(AND(I732="Manual",M732&gt;0),1,0)</f>
        <v>0</v>
      </c>
      <c r="X732" s="9" t="n">
        <f aca="false">IF(A732-A731&gt;1,1,0)</f>
        <v>0</v>
      </c>
      <c r="Y732" s="9" t="n">
        <f aca="false">N732*Parameters!$B$38+O732*Parameters!$B$39+P732*Parameters!$B$40+Q732*Parameters!$B$41+R732*Parameters!$B$42+S732*Parameters!$B$43+T732*Parameters!$B$44+U732*Parameters!$B$45+V732*Parameters!$B$46+W732*Parameters!$B$47+X732*Parameters!$B$48</f>
        <v>0</v>
      </c>
      <c r="Z732" s="0" t="str">
        <f aca="false">IF(Y732&gt;=Parameters!$B$25,"High","")</f>
        <v/>
      </c>
    </row>
    <row r="733" customFormat="false" ht="15" hidden="false" customHeight="false" outlineLevel="0" collapsed="false">
      <c r="A733" s="16" t="n">
        <v>1740</v>
      </c>
      <c r="B733" s="9" t="n">
        <f aca="false">COUNTIF(JE_Lines!$B$5:$B$1733,A733)</f>
        <v>2</v>
      </c>
      <c r="C733" s="17" t="n">
        <f aca="false">SUMIFS(JE_Lines!$G$5:$G$1733,JE_Lines!$B$5:$B$1733,A733)</f>
        <v>2106.29</v>
      </c>
      <c r="D733" s="17" t="n">
        <f aca="false">SUMIFS(JE_Lines!$H$5:$H$1733,JE_Lines!$B$5:$B$1733,A733)</f>
        <v>2106.29</v>
      </c>
      <c r="E733" s="17" t="n">
        <f aca="false">C733-D733</f>
        <v>0</v>
      </c>
      <c r="F733" s="18" t="n">
        <f aca="false">INDEX(JE_Lines!$C$5:$C$1733,MATCH(A733,JE_Lines!$B$5:$B$1733,0))</f>
        <v>46002</v>
      </c>
      <c r="G733" s="18" t="n">
        <f aca="false">INDEX(JE_Lines!$D$5:$D$1733,MATCH(A733,JE_Lines!$B$5:$B$1733,0))</f>
        <v>45999</v>
      </c>
      <c r="H733" s="0" t="str">
        <f aca="false">INDEX(JE_Lines!$I$5:$I$1733,MATCH(A733,JE_Lines!$B$5:$B$1733,0))</f>
        <v>SYS_AR</v>
      </c>
      <c r="I733" s="0" t="str">
        <f aca="false">INDEX(JE_Lines!$J$5:$J$1733,MATCH(A733,JE_Lines!$B$5:$B$1733,0))</f>
        <v>System</v>
      </c>
      <c r="J733" s="0" t="str">
        <f aca="false">IF(LEN(INDEX(JE_Lines!$K$5:$K$1733,MATCH(A733,JE_Lines!$B$5:$B$1733,0)))=0,"",INDEX(JE_Lines!$K$5:$K$1733,MATCH(A733,JE_Lines!$B$5:$B$1733,0)))</f>
        <v>Sales invoice batch</v>
      </c>
      <c r="K733" s="9" t="n">
        <f aca="false">F733-G733</f>
        <v>3</v>
      </c>
      <c r="L733" s="9" t="n">
        <f aca="false">COUNTIFS(JE_Lines!$B$5:$B$1733,A733,JE_Lines!$F$5:$F$1733,"Revenue")</f>
        <v>1</v>
      </c>
      <c r="M733" s="9" t="n">
        <f aca="false">COUNTIFS(JE_Lines!$B$5:$B$1733,A733,JE_Lines!$F$5:$F$1733,"Suspense")</f>
        <v>0</v>
      </c>
      <c r="N733" s="9" t="n">
        <f aca="false">IF(ABS(E733)&gt;Parameters!$B$23,1,0)</f>
        <v>0</v>
      </c>
      <c r="O733" s="9" t="n">
        <f aca="false">IF(WEEKDAY(F733,2)&gt;5,1,0)</f>
        <v>0</v>
      </c>
      <c r="P733" s="9" t="n">
        <f aca="false">IF(K733&gt;Parameters!$B$17,1,0)</f>
        <v>0</v>
      </c>
      <c r="Q733" s="9" t="n">
        <f aca="false">IF(AND(F733&lt;=Parameters!$B$6,F733&gt;Parameters!$B$6-Parameters!$B$18),1,0)</f>
        <v>0</v>
      </c>
      <c r="R733" s="9" t="n">
        <f aca="false">IF(COUNTIF(Parameters!$A$51:$A$58,H733)=0,1,0)</f>
        <v>0</v>
      </c>
      <c r="S733" s="9" t="n">
        <f aca="false">IF(AND(I733="Manual",L733&gt;0),1,0)</f>
        <v>0</v>
      </c>
      <c r="T733" s="9" t="n">
        <f aca="false">IF(AND(C733&gt;=Parameters!$B$22,ROUND(MOD(ROUND(C733,2),Parameters!$B$21),2)=0),1,0)</f>
        <v>0</v>
      </c>
      <c r="U733" s="9" t="n">
        <f aca="false">IF(LEN(TRIM(J733))=0,1,0)</f>
        <v>0</v>
      </c>
      <c r="V733" s="9" t="n">
        <f aca="false">IF(AND(I733="Manual",C733&lt;Parameters!$B$19,C733&gt;=Parameters!$B$19*(1-Parameters!$B$20)),1,0)</f>
        <v>0</v>
      </c>
      <c r="W733" s="9" t="n">
        <f aca="false">IF(AND(I733="Manual",M733&gt;0),1,0)</f>
        <v>0</v>
      </c>
      <c r="X733" s="9" t="n">
        <f aca="false">IF(A733-A732&gt;1,1,0)</f>
        <v>0</v>
      </c>
      <c r="Y733" s="9" t="n">
        <f aca="false">N733*Parameters!$B$38+O733*Parameters!$B$39+P733*Parameters!$B$40+Q733*Parameters!$B$41+R733*Parameters!$B$42+S733*Parameters!$B$43+T733*Parameters!$B$44+U733*Parameters!$B$45+V733*Parameters!$B$46+W733*Parameters!$B$47+X733*Parameters!$B$48</f>
        <v>0</v>
      </c>
      <c r="Z733" s="0" t="str">
        <f aca="false">IF(Y733&gt;=Parameters!$B$25,"High","")</f>
        <v/>
      </c>
    </row>
    <row r="734" customFormat="false" ht="15" hidden="false" customHeight="false" outlineLevel="0" collapsed="false">
      <c r="A734" s="16" t="n">
        <v>1741</v>
      </c>
      <c r="B734" s="9" t="n">
        <f aca="false">COUNTIF(JE_Lines!$B$5:$B$1733,A734)</f>
        <v>2</v>
      </c>
      <c r="C734" s="17" t="n">
        <f aca="false">SUMIFS(JE_Lines!$G$5:$G$1733,JE_Lines!$B$5:$B$1733,A734)</f>
        <v>12454.39</v>
      </c>
      <c r="D734" s="17" t="n">
        <f aca="false">SUMIFS(JE_Lines!$H$5:$H$1733,JE_Lines!$B$5:$B$1733,A734)</f>
        <v>12454.39</v>
      </c>
      <c r="E734" s="17" t="n">
        <f aca="false">C734-D734</f>
        <v>0</v>
      </c>
      <c r="F734" s="18" t="n">
        <f aca="false">INDEX(JE_Lines!$C$5:$C$1733,MATCH(A734,JE_Lines!$B$5:$B$1733,0))</f>
        <v>46002</v>
      </c>
      <c r="G734" s="18" t="n">
        <f aca="false">INDEX(JE_Lines!$D$5:$D$1733,MATCH(A734,JE_Lines!$B$5:$B$1733,0))</f>
        <v>46002</v>
      </c>
      <c r="H734" s="0" t="str">
        <f aca="false">INDEX(JE_Lines!$I$5:$I$1733,MATCH(A734,JE_Lines!$B$5:$B$1733,0))</f>
        <v>FIN03</v>
      </c>
      <c r="I734" s="0" t="str">
        <f aca="false">INDEX(JE_Lines!$J$5:$J$1733,MATCH(A734,JE_Lines!$B$5:$B$1733,0))</f>
        <v>Manual</v>
      </c>
      <c r="J734" s="0" t="str">
        <f aca="false">IF(LEN(INDEX(JE_Lines!$K$5:$K$1733,MATCH(A734,JE_Lines!$B$5:$B$1733,0)))=0,"",INDEX(JE_Lines!$K$5:$K$1733,MATCH(A734,JE_Lines!$B$5:$B$1733,0)))</f>
        <v/>
      </c>
      <c r="K734" s="9" t="n">
        <f aca="false">F734-G734</f>
        <v>0</v>
      </c>
      <c r="L734" s="9" t="n">
        <f aca="false">COUNTIFS(JE_Lines!$B$5:$B$1733,A734,JE_Lines!$F$5:$F$1733,"Revenue")</f>
        <v>0</v>
      </c>
      <c r="M734" s="9" t="n">
        <f aca="false">COUNTIFS(JE_Lines!$B$5:$B$1733,A734,JE_Lines!$F$5:$F$1733,"Suspense")</f>
        <v>0</v>
      </c>
      <c r="N734" s="9" t="n">
        <f aca="false">IF(ABS(E734)&gt;Parameters!$B$23,1,0)</f>
        <v>0</v>
      </c>
      <c r="O734" s="9" t="n">
        <f aca="false">IF(WEEKDAY(F734,2)&gt;5,1,0)</f>
        <v>0</v>
      </c>
      <c r="P734" s="9" t="n">
        <f aca="false">IF(K734&gt;Parameters!$B$17,1,0)</f>
        <v>0</v>
      </c>
      <c r="Q734" s="9" t="n">
        <f aca="false">IF(AND(F734&lt;=Parameters!$B$6,F734&gt;Parameters!$B$6-Parameters!$B$18),1,0)</f>
        <v>0</v>
      </c>
      <c r="R734" s="9" t="n">
        <f aca="false">IF(COUNTIF(Parameters!$A$51:$A$58,H734)=0,1,0)</f>
        <v>0</v>
      </c>
      <c r="S734" s="9" t="n">
        <f aca="false">IF(AND(I734="Manual",L734&gt;0),1,0)</f>
        <v>0</v>
      </c>
      <c r="T734" s="9" t="n">
        <f aca="false">IF(AND(C734&gt;=Parameters!$B$22,ROUND(MOD(ROUND(C734,2),Parameters!$B$21),2)=0),1,0)</f>
        <v>0</v>
      </c>
      <c r="U734" s="9" t="n">
        <f aca="false">IF(LEN(TRIM(J734))=0,1,0)</f>
        <v>1</v>
      </c>
      <c r="V734" s="9" t="n">
        <f aca="false">IF(AND(I734="Manual",C734&lt;Parameters!$B$19,C734&gt;=Parameters!$B$19*(1-Parameters!$B$20)),1,0)</f>
        <v>0</v>
      </c>
      <c r="W734" s="9" t="n">
        <f aca="false">IF(AND(I734="Manual",M734&gt;0),1,0)</f>
        <v>0</v>
      </c>
      <c r="X734" s="9" t="n">
        <f aca="false">IF(A734-A733&gt;1,1,0)</f>
        <v>0</v>
      </c>
      <c r="Y734" s="9" t="n">
        <f aca="false">N734*Parameters!$B$38+O734*Parameters!$B$39+P734*Parameters!$B$40+Q734*Parameters!$B$41+R734*Parameters!$B$42+S734*Parameters!$B$43+T734*Parameters!$B$44+U734*Parameters!$B$45+V734*Parameters!$B$46+W734*Parameters!$B$47+X734*Parameters!$B$48</f>
        <v>2</v>
      </c>
      <c r="Z734" s="0" t="str">
        <f aca="false">IF(Y734&gt;=Parameters!$B$25,"High","")</f>
        <v/>
      </c>
    </row>
    <row r="735" customFormat="false" ht="15" hidden="false" customHeight="false" outlineLevel="0" collapsed="false">
      <c r="A735" s="16" t="n">
        <v>1742</v>
      </c>
      <c r="B735" s="9" t="n">
        <f aca="false">COUNTIF(JE_Lines!$B$5:$B$1733,A735)</f>
        <v>2</v>
      </c>
      <c r="C735" s="17" t="n">
        <f aca="false">SUMIFS(JE_Lines!$G$5:$G$1733,JE_Lines!$B$5:$B$1733,A735)</f>
        <v>14338.48</v>
      </c>
      <c r="D735" s="17" t="n">
        <f aca="false">SUMIFS(JE_Lines!$H$5:$H$1733,JE_Lines!$B$5:$B$1733,A735)</f>
        <v>14338.48</v>
      </c>
      <c r="E735" s="17" t="n">
        <f aca="false">C735-D735</f>
        <v>0</v>
      </c>
      <c r="F735" s="18" t="n">
        <f aca="false">INDEX(JE_Lines!$C$5:$C$1733,MATCH(A735,JE_Lines!$B$5:$B$1733,0))</f>
        <v>46003</v>
      </c>
      <c r="G735" s="18" t="n">
        <f aca="false">INDEX(JE_Lines!$D$5:$D$1733,MATCH(A735,JE_Lines!$B$5:$B$1733,0))</f>
        <v>46001</v>
      </c>
      <c r="H735" s="0" t="str">
        <f aca="false">INDEX(JE_Lines!$I$5:$I$1733,MATCH(A735,JE_Lines!$B$5:$B$1733,0))</f>
        <v>SYS_PAY</v>
      </c>
      <c r="I735" s="0" t="str">
        <f aca="false">INDEX(JE_Lines!$J$5:$J$1733,MATCH(A735,JE_Lines!$B$5:$B$1733,0))</f>
        <v>System</v>
      </c>
      <c r="J735" s="0" t="str">
        <f aca="false">IF(LEN(INDEX(JE_Lines!$K$5:$K$1733,MATCH(A735,JE_Lines!$B$5:$B$1733,0)))=0,"",INDEX(JE_Lines!$K$5:$K$1733,MATCH(A735,JE_Lines!$B$5:$B$1733,0)))</f>
        <v>Supplier payments</v>
      </c>
      <c r="K735" s="9" t="n">
        <f aca="false">F735-G735</f>
        <v>2</v>
      </c>
      <c r="L735" s="9" t="n">
        <f aca="false">COUNTIFS(JE_Lines!$B$5:$B$1733,A735,JE_Lines!$F$5:$F$1733,"Revenue")</f>
        <v>0</v>
      </c>
      <c r="M735" s="9" t="n">
        <f aca="false">COUNTIFS(JE_Lines!$B$5:$B$1733,A735,JE_Lines!$F$5:$F$1733,"Suspense")</f>
        <v>0</v>
      </c>
      <c r="N735" s="9" t="n">
        <f aca="false">IF(ABS(E735)&gt;Parameters!$B$23,1,0)</f>
        <v>0</v>
      </c>
      <c r="O735" s="9" t="n">
        <f aca="false">IF(WEEKDAY(F735,2)&gt;5,1,0)</f>
        <v>0</v>
      </c>
      <c r="P735" s="9" t="n">
        <f aca="false">IF(K735&gt;Parameters!$B$17,1,0)</f>
        <v>0</v>
      </c>
      <c r="Q735" s="9" t="n">
        <f aca="false">IF(AND(F735&lt;=Parameters!$B$6,F735&gt;Parameters!$B$6-Parameters!$B$18),1,0)</f>
        <v>0</v>
      </c>
      <c r="R735" s="9" t="n">
        <f aca="false">IF(COUNTIF(Parameters!$A$51:$A$58,H735)=0,1,0)</f>
        <v>0</v>
      </c>
      <c r="S735" s="9" t="n">
        <f aca="false">IF(AND(I735="Manual",L735&gt;0),1,0)</f>
        <v>0</v>
      </c>
      <c r="T735" s="9" t="n">
        <f aca="false">IF(AND(C735&gt;=Parameters!$B$22,ROUND(MOD(ROUND(C735,2),Parameters!$B$21),2)=0),1,0)</f>
        <v>0</v>
      </c>
      <c r="U735" s="9" t="n">
        <f aca="false">IF(LEN(TRIM(J735))=0,1,0)</f>
        <v>0</v>
      </c>
      <c r="V735" s="9" t="n">
        <f aca="false">IF(AND(I735="Manual",C735&lt;Parameters!$B$19,C735&gt;=Parameters!$B$19*(1-Parameters!$B$20)),1,0)</f>
        <v>0</v>
      </c>
      <c r="W735" s="9" t="n">
        <f aca="false">IF(AND(I735="Manual",M735&gt;0),1,0)</f>
        <v>0</v>
      </c>
      <c r="X735" s="9" t="n">
        <f aca="false">IF(A735-A734&gt;1,1,0)</f>
        <v>0</v>
      </c>
      <c r="Y735" s="9" t="n">
        <f aca="false">N735*Parameters!$B$38+O735*Parameters!$B$39+P735*Parameters!$B$40+Q735*Parameters!$B$41+R735*Parameters!$B$42+S735*Parameters!$B$43+T735*Parameters!$B$44+U735*Parameters!$B$45+V735*Parameters!$B$46+W735*Parameters!$B$47+X735*Parameters!$B$48</f>
        <v>0</v>
      </c>
      <c r="Z735" s="0" t="str">
        <f aca="false">IF(Y735&gt;=Parameters!$B$25,"High","")</f>
        <v/>
      </c>
    </row>
    <row r="736" customFormat="false" ht="15" hidden="false" customHeight="false" outlineLevel="0" collapsed="false">
      <c r="A736" s="16" t="n">
        <v>1743</v>
      </c>
      <c r="B736" s="9" t="n">
        <f aca="false">COUNTIF(JE_Lines!$B$5:$B$1733,A736)</f>
        <v>2</v>
      </c>
      <c r="C736" s="17" t="n">
        <f aca="false">SUMIFS(JE_Lines!$G$5:$G$1733,JE_Lines!$B$5:$B$1733,A736)</f>
        <v>803.6</v>
      </c>
      <c r="D736" s="17" t="n">
        <f aca="false">SUMIFS(JE_Lines!$H$5:$H$1733,JE_Lines!$B$5:$B$1733,A736)</f>
        <v>803.6</v>
      </c>
      <c r="E736" s="17" t="n">
        <f aca="false">C736-D736</f>
        <v>0</v>
      </c>
      <c r="F736" s="18" t="n">
        <f aca="false">INDEX(JE_Lines!$C$5:$C$1733,MATCH(A736,JE_Lines!$B$5:$B$1733,0))</f>
        <v>46003</v>
      </c>
      <c r="G736" s="18" t="n">
        <f aca="false">INDEX(JE_Lines!$D$5:$D$1733,MATCH(A736,JE_Lines!$B$5:$B$1733,0))</f>
        <v>46001</v>
      </c>
      <c r="H736" s="0" t="str">
        <f aca="false">INDEX(JE_Lines!$I$5:$I$1733,MATCH(A736,JE_Lines!$B$5:$B$1733,0))</f>
        <v>SYS_AP</v>
      </c>
      <c r="I736" s="0" t="str">
        <f aca="false">INDEX(JE_Lines!$J$5:$J$1733,MATCH(A736,JE_Lines!$B$5:$B$1733,0))</f>
        <v>System</v>
      </c>
      <c r="J736" s="0" t="str">
        <f aca="false">IF(LEN(INDEX(JE_Lines!$K$5:$K$1733,MATCH(A736,JE_Lines!$B$5:$B$1733,0)))=0,"",INDEX(JE_Lines!$K$5:$K$1733,MATCH(A736,JE_Lines!$B$5:$B$1733,0)))</f>
        <v>Fixed asset additions</v>
      </c>
      <c r="K736" s="9" t="n">
        <f aca="false">F736-G736</f>
        <v>2</v>
      </c>
      <c r="L736" s="9" t="n">
        <f aca="false">COUNTIFS(JE_Lines!$B$5:$B$1733,A736,JE_Lines!$F$5:$F$1733,"Revenue")</f>
        <v>0</v>
      </c>
      <c r="M736" s="9" t="n">
        <f aca="false">COUNTIFS(JE_Lines!$B$5:$B$1733,A736,JE_Lines!$F$5:$F$1733,"Suspense")</f>
        <v>0</v>
      </c>
      <c r="N736" s="9" t="n">
        <f aca="false">IF(ABS(E736)&gt;Parameters!$B$23,1,0)</f>
        <v>0</v>
      </c>
      <c r="O736" s="9" t="n">
        <f aca="false">IF(WEEKDAY(F736,2)&gt;5,1,0)</f>
        <v>0</v>
      </c>
      <c r="P736" s="9" t="n">
        <f aca="false">IF(K736&gt;Parameters!$B$17,1,0)</f>
        <v>0</v>
      </c>
      <c r="Q736" s="9" t="n">
        <f aca="false">IF(AND(F736&lt;=Parameters!$B$6,F736&gt;Parameters!$B$6-Parameters!$B$18),1,0)</f>
        <v>0</v>
      </c>
      <c r="R736" s="9" t="n">
        <f aca="false">IF(COUNTIF(Parameters!$A$51:$A$58,H736)=0,1,0)</f>
        <v>0</v>
      </c>
      <c r="S736" s="9" t="n">
        <f aca="false">IF(AND(I736="Manual",L736&gt;0),1,0)</f>
        <v>0</v>
      </c>
      <c r="T736" s="9" t="n">
        <f aca="false">IF(AND(C736&gt;=Parameters!$B$22,ROUND(MOD(ROUND(C736,2),Parameters!$B$21),2)=0),1,0)</f>
        <v>0</v>
      </c>
      <c r="U736" s="9" t="n">
        <f aca="false">IF(LEN(TRIM(J736))=0,1,0)</f>
        <v>0</v>
      </c>
      <c r="V736" s="9" t="n">
        <f aca="false">IF(AND(I736="Manual",C736&lt;Parameters!$B$19,C736&gt;=Parameters!$B$19*(1-Parameters!$B$20)),1,0)</f>
        <v>0</v>
      </c>
      <c r="W736" s="9" t="n">
        <f aca="false">IF(AND(I736="Manual",M736&gt;0),1,0)</f>
        <v>0</v>
      </c>
      <c r="X736" s="9" t="n">
        <f aca="false">IF(A736-A735&gt;1,1,0)</f>
        <v>0</v>
      </c>
      <c r="Y736" s="9" t="n">
        <f aca="false">N736*Parameters!$B$38+O736*Parameters!$B$39+P736*Parameters!$B$40+Q736*Parameters!$B$41+R736*Parameters!$B$42+S736*Parameters!$B$43+T736*Parameters!$B$44+U736*Parameters!$B$45+V736*Parameters!$B$46+W736*Parameters!$B$47+X736*Parameters!$B$48</f>
        <v>0</v>
      </c>
      <c r="Z736" s="0" t="str">
        <f aca="false">IF(Y736&gt;=Parameters!$B$25,"High","")</f>
        <v/>
      </c>
    </row>
    <row r="737" customFormat="false" ht="15" hidden="false" customHeight="false" outlineLevel="0" collapsed="false">
      <c r="A737" s="16" t="n">
        <v>1744</v>
      </c>
      <c r="B737" s="9" t="n">
        <f aca="false">COUNTIF(JE_Lines!$B$5:$B$1733,A737)</f>
        <v>2</v>
      </c>
      <c r="C737" s="17" t="n">
        <f aca="false">SUMIFS(JE_Lines!$G$5:$G$1733,JE_Lines!$B$5:$B$1733,A737)</f>
        <v>5892.06</v>
      </c>
      <c r="D737" s="17" t="n">
        <f aca="false">SUMIFS(JE_Lines!$H$5:$H$1733,JE_Lines!$B$5:$B$1733,A737)</f>
        <v>5892.06</v>
      </c>
      <c r="E737" s="17" t="n">
        <f aca="false">C737-D737</f>
        <v>0</v>
      </c>
      <c r="F737" s="18" t="n">
        <f aca="false">INDEX(JE_Lines!$C$5:$C$1733,MATCH(A737,JE_Lines!$B$5:$B$1733,0))</f>
        <v>46006</v>
      </c>
      <c r="G737" s="18" t="n">
        <f aca="false">INDEX(JE_Lines!$D$5:$D$1733,MATCH(A737,JE_Lines!$B$5:$B$1733,0))</f>
        <v>46002</v>
      </c>
      <c r="H737" s="0" t="str">
        <f aca="false">INDEX(JE_Lines!$I$5:$I$1733,MATCH(A737,JE_Lines!$B$5:$B$1733,0))</f>
        <v>SYS_AP</v>
      </c>
      <c r="I737" s="0" t="str">
        <f aca="false">INDEX(JE_Lines!$J$5:$J$1733,MATCH(A737,JE_Lines!$B$5:$B$1733,0))</f>
        <v>System</v>
      </c>
      <c r="J737" s="0" t="str">
        <f aca="false">IF(LEN(INDEX(JE_Lines!$K$5:$K$1733,MATCH(A737,JE_Lines!$B$5:$B$1733,0)))=0,"",INDEX(JE_Lines!$K$5:$K$1733,MATCH(A737,JE_Lines!$B$5:$B$1733,0)))</f>
        <v>Supplier invoices</v>
      </c>
      <c r="K737" s="9" t="n">
        <f aca="false">F737-G737</f>
        <v>4</v>
      </c>
      <c r="L737" s="9" t="n">
        <f aca="false">COUNTIFS(JE_Lines!$B$5:$B$1733,A737,JE_Lines!$F$5:$F$1733,"Revenue")</f>
        <v>0</v>
      </c>
      <c r="M737" s="9" t="n">
        <f aca="false">COUNTIFS(JE_Lines!$B$5:$B$1733,A737,JE_Lines!$F$5:$F$1733,"Suspense")</f>
        <v>0</v>
      </c>
      <c r="N737" s="9" t="n">
        <f aca="false">IF(ABS(E737)&gt;Parameters!$B$23,1,0)</f>
        <v>0</v>
      </c>
      <c r="O737" s="9" t="n">
        <f aca="false">IF(WEEKDAY(F737,2)&gt;5,1,0)</f>
        <v>0</v>
      </c>
      <c r="P737" s="9" t="n">
        <f aca="false">IF(K737&gt;Parameters!$B$17,1,0)</f>
        <v>0</v>
      </c>
      <c r="Q737" s="9" t="n">
        <f aca="false">IF(AND(F737&lt;=Parameters!$B$6,F737&gt;Parameters!$B$6-Parameters!$B$18),1,0)</f>
        <v>0</v>
      </c>
      <c r="R737" s="9" t="n">
        <f aca="false">IF(COUNTIF(Parameters!$A$51:$A$58,H737)=0,1,0)</f>
        <v>0</v>
      </c>
      <c r="S737" s="9" t="n">
        <f aca="false">IF(AND(I737="Manual",L737&gt;0),1,0)</f>
        <v>0</v>
      </c>
      <c r="T737" s="9" t="n">
        <f aca="false">IF(AND(C737&gt;=Parameters!$B$22,ROUND(MOD(ROUND(C737,2),Parameters!$B$21),2)=0),1,0)</f>
        <v>0</v>
      </c>
      <c r="U737" s="9" t="n">
        <f aca="false">IF(LEN(TRIM(J737))=0,1,0)</f>
        <v>0</v>
      </c>
      <c r="V737" s="9" t="n">
        <f aca="false">IF(AND(I737="Manual",C737&lt;Parameters!$B$19,C737&gt;=Parameters!$B$19*(1-Parameters!$B$20)),1,0)</f>
        <v>0</v>
      </c>
      <c r="W737" s="9" t="n">
        <f aca="false">IF(AND(I737="Manual",M737&gt;0),1,0)</f>
        <v>0</v>
      </c>
      <c r="X737" s="9" t="n">
        <f aca="false">IF(A737-A736&gt;1,1,0)</f>
        <v>0</v>
      </c>
      <c r="Y737" s="9" t="n">
        <f aca="false">N737*Parameters!$B$38+O737*Parameters!$B$39+P737*Parameters!$B$40+Q737*Parameters!$B$41+R737*Parameters!$B$42+S737*Parameters!$B$43+T737*Parameters!$B$44+U737*Parameters!$B$45+V737*Parameters!$B$46+W737*Parameters!$B$47+X737*Parameters!$B$48</f>
        <v>0</v>
      </c>
      <c r="Z737" s="0" t="str">
        <f aca="false">IF(Y737&gt;=Parameters!$B$25,"High","")</f>
        <v/>
      </c>
    </row>
    <row r="738" customFormat="false" ht="15" hidden="false" customHeight="false" outlineLevel="0" collapsed="false">
      <c r="A738" s="16" t="n">
        <v>1745</v>
      </c>
      <c r="B738" s="9" t="n">
        <f aca="false">COUNTIF(JE_Lines!$B$5:$B$1733,A738)</f>
        <v>2</v>
      </c>
      <c r="C738" s="17" t="n">
        <f aca="false">SUMIFS(JE_Lines!$G$5:$G$1733,JE_Lines!$B$5:$B$1733,A738)</f>
        <v>1497.9</v>
      </c>
      <c r="D738" s="17" t="n">
        <f aca="false">SUMIFS(JE_Lines!$H$5:$H$1733,JE_Lines!$B$5:$B$1733,A738)</f>
        <v>1497.9</v>
      </c>
      <c r="E738" s="17" t="n">
        <f aca="false">C738-D738</f>
        <v>0</v>
      </c>
      <c r="F738" s="18" t="n">
        <f aca="false">INDEX(JE_Lines!$C$5:$C$1733,MATCH(A738,JE_Lines!$B$5:$B$1733,0))</f>
        <v>46006</v>
      </c>
      <c r="G738" s="18" t="n">
        <f aca="false">INDEX(JE_Lines!$D$5:$D$1733,MATCH(A738,JE_Lines!$B$5:$B$1733,0))</f>
        <v>46002</v>
      </c>
      <c r="H738" s="0" t="str">
        <f aca="false">INDEX(JE_Lines!$I$5:$I$1733,MATCH(A738,JE_Lines!$B$5:$B$1733,0))</f>
        <v>SYS_PAY</v>
      </c>
      <c r="I738" s="0" t="str">
        <f aca="false">INDEX(JE_Lines!$J$5:$J$1733,MATCH(A738,JE_Lines!$B$5:$B$1733,0))</f>
        <v>System</v>
      </c>
      <c r="J738" s="0" t="str">
        <f aca="false">IF(LEN(INDEX(JE_Lines!$K$5:$K$1733,MATCH(A738,JE_Lines!$B$5:$B$1733,0)))=0,"",INDEX(JE_Lines!$K$5:$K$1733,MATCH(A738,JE_Lines!$B$5:$B$1733,0)))</f>
        <v>Supplier payments</v>
      </c>
      <c r="K738" s="9" t="n">
        <f aca="false">F738-G738</f>
        <v>4</v>
      </c>
      <c r="L738" s="9" t="n">
        <f aca="false">COUNTIFS(JE_Lines!$B$5:$B$1733,A738,JE_Lines!$F$5:$F$1733,"Revenue")</f>
        <v>0</v>
      </c>
      <c r="M738" s="9" t="n">
        <f aca="false">COUNTIFS(JE_Lines!$B$5:$B$1733,A738,JE_Lines!$F$5:$F$1733,"Suspense")</f>
        <v>0</v>
      </c>
      <c r="N738" s="9" t="n">
        <f aca="false">IF(ABS(E738)&gt;Parameters!$B$23,1,0)</f>
        <v>0</v>
      </c>
      <c r="O738" s="9" t="n">
        <f aca="false">IF(WEEKDAY(F738,2)&gt;5,1,0)</f>
        <v>0</v>
      </c>
      <c r="P738" s="9" t="n">
        <f aca="false">IF(K738&gt;Parameters!$B$17,1,0)</f>
        <v>0</v>
      </c>
      <c r="Q738" s="9" t="n">
        <f aca="false">IF(AND(F738&lt;=Parameters!$B$6,F738&gt;Parameters!$B$6-Parameters!$B$18),1,0)</f>
        <v>0</v>
      </c>
      <c r="R738" s="9" t="n">
        <f aca="false">IF(COUNTIF(Parameters!$A$51:$A$58,H738)=0,1,0)</f>
        <v>0</v>
      </c>
      <c r="S738" s="9" t="n">
        <f aca="false">IF(AND(I738="Manual",L738&gt;0),1,0)</f>
        <v>0</v>
      </c>
      <c r="T738" s="9" t="n">
        <f aca="false">IF(AND(C738&gt;=Parameters!$B$22,ROUND(MOD(ROUND(C738,2),Parameters!$B$21),2)=0),1,0)</f>
        <v>0</v>
      </c>
      <c r="U738" s="9" t="n">
        <f aca="false">IF(LEN(TRIM(J738))=0,1,0)</f>
        <v>0</v>
      </c>
      <c r="V738" s="9" t="n">
        <f aca="false">IF(AND(I738="Manual",C738&lt;Parameters!$B$19,C738&gt;=Parameters!$B$19*(1-Parameters!$B$20)),1,0)</f>
        <v>0</v>
      </c>
      <c r="W738" s="9" t="n">
        <f aca="false">IF(AND(I738="Manual",M738&gt;0),1,0)</f>
        <v>0</v>
      </c>
      <c r="X738" s="9" t="n">
        <f aca="false">IF(A738-A737&gt;1,1,0)</f>
        <v>0</v>
      </c>
      <c r="Y738" s="9" t="n">
        <f aca="false">N738*Parameters!$B$38+O738*Parameters!$B$39+P738*Parameters!$B$40+Q738*Parameters!$B$41+R738*Parameters!$B$42+S738*Parameters!$B$43+T738*Parameters!$B$44+U738*Parameters!$B$45+V738*Parameters!$B$46+W738*Parameters!$B$47+X738*Parameters!$B$48</f>
        <v>0</v>
      </c>
      <c r="Z738" s="0" t="str">
        <f aca="false">IF(Y738&gt;=Parameters!$B$25,"High","")</f>
        <v/>
      </c>
    </row>
    <row r="739" customFormat="false" ht="15" hidden="false" customHeight="false" outlineLevel="0" collapsed="false">
      <c r="A739" s="16" t="n">
        <v>1746</v>
      </c>
      <c r="B739" s="9" t="n">
        <f aca="false">COUNTIF(JE_Lines!$B$5:$B$1733,A739)</f>
        <v>3</v>
      </c>
      <c r="C739" s="17" t="n">
        <f aca="false">SUMIFS(JE_Lines!$G$5:$G$1733,JE_Lines!$B$5:$B$1733,A739)</f>
        <v>11953.71</v>
      </c>
      <c r="D739" s="17" t="n">
        <f aca="false">SUMIFS(JE_Lines!$H$5:$H$1733,JE_Lines!$B$5:$B$1733,A739)</f>
        <v>11953.71</v>
      </c>
      <c r="E739" s="17" t="n">
        <f aca="false">C739-D739</f>
        <v>0</v>
      </c>
      <c r="F739" s="18" t="n">
        <f aca="false">INDEX(JE_Lines!$C$5:$C$1733,MATCH(A739,JE_Lines!$B$5:$B$1733,0))</f>
        <v>46006</v>
      </c>
      <c r="G739" s="18" t="n">
        <f aca="false">INDEX(JE_Lines!$D$5:$D$1733,MATCH(A739,JE_Lines!$B$5:$B$1733,0))</f>
        <v>46005</v>
      </c>
      <c r="H739" s="0" t="str">
        <f aca="false">INDEX(JE_Lines!$I$5:$I$1733,MATCH(A739,JE_Lines!$B$5:$B$1733,0))</f>
        <v>SYS_AP</v>
      </c>
      <c r="I739" s="0" t="str">
        <f aca="false">INDEX(JE_Lines!$J$5:$J$1733,MATCH(A739,JE_Lines!$B$5:$B$1733,0))</f>
        <v>System</v>
      </c>
      <c r="J739" s="0" t="str">
        <f aca="false">IF(LEN(INDEX(JE_Lines!$K$5:$K$1733,MATCH(A739,JE_Lines!$B$5:$B$1733,0)))=0,"",INDEX(JE_Lines!$K$5:$K$1733,MATCH(A739,JE_Lines!$B$5:$B$1733,0)))</f>
        <v>Utilities invoices</v>
      </c>
      <c r="K739" s="9" t="n">
        <f aca="false">F739-G739</f>
        <v>1</v>
      </c>
      <c r="L739" s="9" t="n">
        <f aca="false">COUNTIFS(JE_Lines!$B$5:$B$1733,A739,JE_Lines!$F$5:$F$1733,"Revenue")</f>
        <v>0</v>
      </c>
      <c r="M739" s="9" t="n">
        <f aca="false">COUNTIFS(JE_Lines!$B$5:$B$1733,A739,JE_Lines!$F$5:$F$1733,"Suspense")</f>
        <v>0</v>
      </c>
      <c r="N739" s="9" t="n">
        <f aca="false">IF(ABS(E739)&gt;Parameters!$B$23,1,0)</f>
        <v>0</v>
      </c>
      <c r="O739" s="9" t="n">
        <f aca="false">IF(WEEKDAY(F739,2)&gt;5,1,0)</f>
        <v>0</v>
      </c>
      <c r="P739" s="9" t="n">
        <f aca="false">IF(K739&gt;Parameters!$B$17,1,0)</f>
        <v>0</v>
      </c>
      <c r="Q739" s="9" t="n">
        <f aca="false">IF(AND(F739&lt;=Parameters!$B$6,F739&gt;Parameters!$B$6-Parameters!$B$18),1,0)</f>
        <v>0</v>
      </c>
      <c r="R739" s="9" t="n">
        <f aca="false">IF(COUNTIF(Parameters!$A$51:$A$58,H739)=0,1,0)</f>
        <v>0</v>
      </c>
      <c r="S739" s="9" t="n">
        <f aca="false">IF(AND(I739="Manual",L739&gt;0),1,0)</f>
        <v>0</v>
      </c>
      <c r="T739" s="9" t="n">
        <f aca="false">IF(AND(C739&gt;=Parameters!$B$22,ROUND(MOD(ROUND(C739,2),Parameters!$B$21),2)=0),1,0)</f>
        <v>0</v>
      </c>
      <c r="U739" s="9" t="n">
        <f aca="false">IF(LEN(TRIM(J739))=0,1,0)</f>
        <v>0</v>
      </c>
      <c r="V739" s="9" t="n">
        <f aca="false">IF(AND(I739="Manual",C739&lt;Parameters!$B$19,C739&gt;=Parameters!$B$19*(1-Parameters!$B$20)),1,0)</f>
        <v>0</v>
      </c>
      <c r="W739" s="9" t="n">
        <f aca="false">IF(AND(I739="Manual",M739&gt;0),1,0)</f>
        <v>0</v>
      </c>
      <c r="X739" s="9" t="n">
        <f aca="false">IF(A739-A738&gt;1,1,0)</f>
        <v>0</v>
      </c>
      <c r="Y739" s="9" t="n">
        <f aca="false">N739*Parameters!$B$38+O739*Parameters!$B$39+P739*Parameters!$B$40+Q739*Parameters!$B$41+R739*Parameters!$B$42+S739*Parameters!$B$43+T739*Parameters!$B$44+U739*Parameters!$B$45+V739*Parameters!$B$46+W739*Parameters!$B$47+X739*Parameters!$B$48</f>
        <v>0</v>
      </c>
      <c r="Z739" s="0" t="str">
        <f aca="false">IF(Y739&gt;=Parameters!$B$25,"High","")</f>
        <v/>
      </c>
    </row>
    <row r="740" customFormat="false" ht="15" hidden="false" customHeight="false" outlineLevel="0" collapsed="false">
      <c r="A740" s="16" t="n">
        <v>1747</v>
      </c>
      <c r="B740" s="9" t="n">
        <f aca="false">COUNTIF(JE_Lines!$B$5:$B$1733,A740)</f>
        <v>2</v>
      </c>
      <c r="C740" s="17" t="n">
        <f aca="false">SUMIFS(JE_Lines!$G$5:$G$1733,JE_Lines!$B$5:$B$1733,A740)</f>
        <v>30928.2</v>
      </c>
      <c r="D740" s="17" t="n">
        <f aca="false">SUMIFS(JE_Lines!$H$5:$H$1733,JE_Lines!$B$5:$B$1733,A740)</f>
        <v>30928.2</v>
      </c>
      <c r="E740" s="17" t="n">
        <f aca="false">C740-D740</f>
        <v>0</v>
      </c>
      <c r="F740" s="18" t="n">
        <f aca="false">INDEX(JE_Lines!$C$5:$C$1733,MATCH(A740,JE_Lines!$B$5:$B$1733,0))</f>
        <v>46006</v>
      </c>
      <c r="G740" s="18" t="n">
        <f aca="false">INDEX(JE_Lines!$D$5:$D$1733,MATCH(A740,JE_Lines!$B$5:$B$1733,0))</f>
        <v>46004</v>
      </c>
      <c r="H740" s="0" t="str">
        <f aca="false">INDEX(JE_Lines!$I$5:$I$1733,MATCH(A740,JE_Lines!$B$5:$B$1733,0))</f>
        <v>SYS_AR</v>
      </c>
      <c r="I740" s="0" t="str">
        <f aca="false">INDEX(JE_Lines!$J$5:$J$1733,MATCH(A740,JE_Lines!$B$5:$B$1733,0))</f>
        <v>System</v>
      </c>
      <c r="J740" s="0" t="str">
        <f aca="false">IF(LEN(INDEX(JE_Lines!$K$5:$K$1733,MATCH(A740,JE_Lines!$B$5:$B$1733,0)))=0,"",INDEX(JE_Lines!$K$5:$K$1733,MATCH(A740,JE_Lines!$B$5:$B$1733,0)))</f>
        <v>Cost of sales posting</v>
      </c>
      <c r="K740" s="9" t="n">
        <f aca="false">F740-G740</f>
        <v>2</v>
      </c>
      <c r="L740" s="9" t="n">
        <f aca="false">COUNTIFS(JE_Lines!$B$5:$B$1733,A740,JE_Lines!$F$5:$F$1733,"Revenue")</f>
        <v>0</v>
      </c>
      <c r="M740" s="9" t="n">
        <f aca="false">COUNTIFS(JE_Lines!$B$5:$B$1733,A740,JE_Lines!$F$5:$F$1733,"Suspense")</f>
        <v>0</v>
      </c>
      <c r="N740" s="9" t="n">
        <f aca="false">IF(ABS(E740)&gt;Parameters!$B$23,1,0)</f>
        <v>0</v>
      </c>
      <c r="O740" s="9" t="n">
        <f aca="false">IF(WEEKDAY(F740,2)&gt;5,1,0)</f>
        <v>0</v>
      </c>
      <c r="P740" s="9" t="n">
        <f aca="false">IF(K740&gt;Parameters!$B$17,1,0)</f>
        <v>0</v>
      </c>
      <c r="Q740" s="9" t="n">
        <f aca="false">IF(AND(F740&lt;=Parameters!$B$6,F740&gt;Parameters!$B$6-Parameters!$B$18),1,0)</f>
        <v>0</v>
      </c>
      <c r="R740" s="9" t="n">
        <f aca="false">IF(COUNTIF(Parameters!$A$51:$A$58,H740)=0,1,0)</f>
        <v>0</v>
      </c>
      <c r="S740" s="9" t="n">
        <f aca="false">IF(AND(I740="Manual",L740&gt;0),1,0)</f>
        <v>0</v>
      </c>
      <c r="T740" s="9" t="n">
        <f aca="false">IF(AND(C740&gt;=Parameters!$B$22,ROUND(MOD(ROUND(C740,2),Parameters!$B$21),2)=0),1,0)</f>
        <v>0</v>
      </c>
      <c r="U740" s="9" t="n">
        <f aca="false">IF(LEN(TRIM(J740))=0,1,0)</f>
        <v>0</v>
      </c>
      <c r="V740" s="9" t="n">
        <f aca="false">IF(AND(I740="Manual",C740&lt;Parameters!$B$19,C740&gt;=Parameters!$B$19*(1-Parameters!$B$20)),1,0)</f>
        <v>0</v>
      </c>
      <c r="W740" s="9" t="n">
        <f aca="false">IF(AND(I740="Manual",M740&gt;0),1,0)</f>
        <v>0</v>
      </c>
      <c r="X740" s="9" t="n">
        <f aca="false">IF(A740-A739&gt;1,1,0)</f>
        <v>0</v>
      </c>
      <c r="Y740" s="9" t="n">
        <f aca="false">N740*Parameters!$B$38+O740*Parameters!$B$39+P740*Parameters!$B$40+Q740*Parameters!$B$41+R740*Parameters!$B$42+S740*Parameters!$B$43+T740*Parameters!$B$44+U740*Parameters!$B$45+V740*Parameters!$B$46+W740*Parameters!$B$47+X740*Parameters!$B$48</f>
        <v>0</v>
      </c>
      <c r="Z740" s="0" t="str">
        <f aca="false">IF(Y740&gt;=Parameters!$B$25,"High","")</f>
        <v/>
      </c>
    </row>
    <row r="741" customFormat="false" ht="15" hidden="false" customHeight="false" outlineLevel="0" collapsed="false">
      <c r="A741" s="16" t="n">
        <v>1748</v>
      </c>
      <c r="B741" s="9" t="n">
        <f aca="false">COUNTIF(JE_Lines!$B$5:$B$1733,A741)</f>
        <v>3</v>
      </c>
      <c r="C741" s="17" t="n">
        <f aca="false">SUMIFS(JE_Lines!$G$5:$G$1733,JE_Lines!$B$5:$B$1733,A741)</f>
        <v>11156.77</v>
      </c>
      <c r="D741" s="17" t="n">
        <f aca="false">SUMIFS(JE_Lines!$H$5:$H$1733,JE_Lines!$B$5:$B$1733,A741)</f>
        <v>11156.77</v>
      </c>
      <c r="E741" s="17" t="n">
        <f aca="false">C741-D741</f>
        <v>0</v>
      </c>
      <c r="F741" s="18" t="n">
        <f aca="false">INDEX(JE_Lines!$C$5:$C$1733,MATCH(A741,JE_Lines!$B$5:$B$1733,0))</f>
        <v>46007</v>
      </c>
      <c r="G741" s="18" t="n">
        <f aca="false">INDEX(JE_Lines!$D$5:$D$1733,MATCH(A741,JE_Lines!$B$5:$B$1733,0))</f>
        <v>46007</v>
      </c>
      <c r="H741" s="0" t="str">
        <f aca="false">INDEX(JE_Lines!$I$5:$I$1733,MATCH(A741,JE_Lines!$B$5:$B$1733,0))</f>
        <v>SYS_AR</v>
      </c>
      <c r="I741" s="0" t="str">
        <f aca="false">INDEX(JE_Lines!$J$5:$J$1733,MATCH(A741,JE_Lines!$B$5:$B$1733,0))</f>
        <v>System</v>
      </c>
      <c r="J741" s="0" t="str">
        <f aca="false">IF(LEN(INDEX(JE_Lines!$K$5:$K$1733,MATCH(A741,JE_Lines!$B$5:$B$1733,0)))=0,"",INDEX(JE_Lines!$K$5:$K$1733,MATCH(A741,JE_Lines!$B$5:$B$1733,0)))</f>
        <v>Sales invoice batch</v>
      </c>
      <c r="K741" s="9" t="n">
        <f aca="false">F741-G741</f>
        <v>0</v>
      </c>
      <c r="L741" s="9" t="n">
        <f aca="false">COUNTIFS(JE_Lines!$B$5:$B$1733,A741,JE_Lines!$F$5:$F$1733,"Revenue")</f>
        <v>1</v>
      </c>
      <c r="M741" s="9" t="n">
        <f aca="false">COUNTIFS(JE_Lines!$B$5:$B$1733,A741,JE_Lines!$F$5:$F$1733,"Suspense")</f>
        <v>0</v>
      </c>
      <c r="N741" s="9" t="n">
        <f aca="false">IF(ABS(E741)&gt;Parameters!$B$23,1,0)</f>
        <v>0</v>
      </c>
      <c r="O741" s="9" t="n">
        <f aca="false">IF(WEEKDAY(F741,2)&gt;5,1,0)</f>
        <v>0</v>
      </c>
      <c r="P741" s="9" t="n">
        <f aca="false">IF(K741&gt;Parameters!$B$17,1,0)</f>
        <v>0</v>
      </c>
      <c r="Q741" s="9" t="n">
        <f aca="false">IF(AND(F741&lt;=Parameters!$B$6,F741&gt;Parameters!$B$6-Parameters!$B$18),1,0)</f>
        <v>0</v>
      </c>
      <c r="R741" s="9" t="n">
        <f aca="false">IF(COUNTIF(Parameters!$A$51:$A$58,H741)=0,1,0)</f>
        <v>0</v>
      </c>
      <c r="S741" s="9" t="n">
        <f aca="false">IF(AND(I741="Manual",L741&gt;0),1,0)</f>
        <v>0</v>
      </c>
      <c r="T741" s="9" t="n">
        <f aca="false">IF(AND(C741&gt;=Parameters!$B$22,ROUND(MOD(ROUND(C741,2),Parameters!$B$21),2)=0),1,0)</f>
        <v>0</v>
      </c>
      <c r="U741" s="9" t="n">
        <f aca="false">IF(LEN(TRIM(J741))=0,1,0)</f>
        <v>0</v>
      </c>
      <c r="V741" s="9" t="n">
        <f aca="false">IF(AND(I741="Manual",C741&lt;Parameters!$B$19,C741&gt;=Parameters!$B$19*(1-Parameters!$B$20)),1,0)</f>
        <v>0</v>
      </c>
      <c r="W741" s="9" t="n">
        <f aca="false">IF(AND(I741="Manual",M741&gt;0),1,0)</f>
        <v>0</v>
      </c>
      <c r="X741" s="9" t="n">
        <f aca="false">IF(A741-A740&gt;1,1,0)</f>
        <v>0</v>
      </c>
      <c r="Y741" s="9" t="n">
        <f aca="false">N741*Parameters!$B$38+O741*Parameters!$B$39+P741*Parameters!$B$40+Q741*Parameters!$B$41+R741*Parameters!$B$42+S741*Parameters!$B$43+T741*Parameters!$B$44+U741*Parameters!$B$45+V741*Parameters!$B$46+W741*Parameters!$B$47+X741*Parameters!$B$48</f>
        <v>0</v>
      </c>
      <c r="Z741" s="0" t="str">
        <f aca="false">IF(Y741&gt;=Parameters!$B$25,"High","")</f>
        <v/>
      </c>
    </row>
    <row r="742" customFormat="false" ht="15" hidden="false" customHeight="false" outlineLevel="0" collapsed="false">
      <c r="A742" s="16" t="n">
        <v>1749</v>
      </c>
      <c r="B742" s="9" t="n">
        <f aca="false">COUNTIF(JE_Lines!$B$5:$B$1733,A742)</f>
        <v>2</v>
      </c>
      <c r="C742" s="17" t="n">
        <f aca="false">SUMIFS(JE_Lines!$G$5:$G$1733,JE_Lines!$B$5:$B$1733,A742)</f>
        <v>9162.82</v>
      </c>
      <c r="D742" s="17" t="n">
        <f aca="false">SUMIFS(JE_Lines!$H$5:$H$1733,JE_Lines!$B$5:$B$1733,A742)</f>
        <v>9162.82</v>
      </c>
      <c r="E742" s="17" t="n">
        <f aca="false">C742-D742</f>
        <v>0</v>
      </c>
      <c r="F742" s="18" t="n">
        <f aca="false">INDEX(JE_Lines!$C$5:$C$1733,MATCH(A742,JE_Lines!$B$5:$B$1733,0))</f>
        <v>46007</v>
      </c>
      <c r="G742" s="18" t="n">
        <f aca="false">INDEX(JE_Lines!$D$5:$D$1733,MATCH(A742,JE_Lines!$B$5:$B$1733,0))</f>
        <v>46006</v>
      </c>
      <c r="H742" s="0" t="str">
        <f aca="false">INDEX(JE_Lines!$I$5:$I$1733,MATCH(A742,JE_Lines!$B$5:$B$1733,0))</f>
        <v>SYS_AR</v>
      </c>
      <c r="I742" s="0" t="str">
        <f aca="false">INDEX(JE_Lines!$J$5:$J$1733,MATCH(A742,JE_Lines!$B$5:$B$1733,0))</f>
        <v>System</v>
      </c>
      <c r="J742" s="0" t="str">
        <f aca="false">IF(LEN(INDEX(JE_Lines!$K$5:$K$1733,MATCH(A742,JE_Lines!$B$5:$B$1733,0)))=0,"",INDEX(JE_Lines!$K$5:$K$1733,MATCH(A742,JE_Lines!$B$5:$B$1733,0)))</f>
        <v>Sales invoice batch</v>
      </c>
      <c r="K742" s="9" t="n">
        <f aca="false">F742-G742</f>
        <v>1</v>
      </c>
      <c r="L742" s="9" t="n">
        <f aca="false">COUNTIFS(JE_Lines!$B$5:$B$1733,A742,JE_Lines!$F$5:$F$1733,"Revenue")</f>
        <v>1</v>
      </c>
      <c r="M742" s="9" t="n">
        <f aca="false">COUNTIFS(JE_Lines!$B$5:$B$1733,A742,JE_Lines!$F$5:$F$1733,"Suspense")</f>
        <v>0</v>
      </c>
      <c r="N742" s="9" t="n">
        <f aca="false">IF(ABS(E742)&gt;Parameters!$B$23,1,0)</f>
        <v>0</v>
      </c>
      <c r="O742" s="9" t="n">
        <f aca="false">IF(WEEKDAY(F742,2)&gt;5,1,0)</f>
        <v>0</v>
      </c>
      <c r="P742" s="9" t="n">
        <f aca="false">IF(K742&gt;Parameters!$B$17,1,0)</f>
        <v>0</v>
      </c>
      <c r="Q742" s="9" t="n">
        <f aca="false">IF(AND(F742&lt;=Parameters!$B$6,F742&gt;Parameters!$B$6-Parameters!$B$18),1,0)</f>
        <v>0</v>
      </c>
      <c r="R742" s="9" t="n">
        <f aca="false">IF(COUNTIF(Parameters!$A$51:$A$58,H742)=0,1,0)</f>
        <v>0</v>
      </c>
      <c r="S742" s="9" t="n">
        <f aca="false">IF(AND(I742="Manual",L742&gt;0),1,0)</f>
        <v>0</v>
      </c>
      <c r="T742" s="9" t="n">
        <f aca="false">IF(AND(C742&gt;=Parameters!$B$22,ROUND(MOD(ROUND(C742,2),Parameters!$B$21),2)=0),1,0)</f>
        <v>0</v>
      </c>
      <c r="U742" s="9" t="n">
        <f aca="false">IF(LEN(TRIM(J742))=0,1,0)</f>
        <v>0</v>
      </c>
      <c r="V742" s="9" t="n">
        <f aca="false">IF(AND(I742="Manual",C742&lt;Parameters!$B$19,C742&gt;=Parameters!$B$19*(1-Parameters!$B$20)),1,0)</f>
        <v>0</v>
      </c>
      <c r="W742" s="9" t="n">
        <f aca="false">IF(AND(I742="Manual",M742&gt;0),1,0)</f>
        <v>0</v>
      </c>
      <c r="X742" s="9" t="n">
        <f aca="false">IF(A742-A741&gt;1,1,0)</f>
        <v>0</v>
      </c>
      <c r="Y742" s="9" t="n">
        <f aca="false">N742*Parameters!$B$38+O742*Parameters!$B$39+P742*Parameters!$B$40+Q742*Parameters!$B$41+R742*Parameters!$B$42+S742*Parameters!$B$43+T742*Parameters!$B$44+U742*Parameters!$B$45+V742*Parameters!$B$46+W742*Parameters!$B$47+X742*Parameters!$B$48</f>
        <v>0</v>
      </c>
      <c r="Z742" s="0" t="str">
        <f aca="false">IF(Y742&gt;=Parameters!$B$25,"High","")</f>
        <v/>
      </c>
    </row>
    <row r="743" customFormat="false" ht="15" hidden="false" customHeight="false" outlineLevel="0" collapsed="false">
      <c r="A743" s="16" t="n">
        <v>1750</v>
      </c>
      <c r="B743" s="9" t="n">
        <f aca="false">COUNTIF(JE_Lines!$B$5:$B$1733,A743)</f>
        <v>2</v>
      </c>
      <c r="C743" s="17" t="n">
        <f aca="false">SUMIFS(JE_Lines!$G$5:$G$1733,JE_Lines!$B$5:$B$1733,A743)</f>
        <v>466.54</v>
      </c>
      <c r="D743" s="17" t="n">
        <f aca="false">SUMIFS(JE_Lines!$H$5:$H$1733,JE_Lines!$B$5:$B$1733,A743)</f>
        <v>466.54</v>
      </c>
      <c r="E743" s="17" t="n">
        <f aca="false">C743-D743</f>
        <v>0</v>
      </c>
      <c r="F743" s="18" t="n">
        <f aca="false">INDEX(JE_Lines!$C$5:$C$1733,MATCH(A743,JE_Lines!$B$5:$B$1733,0))</f>
        <v>46007</v>
      </c>
      <c r="G743" s="18" t="n">
        <f aca="false">INDEX(JE_Lines!$D$5:$D$1733,MATCH(A743,JE_Lines!$B$5:$B$1733,0))</f>
        <v>46005</v>
      </c>
      <c r="H743" s="0" t="str">
        <f aca="false">INDEX(JE_Lines!$I$5:$I$1733,MATCH(A743,JE_Lines!$B$5:$B$1733,0))</f>
        <v>SYS_AR</v>
      </c>
      <c r="I743" s="0" t="str">
        <f aca="false">INDEX(JE_Lines!$J$5:$J$1733,MATCH(A743,JE_Lines!$B$5:$B$1733,0))</f>
        <v>System</v>
      </c>
      <c r="J743" s="0" t="str">
        <f aca="false">IF(LEN(INDEX(JE_Lines!$K$5:$K$1733,MATCH(A743,JE_Lines!$B$5:$B$1733,0)))=0,"",INDEX(JE_Lines!$K$5:$K$1733,MATCH(A743,JE_Lines!$B$5:$B$1733,0)))</f>
        <v>Customer receipts</v>
      </c>
      <c r="K743" s="9" t="n">
        <f aca="false">F743-G743</f>
        <v>2</v>
      </c>
      <c r="L743" s="9" t="n">
        <f aca="false">COUNTIFS(JE_Lines!$B$5:$B$1733,A743,JE_Lines!$F$5:$F$1733,"Revenue")</f>
        <v>0</v>
      </c>
      <c r="M743" s="9" t="n">
        <f aca="false">COUNTIFS(JE_Lines!$B$5:$B$1733,A743,JE_Lines!$F$5:$F$1733,"Suspense")</f>
        <v>0</v>
      </c>
      <c r="N743" s="9" t="n">
        <f aca="false">IF(ABS(E743)&gt;Parameters!$B$23,1,0)</f>
        <v>0</v>
      </c>
      <c r="O743" s="9" t="n">
        <f aca="false">IF(WEEKDAY(F743,2)&gt;5,1,0)</f>
        <v>0</v>
      </c>
      <c r="P743" s="9" t="n">
        <f aca="false">IF(K743&gt;Parameters!$B$17,1,0)</f>
        <v>0</v>
      </c>
      <c r="Q743" s="9" t="n">
        <f aca="false">IF(AND(F743&lt;=Parameters!$B$6,F743&gt;Parameters!$B$6-Parameters!$B$18),1,0)</f>
        <v>0</v>
      </c>
      <c r="R743" s="9" t="n">
        <f aca="false">IF(COUNTIF(Parameters!$A$51:$A$58,H743)=0,1,0)</f>
        <v>0</v>
      </c>
      <c r="S743" s="9" t="n">
        <f aca="false">IF(AND(I743="Manual",L743&gt;0),1,0)</f>
        <v>0</v>
      </c>
      <c r="T743" s="9" t="n">
        <f aca="false">IF(AND(C743&gt;=Parameters!$B$22,ROUND(MOD(ROUND(C743,2),Parameters!$B$21),2)=0),1,0)</f>
        <v>0</v>
      </c>
      <c r="U743" s="9" t="n">
        <f aca="false">IF(LEN(TRIM(J743))=0,1,0)</f>
        <v>0</v>
      </c>
      <c r="V743" s="9" t="n">
        <f aca="false">IF(AND(I743="Manual",C743&lt;Parameters!$B$19,C743&gt;=Parameters!$B$19*(1-Parameters!$B$20)),1,0)</f>
        <v>0</v>
      </c>
      <c r="W743" s="9" t="n">
        <f aca="false">IF(AND(I743="Manual",M743&gt;0),1,0)</f>
        <v>0</v>
      </c>
      <c r="X743" s="9" t="n">
        <f aca="false">IF(A743-A742&gt;1,1,0)</f>
        <v>0</v>
      </c>
      <c r="Y743" s="9" t="n">
        <f aca="false">N743*Parameters!$B$38+O743*Parameters!$B$39+P743*Parameters!$B$40+Q743*Parameters!$B$41+R743*Parameters!$B$42+S743*Parameters!$B$43+T743*Parameters!$B$44+U743*Parameters!$B$45+V743*Parameters!$B$46+W743*Parameters!$B$47+X743*Parameters!$B$48</f>
        <v>0</v>
      </c>
      <c r="Z743" s="0" t="str">
        <f aca="false">IF(Y743&gt;=Parameters!$B$25,"High","")</f>
        <v/>
      </c>
    </row>
    <row r="744" customFormat="false" ht="15" hidden="false" customHeight="false" outlineLevel="0" collapsed="false">
      <c r="A744" s="16" t="n">
        <v>1751</v>
      </c>
      <c r="B744" s="9" t="n">
        <f aca="false">COUNTIF(JE_Lines!$B$5:$B$1733,A744)</f>
        <v>2</v>
      </c>
      <c r="C744" s="17" t="n">
        <f aca="false">SUMIFS(JE_Lines!$G$5:$G$1733,JE_Lines!$B$5:$B$1733,A744)</f>
        <v>371.02</v>
      </c>
      <c r="D744" s="17" t="n">
        <f aca="false">SUMIFS(JE_Lines!$H$5:$H$1733,JE_Lines!$B$5:$B$1733,A744)</f>
        <v>371.02</v>
      </c>
      <c r="E744" s="17" t="n">
        <f aca="false">C744-D744</f>
        <v>0</v>
      </c>
      <c r="F744" s="18" t="n">
        <f aca="false">INDEX(JE_Lines!$C$5:$C$1733,MATCH(A744,JE_Lines!$B$5:$B$1733,0))</f>
        <v>46008</v>
      </c>
      <c r="G744" s="18" t="n">
        <f aca="false">INDEX(JE_Lines!$D$5:$D$1733,MATCH(A744,JE_Lines!$B$5:$B$1733,0))</f>
        <v>46004</v>
      </c>
      <c r="H744" s="0" t="str">
        <f aca="false">INDEX(JE_Lines!$I$5:$I$1733,MATCH(A744,JE_Lines!$B$5:$B$1733,0))</f>
        <v>SYS_AR</v>
      </c>
      <c r="I744" s="0" t="str">
        <f aca="false">INDEX(JE_Lines!$J$5:$J$1733,MATCH(A744,JE_Lines!$B$5:$B$1733,0))</f>
        <v>System</v>
      </c>
      <c r="J744" s="0" t="str">
        <f aca="false">IF(LEN(INDEX(JE_Lines!$K$5:$K$1733,MATCH(A744,JE_Lines!$B$5:$B$1733,0)))=0,"",INDEX(JE_Lines!$K$5:$K$1733,MATCH(A744,JE_Lines!$B$5:$B$1733,0)))</f>
        <v>Customer receipts</v>
      </c>
      <c r="K744" s="9" t="n">
        <f aca="false">F744-G744</f>
        <v>4</v>
      </c>
      <c r="L744" s="9" t="n">
        <f aca="false">COUNTIFS(JE_Lines!$B$5:$B$1733,A744,JE_Lines!$F$5:$F$1733,"Revenue")</f>
        <v>0</v>
      </c>
      <c r="M744" s="9" t="n">
        <f aca="false">COUNTIFS(JE_Lines!$B$5:$B$1733,A744,JE_Lines!$F$5:$F$1733,"Suspense")</f>
        <v>0</v>
      </c>
      <c r="N744" s="9" t="n">
        <f aca="false">IF(ABS(E744)&gt;Parameters!$B$23,1,0)</f>
        <v>0</v>
      </c>
      <c r="O744" s="9" t="n">
        <f aca="false">IF(WEEKDAY(F744,2)&gt;5,1,0)</f>
        <v>0</v>
      </c>
      <c r="P744" s="9" t="n">
        <f aca="false">IF(K744&gt;Parameters!$B$17,1,0)</f>
        <v>0</v>
      </c>
      <c r="Q744" s="9" t="n">
        <f aca="false">IF(AND(F744&lt;=Parameters!$B$6,F744&gt;Parameters!$B$6-Parameters!$B$18),1,0)</f>
        <v>0</v>
      </c>
      <c r="R744" s="9" t="n">
        <f aca="false">IF(COUNTIF(Parameters!$A$51:$A$58,H744)=0,1,0)</f>
        <v>0</v>
      </c>
      <c r="S744" s="9" t="n">
        <f aca="false">IF(AND(I744="Manual",L744&gt;0),1,0)</f>
        <v>0</v>
      </c>
      <c r="T744" s="9" t="n">
        <f aca="false">IF(AND(C744&gt;=Parameters!$B$22,ROUND(MOD(ROUND(C744,2),Parameters!$B$21),2)=0),1,0)</f>
        <v>0</v>
      </c>
      <c r="U744" s="9" t="n">
        <f aca="false">IF(LEN(TRIM(J744))=0,1,0)</f>
        <v>0</v>
      </c>
      <c r="V744" s="9" t="n">
        <f aca="false">IF(AND(I744="Manual",C744&lt;Parameters!$B$19,C744&gt;=Parameters!$B$19*(1-Parameters!$B$20)),1,0)</f>
        <v>0</v>
      </c>
      <c r="W744" s="9" t="n">
        <f aca="false">IF(AND(I744="Manual",M744&gt;0),1,0)</f>
        <v>0</v>
      </c>
      <c r="X744" s="9" t="n">
        <f aca="false">IF(A744-A743&gt;1,1,0)</f>
        <v>0</v>
      </c>
      <c r="Y744" s="9" t="n">
        <f aca="false">N744*Parameters!$B$38+O744*Parameters!$B$39+P744*Parameters!$B$40+Q744*Parameters!$B$41+R744*Parameters!$B$42+S744*Parameters!$B$43+T744*Parameters!$B$44+U744*Parameters!$B$45+V744*Parameters!$B$46+W744*Parameters!$B$47+X744*Parameters!$B$48</f>
        <v>0</v>
      </c>
      <c r="Z744" s="0" t="str">
        <f aca="false">IF(Y744&gt;=Parameters!$B$25,"High","")</f>
        <v/>
      </c>
    </row>
    <row r="745" customFormat="false" ht="15" hidden="false" customHeight="false" outlineLevel="0" collapsed="false">
      <c r="A745" s="16" t="n">
        <v>1752</v>
      </c>
      <c r="B745" s="9" t="n">
        <f aca="false">COUNTIF(JE_Lines!$B$5:$B$1733,A745)</f>
        <v>2</v>
      </c>
      <c r="C745" s="17" t="n">
        <f aca="false">SUMIFS(JE_Lines!$G$5:$G$1733,JE_Lines!$B$5:$B$1733,A745)</f>
        <v>434.84</v>
      </c>
      <c r="D745" s="17" t="n">
        <f aca="false">SUMIFS(JE_Lines!$H$5:$H$1733,JE_Lines!$B$5:$B$1733,A745)</f>
        <v>434.84</v>
      </c>
      <c r="E745" s="17" t="n">
        <f aca="false">C745-D745</f>
        <v>0</v>
      </c>
      <c r="F745" s="18" t="n">
        <f aca="false">INDEX(JE_Lines!$C$5:$C$1733,MATCH(A745,JE_Lines!$B$5:$B$1733,0))</f>
        <v>46008</v>
      </c>
      <c r="G745" s="18" t="n">
        <f aca="false">INDEX(JE_Lines!$D$5:$D$1733,MATCH(A745,JE_Lines!$B$5:$B$1733,0))</f>
        <v>46004</v>
      </c>
      <c r="H745" s="0" t="str">
        <f aca="false">INDEX(JE_Lines!$I$5:$I$1733,MATCH(A745,JE_Lines!$B$5:$B$1733,0))</f>
        <v>SYS_AP</v>
      </c>
      <c r="I745" s="0" t="str">
        <f aca="false">INDEX(JE_Lines!$J$5:$J$1733,MATCH(A745,JE_Lines!$B$5:$B$1733,0))</f>
        <v>System</v>
      </c>
      <c r="J745" s="0" t="str">
        <f aca="false">IF(LEN(INDEX(JE_Lines!$K$5:$K$1733,MATCH(A745,JE_Lines!$B$5:$B$1733,0)))=0,"",INDEX(JE_Lines!$K$5:$K$1733,MATCH(A745,JE_Lines!$B$5:$B$1733,0)))</f>
        <v>Supplier invoices</v>
      </c>
      <c r="K745" s="9" t="n">
        <f aca="false">F745-G745</f>
        <v>4</v>
      </c>
      <c r="L745" s="9" t="n">
        <f aca="false">COUNTIFS(JE_Lines!$B$5:$B$1733,A745,JE_Lines!$F$5:$F$1733,"Revenue")</f>
        <v>0</v>
      </c>
      <c r="M745" s="9" t="n">
        <f aca="false">COUNTIFS(JE_Lines!$B$5:$B$1733,A745,JE_Lines!$F$5:$F$1733,"Suspense")</f>
        <v>0</v>
      </c>
      <c r="N745" s="9" t="n">
        <f aca="false">IF(ABS(E745)&gt;Parameters!$B$23,1,0)</f>
        <v>0</v>
      </c>
      <c r="O745" s="9" t="n">
        <f aca="false">IF(WEEKDAY(F745,2)&gt;5,1,0)</f>
        <v>0</v>
      </c>
      <c r="P745" s="9" t="n">
        <f aca="false">IF(K745&gt;Parameters!$B$17,1,0)</f>
        <v>0</v>
      </c>
      <c r="Q745" s="9" t="n">
        <f aca="false">IF(AND(F745&lt;=Parameters!$B$6,F745&gt;Parameters!$B$6-Parameters!$B$18),1,0)</f>
        <v>0</v>
      </c>
      <c r="R745" s="9" t="n">
        <f aca="false">IF(COUNTIF(Parameters!$A$51:$A$58,H745)=0,1,0)</f>
        <v>0</v>
      </c>
      <c r="S745" s="9" t="n">
        <f aca="false">IF(AND(I745="Manual",L745&gt;0),1,0)</f>
        <v>0</v>
      </c>
      <c r="T745" s="9" t="n">
        <f aca="false">IF(AND(C745&gt;=Parameters!$B$22,ROUND(MOD(ROUND(C745,2),Parameters!$B$21),2)=0),1,0)</f>
        <v>0</v>
      </c>
      <c r="U745" s="9" t="n">
        <f aca="false">IF(LEN(TRIM(J745))=0,1,0)</f>
        <v>0</v>
      </c>
      <c r="V745" s="9" t="n">
        <f aca="false">IF(AND(I745="Manual",C745&lt;Parameters!$B$19,C745&gt;=Parameters!$B$19*(1-Parameters!$B$20)),1,0)</f>
        <v>0</v>
      </c>
      <c r="W745" s="9" t="n">
        <f aca="false">IF(AND(I745="Manual",M745&gt;0),1,0)</f>
        <v>0</v>
      </c>
      <c r="X745" s="9" t="n">
        <f aca="false">IF(A745-A744&gt;1,1,0)</f>
        <v>0</v>
      </c>
      <c r="Y745" s="9" t="n">
        <f aca="false">N745*Parameters!$B$38+O745*Parameters!$B$39+P745*Parameters!$B$40+Q745*Parameters!$B$41+R745*Parameters!$B$42+S745*Parameters!$B$43+T745*Parameters!$B$44+U745*Parameters!$B$45+V745*Parameters!$B$46+W745*Parameters!$B$47+X745*Parameters!$B$48</f>
        <v>0</v>
      </c>
      <c r="Z745" s="0" t="str">
        <f aca="false">IF(Y745&gt;=Parameters!$B$25,"High","")</f>
        <v/>
      </c>
    </row>
    <row r="746" customFormat="false" ht="15" hidden="false" customHeight="false" outlineLevel="0" collapsed="false">
      <c r="A746" s="16" t="n">
        <v>1753</v>
      </c>
      <c r="B746" s="9" t="n">
        <f aca="false">COUNTIF(JE_Lines!$B$5:$B$1733,A746)</f>
        <v>2</v>
      </c>
      <c r="C746" s="17" t="n">
        <f aca="false">SUMIFS(JE_Lines!$G$5:$G$1733,JE_Lines!$B$5:$B$1733,A746)</f>
        <v>270.71</v>
      </c>
      <c r="D746" s="17" t="n">
        <f aca="false">SUMIFS(JE_Lines!$H$5:$H$1733,JE_Lines!$B$5:$B$1733,A746)</f>
        <v>270.71</v>
      </c>
      <c r="E746" s="17" t="n">
        <f aca="false">C746-D746</f>
        <v>0</v>
      </c>
      <c r="F746" s="18" t="n">
        <f aca="false">INDEX(JE_Lines!$C$5:$C$1733,MATCH(A746,JE_Lines!$B$5:$B$1733,0))</f>
        <v>46008</v>
      </c>
      <c r="G746" s="18" t="n">
        <f aca="false">INDEX(JE_Lines!$D$5:$D$1733,MATCH(A746,JE_Lines!$B$5:$B$1733,0))</f>
        <v>46008</v>
      </c>
      <c r="H746" s="0" t="str">
        <f aca="false">INDEX(JE_Lines!$I$5:$I$1733,MATCH(A746,JE_Lines!$B$5:$B$1733,0))</f>
        <v>ADMIN</v>
      </c>
      <c r="I746" s="0" t="str">
        <f aca="false">INDEX(JE_Lines!$J$5:$J$1733,MATCH(A746,JE_Lines!$B$5:$B$1733,0))</f>
        <v>Manual</v>
      </c>
      <c r="J746" s="0" t="str">
        <f aca="false">IF(LEN(INDEX(JE_Lines!$K$5:$K$1733,MATCH(A746,JE_Lines!$B$5:$B$1733,0)))=0,"",INDEX(JE_Lines!$K$5:$K$1733,MATCH(A746,JE_Lines!$B$5:$B$1733,0)))</f>
        <v>Manual journal 4</v>
      </c>
      <c r="K746" s="9" t="n">
        <f aca="false">F746-G746</f>
        <v>0</v>
      </c>
      <c r="L746" s="9" t="n">
        <f aca="false">COUNTIFS(JE_Lines!$B$5:$B$1733,A746,JE_Lines!$F$5:$F$1733,"Revenue")</f>
        <v>0</v>
      </c>
      <c r="M746" s="9" t="n">
        <f aca="false">COUNTIFS(JE_Lines!$B$5:$B$1733,A746,JE_Lines!$F$5:$F$1733,"Suspense")</f>
        <v>0</v>
      </c>
      <c r="N746" s="9" t="n">
        <f aca="false">IF(ABS(E746)&gt;Parameters!$B$23,1,0)</f>
        <v>0</v>
      </c>
      <c r="O746" s="9" t="n">
        <f aca="false">IF(WEEKDAY(F746,2)&gt;5,1,0)</f>
        <v>0</v>
      </c>
      <c r="P746" s="9" t="n">
        <f aca="false">IF(K746&gt;Parameters!$B$17,1,0)</f>
        <v>0</v>
      </c>
      <c r="Q746" s="9" t="n">
        <f aca="false">IF(AND(F746&lt;=Parameters!$B$6,F746&gt;Parameters!$B$6-Parameters!$B$18),1,0)</f>
        <v>0</v>
      </c>
      <c r="R746" s="9" t="n">
        <f aca="false">IF(COUNTIF(Parameters!$A$51:$A$58,H746)=0,1,0)</f>
        <v>1</v>
      </c>
      <c r="S746" s="9" t="n">
        <f aca="false">IF(AND(I746="Manual",L746&gt;0),1,0)</f>
        <v>0</v>
      </c>
      <c r="T746" s="9" t="n">
        <f aca="false">IF(AND(C746&gt;=Parameters!$B$22,ROUND(MOD(ROUND(C746,2),Parameters!$B$21),2)=0),1,0)</f>
        <v>0</v>
      </c>
      <c r="U746" s="9" t="n">
        <f aca="false">IF(LEN(TRIM(J746))=0,1,0)</f>
        <v>0</v>
      </c>
      <c r="V746" s="9" t="n">
        <f aca="false">IF(AND(I746="Manual",C746&lt;Parameters!$B$19,C746&gt;=Parameters!$B$19*(1-Parameters!$B$20)),1,0)</f>
        <v>0</v>
      </c>
      <c r="W746" s="9" t="n">
        <f aca="false">IF(AND(I746="Manual",M746&gt;0),1,0)</f>
        <v>0</v>
      </c>
      <c r="X746" s="9" t="n">
        <f aca="false">IF(A746-A745&gt;1,1,0)</f>
        <v>0</v>
      </c>
      <c r="Y746" s="9" t="n">
        <f aca="false">N746*Parameters!$B$38+O746*Parameters!$B$39+P746*Parameters!$B$40+Q746*Parameters!$B$41+R746*Parameters!$B$42+S746*Parameters!$B$43+T746*Parameters!$B$44+U746*Parameters!$B$45+V746*Parameters!$B$46+W746*Parameters!$B$47+X746*Parameters!$B$48</f>
        <v>3</v>
      </c>
      <c r="Z746" s="0" t="str">
        <f aca="false">IF(Y746&gt;=Parameters!$B$25,"High","")</f>
        <v/>
      </c>
    </row>
    <row r="747" customFormat="false" ht="15" hidden="false" customHeight="false" outlineLevel="0" collapsed="false">
      <c r="A747" s="16" t="n">
        <v>1754</v>
      </c>
      <c r="B747" s="9" t="n">
        <f aca="false">COUNTIF(JE_Lines!$B$5:$B$1733,A747)</f>
        <v>2</v>
      </c>
      <c r="C747" s="17" t="n">
        <f aca="false">SUMIFS(JE_Lines!$G$5:$G$1733,JE_Lines!$B$5:$B$1733,A747)</f>
        <v>1320.34</v>
      </c>
      <c r="D747" s="17" t="n">
        <f aca="false">SUMIFS(JE_Lines!$H$5:$H$1733,JE_Lines!$B$5:$B$1733,A747)</f>
        <v>1320.34</v>
      </c>
      <c r="E747" s="17" t="n">
        <f aca="false">C747-D747</f>
        <v>0</v>
      </c>
      <c r="F747" s="18" t="n">
        <f aca="false">INDEX(JE_Lines!$C$5:$C$1733,MATCH(A747,JE_Lines!$B$5:$B$1733,0))</f>
        <v>46008</v>
      </c>
      <c r="G747" s="18" t="n">
        <f aca="false">INDEX(JE_Lines!$D$5:$D$1733,MATCH(A747,JE_Lines!$B$5:$B$1733,0))</f>
        <v>46006</v>
      </c>
      <c r="H747" s="0" t="str">
        <f aca="false">INDEX(JE_Lines!$I$5:$I$1733,MATCH(A747,JE_Lines!$B$5:$B$1733,0))</f>
        <v>FIN02</v>
      </c>
      <c r="I747" s="0" t="str">
        <f aca="false">INDEX(JE_Lines!$J$5:$J$1733,MATCH(A747,JE_Lines!$B$5:$B$1733,0))</f>
        <v>Manual</v>
      </c>
      <c r="J747" s="0" t="str">
        <f aca="false">IF(LEN(INDEX(JE_Lines!$K$5:$K$1733,MATCH(A747,JE_Lines!$B$5:$B$1733,0)))=0,"",INDEX(JE_Lines!$K$5:$K$1733,MATCH(A747,JE_Lines!$B$5:$B$1733,0)))</f>
        <v>Accrual for sundry costs</v>
      </c>
      <c r="K747" s="9" t="n">
        <f aca="false">F747-G747</f>
        <v>2</v>
      </c>
      <c r="L747" s="9" t="n">
        <f aca="false">COUNTIFS(JE_Lines!$B$5:$B$1733,A747,JE_Lines!$F$5:$F$1733,"Revenue")</f>
        <v>0</v>
      </c>
      <c r="M747" s="9" t="n">
        <f aca="false">COUNTIFS(JE_Lines!$B$5:$B$1733,A747,JE_Lines!$F$5:$F$1733,"Suspense")</f>
        <v>0</v>
      </c>
      <c r="N747" s="9" t="n">
        <f aca="false">IF(ABS(E747)&gt;Parameters!$B$23,1,0)</f>
        <v>0</v>
      </c>
      <c r="O747" s="9" t="n">
        <f aca="false">IF(WEEKDAY(F747,2)&gt;5,1,0)</f>
        <v>0</v>
      </c>
      <c r="P747" s="9" t="n">
        <f aca="false">IF(K747&gt;Parameters!$B$17,1,0)</f>
        <v>0</v>
      </c>
      <c r="Q747" s="9" t="n">
        <f aca="false">IF(AND(F747&lt;=Parameters!$B$6,F747&gt;Parameters!$B$6-Parameters!$B$18),1,0)</f>
        <v>0</v>
      </c>
      <c r="R747" s="9" t="n">
        <f aca="false">IF(COUNTIF(Parameters!$A$51:$A$58,H747)=0,1,0)</f>
        <v>0</v>
      </c>
      <c r="S747" s="9" t="n">
        <f aca="false">IF(AND(I747="Manual",L747&gt;0),1,0)</f>
        <v>0</v>
      </c>
      <c r="T747" s="9" t="n">
        <f aca="false">IF(AND(C747&gt;=Parameters!$B$22,ROUND(MOD(ROUND(C747,2),Parameters!$B$21),2)=0),1,0)</f>
        <v>0</v>
      </c>
      <c r="U747" s="9" t="n">
        <f aca="false">IF(LEN(TRIM(J747))=0,1,0)</f>
        <v>0</v>
      </c>
      <c r="V747" s="9" t="n">
        <f aca="false">IF(AND(I747="Manual",C747&lt;Parameters!$B$19,C747&gt;=Parameters!$B$19*(1-Parameters!$B$20)),1,0)</f>
        <v>0</v>
      </c>
      <c r="W747" s="9" t="n">
        <f aca="false">IF(AND(I747="Manual",M747&gt;0),1,0)</f>
        <v>0</v>
      </c>
      <c r="X747" s="9" t="n">
        <f aca="false">IF(A747-A746&gt;1,1,0)</f>
        <v>0</v>
      </c>
      <c r="Y747" s="9" t="n">
        <f aca="false">N747*Parameters!$B$38+O747*Parameters!$B$39+P747*Parameters!$B$40+Q747*Parameters!$B$41+R747*Parameters!$B$42+S747*Parameters!$B$43+T747*Parameters!$B$44+U747*Parameters!$B$45+V747*Parameters!$B$46+W747*Parameters!$B$47+X747*Parameters!$B$48</f>
        <v>0</v>
      </c>
      <c r="Z747" s="0" t="str">
        <f aca="false">IF(Y747&gt;=Parameters!$B$25,"High","")</f>
        <v/>
      </c>
    </row>
    <row r="748" customFormat="false" ht="15" hidden="false" customHeight="false" outlineLevel="0" collapsed="false">
      <c r="A748" s="16" t="n">
        <v>1755</v>
      </c>
      <c r="B748" s="9" t="n">
        <f aca="false">COUNTIF(JE_Lines!$B$5:$B$1733,A748)</f>
        <v>2</v>
      </c>
      <c r="C748" s="17" t="n">
        <f aca="false">SUMIFS(JE_Lines!$G$5:$G$1733,JE_Lines!$B$5:$B$1733,A748)</f>
        <v>7588.34</v>
      </c>
      <c r="D748" s="17" t="n">
        <f aca="false">SUMIFS(JE_Lines!$H$5:$H$1733,JE_Lines!$B$5:$B$1733,A748)</f>
        <v>7588.34</v>
      </c>
      <c r="E748" s="17" t="n">
        <f aca="false">C748-D748</f>
        <v>0</v>
      </c>
      <c r="F748" s="18" t="n">
        <f aca="false">INDEX(JE_Lines!$C$5:$C$1733,MATCH(A748,JE_Lines!$B$5:$B$1733,0))</f>
        <v>46008</v>
      </c>
      <c r="G748" s="18" t="n">
        <f aca="false">INDEX(JE_Lines!$D$5:$D$1733,MATCH(A748,JE_Lines!$B$5:$B$1733,0))</f>
        <v>46007</v>
      </c>
      <c r="H748" s="0" t="str">
        <f aca="false">INDEX(JE_Lines!$I$5:$I$1733,MATCH(A748,JE_Lines!$B$5:$B$1733,0))</f>
        <v>SYS_AR</v>
      </c>
      <c r="I748" s="0" t="str">
        <f aca="false">INDEX(JE_Lines!$J$5:$J$1733,MATCH(A748,JE_Lines!$B$5:$B$1733,0))</f>
        <v>System</v>
      </c>
      <c r="J748" s="0" t="str">
        <f aca="false">IF(LEN(INDEX(JE_Lines!$K$5:$K$1733,MATCH(A748,JE_Lines!$B$5:$B$1733,0)))=0,"",INDEX(JE_Lines!$K$5:$K$1733,MATCH(A748,JE_Lines!$B$5:$B$1733,0)))</f>
        <v>Sales invoice batch</v>
      </c>
      <c r="K748" s="9" t="n">
        <f aca="false">F748-G748</f>
        <v>1</v>
      </c>
      <c r="L748" s="9" t="n">
        <f aca="false">COUNTIFS(JE_Lines!$B$5:$B$1733,A748,JE_Lines!$F$5:$F$1733,"Revenue")</f>
        <v>1</v>
      </c>
      <c r="M748" s="9" t="n">
        <f aca="false">COUNTIFS(JE_Lines!$B$5:$B$1733,A748,JE_Lines!$F$5:$F$1733,"Suspense")</f>
        <v>0</v>
      </c>
      <c r="N748" s="9" t="n">
        <f aca="false">IF(ABS(E748)&gt;Parameters!$B$23,1,0)</f>
        <v>0</v>
      </c>
      <c r="O748" s="9" t="n">
        <f aca="false">IF(WEEKDAY(F748,2)&gt;5,1,0)</f>
        <v>0</v>
      </c>
      <c r="P748" s="9" t="n">
        <f aca="false">IF(K748&gt;Parameters!$B$17,1,0)</f>
        <v>0</v>
      </c>
      <c r="Q748" s="9" t="n">
        <f aca="false">IF(AND(F748&lt;=Parameters!$B$6,F748&gt;Parameters!$B$6-Parameters!$B$18),1,0)</f>
        <v>0</v>
      </c>
      <c r="R748" s="9" t="n">
        <f aca="false">IF(COUNTIF(Parameters!$A$51:$A$58,H748)=0,1,0)</f>
        <v>0</v>
      </c>
      <c r="S748" s="9" t="n">
        <f aca="false">IF(AND(I748="Manual",L748&gt;0),1,0)</f>
        <v>0</v>
      </c>
      <c r="T748" s="9" t="n">
        <f aca="false">IF(AND(C748&gt;=Parameters!$B$22,ROUND(MOD(ROUND(C748,2),Parameters!$B$21),2)=0),1,0)</f>
        <v>0</v>
      </c>
      <c r="U748" s="9" t="n">
        <f aca="false">IF(LEN(TRIM(J748))=0,1,0)</f>
        <v>0</v>
      </c>
      <c r="V748" s="9" t="n">
        <f aca="false">IF(AND(I748="Manual",C748&lt;Parameters!$B$19,C748&gt;=Parameters!$B$19*(1-Parameters!$B$20)),1,0)</f>
        <v>0</v>
      </c>
      <c r="W748" s="9" t="n">
        <f aca="false">IF(AND(I748="Manual",M748&gt;0),1,0)</f>
        <v>0</v>
      </c>
      <c r="X748" s="9" t="n">
        <f aca="false">IF(A748-A747&gt;1,1,0)</f>
        <v>0</v>
      </c>
      <c r="Y748" s="9" t="n">
        <f aca="false">N748*Parameters!$B$38+O748*Parameters!$B$39+P748*Parameters!$B$40+Q748*Parameters!$B$41+R748*Parameters!$B$42+S748*Parameters!$B$43+T748*Parameters!$B$44+U748*Parameters!$B$45+V748*Parameters!$B$46+W748*Parameters!$B$47+X748*Parameters!$B$48</f>
        <v>0</v>
      </c>
      <c r="Z748" s="0" t="str">
        <f aca="false">IF(Y748&gt;=Parameters!$B$25,"High","")</f>
        <v/>
      </c>
    </row>
    <row r="749" customFormat="false" ht="15" hidden="false" customHeight="false" outlineLevel="0" collapsed="false">
      <c r="A749" s="16" t="n">
        <v>1756</v>
      </c>
      <c r="B749" s="9" t="n">
        <f aca="false">COUNTIF(JE_Lines!$B$5:$B$1733,A749)</f>
        <v>2</v>
      </c>
      <c r="C749" s="17" t="n">
        <f aca="false">SUMIFS(JE_Lines!$G$5:$G$1733,JE_Lines!$B$5:$B$1733,A749)</f>
        <v>74569.14</v>
      </c>
      <c r="D749" s="17" t="n">
        <f aca="false">SUMIFS(JE_Lines!$H$5:$H$1733,JE_Lines!$B$5:$B$1733,A749)</f>
        <v>74569.14</v>
      </c>
      <c r="E749" s="17" t="n">
        <f aca="false">C749-D749</f>
        <v>0</v>
      </c>
      <c r="F749" s="18" t="n">
        <f aca="false">INDEX(JE_Lines!$C$5:$C$1733,MATCH(A749,JE_Lines!$B$5:$B$1733,0))</f>
        <v>46009</v>
      </c>
      <c r="G749" s="18" t="n">
        <f aca="false">INDEX(JE_Lines!$D$5:$D$1733,MATCH(A749,JE_Lines!$B$5:$B$1733,0))</f>
        <v>46009</v>
      </c>
      <c r="H749" s="0" t="str">
        <f aca="false">INDEX(JE_Lines!$I$5:$I$1733,MATCH(A749,JE_Lines!$B$5:$B$1733,0))</f>
        <v>SYS_PAY</v>
      </c>
      <c r="I749" s="0" t="str">
        <f aca="false">INDEX(JE_Lines!$J$5:$J$1733,MATCH(A749,JE_Lines!$B$5:$B$1733,0))</f>
        <v>System</v>
      </c>
      <c r="J749" s="0" t="str">
        <f aca="false">IF(LEN(INDEX(JE_Lines!$K$5:$K$1733,MATCH(A749,JE_Lines!$B$5:$B$1733,0)))=0,"",INDEX(JE_Lines!$K$5:$K$1733,MATCH(A749,JE_Lines!$B$5:$B$1733,0)))</f>
        <v>Supplier payments</v>
      </c>
      <c r="K749" s="9" t="n">
        <f aca="false">F749-G749</f>
        <v>0</v>
      </c>
      <c r="L749" s="9" t="n">
        <f aca="false">COUNTIFS(JE_Lines!$B$5:$B$1733,A749,JE_Lines!$F$5:$F$1733,"Revenue")</f>
        <v>0</v>
      </c>
      <c r="M749" s="9" t="n">
        <f aca="false">COUNTIFS(JE_Lines!$B$5:$B$1733,A749,JE_Lines!$F$5:$F$1733,"Suspense")</f>
        <v>0</v>
      </c>
      <c r="N749" s="9" t="n">
        <f aca="false">IF(ABS(E749)&gt;Parameters!$B$23,1,0)</f>
        <v>0</v>
      </c>
      <c r="O749" s="9" t="n">
        <f aca="false">IF(WEEKDAY(F749,2)&gt;5,1,0)</f>
        <v>0</v>
      </c>
      <c r="P749" s="9" t="n">
        <f aca="false">IF(K749&gt;Parameters!$B$17,1,0)</f>
        <v>0</v>
      </c>
      <c r="Q749" s="9" t="n">
        <f aca="false">IF(AND(F749&lt;=Parameters!$B$6,F749&gt;Parameters!$B$6-Parameters!$B$18),1,0)</f>
        <v>0</v>
      </c>
      <c r="R749" s="9" t="n">
        <f aca="false">IF(COUNTIF(Parameters!$A$51:$A$58,H749)=0,1,0)</f>
        <v>0</v>
      </c>
      <c r="S749" s="9" t="n">
        <f aca="false">IF(AND(I749="Manual",L749&gt;0),1,0)</f>
        <v>0</v>
      </c>
      <c r="T749" s="9" t="n">
        <f aca="false">IF(AND(C749&gt;=Parameters!$B$22,ROUND(MOD(ROUND(C749,2),Parameters!$B$21),2)=0),1,0)</f>
        <v>0</v>
      </c>
      <c r="U749" s="9" t="n">
        <f aca="false">IF(LEN(TRIM(J749))=0,1,0)</f>
        <v>0</v>
      </c>
      <c r="V749" s="9" t="n">
        <f aca="false">IF(AND(I749="Manual",C749&lt;Parameters!$B$19,C749&gt;=Parameters!$B$19*(1-Parameters!$B$20)),1,0)</f>
        <v>0</v>
      </c>
      <c r="W749" s="9" t="n">
        <f aca="false">IF(AND(I749="Manual",M749&gt;0),1,0)</f>
        <v>0</v>
      </c>
      <c r="X749" s="9" t="n">
        <f aca="false">IF(A749-A748&gt;1,1,0)</f>
        <v>0</v>
      </c>
      <c r="Y749" s="9" t="n">
        <f aca="false">N749*Parameters!$B$38+O749*Parameters!$B$39+P749*Parameters!$B$40+Q749*Parameters!$B$41+R749*Parameters!$B$42+S749*Parameters!$B$43+T749*Parameters!$B$44+U749*Parameters!$B$45+V749*Parameters!$B$46+W749*Parameters!$B$47+X749*Parameters!$B$48</f>
        <v>0</v>
      </c>
      <c r="Z749" s="0" t="str">
        <f aca="false">IF(Y749&gt;=Parameters!$B$25,"High","")</f>
        <v/>
      </c>
    </row>
    <row r="750" customFormat="false" ht="15" hidden="false" customHeight="false" outlineLevel="0" collapsed="false">
      <c r="A750" s="16" t="n">
        <v>1757</v>
      </c>
      <c r="B750" s="9" t="n">
        <f aca="false">COUNTIF(JE_Lines!$B$5:$B$1733,A750)</f>
        <v>2</v>
      </c>
      <c r="C750" s="17" t="n">
        <f aca="false">SUMIFS(JE_Lines!$G$5:$G$1733,JE_Lines!$B$5:$B$1733,A750)</f>
        <v>19280.37</v>
      </c>
      <c r="D750" s="17" t="n">
        <f aca="false">SUMIFS(JE_Lines!$H$5:$H$1733,JE_Lines!$B$5:$B$1733,A750)</f>
        <v>19280.37</v>
      </c>
      <c r="E750" s="17" t="n">
        <f aca="false">C750-D750</f>
        <v>0</v>
      </c>
      <c r="F750" s="18" t="n">
        <f aca="false">INDEX(JE_Lines!$C$5:$C$1733,MATCH(A750,JE_Lines!$B$5:$B$1733,0))</f>
        <v>46010</v>
      </c>
      <c r="G750" s="18" t="n">
        <f aca="false">INDEX(JE_Lines!$D$5:$D$1733,MATCH(A750,JE_Lines!$B$5:$B$1733,0))</f>
        <v>46010</v>
      </c>
      <c r="H750" s="0" t="str">
        <f aca="false">INDEX(JE_Lines!$I$5:$I$1733,MATCH(A750,JE_Lines!$B$5:$B$1733,0))</f>
        <v>SYS_AR</v>
      </c>
      <c r="I750" s="0" t="str">
        <f aca="false">INDEX(JE_Lines!$J$5:$J$1733,MATCH(A750,JE_Lines!$B$5:$B$1733,0))</f>
        <v>System</v>
      </c>
      <c r="J750" s="0" t="str">
        <f aca="false">IF(LEN(INDEX(JE_Lines!$K$5:$K$1733,MATCH(A750,JE_Lines!$B$5:$B$1733,0)))=0,"",INDEX(JE_Lines!$K$5:$K$1733,MATCH(A750,JE_Lines!$B$5:$B$1733,0)))</f>
        <v>Customer receipts</v>
      </c>
      <c r="K750" s="9" t="n">
        <f aca="false">F750-G750</f>
        <v>0</v>
      </c>
      <c r="L750" s="9" t="n">
        <f aca="false">COUNTIFS(JE_Lines!$B$5:$B$1733,A750,JE_Lines!$F$5:$F$1733,"Revenue")</f>
        <v>0</v>
      </c>
      <c r="M750" s="9" t="n">
        <f aca="false">COUNTIFS(JE_Lines!$B$5:$B$1733,A750,JE_Lines!$F$5:$F$1733,"Suspense")</f>
        <v>0</v>
      </c>
      <c r="N750" s="9" t="n">
        <f aca="false">IF(ABS(E750)&gt;Parameters!$B$23,1,0)</f>
        <v>0</v>
      </c>
      <c r="O750" s="9" t="n">
        <f aca="false">IF(WEEKDAY(F750,2)&gt;5,1,0)</f>
        <v>0</v>
      </c>
      <c r="P750" s="9" t="n">
        <f aca="false">IF(K750&gt;Parameters!$B$17,1,0)</f>
        <v>0</v>
      </c>
      <c r="Q750" s="9" t="n">
        <f aca="false">IF(AND(F750&lt;=Parameters!$B$6,F750&gt;Parameters!$B$6-Parameters!$B$18),1,0)</f>
        <v>0</v>
      </c>
      <c r="R750" s="9" t="n">
        <f aca="false">IF(COUNTIF(Parameters!$A$51:$A$58,H750)=0,1,0)</f>
        <v>0</v>
      </c>
      <c r="S750" s="9" t="n">
        <f aca="false">IF(AND(I750="Manual",L750&gt;0),1,0)</f>
        <v>0</v>
      </c>
      <c r="T750" s="9" t="n">
        <f aca="false">IF(AND(C750&gt;=Parameters!$B$22,ROUND(MOD(ROUND(C750,2),Parameters!$B$21),2)=0),1,0)</f>
        <v>0</v>
      </c>
      <c r="U750" s="9" t="n">
        <f aca="false">IF(LEN(TRIM(J750))=0,1,0)</f>
        <v>0</v>
      </c>
      <c r="V750" s="9" t="n">
        <f aca="false">IF(AND(I750="Manual",C750&lt;Parameters!$B$19,C750&gt;=Parameters!$B$19*(1-Parameters!$B$20)),1,0)</f>
        <v>0</v>
      </c>
      <c r="W750" s="9" t="n">
        <f aca="false">IF(AND(I750="Manual",M750&gt;0),1,0)</f>
        <v>0</v>
      </c>
      <c r="X750" s="9" t="n">
        <f aca="false">IF(A750-A749&gt;1,1,0)</f>
        <v>0</v>
      </c>
      <c r="Y750" s="9" t="n">
        <f aca="false">N750*Parameters!$B$38+O750*Parameters!$B$39+P750*Parameters!$B$40+Q750*Parameters!$B$41+R750*Parameters!$B$42+S750*Parameters!$B$43+T750*Parameters!$B$44+U750*Parameters!$B$45+V750*Parameters!$B$46+W750*Parameters!$B$47+X750*Parameters!$B$48</f>
        <v>0</v>
      </c>
      <c r="Z750" s="0" t="str">
        <f aca="false">IF(Y750&gt;=Parameters!$B$25,"High","")</f>
        <v/>
      </c>
    </row>
    <row r="751" customFormat="false" ht="15" hidden="false" customHeight="false" outlineLevel="0" collapsed="false">
      <c r="A751" s="16" t="n">
        <v>1758</v>
      </c>
      <c r="B751" s="9" t="n">
        <f aca="false">COUNTIF(JE_Lines!$B$5:$B$1733,A751)</f>
        <v>2</v>
      </c>
      <c r="C751" s="17" t="n">
        <f aca="false">SUMIFS(JE_Lines!$G$5:$G$1733,JE_Lines!$B$5:$B$1733,A751)</f>
        <v>272.74</v>
      </c>
      <c r="D751" s="17" t="n">
        <f aca="false">SUMIFS(JE_Lines!$H$5:$H$1733,JE_Lines!$B$5:$B$1733,A751)</f>
        <v>272.74</v>
      </c>
      <c r="E751" s="17" t="n">
        <f aca="false">C751-D751</f>
        <v>0</v>
      </c>
      <c r="F751" s="18" t="n">
        <f aca="false">INDEX(JE_Lines!$C$5:$C$1733,MATCH(A751,JE_Lines!$B$5:$B$1733,0))</f>
        <v>46010</v>
      </c>
      <c r="G751" s="18" t="n">
        <f aca="false">INDEX(JE_Lines!$D$5:$D$1733,MATCH(A751,JE_Lines!$B$5:$B$1733,0))</f>
        <v>46010</v>
      </c>
      <c r="H751" s="0" t="str">
        <f aca="false">INDEX(JE_Lines!$I$5:$I$1733,MATCH(A751,JE_Lines!$B$5:$B$1733,0))</f>
        <v>SYS_AR</v>
      </c>
      <c r="I751" s="0" t="str">
        <f aca="false">INDEX(JE_Lines!$J$5:$J$1733,MATCH(A751,JE_Lines!$B$5:$B$1733,0))</f>
        <v>System</v>
      </c>
      <c r="J751" s="0" t="str">
        <f aca="false">IF(LEN(INDEX(JE_Lines!$K$5:$K$1733,MATCH(A751,JE_Lines!$B$5:$B$1733,0)))=0,"",INDEX(JE_Lines!$K$5:$K$1733,MATCH(A751,JE_Lines!$B$5:$B$1733,0)))</f>
        <v>Cost of sales posting</v>
      </c>
      <c r="K751" s="9" t="n">
        <f aca="false">F751-G751</f>
        <v>0</v>
      </c>
      <c r="L751" s="9" t="n">
        <f aca="false">COUNTIFS(JE_Lines!$B$5:$B$1733,A751,JE_Lines!$F$5:$F$1733,"Revenue")</f>
        <v>0</v>
      </c>
      <c r="M751" s="9" t="n">
        <f aca="false">COUNTIFS(JE_Lines!$B$5:$B$1733,A751,JE_Lines!$F$5:$F$1733,"Suspense")</f>
        <v>0</v>
      </c>
      <c r="N751" s="9" t="n">
        <f aca="false">IF(ABS(E751)&gt;Parameters!$B$23,1,0)</f>
        <v>0</v>
      </c>
      <c r="O751" s="9" t="n">
        <f aca="false">IF(WEEKDAY(F751,2)&gt;5,1,0)</f>
        <v>0</v>
      </c>
      <c r="P751" s="9" t="n">
        <f aca="false">IF(K751&gt;Parameters!$B$17,1,0)</f>
        <v>0</v>
      </c>
      <c r="Q751" s="9" t="n">
        <f aca="false">IF(AND(F751&lt;=Parameters!$B$6,F751&gt;Parameters!$B$6-Parameters!$B$18),1,0)</f>
        <v>0</v>
      </c>
      <c r="R751" s="9" t="n">
        <f aca="false">IF(COUNTIF(Parameters!$A$51:$A$58,H751)=0,1,0)</f>
        <v>0</v>
      </c>
      <c r="S751" s="9" t="n">
        <f aca="false">IF(AND(I751="Manual",L751&gt;0),1,0)</f>
        <v>0</v>
      </c>
      <c r="T751" s="9" t="n">
        <f aca="false">IF(AND(C751&gt;=Parameters!$B$22,ROUND(MOD(ROUND(C751,2),Parameters!$B$21),2)=0),1,0)</f>
        <v>0</v>
      </c>
      <c r="U751" s="9" t="n">
        <f aca="false">IF(LEN(TRIM(J751))=0,1,0)</f>
        <v>0</v>
      </c>
      <c r="V751" s="9" t="n">
        <f aca="false">IF(AND(I751="Manual",C751&lt;Parameters!$B$19,C751&gt;=Parameters!$B$19*(1-Parameters!$B$20)),1,0)</f>
        <v>0</v>
      </c>
      <c r="W751" s="9" t="n">
        <f aca="false">IF(AND(I751="Manual",M751&gt;0),1,0)</f>
        <v>0</v>
      </c>
      <c r="X751" s="9" t="n">
        <f aca="false">IF(A751-A750&gt;1,1,0)</f>
        <v>0</v>
      </c>
      <c r="Y751" s="9" t="n">
        <f aca="false">N751*Parameters!$B$38+O751*Parameters!$B$39+P751*Parameters!$B$40+Q751*Parameters!$B$41+R751*Parameters!$B$42+S751*Parameters!$B$43+T751*Parameters!$B$44+U751*Parameters!$B$45+V751*Parameters!$B$46+W751*Parameters!$B$47+X751*Parameters!$B$48</f>
        <v>0</v>
      </c>
      <c r="Z751" s="0" t="str">
        <f aca="false">IF(Y751&gt;=Parameters!$B$25,"High","")</f>
        <v/>
      </c>
    </row>
    <row r="752" customFormat="false" ht="15" hidden="false" customHeight="false" outlineLevel="0" collapsed="false">
      <c r="A752" s="16" t="n">
        <v>1759</v>
      </c>
      <c r="B752" s="9" t="n">
        <f aca="false">COUNTIF(JE_Lines!$B$5:$B$1733,A752)</f>
        <v>2</v>
      </c>
      <c r="C752" s="17" t="n">
        <f aca="false">SUMIFS(JE_Lines!$G$5:$G$1733,JE_Lines!$B$5:$B$1733,A752)</f>
        <v>1045.16</v>
      </c>
      <c r="D752" s="17" t="n">
        <f aca="false">SUMIFS(JE_Lines!$H$5:$H$1733,JE_Lines!$B$5:$B$1733,A752)</f>
        <v>1045.16</v>
      </c>
      <c r="E752" s="17" t="n">
        <f aca="false">C752-D752</f>
        <v>0</v>
      </c>
      <c r="F752" s="18" t="n">
        <f aca="false">INDEX(JE_Lines!$C$5:$C$1733,MATCH(A752,JE_Lines!$B$5:$B$1733,0))</f>
        <v>46010</v>
      </c>
      <c r="G752" s="18" t="n">
        <f aca="false">INDEX(JE_Lines!$D$5:$D$1733,MATCH(A752,JE_Lines!$B$5:$B$1733,0))</f>
        <v>46006</v>
      </c>
      <c r="H752" s="0" t="str">
        <f aca="false">INDEX(JE_Lines!$I$5:$I$1733,MATCH(A752,JE_Lines!$B$5:$B$1733,0))</f>
        <v>SYS_AR</v>
      </c>
      <c r="I752" s="0" t="str">
        <f aca="false">INDEX(JE_Lines!$J$5:$J$1733,MATCH(A752,JE_Lines!$B$5:$B$1733,0))</f>
        <v>System</v>
      </c>
      <c r="J752" s="0" t="str">
        <f aca="false">IF(LEN(INDEX(JE_Lines!$K$5:$K$1733,MATCH(A752,JE_Lines!$B$5:$B$1733,0)))=0,"",INDEX(JE_Lines!$K$5:$K$1733,MATCH(A752,JE_Lines!$B$5:$B$1733,0)))</f>
        <v>Cost of sales posting</v>
      </c>
      <c r="K752" s="9" t="n">
        <f aca="false">F752-G752</f>
        <v>4</v>
      </c>
      <c r="L752" s="9" t="n">
        <f aca="false">COUNTIFS(JE_Lines!$B$5:$B$1733,A752,JE_Lines!$F$5:$F$1733,"Revenue")</f>
        <v>0</v>
      </c>
      <c r="M752" s="9" t="n">
        <f aca="false">COUNTIFS(JE_Lines!$B$5:$B$1733,A752,JE_Lines!$F$5:$F$1733,"Suspense")</f>
        <v>0</v>
      </c>
      <c r="N752" s="9" t="n">
        <f aca="false">IF(ABS(E752)&gt;Parameters!$B$23,1,0)</f>
        <v>0</v>
      </c>
      <c r="O752" s="9" t="n">
        <f aca="false">IF(WEEKDAY(F752,2)&gt;5,1,0)</f>
        <v>0</v>
      </c>
      <c r="P752" s="9" t="n">
        <f aca="false">IF(K752&gt;Parameters!$B$17,1,0)</f>
        <v>0</v>
      </c>
      <c r="Q752" s="9" t="n">
        <f aca="false">IF(AND(F752&lt;=Parameters!$B$6,F752&gt;Parameters!$B$6-Parameters!$B$18),1,0)</f>
        <v>0</v>
      </c>
      <c r="R752" s="9" t="n">
        <f aca="false">IF(COUNTIF(Parameters!$A$51:$A$58,H752)=0,1,0)</f>
        <v>0</v>
      </c>
      <c r="S752" s="9" t="n">
        <f aca="false">IF(AND(I752="Manual",L752&gt;0),1,0)</f>
        <v>0</v>
      </c>
      <c r="T752" s="9" t="n">
        <f aca="false">IF(AND(C752&gt;=Parameters!$B$22,ROUND(MOD(ROUND(C752,2),Parameters!$B$21),2)=0),1,0)</f>
        <v>0</v>
      </c>
      <c r="U752" s="9" t="n">
        <f aca="false">IF(LEN(TRIM(J752))=0,1,0)</f>
        <v>0</v>
      </c>
      <c r="V752" s="9" t="n">
        <f aca="false">IF(AND(I752="Manual",C752&lt;Parameters!$B$19,C752&gt;=Parameters!$B$19*(1-Parameters!$B$20)),1,0)</f>
        <v>0</v>
      </c>
      <c r="W752" s="9" t="n">
        <f aca="false">IF(AND(I752="Manual",M752&gt;0),1,0)</f>
        <v>0</v>
      </c>
      <c r="X752" s="9" t="n">
        <f aca="false">IF(A752-A751&gt;1,1,0)</f>
        <v>0</v>
      </c>
      <c r="Y752" s="9" t="n">
        <f aca="false">N752*Parameters!$B$38+O752*Parameters!$B$39+P752*Parameters!$B$40+Q752*Parameters!$B$41+R752*Parameters!$B$42+S752*Parameters!$B$43+T752*Parameters!$B$44+U752*Parameters!$B$45+V752*Parameters!$B$46+W752*Parameters!$B$47+X752*Parameters!$B$48</f>
        <v>0</v>
      </c>
      <c r="Z752" s="0" t="str">
        <f aca="false">IF(Y752&gt;=Parameters!$B$25,"High","")</f>
        <v/>
      </c>
    </row>
    <row r="753" customFormat="false" ht="15" hidden="false" customHeight="false" outlineLevel="0" collapsed="false">
      <c r="A753" s="16" t="n">
        <v>1760</v>
      </c>
      <c r="B753" s="9" t="n">
        <f aca="false">COUNTIF(JE_Lines!$B$5:$B$1733,A753)</f>
        <v>2</v>
      </c>
      <c r="C753" s="17" t="n">
        <f aca="false">SUMIFS(JE_Lines!$G$5:$G$1733,JE_Lines!$B$5:$B$1733,A753)</f>
        <v>34367</v>
      </c>
      <c r="D753" s="17" t="n">
        <f aca="false">SUMIFS(JE_Lines!$H$5:$H$1733,JE_Lines!$B$5:$B$1733,A753)</f>
        <v>34367</v>
      </c>
      <c r="E753" s="17" t="n">
        <f aca="false">C753-D753</f>
        <v>0</v>
      </c>
      <c r="F753" s="18" t="n">
        <f aca="false">INDEX(JE_Lines!$C$5:$C$1733,MATCH(A753,JE_Lines!$B$5:$B$1733,0))</f>
        <v>46010</v>
      </c>
      <c r="G753" s="18" t="n">
        <f aca="false">INDEX(JE_Lines!$D$5:$D$1733,MATCH(A753,JE_Lines!$B$5:$B$1733,0))</f>
        <v>46010</v>
      </c>
      <c r="H753" s="0" t="str">
        <f aca="false">INDEX(JE_Lines!$I$5:$I$1733,MATCH(A753,JE_Lines!$B$5:$B$1733,0))</f>
        <v>FIN04</v>
      </c>
      <c r="I753" s="0" t="str">
        <f aca="false">INDEX(JE_Lines!$J$5:$J$1733,MATCH(A753,JE_Lines!$B$5:$B$1733,0))</f>
        <v>Manual</v>
      </c>
      <c r="J753" s="0" t="str">
        <f aca="false">IF(LEN(INDEX(JE_Lines!$K$5:$K$1733,MATCH(A753,JE_Lines!$B$5:$B$1733,0)))=0,"",INDEX(JE_Lines!$K$5:$K$1733,MATCH(A753,JE_Lines!$B$5:$B$1733,0)))</f>
        <v>Accrual for sundry costs</v>
      </c>
      <c r="K753" s="9" t="n">
        <f aca="false">F753-G753</f>
        <v>0</v>
      </c>
      <c r="L753" s="9" t="n">
        <f aca="false">COUNTIFS(JE_Lines!$B$5:$B$1733,A753,JE_Lines!$F$5:$F$1733,"Revenue")</f>
        <v>0</v>
      </c>
      <c r="M753" s="9" t="n">
        <f aca="false">COUNTIFS(JE_Lines!$B$5:$B$1733,A753,JE_Lines!$F$5:$F$1733,"Suspense")</f>
        <v>0</v>
      </c>
      <c r="N753" s="9" t="n">
        <f aca="false">IF(ABS(E753)&gt;Parameters!$B$23,1,0)</f>
        <v>0</v>
      </c>
      <c r="O753" s="9" t="n">
        <f aca="false">IF(WEEKDAY(F753,2)&gt;5,1,0)</f>
        <v>0</v>
      </c>
      <c r="P753" s="9" t="n">
        <f aca="false">IF(K753&gt;Parameters!$B$17,1,0)</f>
        <v>0</v>
      </c>
      <c r="Q753" s="9" t="n">
        <f aca="false">IF(AND(F753&lt;=Parameters!$B$6,F753&gt;Parameters!$B$6-Parameters!$B$18),1,0)</f>
        <v>0</v>
      </c>
      <c r="R753" s="9" t="n">
        <f aca="false">IF(COUNTIF(Parameters!$A$51:$A$58,H753)=0,1,0)</f>
        <v>0</v>
      </c>
      <c r="S753" s="9" t="n">
        <f aca="false">IF(AND(I753="Manual",L753&gt;0),1,0)</f>
        <v>0</v>
      </c>
      <c r="T753" s="9" t="n">
        <f aca="false">IF(AND(C753&gt;=Parameters!$B$22,ROUND(MOD(ROUND(C753,2),Parameters!$B$21),2)=0),1,0)</f>
        <v>0</v>
      </c>
      <c r="U753" s="9" t="n">
        <f aca="false">IF(LEN(TRIM(J753))=0,1,0)</f>
        <v>0</v>
      </c>
      <c r="V753" s="9" t="n">
        <f aca="false">IF(AND(I753="Manual",C753&lt;Parameters!$B$19,C753&gt;=Parameters!$B$19*(1-Parameters!$B$20)),1,0)</f>
        <v>0</v>
      </c>
      <c r="W753" s="9" t="n">
        <f aca="false">IF(AND(I753="Manual",M753&gt;0),1,0)</f>
        <v>0</v>
      </c>
      <c r="X753" s="9" t="n">
        <f aca="false">IF(A753-A752&gt;1,1,0)</f>
        <v>0</v>
      </c>
      <c r="Y753" s="9" t="n">
        <f aca="false">N753*Parameters!$B$38+O753*Parameters!$B$39+P753*Parameters!$B$40+Q753*Parameters!$B$41+R753*Parameters!$B$42+S753*Parameters!$B$43+T753*Parameters!$B$44+U753*Parameters!$B$45+V753*Parameters!$B$46+W753*Parameters!$B$47+X753*Parameters!$B$48</f>
        <v>0</v>
      </c>
      <c r="Z753" s="0" t="str">
        <f aca="false">IF(Y753&gt;=Parameters!$B$25,"High","")</f>
        <v/>
      </c>
    </row>
    <row r="754" customFormat="false" ht="15" hidden="false" customHeight="false" outlineLevel="0" collapsed="false">
      <c r="A754" s="16" t="n">
        <v>1761</v>
      </c>
      <c r="B754" s="9" t="n">
        <f aca="false">COUNTIF(JE_Lines!$B$5:$B$1733,A754)</f>
        <v>3</v>
      </c>
      <c r="C754" s="17" t="n">
        <f aca="false">SUMIFS(JE_Lines!$G$5:$G$1733,JE_Lines!$B$5:$B$1733,A754)</f>
        <v>303.24</v>
      </c>
      <c r="D754" s="17" t="n">
        <f aca="false">SUMIFS(JE_Lines!$H$5:$H$1733,JE_Lines!$B$5:$B$1733,A754)</f>
        <v>303.24</v>
      </c>
      <c r="E754" s="17" t="n">
        <f aca="false">C754-D754</f>
        <v>0</v>
      </c>
      <c r="F754" s="18" t="n">
        <f aca="false">INDEX(JE_Lines!$C$5:$C$1733,MATCH(A754,JE_Lines!$B$5:$B$1733,0))</f>
        <v>46010</v>
      </c>
      <c r="G754" s="18" t="n">
        <f aca="false">INDEX(JE_Lines!$D$5:$D$1733,MATCH(A754,JE_Lines!$B$5:$B$1733,0))</f>
        <v>46006</v>
      </c>
      <c r="H754" s="0" t="str">
        <f aca="false">INDEX(JE_Lines!$I$5:$I$1733,MATCH(A754,JE_Lines!$B$5:$B$1733,0))</f>
        <v>SYS_AR</v>
      </c>
      <c r="I754" s="0" t="str">
        <f aca="false">INDEX(JE_Lines!$J$5:$J$1733,MATCH(A754,JE_Lines!$B$5:$B$1733,0))</f>
        <v>System</v>
      </c>
      <c r="J754" s="0" t="str">
        <f aca="false">IF(LEN(INDEX(JE_Lines!$K$5:$K$1733,MATCH(A754,JE_Lines!$B$5:$B$1733,0)))=0,"",INDEX(JE_Lines!$K$5:$K$1733,MATCH(A754,JE_Lines!$B$5:$B$1733,0)))</f>
        <v>Customer receipts</v>
      </c>
      <c r="K754" s="9" t="n">
        <f aca="false">F754-G754</f>
        <v>4</v>
      </c>
      <c r="L754" s="9" t="n">
        <f aca="false">COUNTIFS(JE_Lines!$B$5:$B$1733,A754,JE_Lines!$F$5:$F$1733,"Revenue")</f>
        <v>0</v>
      </c>
      <c r="M754" s="9" t="n">
        <f aca="false">COUNTIFS(JE_Lines!$B$5:$B$1733,A754,JE_Lines!$F$5:$F$1733,"Suspense")</f>
        <v>0</v>
      </c>
      <c r="N754" s="9" t="n">
        <f aca="false">IF(ABS(E754)&gt;Parameters!$B$23,1,0)</f>
        <v>0</v>
      </c>
      <c r="O754" s="9" t="n">
        <f aca="false">IF(WEEKDAY(F754,2)&gt;5,1,0)</f>
        <v>0</v>
      </c>
      <c r="P754" s="9" t="n">
        <f aca="false">IF(K754&gt;Parameters!$B$17,1,0)</f>
        <v>0</v>
      </c>
      <c r="Q754" s="9" t="n">
        <f aca="false">IF(AND(F754&lt;=Parameters!$B$6,F754&gt;Parameters!$B$6-Parameters!$B$18),1,0)</f>
        <v>0</v>
      </c>
      <c r="R754" s="9" t="n">
        <f aca="false">IF(COUNTIF(Parameters!$A$51:$A$58,H754)=0,1,0)</f>
        <v>0</v>
      </c>
      <c r="S754" s="9" t="n">
        <f aca="false">IF(AND(I754="Manual",L754&gt;0),1,0)</f>
        <v>0</v>
      </c>
      <c r="T754" s="9" t="n">
        <f aca="false">IF(AND(C754&gt;=Parameters!$B$22,ROUND(MOD(ROUND(C754,2),Parameters!$B$21),2)=0),1,0)</f>
        <v>0</v>
      </c>
      <c r="U754" s="9" t="n">
        <f aca="false">IF(LEN(TRIM(J754))=0,1,0)</f>
        <v>0</v>
      </c>
      <c r="V754" s="9" t="n">
        <f aca="false">IF(AND(I754="Manual",C754&lt;Parameters!$B$19,C754&gt;=Parameters!$B$19*(1-Parameters!$B$20)),1,0)</f>
        <v>0</v>
      </c>
      <c r="W754" s="9" t="n">
        <f aca="false">IF(AND(I754="Manual",M754&gt;0),1,0)</f>
        <v>0</v>
      </c>
      <c r="X754" s="9" t="n">
        <f aca="false">IF(A754-A753&gt;1,1,0)</f>
        <v>0</v>
      </c>
      <c r="Y754" s="9" t="n">
        <f aca="false">N754*Parameters!$B$38+O754*Parameters!$B$39+P754*Parameters!$B$40+Q754*Parameters!$B$41+R754*Parameters!$B$42+S754*Parameters!$B$43+T754*Parameters!$B$44+U754*Parameters!$B$45+V754*Parameters!$B$46+W754*Parameters!$B$47+X754*Parameters!$B$48</f>
        <v>0</v>
      </c>
      <c r="Z754" s="0" t="str">
        <f aca="false">IF(Y754&gt;=Parameters!$B$25,"High","")</f>
        <v/>
      </c>
    </row>
    <row r="755" customFormat="false" ht="15" hidden="false" customHeight="false" outlineLevel="0" collapsed="false">
      <c r="A755" s="16" t="n">
        <v>1762</v>
      </c>
      <c r="B755" s="9" t="n">
        <f aca="false">COUNTIF(JE_Lines!$B$5:$B$1733,A755)</f>
        <v>2</v>
      </c>
      <c r="C755" s="17" t="n">
        <f aca="false">SUMIFS(JE_Lines!$G$5:$G$1733,JE_Lines!$B$5:$B$1733,A755)</f>
        <v>281.76</v>
      </c>
      <c r="D755" s="17" t="n">
        <f aca="false">SUMIFS(JE_Lines!$H$5:$H$1733,JE_Lines!$B$5:$B$1733,A755)</f>
        <v>281.76</v>
      </c>
      <c r="E755" s="17" t="n">
        <f aca="false">C755-D755</f>
        <v>0</v>
      </c>
      <c r="F755" s="18" t="n">
        <f aca="false">INDEX(JE_Lines!$C$5:$C$1733,MATCH(A755,JE_Lines!$B$5:$B$1733,0))</f>
        <v>46012</v>
      </c>
      <c r="G755" s="18" t="n">
        <f aca="false">INDEX(JE_Lines!$D$5:$D$1733,MATCH(A755,JE_Lines!$B$5:$B$1733,0))</f>
        <v>46011</v>
      </c>
      <c r="H755" s="0" t="str">
        <f aca="false">INDEX(JE_Lines!$I$5:$I$1733,MATCH(A755,JE_Lines!$B$5:$B$1733,0))</f>
        <v>SYS_AR</v>
      </c>
      <c r="I755" s="0" t="str">
        <f aca="false">INDEX(JE_Lines!$J$5:$J$1733,MATCH(A755,JE_Lines!$B$5:$B$1733,0))</f>
        <v>System</v>
      </c>
      <c r="J755" s="0" t="str">
        <f aca="false">IF(LEN(INDEX(JE_Lines!$K$5:$K$1733,MATCH(A755,JE_Lines!$B$5:$B$1733,0)))=0,"",INDEX(JE_Lines!$K$5:$K$1733,MATCH(A755,JE_Lines!$B$5:$B$1733,0)))</f>
        <v>Sales invoice batch</v>
      </c>
      <c r="K755" s="9" t="n">
        <f aca="false">F755-G755</f>
        <v>1</v>
      </c>
      <c r="L755" s="9" t="n">
        <f aca="false">COUNTIFS(JE_Lines!$B$5:$B$1733,A755,JE_Lines!$F$5:$F$1733,"Revenue")</f>
        <v>1</v>
      </c>
      <c r="M755" s="9" t="n">
        <f aca="false">COUNTIFS(JE_Lines!$B$5:$B$1733,A755,JE_Lines!$F$5:$F$1733,"Suspense")</f>
        <v>0</v>
      </c>
      <c r="N755" s="9" t="n">
        <f aca="false">IF(ABS(E755)&gt;Parameters!$B$23,1,0)</f>
        <v>0</v>
      </c>
      <c r="O755" s="9" t="n">
        <f aca="false">IF(WEEKDAY(F755,2)&gt;5,1,0)</f>
        <v>1</v>
      </c>
      <c r="P755" s="9" t="n">
        <f aca="false">IF(K755&gt;Parameters!$B$17,1,0)</f>
        <v>0</v>
      </c>
      <c r="Q755" s="9" t="n">
        <f aca="false">IF(AND(F755&lt;=Parameters!$B$6,F755&gt;Parameters!$B$6-Parameters!$B$18),1,0)</f>
        <v>0</v>
      </c>
      <c r="R755" s="9" t="n">
        <f aca="false">IF(COUNTIF(Parameters!$A$51:$A$58,H755)=0,1,0)</f>
        <v>0</v>
      </c>
      <c r="S755" s="9" t="n">
        <f aca="false">IF(AND(I755="Manual",L755&gt;0),1,0)</f>
        <v>0</v>
      </c>
      <c r="T755" s="9" t="n">
        <f aca="false">IF(AND(C755&gt;=Parameters!$B$22,ROUND(MOD(ROUND(C755,2),Parameters!$B$21),2)=0),1,0)</f>
        <v>0</v>
      </c>
      <c r="U755" s="9" t="n">
        <f aca="false">IF(LEN(TRIM(J755))=0,1,0)</f>
        <v>0</v>
      </c>
      <c r="V755" s="9" t="n">
        <f aca="false">IF(AND(I755="Manual",C755&lt;Parameters!$B$19,C755&gt;=Parameters!$B$19*(1-Parameters!$B$20)),1,0)</f>
        <v>0</v>
      </c>
      <c r="W755" s="9" t="n">
        <f aca="false">IF(AND(I755="Manual",M755&gt;0),1,0)</f>
        <v>0</v>
      </c>
      <c r="X755" s="9" t="n">
        <f aca="false">IF(A755-A754&gt;1,1,0)</f>
        <v>0</v>
      </c>
      <c r="Y755" s="9" t="n">
        <f aca="false">N755*Parameters!$B$38+O755*Parameters!$B$39+P755*Parameters!$B$40+Q755*Parameters!$B$41+R755*Parameters!$B$42+S755*Parameters!$B$43+T755*Parameters!$B$44+U755*Parameters!$B$45+V755*Parameters!$B$46+W755*Parameters!$B$47+X755*Parameters!$B$48</f>
        <v>2</v>
      </c>
      <c r="Z755" s="0" t="str">
        <f aca="false">IF(Y755&gt;=Parameters!$B$25,"High","")</f>
        <v/>
      </c>
    </row>
    <row r="756" customFormat="false" ht="15" hidden="false" customHeight="false" outlineLevel="0" collapsed="false">
      <c r="A756" s="16" t="n">
        <v>1763</v>
      </c>
      <c r="B756" s="9" t="n">
        <f aca="false">COUNTIF(JE_Lines!$B$5:$B$1733,A756)</f>
        <v>3</v>
      </c>
      <c r="C756" s="17" t="n">
        <f aca="false">SUMIFS(JE_Lines!$G$5:$G$1733,JE_Lines!$B$5:$B$1733,A756)</f>
        <v>45138.45</v>
      </c>
      <c r="D756" s="17" t="n">
        <f aca="false">SUMIFS(JE_Lines!$H$5:$H$1733,JE_Lines!$B$5:$B$1733,A756)</f>
        <v>45138.45</v>
      </c>
      <c r="E756" s="17" t="n">
        <f aca="false">C756-D756</f>
        <v>0</v>
      </c>
      <c r="F756" s="18" t="n">
        <f aca="false">INDEX(JE_Lines!$C$5:$C$1733,MATCH(A756,JE_Lines!$B$5:$B$1733,0))</f>
        <v>46012</v>
      </c>
      <c r="G756" s="18" t="n">
        <f aca="false">INDEX(JE_Lines!$D$5:$D$1733,MATCH(A756,JE_Lines!$B$5:$B$1733,0))</f>
        <v>46011</v>
      </c>
      <c r="H756" s="0" t="str">
        <f aca="false">INDEX(JE_Lines!$I$5:$I$1733,MATCH(A756,JE_Lines!$B$5:$B$1733,0))</f>
        <v>SYS_AP</v>
      </c>
      <c r="I756" s="0" t="str">
        <f aca="false">INDEX(JE_Lines!$J$5:$J$1733,MATCH(A756,JE_Lines!$B$5:$B$1733,0))</f>
        <v>System</v>
      </c>
      <c r="J756" s="0" t="str">
        <f aca="false">IF(LEN(INDEX(JE_Lines!$K$5:$K$1733,MATCH(A756,JE_Lines!$B$5:$B$1733,0)))=0,"",INDEX(JE_Lines!$K$5:$K$1733,MATCH(A756,JE_Lines!$B$5:$B$1733,0)))</f>
        <v>Supplier invoices</v>
      </c>
      <c r="K756" s="9" t="n">
        <f aca="false">F756-G756</f>
        <v>1</v>
      </c>
      <c r="L756" s="9" t="n">
        <f aca="false">COUNTIFS(JE_Lines!$B$5:$B$1733,A756,JE_Lines!$F$5:$F$1733,"Revenue")</f>
        <v>0</v>
      </c>
      <c r="M756" s="9" t="n">
        <f aca="false">COUNTIFS(JE_Lines!$B$5:$B$1733,A756,JE_Lines!$F$5:$F$1733,"Suspense")</f>
        <v>0</v>
      </c>
      <c r="N756" s="9" t="n">
        <f aca="false">IF(ABS(E756)&gt;Parameters!$B$23,1,0)</f>
        <v>0</v>
      </c>
      <c r="O756" s="9" t="n">
        <f aca="false">IF(WEEKDAY(F756,2)&gt;5,1,0)</f>
        <v>1</v>
      </c>
      <c r="P756" s="9" t="n">
        <f aca="false">IF(K756&gt;Parameters!$B$17,1,0)</f>
        <v>0</v>
      </c>
      <c r="Q756" s="9" t="n">
        <f aca="false">IF(AND(F756&lt;=Parameters!$B$6,F756&gt;Parameters!$B$6-Parameters!$B$18),1,0)</f>
        <v>0</v>
      </c>
      <c r="R756" s="9" t="n">
        <f aca="false">IF(COUNTIF(Parameters!$A$51:$A$58,H756)=0,1,0)</f>
        <v>0</v>
      </c>
      <c r="S756" s="9" t="n">
        <f aca="false">IF(AND(I756="Manual",L756&gt;0),1,0)</f>
        <v>0</v>
      </c>
      <c r="T756" s="9" t="n">
        <f aca="false">IF(AND(C756&gt;=Parameters!$B$22,ROUND(MOD(ROUND(C756,2),Parameters!$B$21),2)=0),1,0)</f>
        <v>0</v>
      </c>
      <c r="U756" s="9" t="n">
        <f aca="false">IF(LEN(TRIM(J756))=0,1,0)</f>
        <v>0</v>
      </c>
      <c r="V756" s="9" t="n">
        <f aca="false">IF(AND(I756="Manual",C756&lt;Parameters!$B$19,C756&gt;=Parameters!$B$19*(1-Parameters!$B$20)),1,0)</f>
        <v>0</v>
      </c>
      <c r="W756" s="9" t="n">
        <f aca="false">IF(AND(I756="Manual",M756&gt;0),1,0)</f>
        <v>0</v>
      </c>
      <c r="X756" s="9" t="n">
        <f aca="false">IF(A756-A755&gt;1,1,0)</f>
        <v>0</v>
      </c>
      <c r="Y756" s="9" t="n">
        <f aca="false">N756*Parameters!$B$38+O756*Parameters!$B$39+P756*Parameters!$B$40+Q756*Parameters!$B$41+R756*Parameters!$B$42+S756*Parameters!$B$43+T756*Parameters!$B$44+U756*Parameters!$B$45+V756*Parameters!$B$46+W756*Parameters!$B$47+X756*Parameters!$B$48</f>
        <v>2</v>
      </c>
      <c r="Z756" s="0" t="str">
        <f aca="false">IF(Y756&gt;=Parameters!$B$25,"High","")</f>
        <v/>
      </c>
    </row>
    <row r="757" customFormat="false" ht="15" hidden="false" customHeight="false" outlineLevel="0" collapsed="false">
      <c r="A757" s="16" t="n">
        <v>1764</v>
      </c>
      <c r="B757" s="9" t="n">
        <f aca="false">COUNTIF(JE_Lines!$B$5:$B$1733,A757)</f>
        <v>2</v>
      </c>
      <c r="C757" s="17" t="n">
        <f aca="false">SUMIFS(JE_Lines!$G$5:$G$1733,JE_Lines!$B$5:$B$1733,A757)</f>
        <v>658.98</v>
      </c>
      <c r="D757" s="17" t="n">
        <f aca="false">SUMIFS(JE_Lines!$H$5:$H$1733,JE_Lines!$B$5:$B$1733,A757)</f>
        <v>658.98</v>
      </c>
      <c r="E757" s="17" t="n">
        <f aca="false">C757-D757</f>
        <v>0</v>
      </c>
      <c r="F757" s="18" t="n">
        <f aca="false">INDEX(JE_Lines!$C$5:$C$1733,MATCH(A757,JE_Lines!$B$5:$B$1733,0))</f>
        <v>46012</v>
      </c>
      <c r="G757" s="18" t="n">
        <f aca="false">INDEX(JE_Lines!$D$5:$D$1733,MATCH(A757,JE_Lines!$B$5:$B$1733,0))</f>
        <v>46010</v>
      </c>
      <c r="H757" s="0" t="str">
        <f aca="false">INDEX(JE_Lines!$I$5:$I$1733,MATCH(A757,JE_Lines!$B$5:$B$1733,0))</f>
        <v>SYS_AP</v>
      </c>
      <c r="I757" s="0" t="str">
        <f aca="false">INDEX(JE_Lines!$J$5:$J$1733,MATCH(A757,JE_Lines!$B$5:$B$1733,0))</f>
        <v>System</v>
      </c>
      <c r="J757" s="0" t="str">
        <f aca="false">IF(LEN(INDEX(JE_Lines!$K$5:$K$1733,MATCH(A757,JE_Lines!$B$5:$B$1733,0)))=0,"",INDEX(JE_Lines!$K$5:$K$1733,MATCH(A757,JE_Lines!$B$5:$B$1733,0)))</f>
        <v>Supplier invoices</v>
      </c>
      <c r="K757" s="9" t="n">
        <f aca="false">F757-G757</f>
        <v>2</v>
      </c>
      <c r="L757" s="9" t="n">
        <f aca="false">COUNTIFS(JE_Lines!$B$5:$B$1733,A757,JE_Lines!$F$5:$F$1733,"Revenue")</f>
        <v>0</v>
      </c>
      <c r="M757" s="9" t="n">
        <f aca="false">COUNTIFS(JE_Lines!$B$5:$B$1733,A757,JE_Lines!$F$5:$F$1733,"Suspense")</f>
        <v>0</v>
      </c>
      <c r="N757" s="9" t="n">
        <f aca="false">IF(ABS(E757)&gt;Parameters!$B$23,1,0)</f>
        <v>0</v>
      </c>
      <c r="O757" s="9" t="n">
        <f aca="false">IF(WEEKDAY(F757,2)&gt;5,1,0)</f>
        <v>1</v>
      </c>
      <c r="P757" s="9" t="n">
        <f aca="false">IF(K757&gt;Parameters!$B$17,1,0)</f>
        <v>0</v>
      </c>
      <c r="Q757" s="9" t="n">
        <f aca="false">IF(AND(F757&lt;=Parameters!$B$6,F757&gt;Parameters!$B$6-Parameters!$B$18),1,0)</f>
        <v>0</v>
      </c>
      <c r="R757" s="9" t="n">
        <f aca="false">IF(COUNTIF(Parameters!$A$51:$A$58,H757)=0,1,0)</f>
        <v>0</v>
      </c>
      <c r="S757" s="9" t="n">
        <f aca="false">IF(AND(I757="Manual",L757&gt;0),1,0)</f>
        <v>0</v>
      </c>
      <c r="T757" s="9" t="n">
        <f aca="false">IF(AND(C757&gt;=Parameters!$B$22,ROUND(MOD(ROUND(C757,2),Parameters!$B$21),2)=0),1,0)</f>
        <v>0</v>
      </c>
      <c r="U757" s="9" t="n">
        <f aca="false">IF(LEN(TRIM(J757))=0,1,0)</f>
        <v>0</v>
      </c>
      <c r="V757" s="9" t="n">
        <f aca="false">IF(AND(I757="Manual",C757&lt;Parameters!$B$19,C757&gt;=Parameters!$B$19*(1-Parameters!$B$20)),1,0)</f>
        <v>0</v>
      </c>
      <c r="W757" s="9" t="n">
        <f aca="false">IF(AND(I757="Manual",M757&gt;0),1,0)</f>
        <v>0</v>
      </c>
      <c r="X757" s="9" t="n">
        <f aca="false">IF(A757-A756&gt;1,1,0)</f>
        <v>0</v>
      </c>
      <c r="Y757" s="9" t="n">
        <f aca="false">N757*Parameters!$B$38+O757*Parameters!$B$39+P757*Parameters!$B$40+Q757*Parameters!$B$41+R757*Parameters!$B$42+S757*Parameters!$B$43+T757*Parameters!$B$44+U757*Parameters!$B$45+V757*Parameters!$B$46+W757*Parameters!$B$47+X757*Parameters!$B$48</f>
        <v>2</v>
      </c>
      <c r="Z757" s="0" t="str">
        <f aca="false">IF(Y757&gt;=Parameters!$B$25,"High","")</f>
        <v/>
      </c>
    </row>
    <row r="758" customFormat="false" ht="15" hidden="false" customHeight="false" outlineLevel="0" collapsed="false">
      <c r="A758" s="16" t="n">
        <v>1765</v>
      </c>
      <c r="B758" s="9" t="n">
        <f aca="false">COUNTIF(JE_Lines!$B$5:$B$1733,A758)</f>
        <v>2</v>
      </c>
      <c r="C758" s="17" t="n">
        <f aca="false">SUMIFS(JE_Lines!$G$5:$G$1733,JE_Lines!$B$5:$B$1733,A758)</f>
        <v>864.35</v>
      </c>
      <c r="D758" s="17" t="n">
        <f aca="false">SUMIFS(JE_Lines!$H$5:$H$1733,JE_Lines!$B$5:$B$1733,A758)</f>
        <v>864.35</v>
      </c>
      <c r="E758" s="17" t="n">
        <f aca="false">C758-D758</f>
        <v>0</v>
      </c>
      <c r="F758" s="18" t="n">
        <f aca="false">INDEX(JE_Lines!$C$5:$C$1733,MATCH(A758,JE_Lines!$B$5:$B$1733,0))</f>
        <v>46013</v>
      </c>
      <c r="G758" s="18" t="n">
        <f aca="false">INDEX(JE_Lines!$D$5:$D$1733,MATCH(A758,JE_Lines!$B$5:$B$1733,0))</f>
        <v>46013</v>
      </c>
      <c r="H758" s="0" t="str">
        <f aca="false">INDEX(JE_Lines!$I$5:$I$1733,MATCH(A758,JE_Lines!$B$5:$B$1733,0))</f>
        <v>FIN04</v>
      </c>
      <c r="I758" s="0" t="str">
        <f aca="false">INDEX(JE_Lines!$J$5:$J$1733,MATCH(A758,JE_Lines!$B$5:$B$1733,0))</f>
        <v>Manual</v>
      </c>
      <c r="J758" s="0" t="str">
        <f aca="false">IF(LEN(INDEX(JE_Lines!$K$5:$K$1733,MATCH(A758,JE_Lines!$B$5:$B$1733,0)))=0,"",INDEX(JE_Lines!$K$5:$K$1733,MATCH(A758,JE_Lines!$B$5:$B$1733,0)))</f>
        <v/>
      </c>
      <c r="K758" s="9" t="n">
        <f aca="false">F758-G758</f>
        <v>0</v>
      </c>
      <c r="L758" s="9" t="n">
        <f aca="false">COUNTIFS(JE_Lines!$B$5:$B$1733,A758,JE_Lines!$F$5:$F$1733,"Revenue")</f>
        <v>0</v>
      </c>
      <c r="M758" s="9" t="n">
        <f aca="false">COUNTIFS(JE_Lines!$B$5:$B$1733,A758,JE_Lines!$F$5:$F$1733,"Suspense")</f>
        <v>0</v>
      </c>
      <c r="N758" s="9" t="n">
        <f aca="false">IF(ABS(E758)&gt;Parameters!$B$23,1,0)</f>
        <v>0</v>
      </c>
      <c r="O758" s="9" t="n">
        <f aca="false">IF(WEEKDAY(F758,2)&gt;5,1,0)</f>
        <v>0</v>
      </c>
      <c r="P758" s="9" t="n">
        <f aca="false">IF(K758&gt;Parameters!$B$17,1,0)</f>
        <v>0</v>
      </c>
      <c r="Q758" s="9" t="n">
        <f aca="false">IF(AND(F758&lt;=Parameters!$B$6,F758&gt;Parameters!$B$6-Parameters!$B$18),1,0)</f>
        <v>0</v>
      </c>
      <c r="R758" s="9" t="n">
        <f aca="false">IF(COUNTIF(Parameters!$A$51:$A$58,H758)=0,1,0)</f>
        <v>0</v>
      </c>
      <c r="S758" s="9" t="n">
        <f aca="false">IF(AND(I758="Manual",L758&gt;0),1,0)</f>
        <v>0</v>
      </c>
      <c r="T758" s="9" t="n">
        <f aca="false">IF(AND(C758&gt;=Parameters!$B$22,ROUND(MOD(ROUND(C758,2),Parameters!$B$21),2)=0),1,0)</f>
        <v>0</v>
      </c>
      <c r="U758" s="9" t="n">
        <f aca="false">IF(LEN(TRIM(J758))=0,1,0)</f>
        <v>1</v>
      </c>
      <c r="V758" s="9" t="n">
        <f aca="false">IF(AND(I758="Manual",C758&lt;Parameters!$B$19,C758&gt;=Parameters!$B$19*(1-Parameters!$B$20)),1,0)</f>
        <v>0</v>
      </c>
      <c r="W758" s="9" t="n">
        <f aca="false">IF(AND(I758="Manual",M758&gt;0),1,0)</f>
        <v>0</v>
      </c>
      <c r="X758" s="9" t="n">
        <f aca="false">IF(A758-A757&gt;1,1,0)</f>
        <v>0</v>
      </c>
      <c r="Y758" s="9" t="n">
        <f aca="false">N758*Parameters!$B$38+O758*Parameters!$B$39+P758*Parameters!$B$40+Q758*Parameters!$B$41+R758*Parameters!$B$42+S758*Parameters!$B$43+T758*Parameters!$B$44+U758*Parameters!$B$45+V758*Parameters!$B$46+W758*Parameters!$B$47+X758*Parameters!$B$48</f>
        <v>2</v>
      </c>
      <c r="Z758" s="0" t="str">
        <f aca="false">IF(Y758&gt;=Parameters!$B$25,"High","")</f>
        <v/>
      </c>
    </row>
    <row r="759" customFormat="false" ht="15" hidden="false" customHeight="false" outlineLevel="0" collapsed="false">
      <c r="A759" s="16" t="n">
        <v>1766</v>
      </c>
      <c r="B759" s="9" t="n">
        <f aca="false">COUNTIF(JE_Lines!$B$5:$B$1733,A759)</f>
        <v>3</v>
      </c>
      <c r="C759" s="17" t="n">
        <f aca="false">SUMIFS(JE_Lines!$G$5:$G$1733,JE_Lines!$B$5:$B$1733,A759)</f>
        <v>3201.63</v>
      </c>
      <c r="D759" s="17" t="n">
        <f aca="false">SUMIFS(JE_Lines!$H$5:$H$1733,JE_Lines!$B$5:$B$1733,A759)</f>
        <v>3201.63</v>
      </c>
      <c r="E759" s="17" t="n">
        <f aca="false">C759-D759</f>
        <v>0</v>
      </c>
      <c r="F759" s="18" t="n">
        <f aca="false">INDEX(JE_Lines!$C$5:$C$1733,MATCH(A759,JE_Lines!$B$5:$B$1733,0))</f>
        <v>46014</v>
      </c>
      <c r="G759" s="18" t="n">
        <f aca="false">INDEX(JE_Lines!$D$5:$D$1733,MATCH(A759,JE_Lines!$B$5:$B$1733,0))</f>
        <v>46011</v>
      </c>
      <c r="H759" s="0" t="str">
        <f aca="false">INDEX(JE_Lines!$I$5:$I$1733,MATCH(A759,JE_Lines!$B$5:$B$1733,0))</f>
        <v>SYS_PAY</v>
      </c>
      <c r="I759" s="0" t="str">
        <f aca="false">INDEX(JE_Lines!$J$5:$J$1733,MATCH(A759,JE_Lines!$B$5:$B$1733,0))</f>
        <v>System</v>
      </c>
      <c r="J759" s="0" t="str">
        <f aca="false">IF(LEN(INDEX(JE_Lines!$K$5:$K$1733,MATCH(A759,JE_Lines!$B$5:$B$1733,0)))=0,"",INDEX(JE_Lines!$K$5:$K$1733,MATCH(A759,JE_Lines!$B$5:$B$1733,0)))</f>
        <v>Supplier payments</v>
      </c>
      <c r="K759" s="9" t="n">
        <f aca="false">F759-G759</f>
        <v>3</v>
      </c>
      <c r="L759" s="9" t="n">
        <f aca="false">COUNTIFS(JE_Lines!$B$5:$B$1733,A759,JE_Lines!$F$5:$F$1733,"Revenue")</f>
        <v>0</v>
      </c>
      <c r="M759" s="9" t="n">
        <f aca="false">COUNTIFS(JE_Lines!$B$5:$B$1733,A759,JE_Lines!$F$5:$F$1733,"Suspense")</f>
        <v>0</v>
      </c>
      <c r="N759" s="9" t="n">
        <f aca="false">IF(ABS(E759)&gt;Parameters!$B$23,1,0)</f>
        <v>0</v>
      </c>
      <c r="O759" s="9" t="n">
        <f aca="false">IF(WEEKDAY(F759,2)&gt;5,1,0)</f>
        <v>0</v>
      </c>
      <c r="P759" s="9" t="n">
        <f aca="false">IF(K759&gt;Parameters!$B$17,1,0)</f>
        <v>0</v>
      </c>
      <c r="Q759" s="9" t="n">
        <f aca="false">IF(AND(F759&lt;=Parameters!$B$6,F759&gt;Parameters!$B$6-Parameters!$B$18),1,0)</f>
        <v>0</v>
      </c>
      <c r="R759" s="9" t="n">
        <f aca="false">IF(COUNTIF(Parameters!$A$51:$A$58,H759)=0,1,0)</f>
        <v>0</v>
      </c>
      <c r="S759" s="9" t="n">
        <f aca="false">IF(AND(I759="Manual",L759&gt;0),1,0)</f>
        <v>0</v>
      </c>
      <c r="T759" s="9" t="n">
        <f aca="false">IF(AND(C759&gt;=Parameters!$B$22,ROUND(MOD(ROUND(C759,2),Parameters!$B$21),2)=0),1,0)</f>
        <v>0</v>
      </c>
      <c r="U759" s="9" t="n">
        <f aca="false">IF(LEN(TRIM(J759))=0,1,0)</f>
        <v>0</v>
      </c>
      <c r="V759" s="9" t="n">
        <f aca="false">IF(AND(I759="Manual",C759&lt;Parameters!$B$19,C759&gt;=Parameters!$B$19*(1-Parameters!$B$20)),1,0)</f>
        <v>0</v>
      </c>
      <c r="W759" s="9" t="n">
        <f aca="false">IF(AND(I759="Manual",M759&gt;0),1,0)</f>
        <v>0</v>
      </c>
      <c r="X759" s="9" t="n">
        <f aca="false">IF(A759-A758&gt;1,1,0)</f>
        <v>0</v>
      </c>
      <c r="Y759" s="9" t="n">
        <f aca="false">N759*Parameters!$B$38+O759*Parameters!$B$39+P759*Parameters!$B$40+Q759*Parameters!$B$41+R759*Parameters!$B$42+S759*Parameters!$B$43+T759*Parameters!$B$44+U759*Parameters!$B$45+V759*Parameters!$B$46+W759*Parameters!$B$47+X759*Parameters!$B$48</f>
        <v>0</v>
      </c>
      <c r="Z759" s="0" t="str">
        <f aca="false">IF(Y759&gt;=Parameters!$B$25,"High","")</f>
        <v/>
      </c>
    </row>
    <row r="760" customFormat="false" ht="15" hidden="false" customHeight="false" outlineLevel="0" collapsed="false">
      <c r="A760" s="16" t="n">
        <v>1767</v>
      </c>
      <c r="B760" s="9" t="n">
        <f aca="false">COUNTIF(JE_Lines!$B$5:$B$1733,A760)</f>
        <v>3</v>
      </c>
      <c r="C760" s="17" t="n">
        <f aca="false">SUMIFS(JE_Lines!$G$5:$G$1733,JE_Lines!$B$5:$B$1733,A760)</f>
        <v>3004.26</v>
      </c>
      <c r="D760" s="17" t="n">
        <f aca="false">SUMIFS(JE_Lines!$H$5:$H$1733,JE_Lines!$B$5:$B$1733,A760)</f>
        <v>3004.26</v>
      </c>
      <c r="E760" s="17" t="n">
        <f aca="false">C760-D760</f>
        <v>0</v>
      </c>
      <c r="F760" s="18" t="n">
        <f aca="false">INDEX(JE_Lines!$C$5:$C$1733,MATCH(A760,JE_Lines!$B$5:$B$1733,0))</f>
        <v>46014</v>
      </c>
      <c r="G760" s="18" t="n">
        <f aca="false">INDEX(JE_Lines!$D$5:$D$1733,MATCH(A760,JE_Lines!$B$5:$B$1733,0))</f>
        <v>46014</v>
      </c>
      <c r="H760" s="0" t="str">
        <f aca="false">INDEX(JE_Lines!$I$5:$I$1733,MATCH(A760,JE_Lines!$B$5:$B$1733,0))</f>
        <v>SYS_AR</v>
      </c>
      <c r="I760" s="0" t="str">
        <f aca="false">INDEX(JE_Lines!$J$5:$J$1733,MATCH(A760,JE_Lines!$B$5:$B$1733,0))</f>
        <v>System</v>
      </c>
      <c r="J760" s="0" t="str">
        <f aca="false">IF(LEN(INDEX(JE_Lines!$K$5:$K$1733,MATCH(A760,JE_Lines!$B$5:$B$1733,0)))=0,"",INDEX(JE_Lines!$K$5:$K$1733,MATCH(A760,JE_Lines!$B$5:$B$1733,0)))</f>
        <v>Cost of sales posting</v>
      </c>
      <c r="K760" s="9" t="n">
        <f aca="false">F760-G760</f>
        <v>0</v>
      </c>
      <c r="L760" s="9" t="n">
        <f aca="false">COUNTIFS(JE_Lines!$B$5:$B$1733,A760,JE_Lines!$F$5:$F$1733,"Revenue")</f>
        <v>0</v>
      </c>
      <c r="M760" s="9" t="n">
        <f aca="false">COUNTIFS(JE_Lines!$B$5:$B$1733,A760,JE_Lines!$F$5:$F$1733,"Suspense")</f>
        <v>0</v>
      </c>
      <c r="N760" s="9" t="n">
        <f aca="false">IF(ABS(E760)&gt;Parameters!$B$23,1,0)</f>
        <v>0</v>
      </c>
      <c r="O760" s="9" t="n">
        <f aca="false">IF(WEEKDAY(F760,2)&gt;5,1,0)</f>
        <v>0</v>
      </c>
      <c r="P760" s="9" t="n">
        <f aca="false">IF(K760&gt;Parameters!$B$17,1,0)</f>
        <v>0</v>
      </c>
      <c r="Q760" s="9" t="n">
        <f aca="false">IF(AND(F760&lt;=Parameters!$B$6,F760&gt;Parameters!$B$6-Parameters!$B$18),1,0)</f>
        <v>0</v>
      </c>
      <c r="R760" s="9" t="n">
        <f aca="false">IF(COUNTIF(Parameters!$A$51:$A$58,H760)=0,1,0)</f>
        <v>0</v>
      </c>
      <c r="S760" s="9" t="n">
        <f aca="false">IF(AND(I760="Manual",L760&gt;0),1,0)</f>
        <v>0</v>
      </c>
      <c r="T760" s="9" t="n">
        <f aca="false">IF(AND(C760&gt;=Parameters!$B$22,ROUND(MOD(ROUND(C760,2),Parameters!$B$21),2)=0),1,0)</f>
        <v>0</v>
      </c>
      <c r="U760" s="9" t="n">
        <f aca="false">IF(LEN(TRIM(J760))=0,1,0)</f>
        <v>0</v>
      </c>
      <c r="V760" s="9" t="n">
        <f aca="false">IF(AND(I760="Manual",C760&lt;Parameters!$B$19,C760&gt;=Parameters!$B$19*(1-Parameters!$B$20)),1,0)</f>
        <v>0</v>
      </c>
      <c r="W760" s="9" t="n">
        <f aca="false">IF(AND(I760="Manual",M760&gt;0),1,0)</f>
        <v>0</v>
      </c>
      <c r="X760" s="9" t="n">
        <f aca="false">IF(A760-A759&gt;1,1,0)</f>
        <v>0</v>
      </c>
      <c r="Y760" s="9" t="n">
        <f aca="false">N760*Parameters!$B$38+O760*Parameters!$B$39+P760*Parameters!$B$40+Q760*Parameters!$B$41+R760*Parameters!$B$42+S760*Parameters!$B$43+T760*Parameters!$B$44+U760*Parameters!$B$45+V760*Parameters!$B$46+W760*Parameters!$B$47+X760*Parameters!$B$48</f>
        <v>0</v>
      </c>
      <c r="Z760" s="0" t="str">
        <f aca="false">IF(Y760&gt;=Parameters!$B$25,"High","")</f>
        <v/>
      </c>
    </row>
    <row r="761" customFormat="false" ht="15" hidden="false" customHeight="false" outlineLevel="0" collapsed="false">
      <c r="A761" s="16" t="n">
        <v>1768</v>
      </c>
      <c r="B761" s="9" t="n">
        <f aca="false">COUNTIF(JE_Lines!$B$5:$B$1733,A761)</f>
        <v>3</v>
      </c>
      <c r="C761" s="17" t="n">
        <f aca="false">SUMIFS(JE_Lines!$G$5:$G$1733,JE_Lines!$B$5:$B$1733,A761)</f>
        <v>27939.03</v>
      </c>
      <c r="D761" s="17" t="n">
        <f aca="false">SUMIFS(JE_Lines!$H$5:$H$1733,JE_Lines!$B$5:$B$1733,A761)</f>
        <v>27939.03</v>
      </c>
      <c r="E761" s="17" t="n">
        <f aca="false">C761-D761</f>
        <v>0</v>
      </c>
      <c r="F761" s="18" t="n">
        <f aca="false">INDEX(JE_Lines!$C$5:$C$1733,MATCH(A761,JE_Lines!$B$5:$B$1733,0))</f>
        <v>46014</v>
      </c>
      <c r="G761" s="18" t="n">
        <f aca="false">INDEX(JE_Lines!$D$5:$D$1733,MATCH(A761,JE_Lines!$B$5:$B$1733,0))</f>
        <v>46014</v>
      </c>
      <c r="H761" s="0" t="str">
        <f aca="false">INDEX(JE_Lines!$I$5:$I$1733,MATCH(A761,JE_Lines!$B$5:$B$1733,0))</f>
        <v>SYS_PAY</v>
      </c>
      <c r="I761" s="0" t="str">
        <f aca="false">INDEX(JE_Lines!$J$5:$J$1733,MATCH(A761,JE_Lines!$B$5:$B$1733,0))</f>
        <v>System</v>
      </c>
      <c r="J761" s="0" t="str">
        <f aca="false">IF(LEN(INDEX(JE_Lines!$K$5:$K$1733,MATCH(A761,JE_Lines!$B$5:$B$1733,0)))=0,"",INDEX(JE_Lines!$K$5:$K$1733,MATCH(A761,JE_Lines!$B$5:$B$1733,0)))</f>
        <v>Supplier payments</v>
      </c>
      <c r="K761" s="9" t="n">
        <f aca="false">F761-G761</f>
        <v>0</v>
      </c>
      <c r="L761" s="9" t="n">
        <f aca="false">COUNTIFS(JE_Lines!$B$5:$B$1733,A761,JE_Lines!$F$5:$F$1733,"Revenue")</f>
        <v>0</v>
      </c>
      <c r="M761" s="9" t="n">
        <f aca="false">COUNTIFS(JE_Lines!$B$5:$B$1733,A761,JE_Lines!$F$5:$F$1733,"Suspense")</f>
        <v>0</v>
      </c>
      <c r="N761" s="9" t="n">
        <f aca="false">IF(ABS(E761)&gt;Parameters!$B$23,1,0)</f>
        <v>0</v>
      </c>
      <c r="O761" s="9" t="n">
        <f aca="false">IF(WEEKDAY(F761,2)&gt;5,1,0)</f>
        <v>0</v>
      </c>
      <c r="P761" s="9" t="n">
        <f aca="false">IF(K761&gt;Parameters!$B$17,1,0)</f>
        <v>0</v>
      </c>
      <c r="Q761" s="9" t="n">
        <f aca="false">IF(AND(F761&lt;=Parameters!$B$6,F761&gt;Parameters!$B$6-Parameters!$B$18),1,0)</f>
        <v>0</v>
      </c>
      <c r="R761" s="9" t="n">
        <f aca="false">IF(COUNTIF(Parameters!$A$51:$A$58,H761)=0,1,0)</f>
        <v>0</v>
      </c>
      <c r="S761" s="9" t="n">
        <f aca="false">IF(AND(I761="Manual",L761&gt;0),1,0)</f>
        <v>0</v>
      </c>
      <c r="T761" s="9" t="n">
        <f aca="false">IF(AND(C761&gt;=Parameters!$B$22,ROUND(MOD(ROUND(C761,2),Parameters!$B$21),2)=0),1,0)</f>
        <v>0</v>
      </c>
      <c r="U761" s="9" t="n">
        <f aca="false">IF(LEN(TRIM(J761))=0,1,0)</f>
        <v>0</v>
      </c>
      <c r="V761" s="9" t="n">
        <f aca="false">IF(AND(I761="Manual",C761&lt;Parameters!$B$19,C761&gt;=Parameters!$B$19*(1-Parameters!$B$20)),1,0)</f>
        <v>0</v>
      </c>
      <c r="W761" s="9" t="n">
        <f aca="false">IF(AND(I761="Manual",M761&gt;0),1,0)</f>
        <v>0</v>
      </c>
      <c r="X761" s="9" t="n">
        <f aca="false">IF(A761-A760&gt;1,1,0)</f>
        <v>0</v>
      </c>
      <c r="Y761" s="9" t="n">
        <f aca="false">N761*Parameters!$B$38+O761*Parameters!$B$39+P761*Parameters!$B$40+Q761*Parameters!$B$41+R761*Parameters!$B$42+S761*Parameters!$B$43+T761*Parameters!$B$44+U761*Parameters!$B$45+V761*Parameters!$B$46+W761*Parameters!$B$47+X761*Parameters!$B$48</f>
        <v>0</v>
      </c>
      <c r="Z761" s="0" t="str">
        <f aca="false">IF(Y761&gt;=Parameters!$B$25,"High","")</f>
        <v/>
      </c>
    </row>
    <row r="762" customFormat="false" ht="15" hidden="false" customHeight="false" outlineLevel="0" collapsed="false">
      <c r="A762" s="16" t="n">
        <v>1769</v>
      </c>
      <c r="B762" s="9" t="n">
        <f aca="false">COUNTIF(JE_Lines!$B$5:$B$1733,A762)</f>
        <v>2</v>
      </c>
      <c r="C762" s="17" t="n">
        <f aca="false">SUMIFS(JE_Lines!$G$5:$G$1733,JE_Lines!$B$5:$B$1733,A762)</f>
        <v>13490.91</v>
      </c>
      <c r="D762" s="17" t="n">
        <f aca="false">SUMIFS(JE_Lines!$H$5:$H$1733,JE_Lines!$B$5:$B$1733,A762)</f>
        <v>13490.91</v>
      </c>
      <c r="E762" s="17" t="n">
        <f aca="false">C762-D762</f>
        <v>0</v>
      </c>
      <c r="F762" s="18" t="n">
        <f aca="false">INDEX(JE_Lines!$C$5:$C$1733,MATCH(A762,JE_Lines!$B$5:$B$1733,0))</f>
        <v>46015</v>
      </c>
      <c r="G762" s="18" t="n">
        <f aca="false">INDEX(JE_Lines!$D$5:$D$1733,MATCH(A762,JE_Lines!$B$5:$B$1733,0))</f>
        <v>46011</v>
      </c>
      <c r="H762" s="0" t="str">
        <f aca="false">INDEX(JE_Lines!$I$5:$I$1733,MATCH(A762,JE_Lines!$B$5:$B$1733,0))</f>
        <v>SYS_AR</v>
      </c>
      <c r="I762" s="0" t="str">
        <f aca="false">INDEX(JE_Lines!$J$5:$J$1733,MATCH(A762,JE_Lines!$B$5:$B$1733,0))</f>
        <v>System</v>
      </c>
      <c r="J762" s="0" t="str">
        <f aca="false">IF(LEN(INDEX(JE_Lines!$K$5:$K$1733,MATCH(A762,JE_Lines!$B$5:$B$1733,0)))=0,"",INDEX(JE_Lines!$K$5:$K$1733,MATCH(A762,JE_Lines!$B$5:$B$1733,0)))</f>
        <v>Cost of sales posting</v>
      </c>
      <c r="K762" s="9" t="n">
        <f aca="false">F762-G762</f>
        <v>4</v>
      </c>
      <c r="L762" s="9" t="n">
        <f aca="false">COUNTIFS(JE_Lines!$B$5:$B$1733,A762,JE_Lines!$F$5:$F$1733,"Revenue")</f>
        <v>0</v>
      </c>
      <c r="M762" s="9" t="n">
        <f aca="false">COUNTIFS(JE_Lines!$B$5:$B$1733,A762,JE_Lines!$F$5:$F$1733,"Suspense")</f>
        <v>0</v>
      </c>
      <c r="N762" s="9" t="n">
        <f aca="false">IF(ABS(E762)&gt;Parameters!$B$23,1,0)</f>
        <v>0</v>
      </c>
      <c r="O762" s="9" t="n">
        <f aca="false">IF(WEEKDAY(F762,2)&gt;5,1,0)</f>
        <v>0</v>
      </c>
      <c r="P762" s="9" t="n">
        <f aca="false">IF(K762&gt;Parameters!$B$17,1,0)</f>
        <v>0</v>
      </c>
      <c r="Q762" s="9" t="n">
        <f aca="false">IF(AND(F762&lt;=Parameters!$B$6,F762&gt;Parameters!$B$6-Parameters!$B$18),1,0)</f>
        <v>0</v>
      </c>
      <c r="R762" s="9" t="n">
        <f aca="false">IF(COUNTIF(Parameters!$A$51:$A$58,H762)=0,1,0)</f>
        <v>0</v>
      </c>
      <c r="S762" s="9" t="n">
        <f aca="false">IF(AND(I762="Manual",L762&gt;0),1,0)</f>
        <v>0</v>
      </c>
      <c r="T762" s="9" t="n">
        <f aca="false">IF(AND(C762&gt;=Parameters!$B$22,ROUND(MOD(ROUND(C762,2),Parameters!$B$21),2)=0),1,0)</f>
        <v>0</v>
      </c>
      <c r="U762" s="9" t="n">
        <f aca="false">IF(LEN(TRIM(J762))=0,1,0)</f>
        <v>0</v>
      </c>
      <c r="V762" s="9" t="n">
        <f aca="false">IF(AND(I762="Manual",C762&lt;Parameters!$B$19,C762&gt;=Parameters!$B$19*(1-Parameters!$B$20)),1,0)</f>
        <v>0</v>
      </c>
      <c r="W762" s="9" t="n">
        <f aca="false">IF(AND(I762="Manual",M762&gt;0),1,0)</f>
        <v>0</v>
      </c>
      <c r="X762" s="9" t="n">
        <f aca="false">IF(A762-A761&gt;1,1,0)</f>
        <v>0</v>
      </c>
      <c r="Y762" s="9" t="n">
        <f aca="false">N762*Parameters!$B$38+O762*Parameters!$B$39+P762*Parameters!$B$40+Q762*Parameters!$B$41+R762*Parameters!$B$42+S762*Parameters!$B$43+T762*Parameters!$B$44+U762*Parameters!$B$45+V762*Parameters!$B$46+W762*Parameters!$B$47+X762*Parameters!$B$48</f>
        <v>0</v>
      </c>
      <c r="Z762" s="0" t="str">
        <f aca="false">IF(Y762&gt;=Parameters!$B$25,"High","")</f>
        <v/>
      </c>
    </row>
    <row r="763" customFormat="false" ht="15" hidden="false" customHeight="false" outlineLevel="0" collapsed="false">
      <c r="A763" s="16" t="n">
        <v>1770</v>
      </c>
      <c r="B763" s="9" t="n">
        <f aca="false">COUNTIF(JE_Lines!$B$5:$B$1733,A763)</f>
        <v>3</v>
      </c>
      <c r="C763" s="17" t="n">
        <f aca="false">SUMIFS(JE_Lines!$G$5:$G$1733,JE_Lines!$B$5:$B$1733,A763)</f>
        <v>27766.72</v>
      </c>
      <c r="D763" s="17" t="n">
        <f aca="false">SUMIFS(JE_Lines!$H$5:$H$1733,JE_Lines!$B$5:$B$1733,A763)</f>
        <v>27766.72</v>
      </c>
      <c r="E763" s="17" t="n">
        <f aca="false">C763-D763</f>
        <v>0</v>
      </c>
      <c r="F763" s="18" t="n">
        <f aca="false">INDEX(JE_Lines!$C$5:$C$1733,MATCH(A763,JE_Lines!$B$5:$B$1733,0))</f>
        <v>46015</v>
      </c>
      <c r="G763" s="18" t="n">
        <f aca="false">INDEX(JE_Lines!$D$5:$D$1733,MATCH(A763,JE_Lines!$B$5:$B$1733,0))</f>
        <v>46015</v>
      </c>
      <c r="H763" s="0" t="str">
        <f aca="false">INDEX(JE_Lines!$I$5:$I$1733,MATCH(A763,JE_Lines!$B$5:$B$1733,0))</f>
        <v>SYS_PAY</v>
      </c>
      <c r="I763" s="0" t="str">
        <f aca="false">INDEX(JE_Lines!$J$5:$J$1733,MATCH(A763,JE_Lines!$B$5:$B$1733,0))</f>
        <v>System</v>
      </c>
      <c r="J763" s="0" t="str">
        <f aca="false">IF(LEN(INDEX(JE_Lines!$K$5:$K$1733,MATCH(A763,JE_Lines!$B$5:$B$1733,0)))=0,"",INDEX(JE_Lines!$K$5:$K$1733,MATCH(A763,JE_Lines!$B$5:$B$1733,0)))</f>
        <v>Supplier payments</v>
      </c>
      <c r="K763" s="9" t="n">
        <f aca="false">F763-G763</f>
        <v>0</v>
      </c>
      <c r="L763" s="9" t="n">
        <f aca="false">COUNTIFS(JE_Lines!$B$5:$B$1733,A763,JE_Lines!$F$5:$F$1733,"Revenue")</f>
        <v>0</v>
      </c>
      <c r="M763" s="9" t="n">
        <f aca="false">COUNTIFS(JE_Lines!$B$5:$B$1733,A763,JE_Lines!$F$5:$F$1733,"Suspense")</f>
        <v>0</v>
      </c>
      <c r="N763" s="9" t="n">
        <f aca="false">IF(ABS(E763)&gt;Parameters!$B$23,1,0)</f>
        <v>0</v>
      </c>
      <c r="O763" s="9" t="n">
        <f aca="false">IF(WEEKDAY(F763,2)&gt;5,1,0)</f>
        <v>0</v>
      </c>
      <c r="P763" s="9" t="n">
        <f aca="false">IF(K763&gt;Parameters!$B$17,1,0)</f>
        <v>0</v>
      </c>
      <c r="Q763" s="9" t="n">
        <f aca="false">IF(AND(F763&lt;=Parameters!$B$6,F763&gt;Parameters!$B$6-Parameters!$B$18),1,0)</f>
        <v>0</v>
      </c>
      <c r="R763" s="9" t="n">
        <f aca="false">IF(COUNTIF(Parameters!$A$51:$A$58,H763)=0,1,0)</f>
        <v>0</v>
      </c>
      <c r="S763" s="9" t="n">
        <f aca="false">IF(AND(I763="Manual",L763&gt;0),1,0)</f>
        <v>0</v>
      </c>
      <c r="T763" s="9" t="n">
        <f aca="false">IF(AND(C763&gt;=Parameters!$B$22,ROUND(MOD(ROUND(C763,2),Parameters!$B$21),2)=0),1,0)</f>
        <v>0</v>
      </c>
      <c r="U763" s="9" t="n">
        <f aca="false">IF(LEN(TRIM(J763))=0,1,0)</f>
        <v>0</v>
      </c>
      <c r="V763" s="9" t="n">
        <f aca="false">IF(AND(I763="Manual",C763&lt;Parameters!$B$19,C763&gt;=Parameters!$B$19*(1-Parameters!$B$20)),1,0)</f>
        <v>0</v>
      </c>
      <c r="W763" s="9" t="n">
        <f aca="false">IF(AND(I763="Manual",M763&gt;0),1,0)</f>
        <v>0</v>
      </c>
      <c r="X763" s="9" t="n">
        <f aca="false">IF(A763-A762&gt;1,1,0)</f>
        <v>0</v>
      </c>
      <c r="Y763" s="9" t="n">
        <f aca="false">N763*Parameters!$B$38+O763*Parameters!$B$39+P763*Parameters!$B$40+Q763*Parameters!$B$41+R763*Parameters!$B$42+S763*Parameters!$B$43+T763*Parameters!$B$44+U763*Parameters!$B$45+V763*Parameters!$B$46+W763*Parameters!$B$47+X763*Parameters!$B$48</f>
        <v>0</v>
      </c>
      <c r="Z763" s="0" t="str">
        <f aca="false">IF(Y763&gt;=Parameters!$B$25,"High","")</f>
        <v/>
      </c>
    </row>
    <row r="764" customFormat="false" ht="15" hidden="false" customHeight="false" outlineLevel="0" collapsed="false">
      <c r="A764" s="16" t="n">
        <v>1771</v>
      </c>
      <c r="B764" s="9" t="n">
        <f aca="false">COUNTIF(JE_Lines!$B$5:$B$1733,A764)</f>
        <v>2</v>
      </c>
      <c r="C764" s="17" t="n">
        <f aca="false">SUMIFS(JE_Lines!$G$5:$G$1733,JE_Lines!$B$5:$B$1733,A764)</f>
        <v>4920.86</v>
      </c>
      <c r="D764" s="17" t="n">
        <f aca="false">SUMIFS(JE_Lines!$H$5:$H$1733,JE_Lines!$B$5:$B$1733,A764)</f>
        <v>4920.86</v>
      </c>
      <c r="E764" s="17" t="n">
        <f aca="false">C764-D764</f>
        <v>0</v>
      </c>
      <c r="F764" s="18" t="n">
        <f aca="false">INDEX(JE_Lines!$C$5:$C$1733,MATCH(A764,JE_Lines!$B$5:$B$1733,0))</f>
        <v>46015</v>
      </c>
      <c r="G764" s="18" t="n">
        <f aca="false">INDEX(JE_Lines!$D$5:$D$1733,MATCH(A764,JE_Lines!$B$5:$B$1733,0))</f>
        <v>46013</v>
      </c>
      <c r="H764" s="0" t="str">
        <f aca="false">INDEX(JE_Lines!$I$5:$I$1733,MATCH(A764,JE_Lines!$B$5:$B$1733,0))</f>
        <v>SYS_AP</v>
      </c>
      <c r="I764" s="0" t="str">
        <f aca="false">INDEX(JE_Lines!$J$5:$J$1733,MATCH(A764,JE_Lines!$B$5:$B$1733,0))</f>
        <v>System</v>
      </c>
      <c r="J764" s="0" t="str">
        <f aca="false">IF(LEN(INDEX(JE_Lines!$K$5:$K$1733,MATCH(A764,JE_Lines!$B$5:$B$1733,0)))=0,"",INDEX(JE_Lines!$K$5:$K$1733,MATCH(A764,JE_Lines!$B$5:$B$1733,0)))</f>
        <v>Supplier invoices</v>
      </c>
      <c r="K764" s="9" t="n">
        <f aca="false">F764-G764</f>
        <v>2</v>
      </c>
      <c r="L764" s="9" t="n">
        <f aca="false">COUNTIFS(JE_Lines!$B$5:$B$1733,A764,JE_Lines!$F$5:$F$1733,"Revenue")</f>
        <v>0</v>
      </c>
      <c r="M764" s="9" t="n">
        <f aca="false">COUNTIFS(JE_Lines!$B$5:$B$1733,A764,JE_Lines!$F$5:$F$1733,"Suspense")</f>
        <v>0</v>
      </c>
      <c r="N764" s="9" t="n">
        <f aca="false">IF(ABS(E764)&gt;Parameters!$B$23,1,0)</f>
        <v>0</v>
      </c>
      <c r="O764" s="9" t="n">
        <f aca="false">IF(WEEKDAY(F764,2)&gt;5,1,0)</f>
        <v>0</v>
      </c>
      <c r="P764" s="9" t="n">
        <f aca="false">IF(K764&gt;Parameters!$B$17,1,0)</f>
        <v>0</v>
      </c>
      <c r="Q764" s="9" t="n">
        <f aca="false">IF(AND(F764&lt;=Parameters!$B$6,F764&gt;Parameters!$B$6-Parameters!$B$18),1,0)</f>
        <v>0</v>
      </c>
      <c r="R764" s="9" t="n">
        <f aca="false">IF(COUNTIF(Parameters!$A$51:$A$58,H764)=0,1,0)</f>
        <v>0</v>
      </c>
      <c r="S764" s="9" t="n">
        <f aca="false">IF(AND(I764="Manual",L764&gt;0),1,0)</f>
        <v>0</v>
      </c>
      <c r="T764" s="9" t="n">
        <f aca="false">IF(AND(C764&gt;=Parameters!$B$22,ROUND(MOD(ROUND(C764,2),Parameters!$B$21),2)=0),1,0)</f>
        <v>0</v>
      </c>
      <c r="U764" s="9" t="n">
        <f aca="false">IF(LEN(TRIM(J764))=0,1,0)</f>
        <v>0</v>
      </c>
      <c r="V764" s="9" t="n">
        <f aca="false">IF(AND(I764="Manual",C764&lt;Parameters!$B$19,C764&gt;=Parameters!$B$19*(1-Parameters!$B$20)),1,0)</f>
        <v>0</v>
      </c>
      <c r="W764" s="9" t="n">
        <f aca="false">IF(AND(I764="Manual",M764&gt;0),1,0)</f>
        <v>0</v>
      </c>
      <c r="X764" s="9" t="n">
        <f aca="false">IF(A764-A763&gt;1,1,0)</f>
        <v>0</v>
      </c>
      <c r="Y764" s="9" t="n">
        <f aca="false">N764*Parameters!$B$38+O764*Parameters!$B$39+P764*Parameters!$B$40+Q764*Parameters!$B$41+R764*Parameters!$B$42+S764*Parameters!$B$43+T764*Parameters!$B$44+U764*Parameters!$B$45+V764*Parameters!$B$46+W764*Parameters!$B$47+X764*Parameters!$B$48</f>
        <v>0</v>
      </c>
      <c r="Z764" s="0" t="str">
        <f aca="false">IF(Y764&gt;=Parameters!$B$25,"High","")</f>
        <v/>
      </c>
    </row>
    <row r="765" customFormat="false" ht="15" hidden="false" customHeight="false" outlineLevel="0" collapsed="false">
      <c r="A765" s="16" t="n">
        <v>1772</v>
      </c>
      <c r="B765" s="9" t="n">
        <f aca="false">COUNTIF(JE_Lines!$B$5:$B$1733,A765)</f>
        <v>2</v>
      </c>
      <c r="C765" s="17" t="n">
        <f aca="false">SUMIFS(JE_Lines!$G$5:$G$1733,JE_Lines!$B$5:$B$1733,A765)</f>
        <v>45321.98</v>
      </c>
      <c r="D765" s="17" t="n">
        <f aca="false">SUMIFS(JE_Lines!$H$5:$H$1733,JE_Lines!$B$5:$B$1733,A765)</f>
        <v>45321.98</v>
      </c>
      <c r="E765" s="17" t="n">
        <f aca="false">C765-D765</f>
        <v>0</v>
      </c>
      <c r="F765" s="18" t="n">
        <f aca="false">INDEX(JE_Lines!$C$5:$C$1733,MATCH(A765,JE_Lines!$B$5:$B$1733,0))</f>
        <v>46015</v>
      </c>
      <c r="G765" s="18" t="n">
        <f aca="false">INDEX(JE_Lines!$D$5:$D$1733,MATCH(A765,JE_Lines!$B$5:$B$1733,0))</f>
        <v>46012</v>
      </c>
      <c r="H765" s="0" t="str">
        <f aca="false">INDEX(JE_Lines!$I$5:$I$1733,MATCH(A765,JE_Lines!$B$5:$B$1733,0))</f>
        <v>SYS_AR</v>
      </c>
      <c r="I765" s="0" t="str">
        <f aca="false">INDEX(JE_Lines!$J$5:$J$1733,MATCH(A765,JE_Lines!$B$5:$B$1733,0))</f>
        <v>System</v>
      </c>
      <c r="J765" s="0" t="str">
        <f aca="false">IF(LEN(INDEX(JE_Lines!$K$5:$K$1733,MATCH(A765,JE_Lines!$B$5:$B$1733,0)))=0,"",INDEX(JE_Lines!$K$5:$K$1733,MATCH(A765,JE_Lines!$B$5:$B$1733,0)))</f>
        <v>Sales invoice batch</v>
      </c>
      <c r="K765" s="9" t="n">
        <f aca="false">F765-G765</f>
        <v>3</v>
      </c>
      <c r="L765" s="9" t="n">
        <f aca="false">COUNTIFS(JE_Lines!$B$5:$B$1733,A765,JE_Lines!$F$5:$F$1733,"Revenue")</f>
        <v>1</v>
      </c>
      <c r="M765" s="9" t="n">
        <f aca="false">COUNTIFS(JE_Lines!$B$5:$B$1733,A765,JE_Lines!$F$5:$F$1733,"Suspense")</f>
        <v>0</v>
      </c>
      <c r="N765" s="9" t="n">
        <f aca="false">IF(ABS(E765)&gt;Parameters!$B$23,1,0)</f>
        <v>0</v>
      </c>
      <c r="O765" s="9" t="n">
        <f aca="false">IF(WEEKDAY(F765,2)&gt;5,1,0)</f>
        <v>0</v>
      </c>
      <c r="P765" s="9" t="n">
        <f aca="false">IF(K765&gt;Parameters!$B$17,1,0)</f>
        <v>0</v>
      </c>
      <c r="Q765" s="9" t="n">
        <f aca="false">IF(AND(F765&lt;=Parameters!$B$6,F765&gt;Parameters!$B$6-Parameters!$B$18),1,0)</f>
        <v>0</v>
      </c>
      <c r="R765" s="9" t="n">
        <f aca="false">IF(COUNTIF(Parameters!$A$51:$A$58,H765)=0,1,0)</f>
        <v>0</v>
      </c>
      <c r="S765" s="9" t="n">
        <f aca="false">IF(AND(I765="Manual",L765&gt;0),1,0)</f>
        <v>0</v>
      </c>
      <c r="T765" s="9" t="n">
        <f aca="false">IF(AND(C765&gt;=Parameters!$B$22,ROUND(MOD(ROUND(C765,2),Parameters!$B$21),2)=0),1,0)</f>
        <v>0</v>
      </c>
      <c r="U765" s="9" t="n">
        <f aca="false">IF(LEN(TRIM(J765))=0,1,0)</f>
        <v>0</v>
      </c>
      <c r="V765" s="9" t="n">
        <f aca="false">IF(AND(I765="Manual",C765&lt;Parameters!$B$19,C765&gt;=Parameters!$B$19*(1-Parameters!$B$20)),1,0)</f>
        <v>0</v>
      </c>
      <c r="W765" s="9" t="n">
        <f aca="false">IF(AND(I765="Manual",M765&gt;0),1,0)</f>
        <v>0</v>
      </c>
      <c r="X765" s="9" t="n">
        <f aca="false">IF(A765-A764&gt;1,1,0)</f>
        <v>0</v>
      </c>
      <c r="Y765" s="9" t="n">
        <f aca="false">N765*Parameters!$B$38+O765*Parameters!$B$39+P765*Parameters!$B$40+Q765*Parameters!$B$41+R765*Parameters!$B$42+S765*Parameters!$B$43+T765*Parameters!$B$44+U765*Parameters!$B$45+V765*Parameters!$B$46+W765*Parameters!$B$47+X765*Parameters!$B$48</f>
        <v>0</v>
      </c>
      <c r="Z765" s="0" t="str">
        <f aca="false">IF(Y765&gt;=Parameters!$B$25,"High","")</f>
        <v/>
      </c>
    </row>
    <row r="766" customFormat="false" ht="15" hidden="false" customHeight="false" outlineLevel="0" collapsed="false">
      <c r="A766" s="16" t="n">
        <v>1773</v>
      </c>
      <c r="B766" s="9" t="n">
        <f aca="false">COUNTIF(JE_Lines!$B$5:$B$1733,A766)</f>
        <v>2</v>
      </c>
      <c r="C766" s="17" t="n">
        <f aca="false">SUMIFS(JE_Lines!$G$5:$G$1733,JE_Lines!$B$5:$B$1733,A766)</f>
        <v>1973.29</v>
      </c>
      <c r="D766" s="17" t="n">
        <f aca="false">SUMIFS(JE_Lines!$H$5:$H$1733,JE_Lines!$B$5:$B$1733,A766)</f>
        <v>1973.29</v>
      </c>
      <c r="E766" s="17" t="n">
        <f aca="false">C766-D766</f>
        <v>0</v>
      </c>
      <c r="F766" s="18" t="n">
        <f aca="false">INDEX(JE_Lines!$C$5:$C$1733,MATCH(A766,JE_Lines!$B$5:$B$1733,0))</f>
        <v>46015</v>
      </c>
      <c r="G766" s="18" t="n">
        <f aca="false">INDEX(JE_Lines!$D$5:$D$1733,MATCH(A766,JE_Lines!$B$5:$B$1733,0))</f>
        <v>46014</v>
      </c>
      <c r="H766" s="0" t="str">
        <f aca="false">INDEX(JE_Lines!$I$5:$I$1733,MATCH(A766,JE_Lines!$B$5:$B$1733,0))</f>
        <v>SYS_PAY</v>
      </c>
      <c r="I766" s="0" t="str">
        <f aca="false">INDEX(JE_Lines!$J$5:$J$1733,MATCH(A766,JE_Lines!$B$5:$B$1733,0))</f>
        <v>System</v>
      </c>
      <c r="J766" s="0" t="str">
        <f aca="false">IF(LEN(INDEX(JE_Lines!$K$5:$K$1733,MATCH(A766,JE_Lines!$B$5:$B$1733,0)))=0,"",INDEX(JE_Lines!$K$5:$K$1733,MATCH(A766,JE_Lines!$B$5:$B$1733,0)))</f>
        <v>Supplier payments</v>
      </c>
      <c r="K766" s="9" t="n">
        <f aca="false">F766-G766</f>
        <v>1</v>
      </c>
      <c r="L766" s="9" t="n">
        <f aca="false">COUNTIFS(JE_Lines!$B$5:$B$1733,A766,JE_Lines!$F$5:$F$1733,"Revenue")</f>
        <v>0</v>
      </c>
      <c r="M766" s="9" t="n">
        <f aca="false">COUNTIFS(JE_Lines!$B$5:$B$1733,A766,JE_Lines!$F$5:$F$1733,"Suspense")</f>
        <v>0</v>
      </c>
      <c r="N766" s="9" t="n">
        <f aca="false">IF(ABS(E766)&gt;Parameters!$B$23,1,0)</f>
        <v>0</v>
      </c>
      <c r="O766" s="9" t="n">
        <f aca="false">IF(WEEKDAY(F766,2)&gt;5,1,0)</f>
        <v>0</v>
      </c>
      <c r="P766" s="9" t="n">
        <f aca="false">IF(K766&gt;Parameters!$B$17,1,0)</f>
        <v>0</v>
      </c>
      <c r="Q766" s="9" t="n">
        <f aca="false">IF(AND(F766&lt;=Parameters!$B$6,F766&gt;Parameters!$B$6-Parameters!$B$18),1,0)</f>
        <v>0</v>
      </c>
      <c r="R766" s="9" t="n">
        <f aca="false">IF(COUNTIF(Parameters!$A$51:$A$58,H766)=0,1,0)</f>
        <v>0</v>
      </c>
      <c r="S766" s="9" t="n">
        <f aca="false">IF(AND(I766="Manual",L766&gt;0),1,0)</f>
        <v>0</v>
      </c>
      <c r="T766" s="9" t="n">
        <f aca="false">IF(AND(C766&gt;=Parameters!$B$22,ROUND(MOD(ROUND(C766,2),Parameters!$B$21),2)=0),1,0)</f>
        <v>0</v>
      </c>
      <c r="U766" s="9" t="n">
        <f aca="false">IF(LEN(TRIM(J766))=0,1,0)</f>
        <v>0</v>
      </c>
      <c r="V766" s="9" t="n">
        <f aca="false">IF(AND(I766="Manual",C766&lt;Parameters!$B$19,C766&gt;=Parameters!$B$19*(1-Parameters!$B$20)),1,0)</f>
        <v>0</v>
      </c>
      <c r="W766" s="9" t="n">
        <f aca="false">IF(AND(I766="Manual",M766&gt;0),1,0)</f>
        <v>0</v>
      </c>
      <c r="X766" s="9" t="n">
        <f aca="false">IF(A766-A765&gt;1,1,0)</f>
        <v>0</v>
      </c>
      <c r="Y766" s="9" t="n">
        <f aca="false">N766*Parameters!$B$38+O766*Parameters!$B$39+P766*Parameters!$B$40+Q766*Parameters!$B$41+R766*Parameters!$B$42+S766*Parameters!$B$43+T766*Parameters!$B$44+U766*Parameters!$B$45+V766*Parameters!$B$46+W766*Parameters!$B$47+X766*Parameters!$B$48</f>
        <v>0</v>
      </c>
      <c r="Z766" s="0" t="str">
        <f aca="false">IF(Y766&gt;=Parameters!$B$25,"High","")</f>
        <v/>
      </c>
    </row>
    <row r="767" customFormat="false" ht="15" hidden="false" customHeight="false" outlineLevel="0" collapsed="false">
      <c r="A767" s="16" t="n">
        <v>1774</v>
      </c>
      <c r="B767" s="9" t="n">
        <f aca="false">COUNTIF(JE_Lines!$B$5:$B$1733,A767)</f>
        <v>2</v>
      </c>
      <c r="C767" s="17" t="n">
        <f aca="false">SUMIFS(JE_Lines!$G$5:$G$1733,JE_Lines!$B$5:$B$1733,A767)</f>
        <v>10917.35</v>
      </c>
      <c r="D767" s="17" t="n">
        <f aca="false">SUMIFS(JE_Lines!$H$5:$H$1733,JE_Lines!$B$5:$B$1733,A767)</f>
        <v>10917.35</v>
      </c>
      <c r="E767" s="17" t="n">
        <f aca="false">C767-D767</f>
        <v>0</v>
      </c>
      <c r="F767" s="18" t="n">
        <f aca="false">INDEX(JE_Lines!$C$5:$C$1733,MATCH(A767,JE_Lines!$B$5:$B$1733,0))</f>
        <v>46016</v>
      </c>
      <c r="G767" s="18" t="n">
        <f aca="false">INDEX(JE_Lines!$D$5:$D$1733,MATCH(A767,JE_Lines!$B$5:$B$1733,0))</f>
        <v>46016</v>
      </c>
      <c r="H767" s="0" t="str">
        <f aca="false">INDEX(JE_Lines!$I$5:$I$1733,MATCH(A767,JE_Lines!$B$5:$B$1733,0))</f>
        <v>SYS_PAY</v>
      </c>
      <c r="I767" s="0" t="str">
        <f aca="false">INDEX(JE_Lines!$J$5:$J$1733,MATCH(A767,JE_Lines!$B$5:$B$1733,0))</f>
        <v>System</v>
      </c>
      <c r="J767" s="0" t="str">
        <f aca="false">IF(LEN(INDEX(JE_Lines!$K$5:$K$1733,MATCH(A767,JE_Lines!$B$5:$B$1733,0)))=0,"",INDEX(JE_Lines!$K$5:$K$1733,MATCH(A767,JE_Lines!$B$5:$B$1733,0)))</f>
        <v>Supplier payments</v>
      </c>
      <c r="K767" s="9" t="n">
        <f aca="false">F767-G767</f>
        <v>0</v>
      </c>
      <c r="L767" s="9" t="n">
        <f aca="false">COUNTIFS(JE_Lines!$B$5:$B$1733,A767,JE_Lines!$F$5:$F$1733,"Revenue")</f>
        <v>0</v>
      </c>
      <c r="M767" s="9" t="n">
        <f aca="false">COUNTIFS(JE_Lines!$B$5:$B$1733,A767,JE_Lines!$F$5:$F$1733,"Suspense")</f>
        <v>0</v>
      </c>
      <c r="N767" s="9" t="n">
        <f aca="false">IF(ABS(E767)&gt;Parameters!$B$23,1,0)</f>
        <v>0</v>
      </c>
      <c r="O767" s="9" t="n">
        <f aca="false">IF(WEEKDAY(F767,2)&gt;5,1,0)</f>
        <v>0</v>
      </c>
      <c r="P767" s="9" t="n">
        <f aca="false">IF(K767&gt;Parameters!$B$17,1,0)</f>
        <v>0</v>
      </c>
      <c r="Q767" s="9" t="n">
        <f aca="false">IF(AND(F767&lt;=Parameters!$B$6,F767&gt;Parameters!$B$6-Parameters!$B$18),1,0)</f>
        <v>0</v>
      </c>
      <c r="R767" s="9" t="n">
        <f aca="false">IF(COUNTIF(Parameters!$A$51:$A$58,H767)=0,1,0)</f>
        <v>0</v>
      </c>
      <c r="S767" s="9" t="n">
        <f aca="false">IF(AND(I767="Manual",L767&gt;0),1,0)</f>
        <v>0</v>
      </c>
      <c r="T767" s="9" t="n">
        <f aca="false">IF(AND(C767&gt;=Parameters!$B$22,ROUND(MOD(ROUND(C767,2),Parameters!$B$21),2)=0),1,0)</f>
        <v>0</v>
      </c>
      <c r="U767" s="9" t="n">
        <f aca="false">IF(LEN(TRIM(J767))=0,1,0)</f>
        <v>0</v>
      </c>
      <c r="V767" s="9" t="n">
        <f aca="false">IF(AND(I767="Manual",C767&lt;Parameters!$B$19,C767&gt;=Parameters!$B$19*(1-Parameters!$B$20)),1,0)</f>
        <v>0</v>
      </c>
      <c r="W767" s="9" t="n">
        <f aca="false">IF(AND(I767="Manual",M767&gt;0),1,0)</f>
        <v>0</v>
      </c>
      <c r="X767" s="9" t="n">
        <f aca="false">IF(A767-A766&gt;1,1,0)</f>
        <v>0</v>
      </c>
      <c r="Y767" s="9" t="n">
        <f aca="false">N767*Parameters!$B$38+O767*Parameters!$B$39+P767*Parameters!$B$40+Q767*Parameters!$B$41+R767*Parameters!$B$42+S767*Parameters!$B$43+T767*Parameters!$B$44+U767*Parameters!$B$45+V767*Parameters!$B$46+W767*Parameters!$B$47+X767*Parameters!$B$48</f>
        <v>0</v>
      </c>
      <c r="Z767" s="0" t="str">
        <f aca="false">IF(Y767&gt;=Parameters!$B$25,"High","")</f>
        <v/>
      </c>
    </row>
    <row r="768" customFormat="false" ht="15" hidden="false" customHeight="false" outlineLevel="0" collapsed="false">
      <c r="A768" s="16" t="n">
        <v>1775</v>
      </c>
      <c r="B768" s="9" t="n">
        <f aca="false">COUNTIF(JE_Lines!$B$5:$B$1733,A768)</f>
        <v>2</v>
      </c>
      <c r="C768" s="17" t="n">
        <f aca="false">SUMIFS(JE_Lines!$G$5:$G$1733,JE_Lines!$B$5:$B$1733,A768)</f>
        <v>241000</v>
      </c>
      <c r="D768" s="17" t="n">
        <f aca="false">SUMIFS(JE_Lines!$H$5:$H$1733,JE_Lines!$B$5:$B$1733,A768)</f>
        <v>241000</v>
      </c>
      <c r="E768" s="17" t="n">
        <f aca="false">C768-D768</f>
        <v>0</v>
      </c>
      <c r="F768" s="18" t="n">
        <f aca="false">INDEX(JE_Lines!$C$5:$C$1733,MATCH(A768,JE_Lines!$B$5:$B$1733,0))</f>
        <v>46016</v>
      </c>
      <c r="G768" s="18" t="n">
        <f aca="false">INDEX(JE_Lines!$D$5:$D$1733,MATCH(A768,JE_Lines!$B$5:$B$1733,0))</f>
        <v>46016</v>
      </c>
      <c r="H768" s="0" t="str">
        <f aca="false">INDEX(JE_Lines!$I$5:$I$1733,MATCH(A768,JE_Lines!$B$5:$B$1733,0))</f>
        <v>SYS_PAY</v>
      </c>
      <c r="I768" s="0" t="str">
        <f aca="false">INDEX(JE_Lines!$J$5:$J$1733,MATCH(A768,JE_Lines!$B$5:$B$1733,0))</f>
        <v>System</v>
      </c>
      <c r="J768" s="0" t="str">
        <f aca="false">IF(LEN(INDEX(JE_Lines!$K$5:$K$1733,MATCH(A768,JE_Lines!$B$5:$B$1733,0)))=0,"",INDEX(JE_Lines!$K$5:$K$1733,MATCH(A768,JE_Lines!$B$5:$B$1733,0)))</f>
        <v>Monthly payroll</v>
      </c>
      <c r="K768" s="9" t="n">
        <f aca="false">F768-G768</f>
        <v>0</v>
      </c>
      <c r="L768" s="9" t="n">
        <f aca="false">COUNTIFS(JE_Lines!$B$5:$B$1733,A768,JE_Lines!$F$5:$F$1733,"Revenue")</f>
        <v>0</v>
      </c>
      <c r="M768" s="9" t="n">
        <f aca="false">COUNTIFS(JE_Lines!$B$5:$B$1733,A768,JE_Lines!$F$5:$F$1733,"Suspense")</f>
        <v>0</v>
      </c>
      <c r="N768" s="9" t="n">
        <f aca="false">IF(ABS(E768)&gt;Parameters!$B$23,1,0)</f>
        <v>0</v>
      </c>
      <c r="O768" s="9" t="n">
        <f aca="false">IF(WEEKDAY(F768,2)&gt;5,1,0)</f>
        <v>0</v>
      </c>
      <c r="P768" s="9" t="n">
        <f aca="false">IF(K768&gt;Parameters!$B$17,1,0)</f>
        <v>0</v>
      </c>
      <c r="Q768" s="9" t="n">
        <f aca="false">IF(AND(F768&lt;=Parameters!$B$6,F768&gt;Parameters!$B$6-Parameters!$B$18),1,0)</f>
        <v>0</v>
      </c>
      <c r="R768" s="9" t="n">
        <f aca="false">IF(COUNTIF(Parameters!$A$51:$A$58,H768)=0,1,0)</f>
        <v>0</v>
      </c>
      <c r="S768" s="9" t="n">
        <f aca="false">IF(AND(I768="Manual",L768&gt;0),1,0)</f>
        <v>0</v>
      </c>
      <c r="T768" s="9" t="n">
        <f aca="false">IF(AND(C768&gt;=Parameters!$B$22,ROUND(MOD(ROUND(C768,2),Parameters!$B$21),2)=0),1,0)</f>
        <v>1</v>
      </c>
      <c r="U768" s="9" t="n">
        <f aca="false">IF(LEN(TRIM(J768))=0,1,0)</f>
        <v>0</v>
      </c>
      <c r="V768" s="9" t="n">
        <f aca="false">IF(AND(I768="Manual",C768&lt;Parameters!$B$19,C768&gt;=Parameters!$B$19*(1-Parameters!$B$20)),1,0)</f>
        <v>0</v>
      </c>
      <c r="W768" s="9" t="n">
        <f aca="false">IF(AND(I768="Manual",M768&gt;0),1,0)</f>
        <v>0</v>
      </c>
      <c r="X768" s="9" t="n">
        <f aca="false">IF(A768-A767&gt;1,1,0)</f>
        <v>0</v>
      </c>
      <c r="Y768" s="9" t="n">
        <f aca="false">N768*Parameters!$B$38+O768*Parameters!$B$39+P768*Parameters!$B$40+Q768*Parameters!$B$41+R768*Parameters!$B$42+S768*Parameters!$B$43+T768*Parameters!$B$44+U768*Parameters!$B$45+V768*Parameters!$B$46+W768*Parameters!$B$47+X768*Parameters!$B$48</f>
        <v>2</v>
      </c>
      <c r="Z768" s="0" t="str">
        <f aca="false">IF(Y768&gt;=Parameters!$B$25,"High","")</f>
        <v/>
      </c>
    </row>
    <row r="769" customFormat="false" ht="15" hidden="false" customHeight="false" outlineLevel="0" collapsed="false">
      <c r="A769" s="16" t="n">
        <v>1776</v>
      </c>
      <c r="B769" s="9" t="n">
        <f aca="false">COUNTIF(JE_Lines!$B$5:$B$1733,A769)</f>
        <v>2</v>
      </c>
      <c r="C769" s="17" t="n">
        <f aca="false">SUMIFS(JE_Lines!$G$5:$G$1733,JE_Lines!$B$5:$B$1733,A769)</f>
        <v>23856.53</v>
      </c>
      <c r="D769" s="17" t="n">
        <f aca="false">SUMIFS(JE_Lines!$H$5:$H$1733,JE_Lines!$B$5:$B$1733,A769)</f>
        <v>23856.53</v>
      </c>
      <c r="E769" s="17" t="n">
        <f aca="false">C769-D769</f>
        <v>0</v>
      </c>
      <c r="F769" s="18" t="n">
        <f aca="false">INDEX(JE_Lines!$C$5:$C$1733,MATCH(A769,JE_Lines!$B$5:$B$1733,0))</f>
        <v>46016</v>
      </c>
      <c r="G769" s="18" t="n">
        <f aca="false">INDEX(JE_Lines!$D$5:$D$1733,MATCH(A769,JE_Lines!$B$5:$B$1733,0))</f>
        <v>46016</v>
      </c>
      <c r="H769" s="0" t="str">
        <f aca="false">INDEX(JE_Lines!$I$5:$I$1733,MATCH(A769,JE_Lines!$B$5:$B$1733,0))</f>
        <v>FIN05</v>
      </c>
      <c r="I769" s="0" t="str">
        <f aca="false">INDEX(JE_Lines!$J$5:$J$1733,MATCH(A769,JE_Lines!$B$5:$B$1733,0))</f>
        <v>Manual</v>
      </c>
      <c r="J769" s="0" t="str">
        <f aca="false">IF(LEN(INDEX(JE_Lines!$K$5:$K$1733,MATCH(A769,JE_Lines!$B$5:$B$1733,0)))=0,"",INDEX(JE_Lines!$K$5:$K$1733,MATCH(A769,JE_Lines!$B$5:$B$1733,0)))</f>
        <v>Accrual for sundry costs</v>
      </c>
      <c r="K769" s="9" t="n">
        <f aca="false">F769-G769</f>
        <v>0</v>
      </c>
      <c r="L769" s="9" t="n">
        <f aca="false">COUNTIFS(JE_Lines!$B$5:$B$1733,A769,JE_Lines!$F$5:$F$1733,"Revenue")</f>
        <v>0</v>
      </c>
      <c r="M769" s="9" t="n">
        <f aca="false">COUNTIFS(JE_Lines!$B$5:$B$1733,A769,JE_Lines!$F$5:$F$1733,"Suspense")</f>
        <v>0</v>
      </c>
      <c r="N769" s="9" t="n">
        <f aca="false">IF(ABS(E769)&gt;Parameters!$B$23,1,0)</f>
        <v>0</v>
      </c>
      <c r="O769" s="9" t="n">
        <f aca="false">IF(WEEKDAY(F769,2)&gt;5,1,0)</f>
        <v>0</v>
      </c>
      <c r="P769" s="9" t="n">
        <f aca="false">IF(K769&gt;Parameters!$B$17,1,0)</f>
        <v>0</v>
      </c>
      <c r="Q769" s="9" t="n">
        <f aca="false">IF(AND(F769&lt;=Parameters!$B$6,F769&gt;Parameters!$B$6-Parameters!$B$18),1,0)</f>
        <v>0</v>
      </c>
      <c r="R769" s="9" t="n">
        <f aca="false">IF(COUNTIF(Parameters!$A$51:$A$58,H769)=0,1,0)</f>
        <v>0</v>
      </c>
      <c r="S769" s="9" t="n">
        <f aca="false">IF(AND(I769="Manual",L769&gt;0),1,0)</f>
        <v>0</v>
      </c>
      <c r="T769" s="9" t="n">
        <f aca="false">IF(AND(C769&gt;=Parameters!$B$22,ROUND(MOD(ROUND(C769,2),Parameters!$B$21),2)=0),1,0)</f>
        <v>0</v>
      </c>
      <c r="U769" s="9" t="n">
        <f aca="false">IF(LEN(TRIM(J769))=0,1,0)</f>
        <v>0</v>
      </c>
      <c r="V769" s="9" t="n">
        <f aca="false">IF(AND(I769="Manual",C769&lt;Parameters!$B$19,C769&gt;=Parameters!$B$19*(1-Parameters!$B$20)),1,0)</f>
        <v>0</v>
      </c>
      <c r="W769" s="9" t="n">
        <f aca="false">IF(AND(I769="Manual",M769&gt;0),1,0)</f>
        <v>0</v>
      </c>
      <c r="X769" s="9" t="n">
        <f aca="false">IF(A769-A768&gt;1,1,0)</f>
        <v>0</v>
      </c>
      <c r="Y769" s="9" t="n">
        <f aca="false">N769*Parameters!$B$38+O769*Parameters!$B$39+P769*Parameters!$B$40+Q769*Parameters!$B$41+R769*Parameters!$B$42+S769*Parameters!$B$43+T769*Parameters!$B$44+U769*Parameters!$B$45+V769*Parameters!$B$46+W769*Parameters!$B$47+X769*Parameters!$B$48</f>
        <v>0</v>
      </c>
      <c r="Z769" s="0" t="str">
        <f aca="false">IF(Y769&gt;=Parameters!$B$25,"High","")</f>
        <v/>
      </c>
    </row>
    <row r="770" customFormat="false" ht="15" hidden="false" customHeight="false" outlineLevel="0" collapsed="false">
      <c r="A770" s="16" t="n">
        <v>1777</v>
      </c>
      <c r="B770" s="9" t="n">
        <f aca="false">COUNTIF(JE_Lines!$B$5:$B$1733,A770)</f>
        <v>2</v>
      </c>
      <c r="C770" s="17" t="n">
        <f aca="false">SUMIFS(JE_Lines!$G$5:$G$1733,JE_Lines!$B$5:$B$1733,A770)</f>
        <v>68688.93</v>
      </c>
      <c r="D770" s="17" t="n">
        <f aca="false">SUMIFS(JE_Lines!$H$5:$H$1733,JE_Lines!$B$5:$B$1733,A770)</f>
        <v>68688.93</v>
      </c>
      <c r="E770" s="17" t="n">
        <f aca="false">C770-D770</f>
        <v>0</v>
      </c>
      <c r="F770" s="18" t="n">
        <f aca="false">INDEX(JE_Lines!$C$5:$C$1733,MATCH(A770,JE_Lines!$B$5:$B$1733,0))</f>
        <v>46016</v>
      </c>
      <c r="G770" s="18" t="n">
        <f aca="false">INDEX(JE_Lines!$D$5:$D$1733,MATCH(A770,JE_Lines!$B$5:$B$1733,0))</f>
        <v>46016</v>
      </c>
      <c r="H770" s="0" t="str">
        <f aca="false">INDEX(JE_Lines!$I$5:$I$1733,MATCH(A770,JE_Lines!$B$5:$B$1733,0))</f>
        <v>SYS_AR</v>
      </c>
      <c r="I770" s="0" t="str">
        <f aca="false">INDEX(JE_Lines!$J$5:$J$1733,MATCH(A770,JE_Lines!$B$5:$B$1733,0))</f>
        <v>System</v>
      </c>
      <c r="J770" s="0" t="str">
        <f aca="false">IF(LEN(INDEX(JE_Lines!$K$5:$K$1733,MATCH(A770,JE_Lines!$B$5:$B$1733,0)))=0,"",INDEX(JE_Lines!$K$5:$K$1733,MATCH(A770,JE_Lines!$B$5:$B$1733,0)))</f>
        <v>Sales invoice batch</v>
      </c>
      <c r="K770" s="9" t="n">
        <f aca="false">F770-G770</f>
        <v>0</v>
      </c>
      <c r="L770" s="9" t="n">
        <f aca="false">COUNTIFS(JE_Lines!$B$5:$B$1733,A770,JE_Lines!$F$5:$F$1733,"Revenue")</f>
        <v>1</v>
      </c>
      <c r="M770" s="9" t="n">
        <f aca="false">COUNTIFS(JE_Lines!$B$5:$B$1733,A770,JE_Lines!$F$5:$F$1733,"Suspense")</f>
        <v>0</v>
      </c>
      <c r="N770" s="9" t="n">
        <f aca="false">IF(ABS(E770)&gt;Parameters!$B$23,1,0)</f>
        <v>0</v>
      </c>
      <c r="O770" s="9" t="n">
        <f aca="false">IF(WEEKDAY(F770,2)&gt;5,1,0)</f>
        <v>0</v>
      </c>
      <c r="P770" s="9" t="n">
        <f aca="false">IF(K770&gt;Parameters!$B$17,1,0)</f>
        <v>0</v>
      </c>
      <c r="Q770" s="9" t="n">
        <f aca="false">IF(AND(F770&lt;=Parameters!$B$6,F770&gt;Parameters!$B$6-Parameters!$B$18),1,0)</f>
        <v>0</v>
      </c>
      <c r="R770" s="9" t="n">
        <f aca="false">IF(COUNTIF(Parameters!$A$51:$A$58,H770)=0,1,0)</f>
        <v>0</v>
      </c>
      <c r="S770" s="9" t="n">
        <f aca="false">IF(AND(I770="Manual",L770&gt;0),1,0)</f>
        <v>0</v>
      </c>
      <c r="T770" s="9" t="n">
        <f aca="false">IF(AND(C770&gt;=Parameters!$B$22,ROUND(MOD(ROUND(C770,2),Parameters!$B$21),2)=0),1,0)</f>
        <v>0</v>
      </c>
      <c r="U770" s="9" t="n">
        <f aca="false">IF(LEN(TRIM(J770))=0,1,0)</f>
        <v>0</v>
      </c>
      <c r="V770" s="9" t="n">
        <f aca="false">IF(AND(I770="Manual",C770&lt;Parameters!$B$19,C770&gt;=Parameters!$B$19*(1-Parameters!$B$20)),1,0)</f>
        <v>0</v>
      </c>
      <c r="W770" s="9" t="n">
        <f aca="false">IF(AND(I770="Manual",M770&gt;0),1,0)</f>
        <v>0</v>
      </c>
      <c r="X770" s="9" t="n">
        <f aca="false">IF(A770-A769&gt;1,1,0)</f>
        <v>0</v>
      </c>
      <c r="Y770" s="9" t="n">
        <f aca="false">N770*Parameters!$B$38+O770*Parameters!$B$39+P770*Parameters!$B$40+Q770*Parameters!$B$41+R770*Parameters!$B$42+S770*Parameters!$B$43+T770*Parameters!$B$44+U770*Parameters!$B$45+V770*Parameters!$B$46+W770*Parameters!$B$47+X770*Parameters!$B$48</f>
        <v>0</v>
      </c>
      <c r="Z770" s="0" t="str">
        <f aca="false">IF(Y770&gt;=Parameters!$B$25,"High","")</f>
        <v/>
      </c>
    </row>
    <row r="771" customFormat="false" ht="15" hidden="false" customHeight="false" outlineLevel="0" collapsed="false">
      <c r="A771" s="16" t="n">
        <v>1778</v>
      </c>
      <c r="B771" s="9" t="n">
        <f aca="false">COUNTIF(JE_Lines!$B$5:$B$1733,A771)</f>
        <v>2</v>
      </c>
      <c r="C771" s="17" t="n">
        <f aca="false">SUMIFS(JE_Lines!$G$5:$G$1733,JE_Lines!$B$5:$B$1733,A771)</f>
        <v>1238.6</v>
      </c>
      <c r="D771" s="17" t="n">
        <f aca="false">SUMIFS(JE_Lines!$H$5:$H$1733,JE_Lines!$B$5:$B$1733,A771)</f>
        <v>1238.6</v>
      </c>
      <c r="E771" s="17" t="n">
        <f aca="false">C771-D771</f>
        <v>0</v>
      </c>
      <c r="F771" s="18" t="n">
        <f aca="false">INDEX(JE_Lines!$C$5:$C$1733,MATCH(A771,JE_Lines!$B$5:$B$1733,0))</f>
        <v>46016</v>
      </c>
      <c r="G771" s="18" t="n">
        <f aca="false">INDEX(JE_Lines!$D$5:$D$1733,MATCH(A771,JE_Lines!$B$5:$B$1733,0))</f>
        <v>46012</v>
      </c>
      <c r="H771" s="0" t="str">
        <f aca="false">INDEX(JE_Lines!$I$5:$I$1733,MATCH(A771,JE_Lines!$B$5:$B$1733,0))</f>
        <v>SYS_PAY</v>
      </c>
      <c r="I771" s="0" t="str">
        <f aca="false">INDEX(JE_Lines!$J$5:$J$1733,MATCH(A771,JE_Lines!$B$5:$B$1733,0))</f>
        <v>System</v>
      </c>
      <c r="J771" s="0" t="str">
        <f aca="false">IF(LEN(INDEX(JE_Lines!$K$5:$K$1733,MATCH(A771,JE_Lines!$B$5:$B$1733,0)))=0,"",INDEX(JE_Lines!$K$5:$K$1733,MATCH(A771,JE_Lines!$B$5:$B$1733,0)))</f>
        <v>Supplier payments</v>
      </c>
      <c r="K771" s="9" t="n">
        <f aca="false">F771-G771</f>
        <v>4</v>
      </c>
      <c r="L771" s="9" t="n">
        <f aca="false">COUNTIFS(JE_Lines!$B$5:$B$1733,A771,JE_Lines!$F$5:$F$1733,"Revenue")</f>
        <v>0</v>
      </c>
      <c r="M771" s="9" t="n">
        <f aca="false">COUNTIFS(JE_Lines!$B$5:$B$1733,A771,JE_Lines!$F$5:$F$1733,"Suspense")</f>
        <v>0</v>
      </c>
      <c r="N771" s="9" t="n">
        <f aca="false">IF(ABS(E771)&gt;Parameters!$B$23,1,0)</f>
        <v>0</v>
      </c>
      <c r="O771" s="9" t="n">
        <f aca="false">IF(WEEKDAY(F771,2)&gt;5,1,0)</f>
        <v>0</v>
      </c>
      <c r="P771" s="9" t="n">
        <f aca="false">IF(K771&gt;Parameters!$B$17,1,0)</f>
        <v>0</v>
      </c>
      <c r="Q771" s="9" t="n">
        <f aca="false">IF(AND(F771&lt;=Parameters!$B$6,F771&gt;Parameters!$B$6-Parameters!$B$18),1,0)</f>
        <v>0</v>
      </c>
      <c r="R771" s="9" t="n">
        <f aca="false">IF(COUNTIF(Parameters!$A$51:$A$58,H771)=0,1,0)</f>
        <v>0</v>
      </c>
      <c r="S771" s="9" t="n">
        <f aca="false">IF(AND(I771="Manual",L771&gt;0),1,0)</f>
        <v>0</v>
      </c>
      <c r="T771" s="9" t="n">
        <f aca="false">IF(AND(C771&gt;=Parameters!$B$22,ROUND(MOD(ROUND(C771,2),Parameters!$B$21),2)=0),1,0)</f>
        <v>0</v>
      </c>
      <c r="U771" s="9" t="n">
        <f aca="false">IF(LEN(TRIM(J771))=0,1,0)</f>
        <v>0</v>
      </c>
      <c r="V771" s="9" t="n">
        <f aca="false">IF(AND(I771="Manual",C771&lt;Parameters!$B$19,C771&gt;=Parameters!$B$19*(1-Parameters!$B$20)),1,0)</f>
        <v>0</v>
      </c>
      <c r="W771" s="9" t="n">
        <f aca="false">IF(AND(I771="Manual",M771&gt;0),1,0)</f>
        <v>0</v>
      </c>
      <c r="X771" s="9" t="n">
        <f aca="false">IF(A771-A770&gt;1,1,0)</f>
        <v>0</v>
      </c>
      <c r="Y771" s="9" t="n">
        <f aca="false">N771*Parameters!$B$38+O771*Parameters!$B$39+P771*Parameters!$B$40+Q771*Parameters!$B$41+R771*Parameters!$B$42+S771*Parameters!$B$43+T771*Parameters!$B$44+U771*Parameters!$B$45+V771*Parameters!$B$46+W771*Parameters!$B$47+X771*Parameters!$B$48</f>
        <v>0</v>
      </c>
      <c r="Z771" s="0" t="str">
        <f aca="false">IF(Y771&gt;=Parameters!$B$25,"High","")</f>
        <v/>
      </c>
    </row>
    <row r="772" customFormat="false" ht="15" hidden="false" customHeight="false" outlineLevel="0" collapsed="false">
      <c r="A772" s="16" t="n">
        <v>1779</v>
      </c>
      <c r="B772" s="9" t="n">
        <f aca="false">COUNTIF(JE_Lines!$B$5:$B$1733,A772)</f>
        <v>2</v>
      </c>
      <c r="C772" s="17" t="n">
        <f aca="false">SUMIFS(JE_Lines!$G$5:$G$1733,JE_Lines!$B$5:$B$1733,A772)</f>
        <v>536.91</v>
      </c>
      <c r="D772" s="17" t="n">
        <f aca="false">SUMIFS(JE_Lines!$H$5:$H$1733,JE_Lines!$B$5:$B$1733,A772)</f>
        <v>536.91</v>
      </c>
      <c r="E772" s="17" t="n">
        <f aca="false">C772-D772</f>
        <v>0</v>
      </c>
      <c r="F772" s="18" t="n">
        <f aca="false">INDEX(JE_Lines!$C$5:$C$1733,MATCH(A772,JE_Lines!$B$5:$B$1733,0))</f>
        <v>46017</v>
      </c>
      <c r="G772" s="18" t="n">
        <f aca="false">INDEX(JE_Lines!$D$5:$D$1733,MATCH(A772,JE_Lines!$B$5:$B$1733,0))</f>
        <v>46014</v>
      </c>
      <c r="H772" s="0" t="str">
        <f aca="false">INDEX(JE_Lines!$I$5:$I$1733,MATCH(A772,JE_Lines!$B$5:$B$1733,0))</f>
        <v>SYS_PAY</v>
      </c>
      <c r="I772" s="0" t="str">
        <f aca="false">INDEX(JE_Lines!$J$5:$J$1733,MATCH(A772,JE_Lines!$B$5:$B$1733,0))</f>
        <v>System</v>
      </c>
      <c r="J772" s="0" t="str">
        <f aca="false">IF(LEN(INDEX(JE_Lines!$K$5:$K$1733,MATCH(A772,JE_Lines!$B$5:$B$1733,0)))=0,"",INDEX(JE_Lines!$K$5:$K$1733,MATCH(A772,JE_Lines!$B$5:$B$1733,0)))</f>
        <v>Supplier payments</v>
      </c>
      <c r="K772" s="9" t="n">
        <f aca="false">F772-G772</f>
        <v>3</v>
      </c>
      <c r="L772" s="9" t="n">
        <f aca="false">COUNTIFS(JE_Lines!$B$5:$B$1733,A772,JE_Lines!$F$5:$F$1733,"Revenue")</f>
        <v>0</v>
      </c>
      <c r="M772" s="9" t="n">
        <f aca="false">COUNTIFS(JE_Lines!$B$5:$B$1733,A772,JE_Lines!$F$5:$F$1733,"Suspense")</f>
        <v>0</v>
      </c>
      <c r="N772" s="9" t="n">
        <f aca="false">IF(ABS(E772)&gt;Parameters!$B$23,1,0)</f>
        <v>0</v>
      </c>
      <c r="O772" s="9" t="n">
        <f aca="false">IF(WEEKDAY(F772,2)&gt;5,1,0)</f>
        <v>0</v>
      </c>
      <c r="P772" s="9" t="n">
        <f aca="false">IF(K772&gt;Parameters!$B$17,1,0)</f>
        <v>0</v>
      </c>
      <c r="Q772" s="9" t="n">
        <f aca="false">IF(AND(F772&lt;=Parameters!$B$6,F772&gt;Parameters!$B$6-Parameters!$B$18),1,0)</f>
        <v>0</v>
      </c>
      <c r="R772" s="9" t="n">
        <f aca="false">IF(COUNTIF(Parameters!$A$51:$A$58,H772)=0,1,0)</f>
        <v>0</v>
      </c>
      <c r="S772" s="9" t="n">
        <f aca="false">IF(AND(I772="Manual",L772&gt;0),1,0)</f>
        <v>0</v>
      </c>
      <c r="T772" s="9" t="n">
        <f aca="false">IF(AND(C772&gt;=Parameters!$B$22,ROUND(MOD(ROUND(C772,2),Parameters!$B$21),2)=0),1,0)</f>
        <v>0</v>
      </c>
      <c r="U772" s="9" t="n">
        <f aca="false">IF(LEN(TRIM(J772))=0,1,0)</f>
        <v>0</v>
      </c>
      <c r="V772" s="9" t="n">
        <f aca="false">IF(AND(I772="Manual",C772&lt;Parameters!$B$19,C772&gt;=Parameters!$B$19*(1-Parameters!$B$20)),1,0)</f>
        <v>0</v>
      </c>
      <c r="W772" s="9" t="n">
        <f aca="false">IF(AND(I772="Manual",M772&gt;0),1,0)</f>
        <v>0</v>
      </c>
      <c r="X772" s="9" t="n">
        <f aca="false">IF(A772-A771&gt;1,1,0)</f>
        <v>0</v>
      </c>
      <c r="Y772" s="9" t="n">
        <f aca="false">N772*Parameters!$B$38+O772*Parameters!$B$39+P772*Parameters!$B$40+Q772*Parameters!$B$41+R772*Parameters!$B$42+S772*Parameters!$B$43+T772*Parameters!$B$44+U772*Parameters!$B$45+V772*Parameters!$B$46+W772*Parameters!$B$47+X772*Parameters!$B$48</f>
        <v>0</v>
      </c>
      <c r="Z772" s="0" t="str">
        <f aca="false">IF(Y772&gt;=Parameters!$B$25,"High","")</f>
        <v/>
      </c>
    </row>
    <row r="773" customFormat="false" ht="15" hidden="false" customHeight="false" outlineLevel="0" collapsed="false">
      <c r="A773" s="16" t="n">
        <v>1780</v>
      </c>
      <c r="B773" s="9" t="n">
        <f aca="false">COUNTIF(JE_Lines!$B$5:$B$1733,A773)</f>
        <v>2</v>
      </c>
      <c r="C773" s="17" t="n">
        <f aca="false">SUMIFS(JE_Lines!$G$5:$G$1733,JE_Lines!$B$5:$B$1733,A773)</f>
        <v>609.68</v>
      </c>
      <c r="D773" s="17" t="n">
        <f aca="false">SUMIFS(JE_Lines!$H$5:$H$1733,JE_Lines!$B$5:$B$1733,A773)</f>
        <v>609.68</v>
      </c>
      <c r="E773" s="17" t="n">
        <f aca="false">C773-D773</f>
        <v>0</v>
      </c>
      <c r="F773" s="18" t="n">
        <f aca="false">INDEX(JE_Lines!$C$5:$C$1733,MATCH(A773,JE_Lines!$B$5:$B$1733,0))</f>
        <v>46017</v>
      </c>
      <c r="G773" s="18" t="n">
        <f aca="false">INDEX(JE_Lines!$D$5:$D$1733,MATCH(A773,JE_Lines!$B$5:$B$1733,0))</f>
        <v>46014</v>
      </c>
      <c r="H773" s="0" t="str">
        <f aca="false">INDEX(JE_Lines!$I$5:$I$1733,MATCH(A773,JE_Lines!$B$5:$B$1733,0))</f>
        <v>SYS_PAY</v>
      </c>
      <c r="I773" s="0" t="str">
        <f aca="false">INDEX(JE_Lines!$J$5:$J$1733,MATCH(A773,JE_Lines!$B$5:$B$1733,0))</f>
        <v>System</v>
      </c>
      <c r="J773" s="0" t="str">
        <f aca="false">IF(LEN(INDEX(JE_Lines!$K$5:$K$1733,MATCH(A773,JE_Lines!$B$5:$B$1733,0)))=0,"",INDEX(JE_Lines!$K$5:$K$1733,MATCH(A773,JE_Lines!$B$5:$B$1733,0)))</f>
        <v>Supplier payments</v>
      </c>
      <c r="K773" s="9" t="n">
        <f aca="false">F773-G773</f>
        <v>3</v>
      </c>
      <c r="L773" s="9" t="n">
        <f aca="false">COUNTIFS(JE_Lines!$B$5:$B$1733,A773,JE_Lines!$F$5:$F$1733,"Revenue")</f>
        <v>0</v>
      </c>
      <c r="M773" s="9" t="n">
        <f aca="false">COUNTIFS(JE_Lines!$B$5:$B$1733,A773,JE_Lines!$F$5:$F$1733,"Suspense")</f>
        <v>0</v>
      </c>
      <c r="N773" s="9" t="n">
        <f aca="false">IF(ABS(E773)&gt;Parameters!$B$23,1,0)</f>
        <v>0</v>
      </c>
      <c r="O773" s="9" t="n">
        <f aca="false">IF(WEEKDAY(F773,2)&gt;5,1,0)</f>
        <v>0</v>
      </c>
      <c r="P773" s="9" t="n">
        <f aca="false">IF(K773&gt;Parameters!$B$17,1,0)</f>
        <v>0</v>
      </c>
      <c r="Q773" s="9" t="n">
        <f aca="false">IF(AND(F773&lt;=Parameters!$B$6,F773&gt;Parameters!$B$6-Parameters!$B$18),1,0)</f>
        <v>0</v>
      </c>
      <c r="R773" s="9" t="n">
        <f aca="false">IF(COUNTIF(Parameters!$A$51:$A$58,H773)=0,1,0)</f>
        <v>0</v>
      </c>
      <c r="S773" s="9" t="n">
        <f aca="false">IF(AND(I773="Manual",L773&gt;0),1,0)</f>
        <v>0</v>
      </c>
      <c r="T773" s="9" t="n">
        <f aca="false">IF(AND(C773&gt;=Parameters!$B$22,ROUND(MOD(ROUND(C773,2),Parameters!$B$21),2)=0),1,0)</f>
        <v>0</v>
      </c>
      <c r="U773" s="9" t="n">
        <f aca="false">IF(LEN(TRIM(J773))=0,1,0)</f>
        <v>0</v>
      </c>
      <c r="V773" s="9" t="n">
        <f aca="false">IF(AND(I773="Manual",C773&lt;Parameters!$B$19,C773&gt;=Parameters!$B$19*(1-Parameters!$B$20)),1,0)</f>
        <v>0</v>
      </c>
      <c r="W773" s="9" t="n">
        <f aca="false">IF(AND(I773="Manual",M773&gt;0),1,0)</f>
        <v>0</v>
      </c>
      <c r="X773" s="9" t="n">
        <f aca="false">IF(A773-A772&gt;1,1,0)</f>
        <v>0</v>
      </c>
      <c r="Y773" s="9" t="n">
        <f aca="false">N773*Parameters!$B$38+O773*Parameters!$B$39+P773*Parameters!$B$40+Q773*Parameters!$B$41+R773*Parameters!$B$42+S773*Parameters!$B$43+T773*Parameters!$B$44+U773*Parameters!$B$45+V773*Parameters!$B$46+W773*Parameters!$B$47+X773*Parameters!$B$48</f>
        <v>0</v>
      </c>
      <c r="Z773" s="0" t="str">
        <f aca="false">IF(Y773&gt;=Parameters!$B$25,"High","")</f>
        <v/>
      </c>
    </row>
    <row r="774" customFormat="false" ht="15" hidden="false" customHeight="false" outlineLevel="0" collapsed="false">
      <c r="A774" s="16" t="n">
        <v>1781</v>
      </c>
      <c r="B774" s="9" t="n">
        <f aca="false">COUNTIF(JE_Lines!$B$5:$B$1733,A774)</f>
        <v>2</v>
      </c>
      <c r="C774" s="17" t="n">
        <f aca="false">SUMIFS(JE_Lines!$G$5:$G$1733,JE_Lines!$B$5:$B$1733,A774)</f>
        <v>229.07</v>
      </c>
      <c r="D774" s="17" t="n">
        <f aca="false">SUMIFS(JE_Lines!$H$5:$H$1733,JE_Lines!$B$5:$B$1733,A774)</f>
        <v>229.07</v>
      </c>
      <c r="E774" s="17" t="n">
        <f aca="false">C774-D774</f>
        <v>0</v>
      </c>
      <c r="F774" s="18" t="n">
        <f aca="false">INDEX(JE_Lines!$C$5:$C$1733,MATCH(A774,JE_Lines!$B$5:$B$1733,0))</f>
        <v>46017</v>
      </c>
      <c r="G774" s="18" t="n">
        <f aca="false">INDEX(JE_Lines!$D$5:$D$1733,MATCH(A774,JE_Lines!$B$5:$B$1733,0))</f>
        <v>46017</v>
      </c>
      <c r="H774" s="0" t="str">
        <f aca="false">INDEX(JE_Lines!$I$5:$I$1733,MATCH(A774,JE_Lines!$B$5:$B$1733,0))</f>
        <v>SYS_AP</v>
      </c>
      <c r="I774" s="0" t="str">
        <f aca="false">INDEX(JE_Lines!$J$5:$J$1733,MATCH(A774,JE_Lines!$B$5:$B$1733,0))</f>
        <v>System</v>
      </c>
      <c r="J774" s="0" t="str">
        <f aca="false">IF(LEN(INDEX(JE_Lines!$K$5:$K$1733,MATCH(A774,JE_Lines!$B$5:$B$1733,0)))=0,"",INDEX(JE_Lines!$K$5:$K$1733,MATCH(A774,JE_Lines!$B$5:$B$1733,0)))</f>
        <v>Supplier invoices</v>
      </c>
      <c r="K774" s="9" t="n">
        <f aca="false">F774-G774</f>
        <v>0</v>
      </c>
      <c r="L774" s="9" t="n">
        <f aca="false">COUNTIFS(JE_Lines!$B$5:$B$1733,A774,JE_Lines!$F$5:$F$1733,"Revenue")</f>
        <v>0</v>
      </c>
      <c r="M774" s="9" t="n">
        <f aca="false">COUNTIFS(JE_Lines!$B$5:$B$1733,A774,JE_Lines!$F$5:$F$1733,"Suspense")</f>
        <v>0</v>
      </c>
      <c r="N774" s="9" t="n">
        <f aca="false">IF(ABS(E774)&gt;Parameters!$B$23,1,0)</f>
        <v>0</v>
      </c>
      <c r="O774" s="9" t="n">
        <f aca="false">IF(WEEKDAY(F774,2)&gt;5,1,0)</f>
        <v>0</v>
      </c>
      <c r="P774" s="9" t="n">
        <f aca="false">IF(K774&gt;Parameters!$B$17,1,0)</f>
        <v>0</v>
      </c>
      <c r="Q774" s="9" t="n">
        <f aca="false">IF(AND(F774&lt;=Parameters!$B$6,F774&gt;Parameters!$B$6-Parameters!$B$18),1,0)</f>
        <v>0</v>
      </c>
      <c r="R774" s="9" t="n">
        <f aca="false">IF(COUNTIF(Parameters!$A$51:$A$58,H774)=0,1,0)</f>
        <v>0</v>
      </c>
      <c r="S774" s="9" t="n">
        <f aca="false">IF(AND(I774="Manual",L774&gt;0),1,0)</f>
        <v>0</v>
      </c>
      <c r="T774" s="9" t="n">
        <f aca="false">IF(AND(C774&gt;=Parameters!$B$22,ROUND(MOD(ROUND(C774,2),Parameters!$B$21),2)=0),1,0)</f>
        <v>0</v>
      </c>
      <c r="U774" s="9" t="n">
        <f aca="false">IF(LEN(TRIM(J774))=0,1,0)</f>
        <v>0</v>
      </c>
      <c r="V774" s="9" t="n">
        <f aca="false">IF(AND(I774="Manual",C774&lt;Parameters!$B$19,C774&gt;=Parameters!$B$19*(1-Parameters!$B$20)),1,0)</f>
        <v>0</v>
      </c>
      <c r="W774" s="9" t="n">
        <f aca="false">IF(AND(I774="Manual",M774&gt;0),1,0)</f>
        <v>0</v>
      </c>
      <c r="X774" s="9" t="n">
        <f aca="false">IF(A774-A773&gt;1,1,0)</f>
        <v>0</v>
      </c>
      <c r="Y774" s="9" t="n">
        <f aca="false">N774*Parameters!$B$38+O774*Parameters!$B$39+P774*Parameters!$B$40+Q774*Parameters!$B$41+R774*Parameters!$B$42+S774*Parameters!$B$43+T774*Parameters!$B$44+U774*Parameters!$B$45+V774*Parameters!$B$46+W774*Parameters!$B$47+X774*Parameters!$B$48</f>
        <v>0</v>
      </c>
      <c r="Z774" s="0" t="str">
        <f aca="false">IF(Y774&gt;=Parameters!$B$25,"High","")</f>
        <v/>
      </c>
    </row>
    <row r="775" customFormat="false" ht="15" hidden="false" customHeight="false" outlineLevel="0" collapsed="false">
      <c r="A775" s="16" t="n">
        <v>1782</v>
      </c>
      <c r="B775" s="9" t="n">
        <f aca="false">COUNTIF(JE_Lines!$B$5:$B$1733,A775)</f>
        <v>2</v>
      </c>
      <c r="C775" s="17" t="n">
        <f aca="false">SUMIFS(JE_Lines!$G$5:$G$1733,JE_Lines!$B$5:$B$1733,A775)</f>
        <v>5752.51</v>
      </c>
      <c r="D775" s="17" t="n">
        <f aca="false">SUMIFS(JE_Lines!$H$5:$H$1733,JE_Lines!$B$5:$B$1733,A775)</f>
        <v>5752.51</v>
      </c>
      <c r="E775" s="17" t="n">
        <f aca="false">C775-D775</f>
        <v>0</v>
      </c>
      <c r="F775" s="18" t="n">
        <f aca="false">INDEX(JE_Lines!$C$5:$C$1733,MATCH(A775,JE_Lines!$B$5:$B$1733,0))</f>
        <v>46017</v>
      </c>
      <c r="G775" s="18" t="n">
        <f aca="false">INDEX(JE_Lines!$D$5:$D$1733,MATCH(A775,JE_Lines!$B$5:$B$1733,0))</f>
        <v>46017</v>
      </c>
      <c r="H775" s="0" t="str">
        <f aca="false">INDEX(JE_Lines!$I$5:$I$1733,MATCH(A775,JE_Lines!$B$5:$B$1733,0))</f>
        <v>SYS_PAY</v>
      </c>
      <c r="I775" s="0" t="str">
        <f aca="false">INDEX(JE_Lines!$J$5:$J$1733,MATCH(A775,JE_Lines!$B$5:$B$1733,0))</f>
        <v>System</v>
      </c>
      <c r="J775" s="0" t="str">
        <f aca="false">IF(LEN(INDEX(JE_Lines!$K$5:$K$1733,MATCH(A775,JE_Lines!$B$5:$B$1733,0)))=0,"",INDEX(JE_Lines!$K$5:$K$1733,MATCH(A775,JE_Lines!$B$5:$B$1733,0)))</f>
        <v>Supplier payments</v>
      </c>
      <c r="K775" s="9" t="n">
        <f aca="false">F775-G775</f>
        <v>0</v>
      </c>
      <c r="L775" s="9" t="n">
        <f aca="false">COUNTIFS(JE_Lines!$B$5:$B$1733,A775,JE_Lines!$F$5:$F$1733,"Revenue")</f>
        <v>0</v>
      </c>
      <c r="M775" s="9" t="n">
        <f aca="false">COUNTIFS(JE_Lines!$B$5:$B$1733,A775,JE_Lines!$F$5:$F$1733,"Suspense")</f>
        <v>0</v>
      </c>
      <c r="N775" s="9" t="n">
        <f aca="false">IF(ABS(E775)&gt;Parameters!$B$23,1,0)</f>
        <v>0</v>
      </c>
      <c r="O775" s="9" t="n">
        <f aca="false">IF(WEEKDAY(F775,2)&gt;5,1,0)</f>
        <v>0</v>
      </c>
      <c r="P775" s="9" t="n">
        <f aca="false">IF(K775&gt;Parameters!$B$17,1,0)</f>
        <v>0</v>
      </c>
      <c r="Q775" s="9" t="n">
        <f aca="false">IF(AND(F775&lt;=Parameters!$B$6,F775&gt;Parameters!$B$6-Parameters!$B$18),1,0)</f>
        <v>0</v>
      </c>
      <c r="R775" s="9" t="n">
        <f aca="false">IF(COUNTIF(Parameters!$A$51:$A$58,H775)=0,1,0)</f>
        <v>0</v>
      </c>
      <c r="S775" s="9" t="n">
        <f aca="false">IF(AND(I775="Manual",L775&gt;0),1,0)</f>
        <v>0</v>
      </c>
      <c r="T775" s="9" t="n">
        <f aca="false">IF(AND(C775&gt;=Parameters!$B$22,ROUND(MOD(ROUND(C775,2),Parameters!$B$21),2)=0),1,0)</f>
        <v>0</v>
      </c>
      <c r="U775" s="9" t="n">
        <f aca="false">IF(LEN(TRIM(J775))=0,1,0)</f>
        <v>0</v>
      </c>
      <c r="V775" s="9" t="n">
        <f aca="false">IF(AND(I775="Manual",C775&lt;Parameters!$B$19,C775&gt;=Parameters!$B$19*(1-Parameters!$B$20)),1,0)</f>
        <v>0</v>
      </c>
      <c r="W775" s="9" t="n">
        <f aca="false">IF(AND(I775="Manual",M775&gt;0),1,0)</f>
        <v>0</v>
      </c>
      <c r="X775" s="9" t="n">
        <f aca="false">IF(A775-A774&gt;1,1,0)</f>
        <v>0</v>
      </c>
      <c r="Y775" s="9" t="n">
        <f aca="false">N775*Parameters!$B$38+O775*Parameters!$B$39+P775*Parameters!$B$40+Q775*Parameters!$B$41+R775*Parameters!$B$42+S775*Parameters!$B$43+T775*Parameters!$B$44+U775*Parameters!$B$45+V775*Parameters!$B$46+W775*Parameters!$B$47+X775*Parameters!$B$48</f>
        <v>0</v>
      </c>
      <c r="Z775" s="0" t="str">
        <f aca="false">IF(Y775&gt;=Parameters!$B$25,"High","")</f>
        <v/>
      </c>
    </row>
    <row r="776" customFormat="false" ht="15" hidden="false" customHeight="false" outlineLevel="0" collapsed="false">
      <c r="A776" s="16" t="n">
        <v>1783</v>
      </c>
      <c r="B776" s="9" t="n">
        <f aca="false">COUNTIF(JE_Lines!$B$5:$B$1733,A776)</f>
        <v>3</v>
      </c>
      <c r="C776" s="17" t="n">
        <f aca="false">SUMIFS(JE_Lines!$G$5:$G$1733,JE_Lines!$B$5:$B$1733,A776)</f>
        <v>7479.26</v>
      </c>
      <c r="D776" s="17" t="n">
        <f aca="false">SUMIFS(JE_Lines!$H$5:$H$1733,JE_Lines!$B$5:$B$1733,A776)</f>
        <v>7479.26</v>
      </c>
      <c r="E776" s="17" t="n">
        <f aca="false">C776-D776</f>
        <v>0</v>
      </c>
      <c r="F776" s="18" t="n">
        <f aca="false">INDEX(JE_Lines!$C$5:$C$1733,MATCH(A776,JE_Lines!$B$5:$B$1733,0))</f>
        <v>46017</v>
      </c>
      <c r="G776" s="18" t="n">
        <f aca="false">INDEX(JE_Lines!$D$5:$D$1733,MATCH(A776,JE_Lines!$B$5:$B$1733,0))</f>
        <v>46013</v>
      </c>
      <c r="H776" s="0" t="str">
        <f aca="false">INDEX(JE_Lines!$I$5:$I$1733,MATCH(A776,JE_Lines!$B$5:$B$1733,0))</f>
        <v>FIN01</v>
      </c>
      <c r="I776" s="0" t="str">
        <f aca="false">INDEX(JE_Lines!$J$5:$J$1733,MATCH(A776,JE_Lines!$B$5:$B$1733,0))</f>
        <v>Manual</v>
      </c>
      <c r="J776" s="0" t="str">
        <f aca="false">IF(LEN(INDEX(JE_Lines!$K$5:$K$1733,MATCH(A776,JE_Lines!$B$5:$B$1733,0)))=0,"",INDEX(JE_Lines!$K$5:$K$1733,MATCH(A776,JE_Lines!$B$5:$B$1733,0)))</f>
        <v>Accrual reversal</v>
      </c>
      <c r="K776" s="9" t="n">
        <f aca="false">F776-G776</f>
        <v>4</v>
      </c>
      <c r="L776" s="9" t="n">
        <f aca="false">COUNTIFS(JE_Lines!$B$5:$B$1733,A776,JE_Lines!$F$5:$F$1733,"Revenue")</f>
        <v>0</v>
      </c>
      <c r="M776" s="9" t="n">
        <f aca="false">COUNTIFS(JE_Lines!$B$5:$B$1733,A776,JE_Lines!$F$5:$F$1733,"Suspense")</f>
        <v>0</v>
      </c>
      <c r="N776" s="9" t="n">
        <f aca="false">IF(ABS(E776)&gt;Parameters!$B$23,1,0)</f>
        <v>0</v>
      </c>
      <c r="O776" s="9" t="n">
        <f aca="false">IF(WEEKDAY(F776,2)&gt;5,1,0)</f>
        <v>0</v>
      </c>
      <c r="P776" s="9" t="n">
        <f aca="false">IF(K776&gt;Parameters!$B$17,1,0)</f>
        <v>0</v>
      </c>
      <c r="Q776" s="9" t="n">
        <f aca="false">IF(AND(F776&lt;=Parameters!$B$6,F776&gt;Parameters!$B$6-Parameters!$B$18),1,0)</f>
        <v>0</v>
      </c>
      <c r="R776" s="9" t="n">
        <f aca="false">IF(COUNTIF(Parameters!$A$51:$A$58,H776)=0,1,0)</f>
        <v>0</v>
      </c>
      <c r="S776" s="9" t="n">
        <f aca="false">IF(AND(I776="Manual",L776&gt;0),1,0)</f>
        <v>0</v>
      </c>
      <c r="T776" s="9" t="n">
        <f aca="false">IF(AND(C776&gt;=Parameters!$B$22,ROUND(MOD(ROUND(C776,2),Parameters!$B$21),2)=0),1,0)</f>
        <v>0</v>
      </c>
      <c r="U776" s="9" t="n">
        <f aca="false">IF(LEN(TRIM(J776))=0,1,0)</f>
        <v>0</v>
      </c>
      <c r="V776" s="9" t="n">
        <f aca="false">IF(AND(I776="Manual",C776&lt;Parameters!$B$19,C776&gt;=Parameters!$B$19*(1-Parameters!$B$20)),1,0)</f>
        <v>0</v>
      </c>
      <c r="W776" s="9" t="n">
        <f aca="false">IF(AND(I776="Manual",M776&gt;0),1,0)</f>
        <v>0</v>
      </c>
      <c r="X776" s="9" t="n">
        <f aca="false">IF(A776-A775&gt;1,1,0)</f>
        <v>0</v>
      </c>
      <c r="Y776" s="9" t="n">
        <f aca="false">N776*Parameters!$B$38+O776*Parameters!$B$39+P776*Parameters!$B$40+Q776*Parameters!$B$41+R776*Parameters!$B$42+S776*Parameters!$B$43+T776*Parameters!$B$44+U776*Parameters!$B$45+V776*Parameters!$B$46+W776*Parameters!$B$47+X776*Parameters!$B$48</f>
        <v>0</v>
      </c>
      <c r="Z776" s="0" t="str">
        <f aca="false">IF(Y776&gt;=Parameters!$B$25,"High","")</f>
        <v/>
      </c>
    </row>
    <row r="777" customFormat="false" ht="15" hidden="false" customHeight="false" outlineLevel="0" collapsed="false">
      <c r="A777" s="16" t="n">
        <v>1784</v>
      </c>
      <c r="B777" s="9" t="n">
        <f aca="false">COUNTIF(JE_Lines!$B$5:$B$1733,A777)</f>
        <v>2</v>
      </c>
      <c r="C777" s="17" t="n">
        <f aca="false">SUMIFS(JE_Lines!$G$5:$G$1733,JE_Lines!$B$5:$B$1733,A777)</f>
        <v>3231.31</v>
      </c>
      <c r="D777" s="17" t="n">
        <f aca="false">SUMIFS(JE_Lines!$H$5:$H$1733,JE_Lines!$B$5:$B$1733,A777)</f>
        <v>3231.31</v>
      </c>
      <c r="E777" s="17" t="n">
        <f aca="false">C777-D777</f>
        <v>0</v>
      </c>
      <c r="F777" s="18" t="n">
        <f aca="false">INDEX(JE_Lines!$C$5:$C$1733,MATCH(A777,JE_Lines!$B$5:$B$1733,0))</f>
        <v>46017</v>
      </c>
      <c r="G777" s="18" t="n">
        <f aca="false">INDEX(JE_Lines!$D$5:$D$1733,MATCH(A777,JE_Lines!$B$5:$B$1733,0))</f>
        <v>46016</v>
      </c>
      <c r="H777" s="0" t="str">
        <f aca="false">INDEX(JE_Lines!$I$5:$I$1733,MATCH(A777,JE_Lines!$B$5:$B$1733,0))</f>
        <v>FIN02</v>
      </c>
      <c r="I777" s="0" t="str">
        <f aca="false">INDEX(JE_Lines!$J$5:$J$1733,MATCH(A777,JE_Lines!$B$5:$B$1733,0))</f>
        <v>Manual</v>
      </c>
      <c r="J777" s="0" t="str">
        <f aca="false">IF(LEN(INDEX(JE_Lines!$K$5:$K$1733,MATCH(A777,JE_Lines!$B$5:$B$1733,0)))=0,"",INDEX(JE_Lines!$K$5:$K$1733,MATCH(A777,JE_Lines!$B$5:$B$1733,0)))</f>
        <v>Accrual for sundry costs</v>
      </c>
      <c r="K777" s="9" t="n">
        <f aca="false">F777-G777</f>
        <v>1</v>
      </c>
      <c r="L777" s="9" t="n">
        <f aca="false">COUNTIFS(JE_Lines!$B$5:$B$1733,A777,JE_Lines!$F$5:$F$1733,"Revenue")</f>
        <v>0</v>
      </c>
      <c r="M777" s="9" t="n">
        <f aca="false">COUNTIFS(JE_Lines!$B$5:$B$1733,A777,JE_Lines!$F$5:$F$1733,"Suspense")</f>
        <v>0</v>
      </c>
      <c r="N777" s="9" t="n">
        <f aca="false">IF(ABS(E777)&gt;Parameters!$B$23,1,0)</f>
        <v>0</v>
      </c>
      <c r="O777" s="9" t="n">
        <f aca="false">IF(WEEKDAY(F777,2)&gt;5,1,0)</f>
        <v>0</v>
      </c>
      <c r="P777" s="9" t="n">
        <f aca="false">IF(K777&gt;Parameters!$B$17,1,0)</f>
        <v>0</v>
      </c>
      <c r="Q777" s="9" t="n">
        <f aca="false">IF(AND(F777&lt;=Parameters!$B$6,F777&gt;Parameters!$B$6-Parameters!$B$18),1,0)</f>
        <v>0</v>
      </c>
      <c r="R777" s="9" t="n">
        <f aca="false">IF(COUNTIF(Parameters!$A$51:$A$58,H777)=0,1,0)</f>
        <v>0</v>
      </c>
      <c r="S777" s="9" t="n">
        <f aca="false">IF(AND(I777="Manual",L777&gt;0),1,0)</f>
        <v>0</v>
      </c>
      <c r="T777" s="9" t="n">
        <f aca="false">IF(AND(C777&gt;=Parameters!$B$22,ROUND(MOD(ROUND(C777,2),Parameters!$B$21),2)=0),1,0)</f>
        <v>0</v>
      </c>
      <c r="U777" s="9" t="n">
        <f aca="false">IF(LEN(TRIM(J777))=0,1,0)</f>
        <v>0</v>
      </c>
      <c r="V777" s="9" t="n">
        <f aca="false">IF(AND(I777="Manual",C777&lt;Parameters!$B$19,C777&gt;=Parameters!$B$19*(1-Parameters!$B$20)),1,0)</f>
        <v>0</v>
      </c>
      <c r="W777" s="9" t="n">
        <f aca="false">IF(AND(I777="Manual",M777&gt;0),1,0)</f>
        <v>0</v>
      </c>
      <c r="X777" s="9" t="n">
        <f aca="false">IF(A777-A776&gt;1,1,0)</f>
        <v>0</v>
      </c>
      <c r="Y777" s="9" t="n">
        <f aca="false">N777*Parameters!$B$38+O777*Parameters!$B$39+P777*Parameters!$B$40+Q777*Parameters!$B$41+R777*Parameters!$B$42+S777*Parameters!$B$43+T777*Parameters!$B$44+U777*Parameters!$B$45+V777*Parameters!$B$46+W777*Parameters!$B$47+X777*Parameters!$B$48</f>
        <v>0</v>
      </c>
      <c r="Z777" s="0" t="str">
        <f aca="false">IF(Y777&gt;=Parameters!$B$25,"High","")</f>
        <v/>
      </c>
    </row>
    <row r="778" customFormat="false" ht="15" hidden="false" customHeight="false" outlineLevel="0" collapsed="false">
      <c r="A778" s="16" t="n">
        <v>1785</v>
      </c>
      <c r="B778" s="9" t="n">
        <f aca="false">COUNTIF(JE_Lines!$B$5:$B$1733,A778)</f>
        <v>3</v>
      </c>
      <c r="C778" s="17" t="n">
        <f aca="false">SUMIFS(JE_Lines!$G$5:$G$1733,JE_Lines!$B$5:$B$1733,A778)</f>
        <v>134133.43</v>
      </c>
      <c r="D778" s="17" t="n">
        <f aca="false">SUMIFS(JE_Lines!$H$5:$H$1733,JE_Lines!$B$5:$B$1733,A778)</f>
        <v>134133.43</v>
      </c>
      <c r="E778" s="17" t="n">
        <f aca="false">C778-D778</f>
        <v>0</v>
      </c>
      <c r="F778" s="18" t="n">
        <f aca="false">INDEX(JE_Lines!$C$5:$C$1733,MATCH(A778,JE_Lines!$B$5:$B$1733,0))</f>
        <v>46019</v>
      </c>
      <c r="G778" s="18" t="n">
        <f aca="false">INDEX(JE_Lines!$D$5:$D$1733,MATCH(A778,JE_Lines!$B$5:$B$1733,0))</f>
        <v>46018</v>
      </c>
      <c r="H778" s="0" t="str">
        <f aca="false">INDEX(JE_Lines!$I$5:$I$1733,MATCH(A778,JE_Lines!$B$5:$B$1733,0))</f>
        <v>SYS_AR</v>
      </c>
      <c r="I778" s="0" t="str">
        <f aca="false">INDEX(JE_Lines!$J$5:$J$1733,MATCH(A778,JE_Lines!$B$5:$B$1733,0))</f>
        <v>System</v>
      </c>
      <c r="J778" s="0" t="str">
        <f aca="false">IF(LEN(INDEX(JE_Lines!$K$5:$K$1733,MATCH(A778,JE_Lines!$B$5:$B$1733,0)))=0,"",INDEX(JE_Lines!$K$5:$K$1733,MATCH(A778,JE_Lines!$B$5:$B$1733,0)))</f>
        <v>Cost of sales posting</v>
      </c>
      <c r="K778" s="9" t="n">
        <f aca="false">F778-G778</f>
        <v>1</v>
      </c>
      <c r="L778" s="9" t="n">
        <f aca="false">COUNTIFS(JE_Lines!$B$5:$B$1733,A778,JE_Lines!$F$5:$F$1733,"Revenue")</f>
        <v>0</v>
      </c>
      <c r="M778" s="9" t="n">
        <f aca="false">COUNTIFS(JE_Lines!$B$5:$B$1733,A778,JE_Lines!$F$5:$F$1733,"Suspense")</f>
        <v>0</v>
      </c>
      <c r="N778" s="9" t="n">
        <f aca="false">IF(ABS(E778)&gt;Parameters!$B$23,1,0)</f>
        <v>0</v>
      </c>
      <c r="O778" s="9" t="n">
        <f aca="false">IF(WEEKDAY(F778,2)&gt;5,1,0)</f>
        <v>1</v>
      </c>
      <c r="P778" s="9" t="n">
        <f aca="false">IF(K778&gt;Parameters!$B$17,1,0)</f>
        <v>0</v>
      </c>
      <c r="Q778" s="9" t="n">
        <f aca="false">IF(AND(F778&lt;=Parameters!$B$6,F778&gt;Parameters!$B$6-Parameters!$B$18),1,0)</f>
        <v>0</v>
      </c>
      <c r="R778" s="9" t="n">
        <f aca="false">IF(COUNTIF(Parameters!$A$51:$A$58,H778)=0,1,0)</f>
        <v>0</v>
      </c>
      <c r="S778" s="9" t="n">
        <f aca="false">IF(AND(I778="Manual",L778&gt;0),1,0)</f>
        <v>0</v>
      </c>
      <c r="T778" s="9" t="n">
        <f aca="false">IF(AND(C778&gt;=Parameters!$B$22,ROUND(MOD(ROUND(C778,2),Parameters!$B$21),2)=0),1,0)</f>
        <v>0</v>
      </c>
      <c r="U778" s="9" t="n">
        <f aca="false">IF(LEN(TRIM(J778))=0,1,0)</f>
        <v>0</v>
      </c>
      <c r="V778" s="9" t="n">
        <f aca="false">IF(AND(I778="Manual",C778&lt;Parameters!$B$19,C778&gt;=Parameters!$B$19*(1-Parameters!$B$20)),1,0)</f>
        <v>0</v>
      </c>
      <c r="W778" s="9" t="n">
        <f aca="false">IF(AND(I778="Manual",M778&gt;0),1,0)</f>
        <v>0</v>
      </c>
      <c r="X778" s="9" t="n">
        <f aca="false">IF(A778-A777&gt;1,1,0)</f>
        <v>0</v>
      </c>
      <c r="Y778" s="9" t="n">
        <f aca="false">N778*Parameters!$B$38+O778*Parameters!$B$39+P778*Parameters!$B$40+Q778*Parameters!$B$41+R778*Parameters!$B$42+S778*Parameters!$B$43+T778*Parameters!$B$44+U778*Parameters!$B$45+V778*Parameters!$B$46+W778*Parameters!$B$47+X778*Parameters!$B$48</f>
        <v>2</v>
      </c>
      <c r="Z778" s="0" t="str">
        <f aca="false">IF(Y778&gt;=Parameters!$B$25,"High","")</f>
        <v/>
      </c>
    </row>
    <row r="779" customFormat="false" ht="15" hidden="false" customHeight="false" outlineLevel="0" collapsed="false">
      <c r="A779" s="16" t="n">
        <v>1786</v>
      </c>
      <c r="B779" s="9" t="n">
        <f aca="false">COUNTIF(JE_Lines!$B$5:$B$1733,A779)</f>
        <v>2</v>
      </c>
      <c r="C779" s="17" t="n">
        <f aca="false">SUMIFS(JE_Lines!$G$5:$G$1733,JE_Lines!$B$5:$B$1733,A779)</f>
        <v>127823.32</v>
      </c>
      <c r="D779" s="17" t="n">
        <f aca="false">SUMIFS(JE_Lines!$H$5:$H$1733,JE_Lines!$B$5:$B$1733,A779)</f>
        <v>127823.32</v>
      </c>
      <c r="E779" s="17" t="n">
        <f aca="false">C779-D779</f>
        <v>0</v>
      </c>
      <c r="F779" s="18" t="n">
        <f aca="false">INDEX(JE_Lines!$C$5:$C$1733,MATCH(A779,JE_Lines!$B$5:$B$1733,0))</f>
        <v>46020</v>
      </c>
      <c r="G779" s="18" t="n">
        <f aca="false">INDEX(JE_Lines!$D$5:$D$1733,MATCH(A779,JE_Lines!$B$5:$B$1733,0))</f>
        <v>46016</v>
      </c>
      <c r="H779" s="0" t="str">
        <f aca="false">INDEX(JE_Lines!$I$5:$I$1733,MATCH(A779,JE_Lines!$B$5:$B$1733,0))</f>
        <v>FIN02</v>
      </c>
      <c r="I779" s="0" t="str">
        <f aca="false">INDEX(JE_Lines!$J$5:$J$1733,MATCH(A779,JE_Lines!$B$5:$B$1733,0))</f>
        <v>Manual</v>
      </c>
      <c r="J779" s="0" t="str">
        <f aca="false">IF(LEN(INDEX(JE_Lines!$K$5:$K$1733,MATCH(A779,JE_Lines!$B$5:$B$1733,0)))=0,"",INDEX(JE_Lines!$K$5:$K$1733,MATCH(A779,JE_Lines!$B$5:$B$1733,0)))</f>
        <v>Accrual for sundry costs</v>
      </c>
      <c r="K779" s="9" t="n">
        <f aca="false">F779-G779</f>
        <v>4</v>
      </c>
      <c r="L779" s="9" t="n">
        <f aca="false">COUNTIFS(JE_Lines!$B$5:$B$1733,A779,JE_Lines!$F$5:$F$1733,"Revenue")</f>
        <v>0</v>
      </c>
      <c r="M779" s="9" t="n">
        <f aca="false">COUNTIFS(JE_Lines!$B$5:$B$1733,A779,JE_Lines!$F$5:$F$1733,"Suspense")</f>
        <v>0</v>
      </c>
      <c r="N779" s="9" t="n">
        <f aca="false">IF(ABS(E779)&gt;Parameters!$B$23,1,0)</f>
        <v>0</v>
      </c>
      <c r="O779" s="9" t="n">
        <f aca="false">IF(WEEKDAY(F779,2)&gt;5,1,0)</f>
        <v>0</v>
      </c>
      <c r="P779" s="9" t="n">
        <f aca="false">IF(K779&gt;Parameters!$B$17,1,0)</f>
        <v>0</v>
      </c>
      <c r="Q779" s="9" t="n">
        <f aca="false">IF(AND(F779&lt;=Parameters!$B$6,F779&gt;Parameters!$B$6-Parameters!$B$18),1,0)</f>
        <v>1</v>
      </c>
      <c r="R779" s="9" t="n">
        <f aca="false">IF(COUNTIF(Parameters!$A$51:$A$58,H779)=0,1,0)</f>
        <v>0</v>
      </c>
      <c r="S779" s="9" t="n">
        <f aca="false">IF(AND(I779="Manual",L779&gt;0),1,0)</f>
        <v>0</v>
      </c>
      <c r="T779" s="9" t="n">
        <f aca="false">IF(AND(C779&gt;=Parameters!$B$22,ROUND(MOD(ROUND(C779,2),Parameters!$B$21),2)=0),1,0)</f>
        <v>0</v>
      </c>
      <c r="U779" s="9" t="n">
        <f aca="false">IF(LEN(TRIM(J779))=0,1,0)</f>
        <v>0</v>
      </c>
      <c r="V779" s="9" t="n">
        <f aca="false">IF(AND(I779="Manual",C779&lt;Parameters!$B$19,C779&gt;=Parameters!$B$19*(1-Parameters!$B$20)),1,0)</f>
        <v>0</v>
      </c>
      <c r="W779" s="9" t="n">
        <f aca="false">IF(AND(I779="Manual",M779&gt;0),1,0)</f>
        <v>0</v>
      </c>
      <c r="X779" s="9" t="n">
        <f aca="false">IF(A779-A778&gt;1,1,0)</f>
        <v>0</v>
      </c>
      <c r="Y779" s="9" t="n">
        <f aca="false">N779*Parameters!$B$38+O779*Parameters!$B$39+P779*Parameters!$B$40+Q779*Parameters!$B$41+R779*Parameters!$B$42+S779*Parameters!$B$43+T779*Parameters!$B$44+U779*Parameters!$B$45+V779*Parameters!$B$46+W779*Parameters!$B$47+X779*Parameters!$B$48</f>
        <v>1</v>
      </c>
      <c r="Z779" s="0" t="str">
        <f aca="false">IF(Y779&gt;=Parameters!$B$25,"High","")</f>
        <v/>
      </c>
    </row>
    <row r="780" customFormat="false" ht="15" hidden="false" customHeight="false" outlineLevel="0" collapsed="false">
      <c r="A780" s="16" t="n">
        <v>1787</v>
      </c>
      <c r="B780" s="9" t="n">
        <f aca="false">COUNTIF(JE_Lines!$B$5:$B$1733,A780)</f>
        <v>2</v>
      </c>
      <c r="C780" s="17" t="n">
        <f aca="false">SUMIFS(JE_Lines!$G$5:$G$1733,JE_Lines!$B$5:$B$1733,A780)</f>
        <v>413.51</v>
      </c>
      <c r="D780" s="17" t="n">
        <f aca="false">SUMIFS(JE_Lines!$H$5:$H$1733,JE_Lines!$B$5:$B$1733,A780)</f>
        <v>413.51</v>
      </c>
      <c r="E780" s="17" t="n">
        <f aca="false">C780-D780</f>
        <v>0</v>
      </c>
      <c r="F780" s="18" t="n">
        <f aca="false">INDEX(JE_Lines!$C$5:$C$1733,MATCH(A780,JE_Lines!$B$5:$B$1733,0))</f>
        <v>46020</v>
      </c>
      <c r="G780" s="18" t="n">
        <f aca="false">INDEX(JE_Lines!$D$5:$D$1733,MATCH(A780,JE_Lines!$B$5:$B$1733,0))</f>
        <v>46018</v>
      </c>
      <c r="H780" s="0" t="str">
        <f aca="false">INDEX(JE_Lines!$I$5:$I$1733,MATCH(A780,JE_Lines!$B$5:$B$1733,0))</f>
        <v>SYS_PAY</v>
      </c>
      <c r="I780" s="0" t="str">
        <f aca="false">INDEX(JE_Lines!$J$5:$J$1733,MATCH(A780,JE_Lines!$B$5:$B$1733,0))</f>
        <v>System</v>
      </c>
      <c r="J780" s="0" t="str">
        <f aca="false">IF(LEN(INDEX(JE_Lines!$K$5:$K$1733,MATCH(A780,JE_Lines!$B$5:$B$1733,0)))=0,"",INDEX(JE_Lines!$K$5:$K$1733,MATCH(A780,JE_Lines!$B$5:$B$1733,0)))</f>
        <v>Supplier payments</v>
      </c>
      <c r="K780" s="9" t="n">
        <f aca="false">F780-G780</f>
        <v>2</v>
      </c>
      <c r="L780" s="9" t="n">
        <f aca="false">COUNTIFS(JE_Lines!$B$5:$B$1733,A780,JE_Lines!$F$5:$F$1733,"Revenue")</f>
        <v>0</v>
      </c>
      <c r="M780" s="9" t="n">
        <f aca="false">COUNTIFS(JE_Lines!$B$5:$B$1733,A780,JE_Lines!$F$5:$F$1733,"Suspense")</f>
        <v>0</v>
      </c>
      <c r="N780" s="9" t="n">
        <f aca="false">IF(ABS(E780)&gt;Parameters!$B$23,1,0)</f>
        <v>0</v>
      </c>
      <c r="O780" s="9" t="n">
        <f aca="false">IF(WEEKDAY(F780,2)&gt;5,1,0)</f>
        <v>0</v>
      </c>
      <c r="P780" s="9" t="n">
        <f aca="false">IF(K780&gt;Parameters!$B$17,1,0)</f>
        <v>0</v>
      </c>
      <c r="Q780" s="9" t="n">
        <f aca="false">IF(AND(F780&lt;=Parameters!$B$6,F780&gt;Parameters!$B$6-Parameters!$B$18),1,0)</f>
        <v>1</v>
      </c>
      <c r="R780" s="9" t="n">
        <f aca="false">IF(COUNTIF(Parameters!$A$51:$A$58,H780)=0,1,0)</f>
        <v>0</v>
      </c>
      <c r="S780" s="9" t="n">
        <f aca="false">IF(AND(I780="Manual",L780&gt;0),1,0)</f>
        <v>0</v>
      </c>
      <c r="T780" s="9" t="n">
        <f aca="false">IF(AND(C780&gt;=Parameters!$B$22,ROUND(MOD(ROUND(C780,2),Parameters!$B$21),2)=0),1,0)</f>
        <v>0</v>
      </c>
      <c r="U780" s="9" t="n">
        <f aca="false">IF(LEN(TRIM(J780))=0,1,0)</f>
        <v>0</v>
      </c>
      <c r="V780" s="9" t="n">
        <f aca="false">IF(AND(I780="Manual",C780&lt;Parameters!$B$19,C780&gt;=Parameters!$B$19*(1-Parameters!$B$20)),1,0)</f>
        <v>0</v>
      </c>
      <c r="W780" s="9" t="n">
        <f aca="false">IF(AND(I780="Manual",M780&gt;0),1,0)</f>
        <v>0</v>
      </c>
      <c r="X780" s="9" t="n">
        <f aca="false">IF(A780-A779&gt;1,1,0)</f>
        <v>0</v>
      </c>
      <c r="Y780" s="9" t="n">
        <f aca="false">N780*Parameters!$B$38+O780*Parameters!$B$39+P780*Parameters!$B$40+Q780*Parameters!$B$41+R780*Parameters!$B$42+S780*Parameters!$B$43+T780*Parameters!$B$44+U780*Parameters!$B$45+V780*Parameters!$B$46+W780*Parameters!$B$47+X780*Parameters!$B$48</f>
        <v>1</v>
      </c>
      <c r="Z780" s="0" t="str">
        <f aca="false">IF(Y780&gt;=Parameters!$B$25,"High","")</f>
        <v/>
      </c>
    </row>
    <row r="781" customFormat="false" ht="15" hidden="false" customHeight="false" outlineLevel="0" collapsed="false">
      <c r="A781" s="16" t="n">
        <v>1788</v>
      </c>
      <c r="B781" s="9" t="n">
        <f aca="false">COUNTIF(JE_Lines!$B$5:$B$1733,A781)</f>
        <v>2</v>
      </c>
      <c r="C781" s="17" t="n">
        <f aca="false">SUMIFS(JE_Lines!$G$5:$G$1733,JE_Lines!$B$5:$B$1733,A781)</f>
        <v>817</v>
      </c>
      <c r="D781" s="17" t="n">
        <f aca="false">SUMIFS(JE_Lines!$H$5:$H$1733,JE_Lines!$B$5:$B$1733,A781)</f>
        <v>817</v>
      </c>
      <c r="E781" s="17" t="n">
        <f aca="false">C781-D781</f>
        <v>0</v>
      </c>
      <c r="F781" s="18" t="n">
        <f aca="false">INDEX(JE_Lines!$C$5:$C$1733,MATCH(A781,JE_Lines!$B$5:$B$1733,0))</f>
        <v>46020</v>
      </c>
      <c r="G781" s="18" t="n">
        <f aca="false">INDEX(JE_Lines!$D$5:$D$1733,MATCH(A781,JE_Lines!$B$5:$B$1733,0))</f>
        <v>46019</v>
      </c>
      <c r="H781" s="0" t="str">
        <f aca="false">INDEX(JE_Lines!$I$5:$I$1733,MATCH(A781,JE_Lines!$B$5:$B$1733,0))</f>
        <v>SYS_AR</v>
      </c>
      <c r="I781" s="0" t="str">
        <f aca="false">INDEX(JE_Lines!$J$5:$J$1733,MATCH(A781,JE_Lines!$B$5:$B$1733,0))</f>
        <v>System</v>
      </c>
      <c r="J781" s="0" t="str">
        <f aca="false">IF(LEN(INDEX(JE_Lines!$K$5:$K$1733,MATCH(A781,JE_Lines!$B$5:$B$1733,0)))=0,"",INDEX(JE_Lines!$K$5:$K$1733,MATCH(A781,JE_Lines!$B$5:$B$1733,0)))</f>
        <v>Customer receipts</v>
      </c>
      <c r="K781" s="9" t="n">
        <f aca="false">F781-G781</f>
        <v>1</v>
      </c>
      <c r="L781" s="9" t="n">
        <f aca="false">COUNTIFS(JE_Lines!$B$5:$B$1733,A781,JE_Lines!$F$5:$F$1733,"Revenue")</f>
        <v>0</v>
      </c>
      <c r="M781" s="9" t="n">
        <f aca="false">COUNTIFS(JE_Lines!$B$5:$B$1733,A781,JE_Lines!$F$5:$F$1733,"Suspense")</f>
        <v>0</v>
      </c>
      <c r="N781" s="9" t="n">
        <f aca="false">IF(ABS(E781)&gt;Parameters!$B$23,1,0)</f>
        <v>0</v>
      </c>
      <c r="O781" s="9" t="n">
        <f aca="false">IF(WEEKDAY(F781,2)&gt;5,1,0)</f>
        <v>0</v>
      </c>
      <c r="P781" s="9" t="n">
        <f aca="false">IF(K781&gt;Parameters!$B$17,1,0)</f>
        <v>0</v>
      </c>
      <c r="Q781" s="9" t="n">
        <f aca="false">IF(AND(F781&lt;=Parameters!$B$6,F781&gt;Parameters!$B$6-Parameters!$B$18),1,0)</f>
        <v>1</v>
      </c>
      <c r="R781" s="9" t="n">
        <f aca="false">IF(COUNTIF(Parameters!$A$51:$A$58,H781)=0,1,0)</f>
        <v>0</v>
      </c>
      <c r="S781" s="9" t="n">
        <f aca="false">IF(AND(I781="Manual",L781&gt;0),1,0)</f>
        <v>0</v>
      </c>
      <c r="T781" s="9" t="n">
        <f aca="false">IF(AND(C781&gt;=Parameters!$B$22,ROUND(MOD(ROUND(C781,2),Parameters!$B$21),2)=0),1,0)</f>
        <v>0</v>
      </c>
      <c r="U781" s="9" t="n">
        <f aca="false">IF(LEN(TRIM(J781))=0,1,0)</f>
        <v>0</v>
      </c>
      <c r="V781" s="9" t="n">
        <f aca="false">IF(AND(I781="Manual",C781&lt;Parameters!$B$19,C781&gt;=Parameters!$B$19*(1-Parameters!$B$20)),1,0)</f>
        <v>0</v>
      </c>
      <c r="W781" s="9" t="n">
        <f aca="false">IF(AND(I781="Manual",M781&gt;0),1,0)</f>
        <v>0</v>
      </c>
      <c r="X781" s="9" t="n">
        <f aca="false">IF(A781-A780&gt;1,1,0)</f>
        <v>0</v>
      </c>
      <c r="Y781" s="9" t="n">
        <f aca="false">N781*Parameters!$B$38+O781*Parameters!$B$39+P781*Parameters!$B$40+Q781*Parameters!$B$41+R781*Parameters!$B$42+S781*Parameters!$B$43+T781*Parameters!$B$44+U781*Parameters!$B$45+V781*Parameters!$B$46+W781*Parameters!$B$47+X781*Parameters!$B$48</f>
        <v>1</v>
      </c>
      <c r="Z781" s="0" t="str">
        <f aca="false">IF(Y781&gt;=Parameters!$B$25,"High","")</f>
        <v/>
      </c>
    </row>
    <row r="782" customFormat="false" ht="15" hidden="false" customHeight="false" outlineLevel="0" collapsed="false">
      <c r="A782" s="16" t="n">
        <v>1789</v>
      </c>
      <c r="B782" s="9" t="n">
        <f aca="false">COUNTIF(JE_Lines!$B$5:$B$1733,A782)</f>
        <v>2</v>
      </c>
      <c r="C782" s="17" t="n">
        <f aca="false">SUMIFS(JE_Lines!$G$5:$G$1733,JE_Lines!$B$5:$B$1733,A782)</f>
        <v>36714.35</v>
      </c>
      <c r="D782" s="17" t="n">
        <f aca="false">SUMIFS(JE_Lines!$H$5:$H$1733,JE_Lines!$B$5:$B$1733,A782)</f>
        <v>36714.35</v>
      </c>
      <c r="E782" s="17" t="n">
        <f aca="false">C782-D782</f>
        <v>0</v>
      </c>
      <c r="F782" s="18" t="n">
        <f aca="false">INDEX(JE_Lines!$C$5:$C$1733,MATCH(A782,JE_Lines!$B$5:$B$1733,0))</f>
        <v>46020</v>
      </c>
      <c r="G782" s="18" t="n">
        <f aca="false">INDEX(JE_Lines!$D$5:$D$1733,MATCH(A782,JE_Lines!$B$5:$B$1733,0))</f>
        <v>46017</v>
      </c>
      <c r="H782" s="0" t="str">
        <f aca="false">INDEX(JE_Lines!$I$5:$I$1733,MATCH(A782,JE_Lines!$B$5:$B$1733,0))</f>
        <v>SYS_AP</v>
      </c>
      <c r="I782" s="0" t="str">
        <f aca="false">INDEX(JE_Lines!$J$5:$J$1733,MATCH(A782,JE_Lines!$B$5:$B$1733,0))</f>
        <v>System</v>
      </c>
      <c r="J782" s="0" t="str">
        <f aca="false">IF(LEN(INDEX(JE_Lines!$K$5:$K$1733,MATCH(A782,JE_Lines!$B$5:$B$1733,0)))=0,"",INDEX(JE_Lines!$K$5:$K$1733,MATCH(A782,JE_Lines!$B$5:$B$1733,0)))</f>
        <v>Supplier invoices</v>
      </c>
      <c r="K782" s="9" t="n">
        <f aca="false">F782-G782</f>
        <v>3</v>
      </c>
      <c r="L782" s="9" t="n">
        <f aca="false">COUNTIFS(JE_Lines!$B$5:$B$1733,A782,JE_Lines!$F$5:$F$1733,"Revenue")</f>
        <v>0</v>
      </c>
      <c r="M782" s="9" t="n">
        <f aca="false">COUNTIFS(JE_Lines!$B$5:$B$1733,A782,JE_Lines!$F$5:$F$1733,"Suspense")</f>
        <v>0</v>
      </c>
      <c r="N782" s="9" t="n">
        <f aca="false">IF(ABS(E782)&gt;Parameters!$B$23,1,0)</f>
        <v>0</v>
      </c>
      <c r="O782" s="9" t="n">
        <f aca="false">IF(WEEKDAY(F782,2)&gt;5,1,0)</f>
        <v>0</v>
      </c>
      <c r="P782" s="9" t="n">
        <f aca="false">IF(K782&gt;Parameters!$B$17,1,0)</f>
        <v>0</v>
      </c>
      <c r="Q782" s="9" t="n">
        <f aca="false">IF(AND(F782&lt;=Parameters!$B$6,F782&gt;Parameters!$B$6-Parameters!$B$18),1,0)</f>
        <v>1</v>
      </c>
      <c r="R782" s="9" t="n">
        <f aca="false">IF(COUNTIF(Parameters!$A$51:$A$58,H782)=0,1,0)</f>
        <v>0</v>
      </c>
      <c r="S782" s="9" t="n">
        <f aca="false">IF(AND(I782="Manual",L782&gt;0),1,0)</f>
        <v>0</v>
      </c>
      <c r="T782" s="9" t="n">
        <f aca="false">IF(AND(C782&gt;=Parameters!$B$22,ROUND(MOD(ROUND(C782,2),Parameters!$B$21),2)=0),1,0)</f>
        <v>0</v>
      </c>
      <c r="U782" s="9" t="n">
        <f aca="false">IF(LEN(TRIM(J782))=0,1,0)</f>
        <v>0</v>
      </c>
      <c r="V782" s="9" t="n">
        <f aca="false">IF(AND(I782="Manual",C782&lt;Parameters!$B$19,C782&gt;=Parameters!$B$19*(1-Parameters!$B$20)),1,0)</f>
        <v>0</v>
      </c>
      <c r="W782" s="9" t="n">
        <f aca="false">IF(AND(I782="Manual",M782&gt;0),1,0)</f>
        <v>0</v>
      </c>
      <c r="X782" s="9" t="n">
        <f aca="false">IF(A782-A781&gt;1,1,0)</f>
        <v>0</v>
      </c>
      <c r="Y782" s="9" t="n">
        <f aca="false">N782*Parameters!$B$38+O782*Parameters!$B$39+P782*Parameters!$B$40+Q782*Parameters!$B$41+R782*Parameters!$B$42+S782*Parameters!$B$43+T782*Parameters!$B$44+U782*Parameters!$B$45+V782*Parameters!$B$46+W782*Parameters!$B$47+X782*Parameters!$B$48</f>
        <v>1</v>
      </c>
      <c r="Z782" s="0" t="str">
        <f aca="false">IF(Y782&gt;=Parameters!$B$25,"High","")</f>
        <v/>
      </c>
    </row>
    <row r="783" customFormat="false" ht="15" hidden="false" customHeight="false" outlineLevel="0" collapsed="false">
      <c r="A783" s="16" t="n">
        <v>1790</v>
      </c>
      <c r="B783" s="9" t="n">
        <f aca="false">COUNTIF(JE_Lines!$B$5:$B$1733,A783)</f>
        <v>2</v>
      </c>
      <c r="C783" s="17" t="n">
        <f aca="false">SUMIFS(JE_Lines!$G$5:$G$1733,JE_Lines!$B$5:$B$1733,A783)</f>
        <v>51956.1</v>
      </c>
      <c r="D783" s="17" t="n">
        <f aca="false">SUMIFS(JE_Lines!$H$5:$H$1733,JE_Lines!$B$5:$B$1733,A783)</f>
        <v>51956.1</v>
      </c>
      <c r="E783" s="17" t="n">
        <f aca="false">C783-D783</f>
        <v>0</v>
      </c>
      <c r="F783" s="18" t="n">
        <f aca="false">INDEX(JE_Lines!$C$5:$C$1733,MATCH(A783,JE_Lines!$B$5:$B$1733,0))</f>
        <v>46020</v>
      </c>
      <c r="G783" s="18" t="n">
        <f aca="false">INDEX(JE_Lines!$D$5:$D$1733,MATCH(A783,JE_Lines!$B$5:$B$1733,0))</f>
        <v>46019</v>
      </c>
      <c r="H783" s="0" t="str">
        <f aca="false">INDEX(JE_Lines!$I$5:$I$1733,MATCH(A783,JE_Lines!$B$5:$B$1733,0))</f>
        <v>FIN02</v>
      </c>
      <c r="I783" s="0" t="str">
        <f aca="false">INDEX(JE_Lines!$J$5:$J$1733,MATCH(A783,JE_Lines!$B$5:$B$1733,0))</f>
        <v>Manual</v>
      </c>
      <c r="J783" s="0" t="str">
        <f aca="false">IF(LEN(INDEX(JE_Lines!$K$5:$K$1733,MATCH(A783,JE_Lines!$B$5:$B$1733,0)))=0,"",INDEX(JE_Lines!$K$5:$K$1733,MATCH(A783,JE_Lines!$B$5:$B$1733,0)))</f>
        <v>Accrual reversal</v>
      </c>
      <c r="K783" s="9" t="n">
        <f aca="false">F783-G783</f>
        <v>1</v>
      </c>
      <c r="L783" s="9" t="n">
        <f aca="false">COUNTIFS(JE_Lines!$B$5:$B$1733,A783,JE_Lines!$F$5:$F$1733,"Revenue")</f>
        <v>0</v>
      </c>
      <c r="M783" s="9" t="n">
        <f aca="false">COUNTIFS(JE_Lines!$B$5:$B$1733,A783,JE_Lines!$F$5:$F$1733,"Suspense")</f>
        <v>0</v>
      </c>
      <c r="N783" s="9" t="n">
        <f aca="false">IF(ABS(E783)&gt;Parameters!$B$23,1,0)</f>
        <v>0</v>
      </c>
      <c r="O783" s="9" t="n">
        <f aca="false">IF(WEEKDAY(F783,2)&gt;5,1,0)</f>
        <v>0</v>
      </c>
      <c r="P783" s="9" t="n">
        <f aca="false">IF(K783&gt;Parameters!$B$17,1,0)</f>
        <v>0</v>
      </c>
      <c r="Q783" s="9" t="n">
        <f aca="false">IF(AND(F783&lt;=Parameters!$B$6,F783&gt;Parameters!$B$6-Parameters!$B$18),1,0)</f>
        <v>1</v>
      </c>
      <c r="R783" s="9" t="n">
        <f aca="false">IF(COUNTIF(Parameters!$A$51:$A$58,H783)=0,1,0)</f>
        <v>0</v>
      </c>
      <c r="S783" s="9" t="n">
        <f aca="false">IF(AND(I783="Manual",L783&gt;0),1,0)</f>
        <v>0</v>
      </c>
      <c r="T783" s="9" t="n">
        <f aca="false">IF(AND(C783&gt;=Parameters!$B$22,ROUND(MOD(ROUND(C783,2),Parameters!$B$21),2)=0),1,0)</f>
        <v>0</v>
      </c>
      <c r="U783" s="9" t="n">
        <f aca="false">IF(LEN(TRIM(J783))=0,1,0)</f>
        <v>0</v>
      </c>
      <c r="V783" s="9" t="n">
        <f aca="false">IF(AND(I783="Manual",C783&lt;Parameters!$B$19,C783&gt;=Parameters!$B$19*(1-Parameters!$B$20)),1,0)</f>
        <v>0</v>
      </c>
      <c r="W783" s="9" t="n">
        <f aca="false">IF(AND(I783="Manual",M783&gt;0),1,0)</f>
        <v>0</v>
      </c>
      <c r="X783" s="9" t="n">
        <f aca="false">IF(A783-A782&gt;1,1,0)</f>
        <v>0</v>
      </c>
      <c r="Y783" s="9" t="n">
        <f aca="false">N783*Parameters!$B$38+O783*Parameters!$B$39+P783*Parameters!$B$40+Q783*Parameters!$B$41+R783*Parameters!$B$42+S783*Parameters!$B$43+T783*Parameters!$B$44+U783*Parameters!$B$45+V783*Parameters!$B$46+W783*Parameters!$B$47+X783*Parameters!$B$48</f>
        <v>1</v>
      </c>
      <c r="Z783" s="0" t="str">
        <f aca="false">IF(Y783&gt;=Parameters!$B$25,"High","")</f>
        <v/>
      </c>
    </row>
    <row r="784" customFormat="false" ht="15" hidden="false" customHeight="false" outlineLevel="0" collapsed="false">
      <c r="A784" s="16" t="n">
        <v>1791</v>
      </c>
      <c r="B784" s="9" t="n">
        <f aca="false">COUNTIF(JE_Lines!$B$5:$B$1733,A784)</f>
        <v>2</v>
      </c>
      <c r="C784" s="17" t="n">
        <f aca="false">SUMIFS(JE_Lines!$G$5:$G$1733,JE_Lines!$B$5:$B$1733,A784)</f>
        <v>250000</v>
      </c>
      <c r="D784" s="17" t="n">
        <f aca="false">SUMIFS(JE_Lines!$H$5:$H$1733,JE_Lines!$B$5:$B$1733,A784)</f>
        <v>250000</v>
      </c>
      <c r="E784" s="17" t="n">
        <f aca="false">C784-D784</f>
        <v>0</v>
      </c>
      <c r="F784" s="18" t="n">
        <f aca="false">INDEX(JE_Lines!$C$5:$C$1733,MATCH(A784,JE_Lines!$B$5:$B$1733,0))</f>
        <v>46020</v>
      </c>
      <c r="G784" s="18" t="n">
        <f aca="false">INDEX(JE_Lines!$D$5:$D$1733,MATCH(A784,JE_Lines!$B$5:$B$1733,0))</f>
        <v>46020</v>
      </c>
      <c r="H784" s="0" t="str">
        <f aca="false">INDEX(JE_Lines!$I$5:$I$1733,MATCH(A784,JE_Lines!$B$5:$B$1733,0))</f>
        <v>FIN03</v>
      </c>
      <c r="I784" s="0" t="str">
        <f aca="false">INDEX(JE_Lines!$J$5:$J$1733,MATCH(A784,JE_Lines!$B$5:$B$1733,0))</f>
        <v>Manual</v>
      </c>
      <c r="J784" s="0" t="str">
        <f aca="false">IF(LEN(INDEX(JE_Lines!$K$5:$K$1733,MATCH(A784,JE_Lines!$B$5:$B$1733,0)))=0,"",INDEX(JE_Lines!$K$5:$K$1733,MATCH(A784,JE_Lines!$B$5:$B$1733,0)))</f>
        <v>Year end sales adjustment</v>
      </c>
      <c r="K784" s="9" t="n">
        <f aca="false">F784-G784</f>
        <v>0</v>
      </c>
      <c r="L784" s="9" t="n">
        <f aca="false">COUNTIFS(JE_Lines!$B$5:$B$1733,A784,JE_Lines!$F$5:$F$1733,"Revenue")</f>
        <v>1</v>
      </c>
      <c r="M784" s="9" t="n">
        <f aca="false">COUNTIFS(JE_Lines!$B$5:$B$1733,A784,JE_Lines!$F$5:$F$1733,"Suspense")</f>
        <v>0</v>
      </c>
      <c r="N784" s="9" t="n">
        <f aca="false">IF(ABS(E784)&gt;Parameters!$B$23,1,0)</f>
        <v>0</v>
      </c>
      <c r="O784" s="9" t="n">
        <f aca="false">IF(WEEKDAY(F784,2)&gt;5,1,0)</f>
        <v>0</v>
      </c>
      <c r="P784" s="9" t="n">
        <f aca="false">IF(K784&gt;Parameters!$B$17,1,0)</f>
        <v>0</v>
      </c>
      <c r="Q784" s="9" t="n">
        <f aca="false">IF(AND(F784&lt;=Parameters!$B$6,F784&gt;Parameters!$B$6-Parameters!$B$18),1,0)</f>
        <v>1</v>
      </c>
      <c r="R784" s="9" t="n">
        <f aca="false">IF(COUNTIF(Parameters!$A$51:$A$58,H784)=0,1,0)</f>
        <v>0</v>
      </c>
      <c r="S784" s="9" t="n">
        <f aca="false">IF(AND(I784="Manual",L784&gt;0),1,0)</f>
        <v>1</v>
      </c>
      <c r="T784" s="9" t="n">
        <f aca="false">IF(AND(C784&gt;=Parameters!$B$22,ROUND(MOD(ROUND(C784,2),Parameters!$B$21),2)=0),1,0)</f>
        <v>1</v>
      </c>
      <c r="U784" s="9" t="n">
        <f aca="false">IF(LEN(TRIM(J784))=0,1,0)</f>
        <v>0</v>
      </c>
      <c r="V784" s="9" t="n">
        <f aca="false">IF(AND(I784="Manual",C784&lt;Parameters!$B$19,C784&gt;=Parameters!$B$19*(1-Parameters!$B$20)),1,0)</f>
        <v>0</v>
      </c>
      <c r="W784" s="9" t="n">
        <f aca="false">IF(AND(I784="Manual",M784&gt;0),1,0)</f>
        <v>0</v>
      </c>
      <c r="X784" s="9" t="n">
        <f aca="false">IF(A784-A783&gt;1,1,0)</f>
        <v>0</v>
      </c>
      <c r="Y784" s="9" t="n">
        <f aca="false">N784*Parameters!$B$38+O784*Parameters!$B$39+P784*Parameters!$B$40+Q784*Parameters!$B$41+R784*Parameters!$B$42+S784*Parameters!$B$43+T784*Parameters!$B$44+U784*Parameters!$B$45+V784*Parameters!$B$46+W784*Parameters!$B$47+X784*Parameters!$B$48</f>
        <v>6</v>
      </c>
      <c r="Z784" s="0" t="str">
        <f aca="false">IF(Y784&gt;=Parameters!$B$25,"High","")</f>
        <v>High</v>
      </c>
    </row>
    <row r="785" customFormat="false" ht="15" hidden="false" customHeight="false" outlineLevel="0" collapsed="false">
      <c r="A785" s="16" t="n">
        <v>1792</v>
      </c>
      <c r="B785" s="9" t="n">
        <f aca="false">COUNTIF(JE_Lines!$B$5:$B$1733,A785)</f>
        <v>2</v>
      </c>
      <c r="C785" s="17" t="n">
        <f aca="false">SUMIFS(JE_Lines!$G$5:$G$1733,JE_Lines!$B$5:$B$1733,A785)</f>
        <v>238.26</v>
      </c>
      <c r="D785" s="17" t="n">
        <f aca="false">SUMIFS(JE_Lines!$H$5:$H$1733,JE_Lines!$B$5:$B$1733,A785)</f>
        <v>238.26</v>
      </c>
      <c r="E785" s="17" t="n">
        <f aca="false">C785-D785</f>
        <v>0</v>
      </c>
      <c r="F785" s="18" t="n">
        <f aca="false">INDEX(JE_Lines!$C$5:$C$1733,MATCH(A785,JE_Lines!$B$5:$B$1733,0))</f>
        <v>46021</v>
      </c>
      <c r="G785" s="18" t="n">
        <f aca="false">INDEX(JE_Lines!$D$5:$D$1733,MATCH(A785,JE_Lines!$B$5:$B$1733,0))</f>
        <v>46018</v>
      </c>
      <c r="H785" s="0" t="str">
        <f aca="false">INDEX(JE_Lines!$I$5:$I$1733,MATCH(A785,JE_Lines!$B$5:$B$1733,0))</f>
        <v>SYS_AR</v>
      </c>
      <c r="I785" s="0" t="str">
        <f aca="false">INDEX(JE_Lines!$J$5:$J$1733,MATCH(A785,JE_Lines!$B$5:$B$1733,0))</f>
        <v>System</v>
      </c>
      <c r="J785" s="0" t="str">
        <f aca="false">IF(LEN(INDEX(JE_Lines!$K$5:$K$1733,MATCH(A785,JE_Lines!$B$5:$B$1733,0)))=0,"",INDEX(JE_Lines!$K$5:$K$1733,MATCH(A785,JE_Lines!$B$5:$B$1733,0)))</f>
        <v>Sales invoice batch</v>
      </c>
      <c r="K785" s="9" t="n">
        <f aca="false">F785-G785</f>
        <v>3</v>
      </c>
      <c r="L785" s="9" t="n">
        <f aca="false">COUNTIFS(JE_Lines!$B$5:$B$1733,A785,JE_Lines!$F$5:$F$1733,"Revenue")</f>
        <v>1</v>
      </c>
      <c r="M785" s="9" t="n">
        <f aca="false">COUNTIFS(JE_Lines!$B$5:$B$1733,A785,JE_Lines!$F$5:$F$1733,"Suspense")</f>
        <v>0</v>
      </c>
      <c r="N785" s="9" t="n">
        <f aca="false">IF(ABS(E785)&gt;Parameters!$B$23,1,0)</f>
        <v>0</v>
      </c>
      <c r="O785" s="9" t="n">
        <f aca="false">IF(WEEKDAY(F785,2)&gt;5,1,0)</f>
        <v>0</v>
      </c>
      <c r="P785" s="9" t="n">
        <f aca="false">IF(K785&gt;Parameters!$B$17,1,0)</f>
        <v>0</v>
      </c>
      <c r="Q785" s="9" t="n">
        <f aca="false">IF(AND(F785&lt;=Parameters!$B$6,F785&gt;Parameters!$B$6-Parameters!$B$18),1,0)</f>
        <v>1</v>
      </c>
      <c r="R785" s="9" t="n">
        <f aca="false">IF(COUNTIF(Parameters!$A$51:$A$58,H785)=0,1,0)</f>
        <v>0</v>
      </c>
      <c r="S785" s="9" t="n">
        <f aca="false">IF(AND(I785="Manual",L785&gt;0),1,0)</f>
        <v>0</v>
      </c>
      <c r="T785" s="9" t="n">
        <f aca="false">IF(AND(C785&gt;=Parameters!$B$22,ROUND(MOD(ROUND(C785,2),Parameters!$B$21),2)=0),1,0)</f>
        <v>0</v>
      </c>
      <c r="U785" s="9" t="n">
        <f aca="false">IF(LEN(TRIM(J785))=0,1,0)</f>
        <v>0</v>
      </c>
      <c r="V785" s="9" t="n">
        <f aca="false">IF(AND(I785="Manual",C785&lt;Parameters!$B$19,C785&gt;=Parameters!$B$19*(1-Parameters!$B$20)),1,0)</f>
        <v>0</v>
      </c>
      <c r="W785" s="9" t="n">
        <f aca="false">IF(AND(I785="Manual",M785&gt;0),1,0)</f>
        <v>0</v>
      </c>
      <c r="X785" s="9" t="n">
        <f aca="false">IF(A785-A784&gt;1,1,0)</f>
        <v>0</v>
      </c>
      <c r="Y785" s="9" t="n">
        <f aca="false">N785*Parameters!$B$38+O785*Parameters!$B$39+P785*Parameters!$B$40+Q785*Parameters!$B$41+R785*Parameters!$B$42+S785*Parameters!$B$43+T785*Parameters!$B$44+U785*Parameters!$B$45+V785*Parameters!$B$46+W785*Parameters!$B$47+X785*Parameters!$B$48</f>
        <v>1</v>
      </c>
      <c r="Z785" s="0" t="str">
        <f aca="false">IF(Y785&gt;=Parameters!$B$25,"High","")</f>
        <v/>
      </c>
    </row>
    <row r="786" customFormat="false" ht="15" hidden="false" customHeight="false" outlineLevel="0" collapsed="false">
      <c r="A786" s="16" t="n">
        <v>1793</v>
      </c>
      <c r="B786" s="9" t="n">
        <f aca="false">COUNTIF(JE_Lines!$B$5:$B$1733,A786)</f>
        <v>2</v>
      </c>
      <c r="C786" s="17" t="n">
        <f aca="false">SUMIFS(JE_Lines!$G$5:$G$1733,JE_Lines!$B$5:$B$1733,A786)</f>
        <v>17623.64</v>
      </c>
      <c r="D786" s="17" t="n">
        <f aca="false">SUMIFS(JE_Lines!$H$5:$H$1733,JE_Lines!$B$5:$B$1733,A786)</f>
        <v>18873.64</v>
      </c>
      <c r="E786" s="17" t="n">
        <f aca="false">C786-D786</f>
        <v>-1250</v>
      </c>
      <c r="F786" s="18" t="n">
        <f aca="false">INDEX(JE_Lines!$C$5:$C$1733,MATCH(A786,JE_Lines!$B$5:$B$1733,0))</f>
        <v>46021</v>
      </c>
      <c r="G786" s="18" t="n">
        <f aca="false">INDEX(JE_Lines!$D$5:$D$1733,MATCH(A786,JE_Lines!$B$5:$B$1733,0))</f>
        <v>46021</v>
      </c>
      <c r="H786" s="0" t="str">
        <f aca="false">INDEX(JE_Lines!$I$5:$I$1733,MATCH(A786,JE_Lines!$B$5:$B$1733,0))</f>
        <v>FIN01</v>
      </c>
      <c r="I786" s="0" t="str">
        <f aca="false">INDEX(JE_Lines!$J$5:$J$1733,MATCH(A786,JE_Lines!$B$5:$B$1733,0))</f>
        <v>Manual</v>
      </c>
      <c r="J786" s="0" t="str">
        <f aca="false">IF(LEN(INDEX(JE_Lines!$K$5:$K$1733,MATCH(A786,JE_Lines!$B$5:$B$1733,0)))=0,"",INDEX(JE_Lines!$K$5:$K$1733,MATCH(A786,JE_Lines!$B$5:$B$1733,0)))</f>
        <v>Adjustment 2</v>
      </c>
      <c r="K786" s="9" t="n">
        <f aca="false">F786-G786</f>
        <v>0</v>
      </c>
      <c r="L786" s="9" t="n">
        <f aca="false">COUNTIFS(JE_Lines!$B$5:$B$1733,A786,JE_Lines!$F$5:$F$1733,"Revenue")</f>
        <v>0</v>
      </c>
      <c r="M786" s="9" t="n">
        <f aca="false">COUNTIFS(JE_Lines!$B$5:$B$1733,A786,JE_Lines!$F$5:$F$1733,"Suspense")</f>
        <v>0</v>
      </c>
      <c r="N786" s="9" t="n">
        <f aca="false">IF(ABS(E786)&gt;Parameters!$B$23,1,0)</f>
        <v>1</v>
      </c>
      <c r="O786" s="9" t="n">
        <f aca="false">IF(WEEKDAY(F786,2)&gt;5,1,0)</f>
        <v>0</v>
      </c>
      <c r="P786" s="9" t="n">
        <f aca="false">IF(K786&gt;Parameters!$B$17,1,0)</f>
        <v>0</v>
      </c>
      <c r="Q786" s="9" t="n">
        <f aca="false">IF(AND(F786&lt;=Parameters!$B$6,F786&gt;Parameters!$B$6-Parameters!$B$18),1,0)</f>
        <v>1</v>
      </c>
      <c r="R786" s="9" t="n">
        <f aca="false">IF(COUNTIF(Parameters!$A$51:$A$58,H786)=0,1,0)</f>
        <v>0</v>
      </c>
      <c r="S786" s="9" t="n">
        <f aca="false">IF(AND(I786="Manual",L786&gt;0),1,0)</f>
        <v>0</v>
      </c>
      <c r="T786" s="9" t="n">
        <f aca="false">IF(AND(C786&gt;=Parameters!$B$22,ROUND(MOD(ROUND(C786,2),Parameters!$B$21),2)=0),1,0)</f>
        <v>0</v>
      </c>
      <c r="U786" s="9" t="n">
        <f aca="false">IF(LEN(TRIM(J786))=0,1,0)</f>
        <v>0</v>
      </c>
      <c r="V786" s="9" t="n">
        <f aca="false">IF(AND(I786="Manual",C786&lt;Parameters!$B$19,C786&gt;=Parameters!$B$19*(1-Parameters!$B$20)),1,0)</f>
        <v>0</v>
      </c>
      <c r="W786" s="9" t="n">
        <f aca="false">IF(AND(I786="Manual",M786&gt;0),1,0)</f>
        <v>0</v>
      </c>
      <c r="X786" s="9" t="n">
        <f aca="false">IF(A786-A785&gt;1,1,0)</f>
        <v>0</v>
      </c>
      <c r="Y786" s="9" t="n">
        <f aca="false">N786*Parameters!$B$38+O786*Parameters!$B$39+P786*Parameters!$B$40+Q786*Parameters!$B$41+R786*Parameters!$B$42+S786*Parameters!$B$43+T786*Parameters!$B$44+U786*Parameters!$B$45+V786*Parameters!$B$46+W786*Parameters!$B$47+X786*Parameters!$B$48</f>
        <v>6</v>
      </c>
      <c r="Z786" s="0" t="str">
        <f aca="false">IF(Y786&gt;=Parameters!$B$25,"High","")</f>
        <v>High</v>
      </c>
    </row>
    <row r="787" customFormat="false" ht="15" hidden="false" customHeight="false" outlineLevel="0" collapsed="false">
      <c r="A787" s="16" t="n">
        <v>1794</v>
      </c>
      <c r="B787" s="9" t="n">
        <f aca="false">COUNTIF(JE_Lines!$B$5:$B$1733,A787)</f>
        <v>2</v>
      </c>
      <c r="C787" s="17" t="n">
        <f aca="false">SUMIFS(JE_Lines!$G$5:$G$1733,JE_Lines!$B$5:$B$1733,A787)</f>
        <v>32999.26</v>
      </c>
      <c r="D787" s="17" t="n">
        <f aca="false">SUMIFS(JE_Lines!$H$5:$H$1733,JE_Lines!$B$5:$B$1733,A787)</f>
        <v>32999.26</v>
      </c>
      <c r="E787" s="17" t="n">
        <f aca="false">C787-D787</f>
        <v>0</v>
      </c>
      <c r="F787" s="18" t="n">
        <f aca="false">INDEX(JE_Lines!$C$5:$C$1733,MATCH(A787,JE_Lines!$B$5:$B$1733,0))</f>
        <v>46021</v>
      </c>
      <c r="G787" s="18" t="n">
        <f aca="false">INDEX(JE_Lines!$D$5:$D$1733,MATCH(A787,JE_Lines!$B$5:$B$1733,0))</f>
        <v>46020</v>
      </c>
      <c r="H787" s="0" t="str">
        <f aca="false">INDEX(JE_Lines!$I$5:$I$1733,MATCH(A787,JE_Lines!$B$5:$B$1733,0))</f>
        <v>SYS_AR</v>
      </c>
      <c r="I787" s="0" t="str">
        <f aca="false">INDEX(JE_Lines!$J$5:$J$1733,MATCH(A787,JE_Lines!$B$5:$B$1733,0))</f>
        <v>System</v>
      </c>
      <c r="J787" s="0" t="str">
        <f aca="false">IF(LEN(INDEX(JE_Lines!$K$5:$K$1733,MATCH(A787,JE_Lines!$B$5:$B$1733,0)))=0,"",INDEX(JE_Lines!$K$5:$K$1733,MATCH(A787,JE_Lines!$B$5:$B$1733,0)))</f>
        <v>Customer receipts</v>
      </c>
      <c r="K787" s="9" t="n">
        <f aca="false">F787-G787</f>
        <v>1</v>
      </c>
      <c r="L787" s="9" t="n">
        <f aca="false">COUNTIFS(JE_Lines!$B$5:$B$1733,A787,JE_Lines!$F$5:$F$1733,"Revenue")</f>
        <v>0</v>
      </c>
      <c r="M787" s="9" t="n">
        <f aca="false">COUNTIFS(JE_Lines!$B$5:$B$1733,A787,JE_Lines!$F$5:$F$1733,"Suspense")</f>
        <v>0</v>
      </c>
      <c r="N787" s="9" t="n">
        <f aca="false">IF(ABS(E787)&gt;Parameters!$B$23,1,0)</f>
        <v>0</v>
      </c>
      <c r="O787" s="9" t="n">
        <f aca="false">IF(WEEKDAY(F787,2)&gt;5,1,0)</f>
        <v>0</v>
      </c>
      <c r="P787" s="9" t="n">
        <f aca="false">IF(K787&gt;Parameters!$B$17,1,0)</f>
        <v>0</v>
      </c>
      <c r="Q787" s="9" t="n">
        <f aca="false">IF(AND(F787&lt;=Parameters!$B$6,F787&gt;Parameters!$B$6-Parameters!$B$18),1,0)</f>
        <v>1</v>
      </c>
      <c r="R787" s="9" t="n">
        <f aca="false">IF(COUNTIF(Parameters!$A$51:$A$58,H787)=0,1,0)</f>
        <v>0</v>
      </c>
      <c r="S787" s="9" t="n">
        <f aca="false">IF(AND(I787="Manual",L787&gt;0),1,0)</f>
        <v>0</v>
      </c>
      <c r="T787" s="9" t="n">
        <f aca="false">IF(AND(C787&gt;=Parameters!$B$22,ROUND(MOD(ROUND(C787,2),Parameters!$B$21),2)=0),1,0)</f>
        <v>0</v>
      </c>
      <c r="U787" s="9" t="n">
        <f aca="false">IF(LEN(TRIM(J787))=0,1,0)</f>
        <v>0</v>
      </c>
      <c r="V787" s="9" t="n">
        <f aca="false">IF(AND(I787="Manual",C787&lt;Parameters!$B$19,C787&gt;=Parameters!$B$19*(1-Parameters!$B$20)),1,0)</f>
        <v>0</v>
      </c>
      <c r="W787" s="9" t="n">
        <f aca="false">IF(AND(I787="Manual",M787&gt;0),1,0)</f>
        <v>0</v>
      </c>
      <c r="X787" s="9" t="n">
        <f aca="false">IF(A787-A786&gt;1,1,0)</f>
        <v>0</v>
      </c>
      <c r="Y787" s="9" t="n">
        <f aca="false">N787*Parameters!$B$38+O787*Parameters!$B$39+P787*Parameters!$B$40+Q787*Parameters!$B$41+R787*Parameters!$B$42+S787*Parameters!$B$43+T787*Parameters!$B$44+U787*Parameters!$B$45+V787*Parameters!$B$46+W787*Parameters!$B$47+X787*Parameters!$B$48</f>
        <v>1</v>
      </c>
      <c r="Z787" s="0" t="str">
        <f aca="false">IF(Y787&gt;=Parameters!$B$25,"High","")</f>
        <v/>
      </c>
    </row>
    <row r="788" customFormat="false" ht="15" hidden="false" customHeight="false" outlineLevel="0" collapsed="false">
      <c r="A788" s="16" t="n">
        <v>1795</v>
      </c>
      <c r="B788" s="9" t="n">
        <f aca="false">COUNTIF(JE_Lines!$B$5:$B$1733,A788)</f>
        <v>2</v>
      </c>
      <c r="C788" s="17" t="n">
        <f aca="false">SUMIFS(JE_Lines!$G$5:$G$1733,JE_Lines!$B$5:$B$1733,A788)</f>
        <v>180000</v>
      </c>
      <c r="D788" s="17" t="n">
        <f aca="false">SUMIFS(JE_Lines!$H$5:$H$1733,JE_Lines!$B$5:$B$1733,A788)</f>
        <v>180000</v>
      </c>
      <c r="E788" s="17" t="n">
        <f aca="false">C788-D788</f>
        <v>0</v>
      </c>
      <c r="F788" s="18" t="n">
        <f aca="false">INDEX(JE_Lines!$C$5:$C$1733,MATCH(A788,JE_Lines!$B$5:$B$1733,0))</f>
        <v>46021</v>
      </c>
      <c r="G788" s="18" t="n">
        <f aca="false">INDEX(JE_Lines!$D$5:$D$1733,MATCH(A788,JE_Lines!$B$5:$B$1733,0))</f>
        <v>46021</v>
      </c>
      <c r="H788" s="0" t="str">
        <f aca="false">INDEX(JE_Lines!$I$5:$I$1733,MATCH(A788,JE_Lines!$B$5:$B$1733,0))</f>
        <v>FIN03</v>
      </c>
      <c r="I788" s="0" t="str">
        <f aca="false">INDEX(JE_Lines!$J$5:$J$1733,MATCH(A788,JE_Lines!$B$5:$B$1733,0))</f>
        <v>Manual</v>
      </c>
      <c r="J788" s="0" t="str">
        <f aca="false">IF(LEN(INDEX(JE_Lines!$K$5:$K$1733,MATCH(A788,JE_Lines!$B$5:$B$1733,0)))=0,"",INDEX(JE_Lines!$K$5:$K$1733,MATCH(A788,JE_Lines!$B$5:$B$1733,0)))</f>
        <v>Year end sales adjustment</v>
      </c>
      <c r="K788" s="9" t="n">
        <f aca="false">F788-G788</f>
        <v>0</v>
      </c>
      <c r="L788" s="9" t="n">
        <f aca="false">COUNTIFS(JE_Lines!$B$5:$B$1733,A788,JE_Lines!$F$5:$F$1733,"Revenue")</f>
        <v>1</v>
      </c>
      <c r="M788" s="9" t="n">
        <f aca="false">COUNTIFS(JE_Lines!$B$5:$B$1733,A788,JE_Lines!$F$5:$F$1733,"Suspense")</f>
        <v>0</v>
      </c>
      <c r="N788" s="9" t="n">
        <f aca="false">IF(ABS(E788)&gt;Parameters!$B$23,1,0)</f>
        <v>0</v>
      </c>
      <c r="O788" s="9" t="n">
        <f aca="false">IF(WEEKDAY(F788,2)&gt;5,1,0)</f>
        <v>0</v>
      </c>
      <c r="P788" s="9" t="n">
        <f aca="false">IF(K788&gt;Parameters!$B$17,1,0)</f>
        <v>0</v>
      </c>
      <c r="Q788" s="9" t="n">
        <f aca="false">IF(AND(F788&lt;=Parameters!$B$6,F788&gt;Parameters!$B$6-Parameters!$B$18),1,0)</f>
        <v>1</v>
      </c>
      <c r="R788" s="9" t="n">
        <f aca="false">IF(COUNTIF(Parameters!$A$51:$A$58,H788)=0,1,0)</f>
        <v>0</v>
      </c>
      <c r="S788" s="9" t="n">
        <f aca="false">IF(AND(I788="Manual",L788&gt;0),1,0)</f>
        <v>1</v>
      </c>
      <c r="T788" s="9" t="n">
        <f aca="false">IF(AND(C788&gt;=Parameters!$B$22,ROUND(MOD(ROUND(C788,2),Parameters!$B$21),2)=0),1,0)</f>
        <v>1</v>
      </c>
      <c r="U788" s="9" t="n">
        <f aca="false">IF(LEN(TRIM(J788))=0,1,0)</f>
        <v>0</v>
      </c>
      <c r="V788" s="9" t="n">
        <f aca="false">IF(AND(I788="Manual",C788&lt;Parameters!$B$19,C788&gt;=Parameters!$B$19*(1-Parameters!$B$20)),1,0)</f>
        <v>0</v>
      </c>
      <c r="W788" s="9" t="n">
        <f aca="false">IF(AND(I788="Manual",M788&gt;0),1,0)</f>
        <v>0</v>
      </c>
      <c r="X788" s="9" t="n">
        <f aca="false">IF(A788-A787&gt;1,1,0)</f>
        <v>0</v>
      </c>
      <c r="Y788" s="9" t="n">
        <f aca="false">N788*Parameters!$B$38+O788*Parameters!$B$39+P788*Parameters!$B$40+Q788*Parameters!$B$41+R788*Parameters!$B$42+S788*Parameters!$B$43+T788*Parameters!$B$44+U788*Parameters!$B$45+V788*Parameters!$B$46+W788*Parameters!$B$47+X788*Parameters!$B$48</f>
        <v>6</v>
      </c>
      <c r="Z788" s="0" t="str">
        <f aca="false">IF(Y788&gt;=Parameters!$B$25,"High","")</f>
        <v>High</v>
      </c>
    </row>
    <row r="789" customFormat="false" ht="15" hidden="false" customHeight="false" outlineLevel="0" collapsed="false">
      <c r="A789" s="16" t="n">
        <v>1796</v>
      </c>
      <c r="B789" s="9" t="n">
        <f aca="false">COUNTIF(JE_Lines!$B$5:$B$1733,A789)</f>
        <v>2</v>
      </c>
      <c r="C789" s="17" t="n">
        <f aca="false">SUMIFS(JE_Lines!$G$5:$G$1733,JE_Lines!$B$5:$B$1733,A789)</f>
        <v>320000</v>
      </c>
      <c r="D789" s="17" t="n">
        <f aca="false">SUMIFS(JE_Lines!$H$5:$H$1733,JE_Lines!$B$5:$B$1733,A789)</f>
        <v>320000</v>
      </c>
      <c r="E789" s="17" t="n">
        <f aca="false">C789-D789</f>
        <v>0</v>
      </c>
      <c r="F789" s="18" t="n">
        <f aca="false">INDEX(JE_Lines!$C$5:$C$1733,MATCH(A789,JE_Lines!$B$5:$B$1733,0))</f>
        <v>46021</v>
      </c>
      <c r="G789" s="18" t="n">
        <f aca="false">INDEX(JE_Lines!$D$5:$D$1733,MATCH(A789,JE_Lines!$B$5:$B$1733,0))</f>
        <v>46021</v>
      </c>
      <c r="H789" s="0" t="str">
        <f aca="false">INDEX(JE_Lines!$I$5:$I$1733,MATCH(A789,JE_Lines!$B$5:$B$1733,0))</f>
        <v>FIN03</v>
      </c>
      <c r="I789" s="0" t="str">
        <f aca="false">INDEX(JE_Lines!$J$5:$J$1733,MATCH(A789,JE_Lines!$B$5:$B$1733,0))</f>
        <v>Manual</v>
      </c>
      <c r="J789" s="0" t="str">
        <f aca="false">IF(LEN(INDEX(JE_Lines!$K$5:$K$1733,MATCH(A789,JE_Lines!$B$5:$B$1733,0)))=0,"",INDEX(JE_Lines!$K$5:$K$1733,MATCH(A789,JE_Lines!$B$5:$B$1733,0)))</f>
        <v/>
      </c>
      <c r="K789" s="9" t="n">
        <f aca="false">F789-G789</f>
        <v>0</v>
      </c>
      <c r="L789" s="9" t="n">
        <f aca="false">COUNTIFS(JE_Lines!$B$5:$B$1733,A789,JE_Lines!$F$5:$F$1733,"Revenue")</f>
        <v>1</v>
      </c>
      <c r="M789" s="9" t="n">
        <f aca="false">COUNTIFS(JE_Lines!$B$5:$B$1733,A789,JE_Lines!$F$5:$F$1733,"Suspense")</f>
        <v>0</v>
      </c>
      <c r="N789" s="9" t="n">
        <f aca="false">IF(ABS(E789)&gt;Parameters!$B$23,1,0)</f>
        <v>0</v>
      </c>
      <c r="O789" s="9" t="n">
        <f aca="false">IF(WEEKDAY(F789,2)&gt;5,1,0)</f>
        <v>0</v>
      </c>
      <c r="P789" s="9" t="n">
        <f aca="false">IF(K789&gt;Parameters!$B$17,1,0)</f>
        <v>0</v>
      </c>
      <c r="Q789" s="9" t="n">
        <f aca="false">IF(AND(F789&lt;=Parameters!$B$6,F789&gt;Parameters!$B$6-Parameters!$B$18),1,0)</f>
        <v>1</v>
      </c>
      <c r="R789" s="9" t="n">
        <f aca="false">IF(COUNTIF(Parameters!$A$51:$A$58,H789)=0,1,0)</f>
        <v>0</v>
      </c>
      <c r="S789" s="9" t="n">
        <f aca="false">IF(AND(I789="Manual",L789&gt;0),1,0)</f>
        <v>1</v>
      </c>
      <c r="T789" s="9" t="n">
        <f aca="false">IF(AND(C789&gt;=Parameters!$B$22,ROUND(MOD(ROUND(C789,2),Parameters!$B$21),2)=0),1,0)</f>
        <v>1</v>
      </c>
      <c r="U789" s="9" t="n">
        <f aca="false">IF(LEN(TRIM(J789))=0,1,0)</f>
        <v>1</v>
      </c>
      <c r="V789" s="9" t="n">
        <f aca="false">IF(AND(I789="Manual",C789&lt;Parameters!$B$19,C789&gt;=Parameters!$B$19*(1-Parameters!$B$20)),1,0)</f>
        <v>0</v>
      </c>
      <c r="W789" s="9" t="n">
        <f aca="false">IF(AND(I789="Manual",M789&gt;0),1,0)</f>
        <v>0</v>
      </c>
      <c r="X789" s="9" t="n">
        <f aca="false">IF(A789-A788&gt;1,1,0)</f>
        <v>0</v>
      </c>
      <c r="Y789" s="9" t="n">
        <f aca="false">N789*Parameters!$B$38+O789*Parameters!$B$39+P789*Parameters!$B$40+Q789*Parameters!$B$41+R789*Parameters!$B$42+S789*Parameters!$B$43+T789*Parameters!$B$44+U789*Parameters!$B$45+V789*Parameters!$B$46+W789*Parameters!$B$47+X789*Parameters!$B$48</f>
        <v>8</v>
      </c>
      <c r="Z789" s="0" t="str">
        <f aca="false">IF(Y789&gt;=Parameters!$B$25,"High","")</f>
        <v>High</v>
      </c>
    </row>
    <row r="790" customFormat="false" ht="15" hidden="false" customHeight="false" outlineLevel="0" collapsed="false">
      <c r="A790" s="16" t="n">
        <v>1797</v>
      </c>
      <c r="B790" s="9" t="n">
        <f aca="false">COUNTIF(JE_Lines!$B$5:$B$1733,A790)</f>
        <v>2</v>
      </c>
      <c r="C790" s="17" t="n">
        <f aca="false">SUMIFS(JE_Lines!$G$5:$G$1733,JE_Lines!$B$5:$B$1733,A790)</f>
        <v>39969.79</v>
      </c>
      <c r="D790" s="17" t="n">
        <f aca="false">SUMIFS(JE_Lines!$H$5:$H$1733,JE_Lines!$B$5:$B$1733,A790)</f>
        <v>39969.79</v>
      </c>
      <c r="E790" s="17" t="n">
        <f aca="false">C790-D790</f>
        <v>0</v>
      </c>
      <c r="F790" s="18" t="n">
        <f aca="false">INDEX(JE_Lines!$C$5:$C$1733,MATCH(A790,JE_Lines!$B$5:$B$1733,0))</f>
        <v>46021</v>
      </c>
      <c r="G790" s="18" t="n">
        <f aca="false">INDEX(JE_Lines!$D$5:$D$1733,MATCH(A790,JE_Lines!$B$5:$B$1733,0))</f>
        <v>46020</v>
      </c>
      <c r="H790" s="0" t="str">
        <f aca="false">INDEX(JE_Lines!$I$5:$I$1733,MATCH(A790,JE_Lines!$B$5:$B$1733,0))</f>
        <v>SYS_AP</v>
      </c>
      <c r="I790" s="0" t="str">
        <f aca="false">INDEX(JE_Lines!$J$5:$J$1733,MATCH(A790,JE_Lines!$B$5:$B$1733,0))</f>
        <v>System</v>
      </c>
      <c r="J790" s="0" t="str">
        <f aca="false">IF(LEN(INDEX(JE_Lines!$K$5:$K$1733,MATCH(A790,JE_Lines!$B$5:$B$1733,0)))=0,"",INDEX(JE_Lines!$K$5:$K$1733,MATCH(A790,JE_Lines!$B$5:$B$1733,0)))</f>
        <v>Supplier invoices</v>
      </c>
      <c r="K790" s="9" t="n">
        <f aca="false">F790-G790</f>
        <v>1</v>
      </c>
      <c r="L790" s="9" t="n">
        <f aca="false">COUNTIFS(JE_Lines!$B$5:$B$1733,A790,JE_Lines!$F$5:$F$1733,"Revenue")</f>
        <v>0</v>
      </c>
      <c r="M790" s="9" t="n">
        <f aca="false">COUNTIFS(JE_Lines!$B$5:$B$1733,A790,JE_Lines!$F$5:$F$1733,"Suspense")</f>
        <v>0</v>
      </c>
      <c r="N790" s="9" t="n">
        <f aca="false">IF(ABS(E790)&gt;Parameters!$B$23,1,0)</f>
        <v>0</v>
      </c>
      <c r="O790" s="9" t="n">
        <f aca="false">IF(WEEKDAY(F790,2)&gt;5,1,0)</f>
        <v>0</v>
      </c>
      <c r="P790" s="9" t="n">
        <f aca="false">IF(K790&gt;Parameters!$B$17,1,0)</f>
        <v>0</v>
      </c>
      <c r="Q790" s="9" t="n">
        <f aca="false">IF(AND(F790&lt;=Parameters!$B$6,F790&gt;Parameters!$B$6-Parameters!$B$18),1,0)</f>
        <v>1</v>
      </c>
      <c r="R790" s="9" t="n">
        <f aca="false">IF(COUNTIF(Parameters!$A$51:$A$58,H790)=0,1,0)</f>
        <v>0</v>
      </c>
      <c r="S790" s="9" t="n">
        <f aca="false">IF(AND(I790="Manual",L790&gt;0),1,0)</f>
        <v>0</v>
      </c>
      <c r="T790" s="9" t="n">
        <f aca="false">IF(AND(C790&gt;=Parameters!$B$22,ROUND(MOD(ROUND(C790,2),Parameters!$B$21),2)=0),1,0)</f>
        <v>0</v>
      </c>
      <c r="U790" s="9" t="n">
        <f aca="false">IF(LEN(TRIM(J790))=0,1,0)</f>
        <v>0</v>
      </c>
      <c r="V790" s="9" t="n">
        <f aca="false">IF(AND(I790="Manual",C790&lt;Parameters!$B$19,C790&gt;=Parameters!$B$19*(1-Parameters!$B$20)),1,0)</f>
        <v>0</v>
      </c>
      <c r="W790" s="9" t="n">
        <f aca="false">IF(AND(I790="Manual",M790&gt;0),1,0)</f>
        <v>0</v>
      </c>
      <c r="X790" s="9" t="n">
        <f aca="false">IF(A790-A789&gt;1,1,0)</f>
        <v>0</v>
      </c>
      <c r="Y790" s="9" t="n">
        <f aca="false">N790*Parameters!$B$38+O790*Parameters!$B$39+P790*Parameters!$B$40+Q790*Parameters!$B$41+R790*Parameters!$B$42+S790*Parameters!$B$43+T790*Parameters!$B$44+U790*Parameters!$B$45+V790*Parameters!$B$46+W790*Parameters!$B$47+X790*Parameters!$B$48</f>
        <v>1</v>
      </c>
      <c r="Z790" s="0" t="str">
        <f aca="false">IF(Y790&gt;=Parameters!$B$25,"High","")</f>
        <v/>
      </c>
    </row>
    <row r="791" customFormat="false" ht="15" hidden="false" customHeight="false" outlineLevel="0" collapsed="false">
      <c r="A791" s="16" t="n">
        <v>1798</v>
      </c>
      <c r="B791" s="9" t="n">
        <f aca="false">COUNTIF(JE_Lines!$B$5:$B$1733,A791)</f>
        <v>2</v>
      </c>
      <c r="C791" s="17" t="n">
        <f aca="false">SUMIFS(JE_Lines!$G$5:$G$1733,JE_Lines!$B$5:$B$1733,A791)</f>
        <v>7410.96</v>
      </c>
      <c r="D791" s="17" t="n">
        <f aca="false">SUMIFS(JE_Lines!$H$5:$H$1733,JE_Lines!$B$5:$B$1733,A791)</f>
        <v>7410.96</v>
      </c>
      <c r="E791" s="17" t="n">
        <f aca="false">C791-D791</f>
        <v>0</v>
      </c>
      <c r="F791" s="18" t="n">
        <f aca="false">INDEX(JE_Lines!$C$5:$C$1733,MATCH(A791,JE_Lines!$B$5:$B$1733,0))</f>
        <v>46021</v>
      </c>
      <c r="G791" s="18" t="n">
        <f aca="false">INDEX(JE_Lines!$D$5:$D$1733,MATCH(A791,JE_Lines!$B$5:$B$1733,0))</f>
        <v>46019</v>
      </c>
      <c r="H791" s="0" t="str">
        <f aca="false">INDEX(JE_Lines!$I$5:$I$1733,MATCH(A791,JE_Lines!$B$5:$B$1733,0))</f>
        <v>SYS_AP</v>
      </c>
      <c r="I791" s="0" t="str">
        <f aca="false">INDEX(JE_Lines!$J$5:$J$1733,MATCH(A791,JE_Lines!$B$5:$B$1733,0))</f>
        <v>System</v>
      </c>
      <c r="J791" s="0" t="str">
        <f aca="false">IF(LEN(INDEX(JE_Lines!$K$5:$K$1733,MATCH(A791,JE_Lines!$B$5:$B$1733,0)))=0,"",INDEX(JE_Lines!$K$5:$K$1733,MATCH(A791,JE_Lines!$B$5:$B$1733,0)))</f>
        <v>Supplier invoices</v>
      </c>
      <c r="K791" s="9" t="n">
        <f aca="false">F791-G791</f>
        <v>2</v>
      </c>
      <c r="L791" s="9" t="n">
        <f aca="false">COUNTIFS(JE_Lines!$B$5:$B$1733,A791,JE_Lines!$F$5:$F$1733,"Revenue")</f>
        <v>0</v>
      </c>
      <c r="M791" s="9" t="n">
        <f aca="false">COUNTIFS(JE_Lines!$B$5:$B$1733,A791,JE_Lines!$F$5:$F$1733,"Suspense")</f>
        <v>0</v>
      </c>
      <c r="N791" s="9" t="n">
        <f aca="false">IF(ABS(E791)&gt;Parameters!$B$23,1,0)</f>
        <v>0</v>
      </c>
      <c r="O791" s="9" t="n">
        <f aca="false">IF(WEEKDAY(F791,2)&gt;5,1,0)</f>
        <v>0</v>
      </c>
      <c r="P791" s="9" t="n">
        <f aca="false">IF(K791&gt;Parameters!$B$17,1,0)</f>
        <v>0</v>
      </c>
      <c r="Q791" s="9" t="n">
        <f aca="false">IF(AND(F791&lt;=Parameters!$B$6,F791&gt;Parameters!$B$6-Parameters!$B$18),1,0)</f>
        <v>1</v>
      </c>
      <c r="R791" s="9" t="n">
        <f aca="false">IF(COUNTIF(Parameters!$A$51:$A$58,H791)=0,1,0)</f>
        <v>0</v>
      </c>
      <c r="S791" s="9" t="n">
        <f aca="false">IF(AND(I791="Manual",L791&gt;0),1,0)</f>
        <v>0</v>
      </c>
      <c r="T791" s="9" t="n">
        <f aca="false">IF(AND(C791&gt;=Parameters!$B$22,ROUND(MOD(ROUND(C791,2),Parameters!$B$21),2)=0),1,0)</f>
        <v>0</v>
      </c>
      <c r="U791" s="9" t="n">
        <f aca="false">IF(LEN(TRIM(J791))=0,1,0)</f>
        <v>0</v>
      </c>
      <c r="V791" s="9" t="n">
        <f aca="false">IF(AND(I791="Manual",C791&lt;Parameters!$B$19,C791&gt;=Parameters!$B$19*(1-Parameters!$B$20)),1,0)</f>
        <v>0</v>
      </c>
      <c r="W791" s="9" t="n">
        <f aca="false">IF(AND(I791="Manual",M791&gt;0),1,0)</f>
        <v>0</v>
      </c>
      <c r="X791" s="9" t="n">
        <f aca="false">IF(A791-A790&gt;1,1,0)</f>
        <v>0</v>
      </c>
      <c r="Y791" s="9" t="n">
        <f aca="false">N791*Parameters!$B$38+O791*Parameters!$B$39+P791*Parameters!$B$40+Q791*Parameters!$B$41+R791*Parameters!$B$42+S791*Parameters!$B$43+T791*Parameters!$B$44+U791*Parameters!$B$45+V791*Parameters!$B$46+W791*Parameters!$B$47+X791*Parameters!$B$48</f>
        <v>1</v>
      </c>
      <c r="Z791" s="0" t="str">
        <f aca="false">IF(Y791&gt;=Parameters!$B$25,"High","")</f>
        <v/>
      </c>
    </row>
    <row r="792" customFormat="false" ht="15" hidden="false" customHeight="false" outlineLevel="0" collapsed="false">
      <c r="A792" s="16" t="n">
        <v>1799</v>
      </c>
      <c r="B792" s="9" t="n">
        <f aca="false">COUNTIF(JE_Lines!$B$5:$B$1733,A792)</f>
        <v>2</v>
      </c>
      <c r="C792" s="17" t="n">
        <f aca="false">SUMIFS(JE_Lines!$G$5:$G$1733,JE_Lines!$B$5:$B$1733,A792)</f>
        <v>16356.88</v>
      </c>
      <c r="D792" s="17" t="n">
        <f aca="false">SUMIFS(JE_Lines!$H$5:$H$1733,JE_Lines!$B$5:$B$1733,A792)</f>
        <v>16356.88</v>
      </c>
      <c r="E792" s="17" t="n">
        <f aca="false">C792-D792</f>
        <v>0</v>
      </c>
      <c r="F792" s="18" t="n">
        <f aca="false">INDEX(JE_Lines!$C$5:$C$1733,MATCH(A792,JE_Lines!$B$5:$B$1733,0))</f>
        <v>46021</v>
      </c>
      <c r="G792" s="18" t="n">
        <f aca="false">INDEX(JE_Lines!$D$5:$D$1733,MATCH(A792,JE_Lines!$B$5:$B$1733,0))</f>
        <v>46021</v>
      </c>
      <c r="H792" s="0" t="str">
        <f aca="false">INDEX(JE_Lines!$I$5:$I$1733,MATCH(A792,JE_Lines!$B$5:$B$1733,0))</f>
        <v>SYS_AR</v>
      </c>
      <c r="I792" s="0" t="str">
        <f aca="false">INDEX(JE_Lines!$J$5:$J$1733,MATCH(A792,JE_Lines!$B$5:$B$1733,0))</f>
        <v>System</v>
      </c>
      <c r="J792" s="0" t="str">
        <f aca="false">IF(LEN(INDEX(JE_Lines!$K$5:$K$1733,MATCH(A792,JE_Lines!$B$5:$B$1733,0)))=0,"",INDEX(JE_Lines!$K$5:$K$1733,MATCH(A792,JE_Lines!$B$5:$B$1733,0)))</f>
        <v>Customer receipts</v>
      </c>
      <c r="K792" s="9" t="n">
        <f aca="false">F792-G792</f>
        <v>0</v>
      </c>
      <c r="L792" s="9" t="n">
        <f aca="false">COUNTIFS(JE_Lines!$B$5:$B$1733,A792,JE_Lines!$F$5:$F$1733,"Revenue")</f>
        <v>0</v>
      </c>
      <c r="M792" s="9" t="n">
        <f aca="false">COUNTIFS(JE_Lines!$B$5:$B$1733,A792,JE_Lines!$F$5:$F$1733,"Suspense")</f>
        <v>0</v>
      </c>
      <c r="N792" s="9" t="n">
        <f aca="false">IF(ABS(E792)&gt;Parameters!$B$23,1,0)</f>
        <v>0</v>
      </c>
      <c r="O792" s="9" t="n">
        <f aca="false">IF(WEEKDAY(F792,2)&gt;5,1,0)</f>
        <v>0</v>
      </c>
      <c r="P792" s="9" t="n">
        <f aca="false">IF(K792&gt;Parameters!$B$17,1,0)</f>
        <v>0</v>
      </c>
      <c r="Q792" s="9" t="n">
        <f aca="false">IF(AND(F792&lt;=Parameters!$B$6,F792&gt;Parameters!$B$6-Parameters!$B$18),1,0)</f>
        <v>1</v>
      </c>
      <c r="R792" s="9" t="n">
        <f aca="false">IF(COUNTIF(Parameters!$A$51:$A$58,H792)=0,1,0)</f>
        <v>0</v>
      </c>
      <c r="S792" s="9" t="n">
        <f aca="false">IF(AND(I792="Manual",L792&gt;0),1,0)</f>
        <v>0</v>
      </c>
      <c r="T792" s="9" t="n">
        <f aca="false">IF(AND(C792&gt;=Parameters!$B$22,ROUND(MOD(ROUND(C792,2),Parameters!$B$21),2)=0),1,0)</f>
        <v>0</v>
      </c>
      <c r="U792" s="9" t="n">
        <f aca="false">IF(LEN(TRIM(J792))=0,1,0)</f>
        <v>0</v>
      </c>
      <c r="V792" s="9" t="n">
        <f aca="false">IF(AND(I792="Manual",C792&lt;Parameters!$B$19,C792&gt;=Parameters!$B$19*(1-Parameters!$B$20)),1,0)</f>
        <v>0</v>
      </c>
      <c r="W792" s="9" t="n">
        <f aca="false">IF(AND(I792="Manual",M792&gt;0),1,0)</f>
        <v>0</v>
      </c>
      <c r="X792" s="9" t="n">
        <f aca="false">IF(A792-A791&gt;1,1,0)</f>
        <v>0</v>
      </c>
      <c r="Y792" s="9" t="n">
        <f aca="false">N792*Parameters!$B$38+O792*Parameters!$B$39+P792*Parameters!$B$40+Q792*Parameters!$B$41+R792*Parameters!$B$42+S792*Parameters!$B$43+T792*Parameters!$B$44+U792*Parameters!$B$45+V792*Parameters!$B$46+W792*Parameters!$B$47+X792*Parameters!$B$48</f>
        <v>1</v>
      </c>
      <c r="Z792" s="0" t="str">
        <f aca="false">IF(Y792&gt;=Parameters!$B$25,"High","")</f>
        <v/>
      </c>
    </row>
    <row r="793" customFormat="false" ht="15" hidden="false" customHeight="false" outlineLevel="0" collapsed="false">
      <c r="A793" s="16" t="n">
        <v>1800</v>
      </c>
      <c r="B793" s="9" t="n">
        <f aca="false">COUNTIF(JE_Lines!$B$5:$B$1733,A793)</f>
        <v>2</v>
      </c>
      <c r="C793" s="17" t="n">
        <f aca="false">SUMIFS(JE_Lines!$G$5:$G$1733,JE_Lines!$B$5:$B$1733,A793)</f>
        <v>150000</v>
      </c>
      <c r="D793" s="17" t="n">
        <f aca="false">SUMIFS(JE_Lines!$H$5:$H$1733,JE_Lines!$B$5:$B$1733,A793)</f>
        <v>150000</v>
      </c>
      <c r="E793" s="17" t="n">
        <f aca="false">C793-D793</f>
        <v>0</v>
      </c>
      <c r="F793" s="18" t="n">
        <f aca="false">INDEX(JE_Lines!$C$5:$C$1733,MATCH(A793,JE_Lines!$B$5:$B$1733,0))</f>
        <v>46022</v>
      </c>
      <c r="G793" s="18" t="n">
        <f aca="false">INDEX(JE_Lines!$D$5:$D$1733,MATCH(A793,JE_Lines!$B$5:$B$1733,0))</f>
        <v>46022</v>
      </c>
      <c r="H793" s="0" t="str">
        <f aca="false">INDEX(JE_Lines!$I$5:$I$1733,MATCH(A793,JE_Lines!$B$5:$B$1733,0))</f>
        <v>FIN03</v>
      </c>
      <c r="I793" s="0" t="str">
        <f aca="false">INDEX(JE_Lines!$J$5:$J$1733,MATCH(A793,JE_Lines!$B$5:$B$1733,0))</f>
        <v>Manual</v>
      </c>
      <c r="J793" s="0" t="str">
        <f aca="false">IF(LEN(INDEX(JE_Lines!$K$5:$K$1733,MATCH(A793,JE_Lines!$B$5:$B$1733,0)))=0,"",INDEX(JE_Lines!$K$5:$K$1733,MATCH(A793,JE_Lines!$B$5:$B$1733,0)))</f>
        <v>Sales cutoff entry</v>
      </c>
      <c r="K793" s="9" t="n">
        <f aca="false">F793-G793</f>
        <v>0</v>
      </c>
      <c r="L793" s="9" t="n">
        <f aca="false">COUNTIFS(JE_Lines!$B$5:$B$1733,A793,JE_Lines!$F$5:$F$1733,"Revenue")</f>
        <v>1</v>
      </c>
      <c r="M793" s="9" t="n">
        <f aca="false">COUNTIFS(JE_Lines!$B$5:$B$1733,A793,JE_Lines!$F$5:$F$1733,"Suspense")</f>
        <v>0</v>
      </c>
      <c r="N793" s="9" t="n">
        <f aca="false">IF(ABS(E793)&gt;Parameters!$B$23,1,0)</f>
        <v>0</v>
      </c>
      <c r="O793" s="9" t="n">
        <f aca="false">IF(WEEKDAY(F793,2)&gt;5,1,0)</f>
        <v>0</v>
      </c>
      <c r="P793" s="9" t="n">
        <f aca="false">IF(K793&gt;Parameters!$B$17,1,0)</f>
        <v>0</v>
      </c>
      <c r="Q793" s="9" t="n">
        <f aca="false">IF(AND(F793&lt;=Parameters!$B$6,F793&gt;Parameters!$B$6-Parameters!$B$18),1,0)</f>
        <v>1</v>
      </c>
      <c r="R793" s="9" t="n">
        <f aca="false">IF(COUNTIF(Parameters!$A$51:$A$58,H793)=0,1,0)</f>
        <v>0</v>
      </c>
      <c r="S793" s="9" t="n">
        <f aca="false">IF(AND(I793="Manual",L793&gt;0),1,0)</f>
        <v>1</v>
      </c>
      <c r="T793" s="9" t="n">
        <f aca="false">IF(AND(C793&gt;=Parameters!$B$22,ROUND(MOD(ROUND(C793,2),Parameters!$B$21),2)=0),1,0)</f>
        <v>1</v>
      </c>
      <c r="U793" s="9" t="n">
        <f aca="false">IF(LEN(TRIM(J793))=0,1,0)</f>
        <v>0</v>
      </c>
      <c r="V793" s="9" t="n">
        <f aca="false">IF(AND(I793="Manual",C793&lt;Parameters!$B$19,C793&gt;=Parameters!$B$19*(1-Parameters!$B$20)),1,0)</f>
        <v>0</v>
      </c>
      <c r="W793" s="9" t="n">
        <f aca="false">IF(AND(I793="Manual",M793&gt;0),1,0)</f>
        <v>0</v>
      </c>
      <c r="X793" s="9" t="n">
        <f aca="false">IF(A793-A792&gt;1,1,0)</f>
        <v>0</v>
      </c>
      <c r="Y793" s="9" t="n">
        <f aca="false">N793*Parameters!$B$38+O793*Parameters!$B$39+P793*Parameters!$B$40+Q793*Parameters!$B$41+R793*Parameters!$B$42+S793*Parameters!$B$43+T793*Parameters!$B$44+U793*Parameters!$B$45+V793*Parameters!$B$46+W793*Parameters!$B$47+X793*Parameters!$B$48</f>
        <v>6</v>
      </c>
      <c r="Z793" s="0" t="str">
        <f aca="false">IF(Y793&gt;=Parameters!$B$25,"High","")</f>
        <v>High</v>
      </c>
    </row>
    <row r="794" customFormat="false" ht="15" hidden="false" customHeight="false" outlineLevel="0" collapsed="false">
      <c r="A794" s="16" t="n">
        <v>1801</v>
      </c>
      <c r="B794" s="9" t="n">
        <f aca="false">COUNTIF(JE_Lines!$B$5:$B$1733,A794)</f>
        <v>2</v>
      </c>
      <c r="C794" s="17" t="n">
        <f aca="false">SUMIFS(JE_Lines!$G$5:$G$1733,JE_Lines!$B$5:$B$1733,A794)</f>
        <v>523.92</v>
      </c>
      <c r="D794" s="17" t="n">
        <f aca="false">SUMIFS(JE_Lines!$H$5:$H$1733,JE_Lines!$B$5:$B$1733,A794)</f>
        <v>523.92</v>
      </c>
      <c r="E794" s="17" t="n">
        <f aca="false">C794-D794</f>
        <v>0</v>
      </c>
      <c r="F794" s="18" t="n">
        <f aca="false">INDEX(JE_Lines!$C$5:$C$1733,MATCH(A794,JE_Lines!$B$5:$B$1733,0))</f>
        <v>46022</v>
      </c>
      <c r="G794" s="18" t="n">
        <f aca="false">INDEX(JE_Lines!$D$5:$D$1733,MATCH(A794,JE_Lines!$B$5:$B$1733,0))</f>
        <v>46020</v>
      </c>
      <c r="H794" s="0" t="str">
        <f aca="false">INDEX(JE_Lines!$I$5:$I$1733,MATCH(A794,JE_Lines!$B$5:$B$1733,0))</f>
        <v>SYS_AR</v>
      </c>
      <c r="I794" s="0" t="str">
        <f aca="false">INDEX(JE_Lines!$J$5:$J$1733,MATCH(A794,JE_Lines!$B$5:$B$1733,0))</f>
        <v>System</v>
      </c>
      <c r="J794" s="0" t="str">
        <f aca="false">IF(LEN(INDEX(JE_Lines!$K$5:$K$1733,MATCH(A794,JE_Lines!$B$5:$B$1733,0)))=0,"",INDEX(JE_Lines!$K$5:$K$1733,MATCH(A794,JE_Lines!$B$5:$B$1733,0)))</f>
        <v>Sales invoice batch</v>
      </c>
      <c r="K794" s="9" t="n">
        <f aca="false">F794-G794</f>
        <v>2</v>
      </c>
      <c r="L794" s="9" t="n">
        <f aca="false">COUNTIFS(JE_Lines!$B$5:$B$1733,A794,JE_Lines!$F$5:$F$1733,"Revenue")</f>
        <v>1</v>
      </c>
      <c r="M794" s="9" t="n">
        <f aca="false">COUNTIFS(JE_Lines!$B$5:$B$1733,A794,JE_Lines!$F$5:$F$1733,"Suspense")</f>
        <v>0</v>
      </c>
      <c r="N794" s="9" t="n">
        <f aca="false">IF(ABS(E794)&gt;Parameters!$B$23,1,0)</f>
        <v>0</v>
      </c>
      <c r="O794" s="9" t="n">
        <f aca="false">IF(WEEKDAY(F794,2)&gt;5,1,0)</f>
        <v>0</v>
      </c>
      <c r="P794" s="9" t="n">
        <f aca="false">IF(K794&gt;Parameters!$B$17,1,0)</f>
        <v>0</v>
      </c>
      <c r="Q794" s="9" t="n">
        <f aca="false">IF(AND(F794&lt;=Parameters!$B$6,F794&gt;Parameters!$B$6-Parameters!$B$18),1,0)</f>
        <v>1</v>
      </c>
      <c r="R794" s="9" t="n">
        <f aca="false">IF(COUNTIF(Parameters!$A$51:$A$58,H794)=0,1,0)</f>
        <v>0</v>
      </c>
      <c r="S794" s="9" t="n">
        <f aca="false">IF(AND(I794="Manual",L794&gt;0),1,0)</f>
        <v>0</v>
      </c>
      <c r="T794" s="9" t="n">
        <f aca="false">IF(AND(C794&gt;=Parameters!$B$22,ROUND(MOD(ROUND(C794,2),Parameters!$B$21),2)=0),1,0)</f>
        <v>0</v>
      </c>
      <c r="U794" s="9" t="n">
        <f aca="false">IF(LEN(TRIM(J794))=0,1,0)</f>
        <v>0</v>
      </c>
      <c r="V794" s="9" t="n">
        <f aca="false">IF(AND(I794="Manual",C794&lt;Parameters!$B$19,C794&gt;=Parameters!$B$19*(1-Parameters!$B$20)),1,0)</f>
        <v>0</v>
      </c>
      <c r="W794" s="9" t="n">
        <f aca="false">IF(AND(I794="Manual",M794&gt;0),1,0)</f>
        <v>0</v>
      </c>
      <c r="X794" s="9" t="n">
        <f aca="false">IF(A794-A793&gt;1,1,0)</f>
        <v>0</v>
      </c>
      <c r="Y794" s="9" t="n">
        <f aca="false">N794*Parameters!$B$38+O794*Parameters!$B$39+P794*Parameters!$B$40+Q794*Parameters!$B$41+R794*Parameters!$B$42+S794*Parameters!$B$43+T794*Parameters!$B$44+U794*Parameters!$B$45+V794*Parameters!$B$46+W794*Parameters!$B$47+X794*Parameters!$B$48</f>
        <v>1</v>
      </c>
      <c r="Z794" s="0" t="str">
        <f aca="false">IF(Y794&gt;=Parameters!$B$25,"High","")</f>
        <v/>
      </c>
    </row>
    <row r="795" customFormat="false" ht="15" hidden="false" customHeight="false" outlineLevel="0" collapsed="false">
      <c r="A795" s="16" t="n">
        <v>1802</v>
      </c>
      <c r="B795" s="9" t="n">
        <f aca="false">COUNTIF(JE_Lines!$B$5:$B$1733,A795)</f>
        <v>2</v>
      </c>
      <c r="C795" s="17" t="n">
        <f aca="false">SUMIFS(JE_Lines!$G$5:$G$1733,JE_Lines!$B$5:$B$1733,A795)</f>
        <v>410000</v>
      </c>
      <c r="D795" s="17" t="n">
        <f aca="false">SUMIFS(JE_Lines!$H$5:$H$1733,JE_Lines!$B$5:$B$1733,A795)</f>
        <v>410000</v>
      </c>
      <c r="E795" s="17" t="n">
        <f aca="false">C795-D795</f>
        <v>0</v>
      </c>
      <c r="F795" s="18" t="n">
        <f aca="false">INDEX(JE_Lines!$C$5:$C$1733,MATCH(A795,JE_Lines!$B$5:$B$1733,0))</f>
        <v>46022</v>
      </c>
      <c r="G795" s="18" t="n">
        <f aca="false">INDEX(JE_Lines!$D$5:$D$1733,MATCH(A795,JE_Lines!$B$5:$B$1733,0))</f>
        <v>46022</v>
      </c>
      <c r="H795" s="0" t="str">
        <f aca="false">INDEX(JE_Lines!$I$5:$I$1733,MATCH(A795,JE_Lines!$B$5:$B$1733,0))</f>
        <v>FIN03</v>
      </c>
      <c r="I795" s="0" t="str">
        <f aca="false">INDEX(JE_Lines!$J$5:$J$1733,MATCH(A795,JE_Lines!$B$5:$B$1733,0))</f>
        <v>Manual</v>
      </c>
      <c r="J795" s="0" t="str">
        <f aca="false">IF(LEN(INDEX(JE_Lines!$K$5:$K$1733,MATCH(A795,JE_Lines!$B$5:$B$1733,0)))=0,"",INDEX(JE_Lines!$K$5:$K$1733,MATCH(A795,JE_Lines!$B$5:$B$1733,0)))</f>
        <v/>
      </c>
      <c r="K795" s="9" t="n">
        <f aca="false">F795-G795</f>
        <v>0</v>
      </c>
      <c r="L795" s="9" t="n">
        <f aca="false">COUNTIFS(JE_Lines!$B$5:$B$1733,A795,JE_Lines!$F$5:$F$1733,"Revenue")</f>
        <v>1</v>
      </c>
      <c r="M795" s="9" t="n">
        <f aca="false">COUNTIFS(JE_Lines!$B$5:$B$1733,A795,JE_Lines!$F$5:$F$1733,"Suspense")</f>
        <v>0</v>
      </c>
      <c r="N795" s="9" t="n">
        <f aca="false">IF(ABS(E795)&gt;Parameters!$B$23,1,0)</f>
        <v>0</v>
      </c>
      <c r="O795" s="9" t="n">
        <f aca="false">IF(WEEKDAY(F795,2)&gt;5,1,0)</f>
        <v>0</v>
      </c>
      <c r="P795" s="9" t="n">
        <f aca="false">IF(K795&gt;Parameters!$B$17,1,0)</f>
        <v>0</v>
      </c>
      <c r="Q795" s="9" t="n">
        <f aca="false">IF(AND(F795&lt;=Parameters!$B$6,F795&gt;Parameters!$B$6-Parameters!$B$18),1,0)</f>
        <v>1</v>
      </c>
      <c r="R795" s="9" t="n">
        <f aca="false">IF(COUNTIF(Parameters!$A$51:$A$58,H795)=0,1,0)</f>
        <v>0</v>
      </c>
      <c r="S795" s="9" t="n">
        <f aca="false">IF(AND(I795="Manual",L795&gt;0),1,0)</f>
        <v>1</v>
      </c>
      <c r="T795" s="9" t="n">
        <f aca="false">IF(AND(C795&gt;=Parameters!$B$22,ROUND(MOD(ROUND(C795,2),Parameters!$B$21),2)=0),1,0)</f>
        <v>1</v>
      </c>
      <c r="U795" s="9" t="n">
        <f aca="false">IF(LEN(TRIM(J795))=0,1,0)</f>
        <v>1</v>
      </c>
      <c r="V795" s="9" t="n">
        <f aca="false">IF(AND(I795="Manual",C795&lt;Parameters!$B$19,C795&gt;=Parameters!$B$19*(1-Parameters!$B$20)),1,0)</f>
        <v>0</v>
      </c>
      <c r="W795" s="9" t="n">
        <f aca="false">IF(AND(I795="Manual",M795&gt;0),1,0)</f>
        <v>0</v>
      </c>
      <c r="X795" s="9" t="n">
        <f aca="false">IF(A795-A794&gt;1,1,0)</f>
        <v>0</v>
      </c>
      <c r="Y795" s="9" t="n">
        <f aca="false">N795*Parameters!$B$38+O795*Parameters!$B$39+P795*Parameters!$B$40+Q795*Parameters!$B$41+R795*Parameters!$B$42+S795*Parameters!$B$43+T795*Parameters!$B$44+U795*Parameters!$B$45+V795*Parameters!$B$46+W795*Parameters!$B$47+X795*Parameters!$B$48</f>
        <v>8</v>
      </c>
      <c r="Z795" s="0" t="str">
        <f aca="false">IF(Y795&gt;=Parameters!$B$25,"High","")</f>
        <v>High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2"/>
    <col collapsed="false" customWidth="true" hidden="false" outlineLevel="0" max="4" min="4" style="0" width="32"/>
    <col collapsed="false" customWidth="true" hidden="false" outlineLevel="0" max="5" min="5" style="0" width="52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5" t="s">
        <v>3434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3435</v>
      </c>
    </row>
    <row r="4" customFormat="false" ht="33.75" hidden="false" customHeight="true" outlineLevel="0" collapsed="false">
      <c r="A4" s="7" t="s">
        <v>3436</v>
      </c>
      <c r="B4" s="7" t="s">
        <v>3437</v>
      </c>
      <c r="C4" s="7" t="s">
        <v>3438</v>
      </c>
      <c r="D4" s="7" t="s">
        <v>3439</v>
      </c>
      <c r="E4" s="7" t="s">
        <v>33</v>
      </c>
      <c r="F4" s="7" t="s">
        <v>3440</v>
      </c>
    </row>
    <row r="5" customFormat="false" ht="15" hidden="false" customHeight="false" outlineLevel="0" collapsed="false">
      <c r="A5" s="16" t="s">
        <v>3441</v>
      </c>
      <c r="B5" s="16" t="s">
        <v>316</v>
      </c>
      <c r="C5" s="16" t="s">
        <v>3442</v>
      </c>
      <c r="D5" s="16" t="s">
        <v>3443</v>
      </c>
      <c r="E5" s="16" t="s">
        <v>3444</v>
      </c>
      <c r="F5" s="0" t="str">
        <f aca="false">IF(INDEX(Payments!$K$5:$K$634,MATCH(B5,Payments!$A$5:$A$634,0))=1,"Yes","No")</f>
        <v>Yes</v>
      </c>
    </row>
    <row r="6" customFormat="false" ht="15" hidden="false" customHeight="false" outlineLevel="0" collapsed="false">
      <c r="A6" s="16" t="s">
        <v>3441</v>
      </c>
      <c r="B6" s="16" t="s">
        <v>318</v>
      </c>
      <c r="C6" s="16" t="s">
        <v>3442</v>
      </c>
      <c r="D6" s="16" t="s">
        <v>3445</v>
      </c>
      <c r="E6" s="16" t="s">
        <v>78</v>
      </c>
      <c r="F6" s="0" t="str">
        <f aca="false">IF(INDEX(Payments!$K$5:$K$634,MATCH(B6,Payments!$A$5:$A$634,0))=1,"Yes","No")</f>
        <v>Yes</v>
      </c>
    </row>
    <row r="7" customFormat="false" ht="15" hidden="false" customHeight="false" outlineLevel="0" collapsed="false">
      <c r="A7" s="16" t="s">
        <v>3441</v>
      </c>
      <c r="B7" s="16" t="s">
        <v>338</v>
      </c>
      <c r="C7" s="16" t="s">
        <v>3446</v>
      </c>
      <c r="D7" s="16" t="s">
        <v>3445</v>
      </c>
      <c r="E7" s="16" t="s">
        <v>3447</v>
      </c>
      <c r="F7" s="0" t="str">
        <f aca="false">IF(INDEX(Payments!$I$5:$I$634,MATCH(B7,Payments!$A$5:$A$634,0))=1,"Yes","No")</f>
        <v>Yes</v>
      </c>
    </row>
    <row r="8" customFormat="false" ht="15" hidden="false" customHeight="false" outlineLevel="0" collapsed="false">
      <c r="A8" s="16" t="s">
        <v>3441</v>
      </c>
      <c r="B8" s="16" t="s">
        <v>362</v>
      </c>
      <c r="C8" s="16" t="s">
        <v>3448</v>
      </c>
      <c r="D8" s="16" t="s">
        <v>3445</v>
      </c>
      <c r="E8" s="16" t="s">
        <v>3449</v>
      </c>
      <c r="F8" s="0" t="str">
        <f aca="false">IF(INDEX(Payments!$L$5:$L$634,MATCH(B8,Payments!$A$5:$A$634,0))=1,"Yes","No")</f>
        <v>Yes</v>
      </c>
    </row>
    <row r="9" customFormat="false" ht="15" hidden="false" customHeight="false" outlineLevel="0" collapsed="false">
      <c r="A9" s="16" t="s">
        <v>3441</v>
      </c>
      <c r="B9" s="16" t="s">
        <v>370</v>
      </c>
      <c r="C9" s="16" t="s">
        <v>3448</v>
      </c>
      <c r="D9" s="16" t="s">
        <v>3445</v>
      </c>
      <c r="E9" s="16" t="s">
        <v>3449</v>
      </c>
      <c r="F9" s="0" t="str">
        <f aca="false">IF(INDEX(Payments!$L$5:$L$634,MATCH(B9,Payments!$A$5:$A$634,0))=1,"Yes","No")</f>
        <v>No</v>
      </c>
    </row>
    <row r="10" customFormat="false" ht="15" hidden="false" customHeight="false" outlineLevel="0" collapsed="false">
      <c r="A10" s="16" t="s">
        <v>3441</v>
      </c>
      <c r="B10" s="16" t="s">
        <v>380</v>
      </c>
      <c r="C10" s="16" t="s">
        <v>3448</v>
      </c>
      <c r="D10" s="16" t="s">
        <v>3443</v>
      </c>
      <c r="E10" s="16" t="s">
        <v>3450</v>
      </c>
      <c r="F10" s="0" t="str">
        <f aca="false">IF(INDEX(Payments!$L$5:$L$634,MATCH(B10,Payments!$A$5:$A$634,0))=1,"Yes","No")</f>
        <v>Yes</v>
      </c>
    </row>
    <row r="11" customFormat="false" ht="15" hidden="false" customHeight="false" outlineLevel="0" collapsed="false">
      <c r="A11" s="16" t="s">
        <v>3441</v>
      </c>
      <c r="B11" s="16" t="s">
        <v>390</v>
      </c>
      <c r="C11" s="16" t="s">
        <v>3448</v>
      </c>
      <c r="D11" s="16" t="s">
        <v>3445</v>
      </c>
      <c r="E11" s="16" t="s">
        <v>3449</v>
      </c>
      <c r="F11" s="0" t="str">
        <f aca="false">IF(INDEX(Payments!$L$5:$L$634,MATCH(B11,Payments!$A$5:$A$634,0))=1,"Yes","No")</f>
        <v>Yes</v>
      </c>
    </row>
    <row r="12" customFormat="false" ht="15" hidden="false" customHeight="false" outlineLevel="0" collapsed="false">
      <c r="A12" s="16" t="s">
        <v>3441</v>
      </c>
      <c r="B12" s="16" t="s">
        <v>444</v>
      </c>
      <c r="C12" s="16" t="s">
        <v>3448</v>
      </c>
      <c r="D12" s="16" t="s">
        <v>3445</v>
      </c>
      <c r="E12" s="16" t="s">
        <v>3449</v>
      </c>
      <c r="F12" s="0" t="str">
        <f aca="false">IF(INDEX(Payments!$L$5:$L$634,MATCH(B12,Payments!$A$5:$A$634,0))=1,"Yes","No")</f>
        <v>Yes</v>
      </c>
    </row>
    <row r="13" customFormat="false" ht="15" hidden="false" customHeight="false" outlineLevel="0" collapsed="false">
      <c r="A13" s="16" t="s">
        <v>3441</v>
      </c>
      <c r="B13" s="16" t="s">
        <v>446</v>
      </c>
      <c r="C13" s="16" t="s">
        <v>3442</v>
      </c>
      <c r="D13" s="16" t="s">
        <v>3443</v>
      </c>
      <c r="E13" s="16" t="s">
        <v>3444</v>
      </c>
      <c r="F13" s="0" t="str">
        <f aca="false">IF(INDEX(Payments!$K$5:$K$634,MATCH(B13,Payments!$A$5:$A$634,0))=1,"Yes","No")</f>
        <v>Yes</v>
      </c>
    </row>
    <row r="14" customFormat="false" ht="15" hidden="false" customHeight="false" outlineLevel="0" collapsed="false">
      <c r="A14" s="16" t="s">
        <v>3441</v>
      </c>
      <c r="B14" s="16" t="s">
        <v>446</v>
      </c>
      <c r="C14" s="16" t="s">
        <v>3451</v>
      </c>
      <c r="D14" s="16" t="s">
        <v>3443</v>
      </c>
      <c r="E14" s="16" t="s">
        <v>3452</v>
      </c>
      <c r="F14" s="0" t="str">
        <f aca="false">IF(INDEX(Payments!$J$5:$J$634,MATCH(B14,Payments!$A$5:$A$634,0))=1,"Yes","No")</f>
        <v>Yes</v>
      </c>
    </row>
    <row r="15" customFormat="false" ht="15" hidden="false" customHeight="false" outlineLevel="0" collapsed="false">
      <c r="A15" s="16" t="s">
        <v>3441</v>
      </c>
      <c r="B15" s="16" t="s">
        <v>464</v>
      </c>
      <c r="C15" s="16" t="s">
        <v>3448</v>
      </c>
      <c r="D15" s="16" t="s">
        <v>3443</v>
      </c>
      <c r="E15" s="16" t="s">
        <v>3450</v>
      </c>
      <c r="F15" s="0" t="str">
        <f aca="false">IF(INDEX(Payments!$L$5:$L$634,MATCH(B15,Payments!$A$5:$A$634,0))=1,"Yes","No")</f>
        <v>Yes</v>
      </c>
    </row>
    <row r="16" customFormat="false" ht="15" hidden="false" customHeight="false" outlineLevel="0" collapsed="false">
      <c r="A16" s="16" t="s">
        <v>3441</v>
      </c>
      <c r="B16" s="16" t="s">
        <v>464</v>
      </c>
      <c r="C16" s="16" t="s">
        <v>3451</v>
      </c>
      <c r="D16" s="16" t="s">
        <v>3443</v>
      </c>
      <c r="E16" s="16" t="s">
        <v>3453</v>
      </c>
      <c r="F16" s="0" t="str">
        <f aca="false">IF(INDEX(Payments!$J$5:$J$634,MATCH(B16,Payments!$A$5:$A$634,0))=1,"Yes","No")</f>
        <v>Yes</v>
      </c>
    </row>
    <row r="17" customFormat="false" ht="15" hidden="false" customHeight="false" outlineLevel="0" collapsed="false">
      <c r="A17" s="16" t="s">
        <v>3441</v>
      </c>
      <c r="B17" s="16" t="s">
        <v>476</v>
      </c>
      <c r="C17" s="16" t="s">
        <v>3448</v>
      </c>
      <c r="D17" s="16" t="s">
        <v>3445</v>
      </c>
      <c r="E17" s="16" t="s">
        <v>3449</v>
      </c>
      <c r="F17" s="0" t="str">
        <f aca="false">IF(INDEX(Payments!$L$5:$L$634,MATCH(B17,Payments!$A$5:$A$634,0))=1,"Yes","No")</f>
        <v>Yes</v>
      </c>
    </row>
    <row r="18" customFormat="false" ht="15" hidden="false" customHeight="false" outlineLevel="0" collapsed="false">
      <c r="A18" s="16" t="s">
        <v>3441</v>
      </c>
      <c r="B18" s="16" t="s">
        <v>482</v>
      </c>
      <c r="C18" s="16" t="s">
        <v>3448</v>
      </c>
      <c r="D18" s="16" t="s">
        <v>3445</v>
      </c>
      <c r="E18" s="16" t="s">
        <v>3449</v>
      </c>
      <c r="F18" s="0" t="str">
        <f aca="false">IF(INDEX(Payments!$L$5:$L$634,MATCH(B18,Payments!$A$5:$A$634,0))=1,"Yes","No")</f>
        <v>Yes</v>
      </c>
    </row>
    <row r="19" customFormat="false" ht="15" hidden="false" customHeight="false" outlineLevel="0" collapsed="false">
      <c r="A19" s="16" t="s">
        <v>3441</v>
      </c>
      <c r="B19" s="16" t="s">
        <v>508</v>
      </c>
      <c r="C19" s="16" t="s">
        <v>3448</v>
      </c>
      <c r="D19" s="16" t="s">
        <v>3445</v>
      </c>
      <c r="E19" s="16" t="s">
        <v>3449</v>
      </c>
      <c r="F19" s="0" t="str">
        <f aca="false">IF(INDEX(Payments!$L$5:$L$634,MATCH(B19,Payments!$A$5:$A$634,0))=1,"Yes","No")</f>
        <v>Yes</v>
      </c>
    </row>
    <row r="20" customFormat="false" ht="15" hidden="false" customHeight="false" outlineLevel="0" collapsed="false">
      <c r="A20" s="16" t="s">
        <v>3441</v>
      </c>
      <c r="B20" s="16" t="s">
        <v>512</v>
      </c>
      <c r="C20" s="16" t="s">
        <v>3442</v>
      </c>
      <c r="D20" s="16" t="s">
        <v>3443</v>
      </c>
      <c r="E20" s="16" t="s">
        <v>3444</v>
      </c>
      <c r="F20" s="0" t="str">
        <f aca="false">IF(INDEX(Payments!$K$5:$K$634,MATCH(B20,Payments!$A$5:$A$634,0))=1,"Yes","No")</f>
        <v>Yes</v>
      </c>
    </row>
    <row r="21" customFormat="false" ht="15" hidden="false" customHeight="false" outlineLevel="0" collapsed="false">
      <c r="A21" s="16" t="s">
        <v>3441</v>
      </c>
      <c r="B21" s="16" t="s">
        <v>512</v>
      </c>
      <c r="C21" s="16" t="s">
        <v>3451</v>
      </c>
      <c r="D21" s="16" t="s">
        <v>3443</v>
      </c>
      <c r="E21" s="16" t="s">
        <v>3452</v>
      </c>
      <c r="F21" s="0" t="str">
        <f aca="false">IF(INDEX(Payments!$J$5:$J$634,MATCH(B21,Payments!$A$5:$A$634,0))=1,"Yes","No")</f>
        <v>Yes</v>
      </c>
    </row>
    <row r="22" customFormat="false" ht="15" hidden="false" customHeight="false" outlineLevel="0" collapsed="false">
      <c r="A22" s="16" t="s">
        <v>3441</v>
      </c>
      <c r="B22" s="16" t="s">
        <v>522</v>
      </c>
      <c r="C22" s="16" t="s">
        <v>3448</v>
      </c>
      <c r="D22" s="16" t="s">
        <v>3445</v>
      </c>
      <c r="E22" s="16" t="s">
        <v>3449</v>
      </c>
      <c r="F22" s="0" t="str">
        <f aca="false">IF(INDEX(Payments!$L$5:$L$634,MATCH(B22,Payments!$A$5:$A$634,0))=1,"Yes","No")</f>
        <v>No</v>
      </c>
    </row>
    <row r="23" customFormat="false" ht="15" hidden="false" customHeight="false" outlineLevel="0" collapsed="false">
      <c r="A23" s="16" t="s">
        <v>3441</v>
      </c>
      <c r="B23" s="16" t="s">
        <v>522</v>
      </c>
      <c r="C23" s="16" t="s">
        <v>3454</v>
      </c>
      <c r="D23" s="16" t="s">
        <v>3455</v>
      </c>
      <c r="E23" s="16" t="s">
        <v>3456</v>
      </c>
      <c r="F23" s="0" t="str">
        <f aca="false">IF(INDEX(Payments!$M$5:$M$634,MATCH(B23,Payments!$A$5:$A$634,0))=1,"Yes","No")</f>
        <v>Yes</v>
      </c>
    </row>
    <row r="24" customFormat="false" ht="15" hidden="false" customHeight="false" outlineLevel="0" collapsed="false">
      <c r="A24" s="16" t="s">
        <v>3441</v>
      </c>
      <c r="B24" s="16" t="s">
        <v>524</v>
      </c>
      <c r="C24" s="16" t="s">
        <v>3448</v>
      </c>
      <c r="D24" s="16" t="s">
        <v>3445</v>
      </c>
      <c r="E24" s="16" t="s">
        <v>3449</v>
      </c>
      <c r="F24" s="0" t="str">
        <f aca="false">IF(INDEX(Payments!$L$5:$L$634,MATCH(B24,Payments!$A$5:$A$634,0))=1,"Yes","No")</f>
        <v>Yes</v>
      </c>
    </row>
    <row r="25" customFormat="false" ht="15" hidden="false" customHeight="false" outlineLevel="0" collapsed="false">
      <c r="A25" s="16" t="s">
        <v>3441</v>
      </c>
      <c r="B25" s="16" t="s">
        <v>524</v>
      </c>
      <c r="C25" s="16" t="s">
        <v>3454</v>
      </c>
      <c r="D25" s="16" t="s">
        <v>3455</v>
      </c>
      <c r="E25" s="16" t="s">
        <v>3456</v>
      </c>
      <c r="F25" s="0" t="str">
        <f aca="false">IF(INDEX(Payments!$M$5:$M$634,MATCH(B25,Payments!$A$5:$A$634,0))=1,"Yes","No")</f>
        <v>Yes</v>
      </c>
    </row>
    <row r="26" customFormat="false" ht="15" hidden="false" customHeight="false" outlineLevel="0" collapsed="false">
      <c r="A26" s="16" t="s">
        <v>3441</v>
      </c>
      <c r="B26" s="16" t="s">
        <v>526</v>
      </c>
      <c r="C26" s="16" t="s">
        <v>3448</v>
      </c>
      <c r="D26" s="16" t="s">
        <v>3445</v>
      </c>
      <c r="E26" s="16" t="s">
        <v>3449</v>
      </c>
      <c r="F26" s="0" t="str">
        <f aca="false">IF(INDEX(Payments!$L$5:$L$634,MATCH(B26,Payments!$A$5:$A$634,0))=1,"Yes","No")</f>
        <v>Yes</v>
      </c>
    </row>
    <row r="27" customFormat="false" ht="15" hidden="false" customHeight="false" outlineLevel="0" collapsed="false">
      <c r="A27" s="16" t="s">
        <v>3441</v>
      </c>
      <c r="B27" s="16" t="s">
        <v>526</v>
      </c>
      <c r="C27" s="16" t="s">
        <v>3454</v>
      </c>
      <c r="D27" s="16" t="s">
        <v>3455</v>
      </c>
      <c r="E27" s="16" t="s">
        <v>3456</v>
      </c>
      <c r="F27" s="0" t="str">
        <f aca="false">IF(INDEX(Payments!$M$5:$M$634,MATCH(B27,Payments!$A$5:$A$634,0))=1,"Yes","No")</f>
        <v>Yes</v>
      </c>
    </row>
    <row r="28" customFormat="false" ht="15" hidden="false" customHeight="false" outlineLevel="0" collapsed="false">
      <c r="A28" s="16" t="s">
        <v>3441</v>
      </c>
      <c r="B28" s="16" t="s">
        <v>546</v>
      </c>
      <c r="C28" s="16" t="s">
        <v>3448</v>
      </c>
      <c r="D28" s="16" t="s">
        <v>3445</v>
      </c>
      <c r="E28" s="16" t="s">
        <v>3449</v>
      </c>
      <c r="F28" s="0" t="str">
        <f aca="false">IF(INDEX(Payments!$L$5:$L$634,MATCH(B28,Payments!$A$5:$A$634,0))=1,"Yes","No")</f>
        <v>Yes</v>
      </c>
    </row>
    <row r="29" customFormat="false" ht="15" hidden="false" customHeight="false" outlineLevel="0" collapsed="false">
      <c r="A29" s="16" t="s">
        <v>3441</v>
      </c>
      <c r="B29" s="16" t="s">
        <v>550</v>
      </c>
      <c r="C29" s="16" t="s">
        <v>3448</v>
      </c>
      <c r="D29" s="16" t="s">
        <v>3445</v>
      </c>
      <c r="E29" s="16" t="s">
        <v>3449</v>
      </c>
      <c r="F29" s="0" t="str">
        <f aca="false">IF(INDEX(Payments!$L$5:$L$634,MATCH(B29,Payments!$A$5:$A$634,0))=1,"Yes","No")</f>
        <v>Yes</v>
      </c>
    </row>
    <row r="30" customFormat="false" ht="15" hidden="false" customHeight="false" outlineLevel="0" collapsed="false">
      <c r="A30" s="16" t="s">
        <v>3441</v>
      </c>
      <c r="B30" s="16" t="s">
        <v>560</v>
      </c>
      <c r="C30" s="16" t="s">
        <v>3446</v>
      </c>
      <c r="D30" s="16" t="s">
        <v>3445</v>
      </c>
      <c r="E30" s="16" t="s">
        <v>3447</v>
      </c>
      <c r="F30" s="0" t="str">
        <f aca="false">IF(INDEX(Payments!$I$5:$I$634,MATCH(B30,Payments!$A$5:$A$634,0))=1,"Yes","No")</f>
        <v>Yes</v>
      </c>
    </row>
    <row r="31" customFormat="false" ht="15" hidden="false" customHeight="false" outlineLevel="0" collapsed="false">
      <c r="A31" s="16" t="s">
        <v>3441</v>
      </c>
      <c r="B31" s="16" t="s">
        <v>563</v>
      </c>
      <c r="C31" s="16" t="s">
        <v>3448</v>
      </c>
      <c r="D31" s="16" t="s">
        <v>3443</v>
      </c>
      <c r="E31" s="16" t="s">
        <v>3450</v>
      </c>
      <c r="F31" s="0" t="str">
        <f aca="false">IF(INDEX(Payments!$L$5:$L$634,MATCH(B31,Payments!$A$5:$A$634,0))=1,"Yes","No")</f>
        <v>Yes</v>
      </c>
    </row>
    <row r="32" customFormat="false" ht="15" hidden="false" customHeight="false" outlineLevel="0" collapsed="false">
      <c r="A32" s="16" t="s">
        <v>3441</v>
      </c>
      <c r="B32" s="16" t="s">
        <v>563</v>
      </c>
      <c r="C32" s="16" t="s">
        <v>3451</v>
      </c>
      <c r="D32" s="16" t="s">
        <v>3443</v>
      </c>
      <c r="E32" s="16" t="s">
        <v>3453</v>
      </c>
      <c r="F32" s="0" t="str">
        <f aca="false">IF(INDEX(Payments!$J$5:$J$634,MATCH(B32,Payments!$A$5:$A$634,0))=1,"Yes","No")</f>
        <v>Yes</v>
      </c>
    </row>
    <row r="33" customFormat="false" ht="15" hidden="false" customHeight="false" outlineLevel="0" collapsed="false">
      <c r="A33" s="16" t="s">
        <v>3441</v>
      </c>
      <c r="B33" s="16" t="s">
        <v>591</v>
      </c>
      <c r="C33" s="16" t="s">
        <v>3442</v>
      </c>
      <c r="D33" s="16" t="s">
        <v>3443</v>
      </c>
      <c r="E33" s="16" t="s">
        <v>3444</v>
      </c>
      <c r="F33" s="0" t="str">
        <f aca="false">IF(INDEX(Payments!$K$5:$K$634,MATCH(B33,Payments!$A$5:$A$634,0))=1,"Yes","No")</f>
        <v>Yes</v>
      </c>
    </row>
    <row r="34" customFormat="false" ht="15" hidden="false" customHeight="false" outlineLevel="0" collapsed="false">
      <c r="A34" s="16" t="s">
        <v>3441</v>
      </c>
      <c r="B34" s="16" t="s">
        <v>591</v>
      </c>
      <c r="C34" s="16" t="s">
        <v>3451</v>
      </c>
      <c r="D34" s="16" t="s">
        <v>3443</v>
      </c>
      <c r="E34" s="16" t="s">
        <v>3452</v>
      </c>
      <c r="F34" s="0" t="str">
        <f aca="false">IF(INDEX(Payments!$J$5:$J$634,MATCH(B34,Payments!$A$5:$A$634,0))=1,"Yes","No")</f>
        <v>Yes</v>
      </c>
    </row>
    <row r="35" customFormat="false" ht="15" hidden="false" customHeight="false" outlineLevel="0" collapsed="false">
      <c r="A35" s="16" t="s">
        <v>3441</v>
      </c>
      <c r="B35" s="16" t="s">
        <v>607</v>
      </c>
      <c r="C35" s="16" t="s">
        <v>3448</v>
      </c>
      <c r="D35" s="16" t="s">
        <v>3445</v>
      </c>
      <c r="E35" s="16" t="s">
        <v>3449</v>
      </c>
      <c r="F35" s="0" t="str">
        <f aca="false">IF(INDEX(Payments!$L$5:$L$634,MATCH(B35,Payments!$A$5:$A$634,0))=1,"Yes","No")</f>
        <v>Yes</v>
      </c>
    </row>
    <row r="36" customFormat="false" ht="15" hidden="false" customHeight="false" outlineLevel="0" collapsed="false">
      <c r="A36" s="16" t="s">
        <v>3441</v>
      </c>
      <c r="B36" s="16" t="s">
        <v>611</v>
      </c>
      <c r="C36" s="16" t="s">
        <v>3448</v>
      </c>
      <c r="D36" s="16" t="s">
        <v>3445</v>
      </c>
      <c r="E36" s="16" t="s">
        <v>3449</v>
      </c>
      <c r="F36" s="0" t="str">
        <f aca="false">IF(INDEX(Payments!$L$5:$L$634,MATCH(B36,Payments!$A$5:$A$634,0))=1,"Yes","No")</f>
        <v>Yes</v>
      </c>
    </row>
    <row r="37" customFormat="false" ht="15" hidden="false" customHeight="false" outlineLevel="0" collapsed="false">
      <c r="A37" s="16" t="s">
        <v>3441</v>
      </c>
      <c r="B37" s="16" t="s">
        <v>625</v>
      </c>
      <c r="C37" s="16" t="s">
        <v>3457</v>
      </c>
      <c r="D37" s="16" t="s">
        <v>3445</v>
      </c>
      <c r="E37" s="16" t="s">
        <v>81</v>
      </c>
      <c r="F37" s="0" t="str">
        <f aca="false">IF(INDEX(Payments!$N$5:$N$634,MATCH(B37,Payments!$A$5:$A$634,0))=1,"Yes","No")</f>
        <v>Yes</v>
      </c>
    </row>
    <row r="38" customFormat="false" ht="15" hidden="false" customHeight="false" outlineLevel="0" collapsed="false">
      <c r="A38" s="16" t="s">
        <v>3441</v>
      </c>
      <c r="B38" s="16" t="s">
        <v>647</v>
      </c>
      <c r="C38" s="16" t="s">
        <v>3446</v>
      </c>
      <c r="D38" s="16" t="s">
        <v>3445</v>
      </c>
      <c r="E38" s="16" t="s">
        <v>3458</v>
      </c>
      <c r="F38" s="0" t="str">
        <f aca="false">IF(INDEX(Payments!$I$5:$I$634,MATCH(B38,Payments!$A$5:$A$634,0))=1,"Yes","No")</f>
        <v>Yes</v>
      </c>
    </row>
    <row r="39" customFormat="false" ht="15" hidden="false" customHeight="false" outlineLevel="0" collapsed="false">
      <c r="A39" s="16" t="s">
        <v>3441</v>
      </c>
      <c r="B39" s="16" t="s">
        <v>663</v>
      </c>
      <c r="C39" s="16" t="s">
        <v>3448</v>
      </c>
      <c r="D39" s="16" t="s">
        <v>3445</v>
      </c>
      <c r="E39" s="16" t="s">
        <v>3449</v>
      </c>
      <c r="F39" s="0" t="str">
        <f aca="false">IF(INDEX(Payments!$L$5:$L$634,MATCH(B39,Payments!$A$5:$A$634,0))=1,"Yes","No")</f>
        <v>Yes</v>
      </c>
    </row>
    <row r="40" customFormat="false" ht="15" hidden="false" customHeight="false" outlineLevel="0" collapsed="false">
      <c r="A40" s="16" t="s">
        <v>3441</v>
      </c>
      <c r="B40" s="16" t="s">
        <v>667</v>
      </c>
      <c r="C40" s="16" t="s">
        <v>3448</v>
      </c>
      <c r="D40" s="16" t="s">
        <v>3445</v>
      </c>
      <c r="E40" s="16" t="s">
        <v>3449</v>
      </c>
      <c r="F40" s="0" t="str">
        <f aca="false">IF(INDEX(Payments!$L$5:$L$634,MATCH(B40,Payments!$A$5:$A$634,0))=1,"Yes","No")</f>
        <v>Yes</v>
      </c>
    </row>
    <row r="41" customFormat="false" ht="15" hidden="false" customHeight="false" outlineLevel="0" collapsed="false">
      <c r="A41" s="16" t="s">
        <v>3441</v>
      </c>
      <c r="B41" s="16" t="s">
        <v>671</v>
      </c>
      <c r="C41" s="16" t="s">
        <v>3448</v>
      </c>
      <c r="D41" s="16" t="s">
        <v>3443</v>
      </c>
      <c r="E41" s="16" t="s">
        <v>3450</v>
      </c>
      <c r="F41" s="0" t="str">
        <f aca="false">IF(INDEX(Payments!$L$5:$L$634,MATCH(B41,Payments!$A$5:$A$634,0))=1,"Yes","No")</f>
        <v>Yes</v>
      </c>
    </row>
    <row r="42" customFormat="false" ht="15" hidden="false" customHeight="false" outlineLevel="0" collapsed="false">
      <c r="A42" s="16" t="s">
        <v>3441</v>
      </c>
      <c r="B42" s="16" t="s">
        <v>671</v>
      </c>
      <c r="C42" s="16" t="s">
        <v>3451</v>
      </c>
      <c r="D42" s="16" t="s">
        <v>3443</v>
      </c>
      <c r="E42" s="16" t="s">
        <v>3453</v>
      </c>
      <c r="F42" s="0" t="str">
        <f aca="false">IF(INDEX(Payments!$J$5:$J$634,MATCH(B42,Payments!$A$5:$A$634,0))=1,"Yes","No")</f>
        <v>Yes</v>
      </c>
    </row>
    <row r="43" customFormat="false" ht="15" hidden="false" customHeight="false" outlineLevel="0" collapsed="false">
      <c r="A43" s="16" t="s">
        <v>3441</v>
      </c>
      <c r="B43" s="16" t="s">
        <v>695</v>
      </c>
      <c r="C43" s="16" t="s">
        <v>3448</v>
      </c>
      <c r="D43" s="16" t="s">
        <v>3445</v>
      </c>
      <c r="E43" s="16" t="s">
        <v>3449</v>
      </c>
      <c r="F43" s="0" t="str">
        <f aca="false">IF(INDEX(Payments!$L$5:$L$634,MATCH(B43,Payments!$A$5:$A$634,0))=1,"Yes","No")</f>
        <v>Yes</v>
      </c>
    </row>
    <row r="44" customFormat="false" ht="15" hidden="false" customHeight="false" outlineLevel="0" collapsed="false">
      <c r="A44" s="16" t="s">
        <v>3441</v>
      </c>
      <c r="B44" s="16" t="s">
        <v>703</v>
      </c>
      <c r="C44" s="16" t="s">
        <v>3448</v>
      </c>
      <c r="D44" s="16" t="s">
        <v>3445</v>
      </c>
      <c r="E44" s="16" t="s">
        <v>3449</v>
      </c>
      <c r="F44" s="0" t="str">
        <f aca="false">IF(INDEX(Payments!$L$5:$L$634,MATCH(B44,Payments!$A$5:$A$634,0))=1,"Yes","No")</f>
        <v>Yes</v>
      </c>
    </row>
    <row r="45" customFormat="false" ht="15" hidden="false" customHeight="false" outlineLevel="0" collapsed="false">
      <c r="A45" s="16" t="s">
        <v>3441</v>
      </c>
      <c r="B45" s="16" t="s">
        <v>703</v>
      </c>
      <c r="C45" s="16" t="s">
        <v>3454</v>
      </c>
      <c r="D45" s="16" t="s">
        <v>3455</v>
      </c>
      <c r="E45" s="16" t="s">
        <v>3456</v>
      </c>
      <c r="F45" s="0" t="str">
        <f aca="false">IF(INDEX(Payments!$M$5:$M$634,MATCH(B45,Payments!$A$5:$A$634,0))=1,"Yes","No")</f>
        <v>Yes</v>
      </c>
    </row>
    <row r="46" customFormat="false" ht="15" hidden="false" customHeight="false" outlineLevel="0" collapsed="false">
      <c r="A46" s="16" t="s">
        <v>3441</v>
      </c>
      <c r="B46" s="16" t="s">
        <v>705</v>
      </c>
      <c r="C46" s="16" t="s">
        <v>3448</v>
      </c>
      <c r="D46" s="16" t="s">
        <v>3445</v>
      </c>
      <c r="E46" s="16" t="s">
        <v>3449</v>
      </c>
      <c r="F46" s="0" t="str">
        <f aca="false">IF(INDEX(Payments!$L$5:$L$634,MATCH(B46,Payments!$A$5:$A$634,0))=1,"Yes","No")</f>
        <v>Yes</v>
      </c>
    </row>
    <row r="47" customFormat="false" ht="15" hidden="false" customHeight="false" outlineLevel="0" collapsed="false">
      <c r="A47" s="16" t="s">
        <v>3441</v>
      </c>
      <c r="B47" s="16" t="s">
        <v>705</v>
      </c>
      <c r="C47" s="16" t="s">
        <v>3454</v>
      </c>
      <c r="D47" s="16" t="s">
        <v>3455</v>
      </c>
      <c r="E47" s="16" t="s">
        <v>3456</v>
      </c>
      <c r="F47" s="0" t="str">
        <f aca="false">IF(INDEX(Payments!$M$5:$M$634,MATCH(B47,Payments!$A$5:$A$634,0))=1,"Yes","No")</f>
        <v>Yes</v>
      </c>
    </row>
    <row r="48" customFormat="false" ht="15" hidden="false" customHeight="false" outlineLevel="0" collapsed="false">
      <c r="A48" s="16" t="s">
        <v>3441</v>
      </c>
      <c r="B48" s="16" t="s">
        <v>709</v>
      </c>
      <c r="C48" s="16" t="s">
        <v>3442</v>
      </c>
      <c r="D48" s="16" t="s">
        <v>3445</v>
      </c>
      <c r="E48" s="16" t="s">
        <v>78</v>
      </c>
      <c r="F48" s="0" t="str">
        <f aca="false">IF(INDEX(Payments!$K$5:$K$634,MATCH(B48,Payments!$A$5:$A$634,0))=1,"Yes","No")</f>
        <v>Yes</v>
      </c>
    </row>
    <row r="49" customFormat="false" ht="15" hidden="false" customHeight="false" outlineLevel="0" collapsed="false">
      <c r="A49" s="16" t="s">
        <v>3441</v>
      </c>
      <c r="B49" s="16" t="s">
        <v>717</v>
      </c>
      <c r="C49" s="16" t="s">
        <v>3442</v>
      </c>
      <c r="D49" s="16" t="s">
        <v>3445</v>
      </c>
      <c r="E49" s="16" t="s">
        <v>78</v>
      </c>
      <c r="F49" s="0" t="str">
        <f aca="false">IF(INDEX(Payments!$K$5:$K$634,MATCH(B49,Payments!$A$5:$A$634,0))=1,"Yes","No")</f>
        <v>Yes</v>
      </c>
    </row>
    <row r="50" customFormat="false" ht="15" hidden="false" customHeight="false" outlineLevel="0" collapsed="false">
      <c r="A50" s="16" t="s">
        <v>3441</v>
      </c>
      <c r="B50" s="16" t="s">
        <v>739</v>
      </c>
      <c r="C50" s="16" t="s">
        <v>3442</v>
      </c>
      <c r="D50" s="16" t="s">
        <v>3443</v>
      </c>
      <c r="E50" s="16" t="s">
        <v>3444</v>
      </c>
      <c r="F50" s="0" t="str">
        <f aca="false">IF(INDEX(Payments!$K$5:$K$634,MATCH(B50,Payments!$A$5:$A$634,0))=1,"Yes","No")</f>
        <v>Yes</v>
      </c>
    </row>
    <row r="51" customFormat="false" ht="15" hidden="false" customHeight="false" outlineLevel="0" collapsed="false">
      <c r="A51" s="16" t="s">
        <v>3441</v>
      </c>
      <c r="B51" s="16" t="s">
        <v>739</v>
      </c>
      <c r="C51" s="16" t="s">
        <v>3451</v>
      </c>
      <c r="D51" s="16" t="s">
        <v>3443</v>
      </c>
      <c r="E51" s="16" t="s">
        <v>3452</v>
      </c>
      <c r="F51" s="0" t="str">
        <f aca="false">IF(INDEX(Payments!$J$5:$J$634,MATCH(B51,Payments!$A$5:$A$634,0))=1,"Yes","No")</f>
        <v>Yes</v>
      </c>
    </row>
    <row r="52" customFormat="false" ht="15" hidden="false" customHeight="false" outlineLevel="0" collapsed="false">
      <c r="A52" s="16" t="s">
        <v>3441</v>
      </c>
      <c r="B52" s="16" t="s">
        <v>753</v>
      </c>
      <c r="C52" s="16" t="s">
        <v>3448</v>
      </c>
      <c r="D52" s="16" t="s">
        <v>3445</v>
      </c>
      <c r="E52" s="16" t="s">
        <v>3449</v>
      </c>
      <c r="F52" s="0" t="str">
        <f aca="false">IF(INDEX(Payments!$L$5:$L$634,MATCH(B52,Payments!$A$5:$A$634,0))=1,"Yes","No")</f>
        <v>Yes</v>
      </c>
    </row>
    <row r="53" customFormat="false" ht="15" hidden="false" customHeight="false" outlineLevel="0" collapsed="false">
      <c r="A53" s="16" t="s">
        <v>3441</v>
      </c>
      <c r="B53" s="16" t="s">
        <v>759</v>
      </c>
      <c r="C53" s="16" t="s">
        <v>3448</v>
      </c>
      <c r="D53" s="16" t="s">
        <v>3445</v>
      </c>
      <c r="E53" s="16" t="s">
        <v>3449</v>
      </c>
      <c r="F53" s="0" t="str">
        <f aca="false">IF(INDEX(Payments!$L$5:$L$634,MATCH(B53,Payments!$A$5:$A$634,0))=1,"Yes","No")</f>
        <v>Yes</v>
      </c>
    </row>
    <row r="54" customFormat="false" ht="15" hidden="false" customHeight="false" outlineLevel="0" collapsed="false">
      <c r="A54" s="16" t="s">
        <v>3441</v>
      </c>
      <c r="B54" s="16" t="s">
        <v>761</v>
      </c>
      <c r="C54" s="16" t="s">
        <v>3442</v>
      </c>
      <c r="D54" s="16" t="s">
        <v>3445</v>
      </c>
      <c r="E54" s="16" t="s">
        <v>78</v>
      </c>
      <c r="F54" s="0" t="str">
        <f aca="false">IF(INDEX(Payments!$K$5:$K$634,MATCH(B54,Payments!$A$5:$A$634,0))=1,"Yes","No")</f>
        <v>Yes</v>
      </c>
    </row>
    <row r="55" customFormat="false" ht="15" hidden="false" customHeight="false" outlineLevel="0" collapsed="false">
      <c r="A55" s="16" t="s">
        <v>3441</v>
      </c>
      <c r="B55" s="16" t="s">
        <v>779</v>
      </c>
      <c r="C55" s="16" t="s">
        <v>3448</v>
      </c>
      <c r="D55" s="16" t="s">
        <v>3443</v>
      </c>
      <c r="E55" s="16" t="s">
        <v>3450</v>
      </c>
      <c r="F55" s="0" t="str">
        <f aca="false">IF(INDEX(Payments!$L$5:$L$634,MATCH(B55,Payments!$A$5:$A$634,0))=1,"Yes","No")</f>
        <v>Yes</v>
      </c>
    </row>
    <row r="56" customFormat="false" ht="15" hidden="false" customHeight="false" outlineLevel="0" collapsed="false">
      <c r="A56" s="16" t="s">
        <v>3441</v>
      </c>
      <c r="B56" s="16" t="s">
        <v>779</v>
      </c>
      <c r="C56" s="16" t="s">
        <v>3451</v>
      </c>
      <c r="D56" s="16" t="s">
        <v>3443</v>
      </c>
      <c r="E56" s="16" t="s">
        <v>3453</v>
      </c>
      <c r="F56" s="0" t="str">
        <f aca="false">IF(INDEX(Payments!$J$5:$J$634,MATCH(B56,Payments!$A$5:$A$634,0))=1,"Yes","No")</f>
        <v>Yes</v>
      </c>
    </row>
    <row r="57" customFormat="false" ht="15" hidden="false" customHeight="false" outlineLevel="0" collapsed="false">
      <c r="A57" s="16" t="s">
        <v>3441</v>
      </c>
      <c r="B57" s="16" t="s">
        <v>781</v>
      </c>
      <c r="C57" s="16" t="s">
        <v>3454</v>
      </c>
      <c r="D57" s="16" t="s">
        <v>3445</v>
      </c>
      <c r="E57" s="16" t="s">
        <v>310</v>
      </c>
      <c r="F57" s="0" t="str">
        <f aca="false">IF(INDEX(Payments!$M$5:$M$634,MATCH(B57,Payments!$A$5:$A$634,0))=1,"Yes","No")</f>
        <v>Yes</v>
      </c>
    </row>
    <row r="58" customFormat="false" ht="15" hidden="false" customHeight="false" outlineLevel="0" collapsed="false">
      <c r="A58" s="16" t="s">
        <v>3441</v>
      </c>
      <c r="B58" s="16" t="s">
        <v>783</v>
      </c>
      <c r="C58" s="16" t="s">
        <v>3454</v>
      </c>
      <c r="D58" s="16" t="s">
        <v>3445</v>
      </c>
      <c r="E58" s="16" t="s">
        <v>310</v>
      </c>
      <c r="F58" s="0" t="str">
        <f aca="false">IF(INDEX(Payments!$M$5:$M$634,MATCH(B58,Payments!$A$5:$A$634,0))=1,"Yes","No")</f>
        <v>Yes</v>
      </c>
    </row>
    <row r="59" customFormat="false" ht="15" hidden="false" customHeight="false" outlineLevel="0" collapsed="false">
      <c r="A59" s="16" t="s">
        <v>3441</v>
      </c>
      <c r="B59" s="16" t="s">
        <v>799</v>
      </c>
      <c r="C59" s="16" t="s">
        <v>3448</v>
      </c>
      <c r="D59" s="16" t="s">
        <v>3445</v>
      </c>
      <c r="E59" s="16" t="s">
        <v>3449</v>
      </c>
      <c r="F59" s="0" t="str">
        <f aca="false">IF(INDEX(Payments!$L$5:$L$634,MATCH(B59,Payments!$A$5:$A$634,0))=1,"Yes","No")</f>
        <v>Yes</v>
      </c>
    </row>
    <row r="60" customFormat="false" ht="15" hidden="false" customHeight="false" outlineLevel="0" collapsed="false">
      <c r="A60" s="16" t="s">
        <v>3441</v>
      </c>
      <c r="B60" s="16" t="s">
        <v>809</v>
      </c>
      <c r="C60" s="16" t="s">
        <v>3448</v>
      </c>
      <c r="D60" s="16" t="s">
        <v>3445</v>
      </c>
      <c r="E60" s="16" t="s">
        <v>3449</v>
      </c>
      <c r="F60" s="0" t="str">
        <f aca="false">IF(INDEX(Payments!$L$5:$L$634,MATCH(B60,Payments!$A$5:$A$634,0))=1,"Yes","No")</f>
        <v>Yes</v>
      </c>
    </row>
    <row r="61" customFormat="false" ht="15" hidden="false" customHeight="false" outlineLevel="0" collapsed="false">
      <c r="A61" s="16" t="s">
        <v>3441</v>
      </c>
      <c r="B61" s="16" t="s">
        <v>837</v>
      </c>
      <c r="C61" s="16" t="s">
        <v>3442</v>
      </c>
      <c r="D61" s="16" t="s">
        <v>3443</v>
      </c>
      <c r="E61" s="16" t="s">
        <v>3444</v>
      </c>
      <c r="F61" s="0" t="str">
        <f aca="false">IF(INDEX(Payments!$K$5:$K$634,MATCH(B61,Payments!$A$5:$A$634,0))=1,"Yes","No")</f>
        <v>Yes</v>
      </c>
    </row>
    <row r="62" customFormat="false" ht="15" hidden="false" customHeight="false" outlineLevel="0" collapsed="false">
      <c r="A62" s="16" t="s">
        <v>3441</v>
      </c>
      <c r="B62" s="16" t="s">
        <v>837</v>
      </c>
      <c r="C62" s="16" t="s">
        <v>3451</v>
      </c>
      <c r="D62" s="16" t="s">
        <v>3443</v>
      </c>
      <c r="E62" s="16" t="s">
        <v>3452</v>
      </c>
      <c r="F62" s="0" t="str">
        <f aca="false">IF(INDEX(Payments!$J$5:$J$634,MATCH(B62,Payments!$A$5:$A$634,0))=1,"Yes","No")</f>
        <v>Yes</v>
      </c>
    </row>
    <row r="63" customFormat="false" ht="15" hidden="false" customHeight="false" outlineLevel="0" collapsed="false">
      <c r="A63" s="16" t="s">
        <v>3441</v>
      </c>
      <c r="B63" s="16" t="s">
        <v>839</v>
      </c>
      <c r="C63" s="16" t="s">
        <v>3451</v>
      </c>
      <c r="D63" s="16" t="s">
        <v>3455</v>
      </c>
      <c r="E63" s="16"/>
      <c r="F63" s="0" t="str">
        <f aca="false">IF(INDEX(Payments!$J$5:$J$634,MATCH(B63,Payments!$A$5:$A$634,0))=1,"Yes","No")</f>
        <v>Yes</v>
      </c>
    </row>
    <row r="64" customFormat="false" ht="15" hidden="false" customHeight="false" outlineLevel="0" collapsed="false">
      <c r="A64" s="16" t="s">
        <v>3441</v>
      </c>
      <c r="B64" s="16" t="s">
        <v>843</v>
      </c>
      <c r="C64" s="16" t="s">
        <v>3448</v>
      </c>
      <c r="D64" s="16" t="s">
        <v>3445</v>
      </c>
      <c r="E64" s="16" t="s">
        <v>3449</v>
      </c>
      <c r="F64" s="0" t="str">
        <f aca="false">IF(INDEX(Payments!$L$5:$L$634,MATCH(B64,Payments!$A$5:$A$634,0))=1,"Yes","No")</f>
        <v>Yes</v>
      </c>
    </row>
    <row r="65" customFormat="false" ht="15" hidden="false" customHeight="false" outlineLevel="0" collapsed="false">
      <c r="A65" s="16" t="s">
        <v>3441</v>
      </c>
      <c r="B65" s="16" t="s">
        <v>847</v>
      </c>
      <c r="C65" s="16" t="s">
        <v>3448</v>
      </c>
      <c r="D65" s="16" t="s">
        <v>3445</v>
      </c>
      <c r="E65" s="16" t="s">
        <v>3449</v>
      </c>
      <c r="F65" s="0" t="str">
        <f aca="false">IF(INDEX(Payments!$L$5:$L$634,MATCH(B65,Payments!$A$5:$A$634,0))=1,"Yes","No")</f>
        <v>Yes</v>
      </c>
    </row>
    <row r="66" customFormat="false" ht="15" hidden="false" customHeight="false" outlineLevel="0" collapsed="false">
      <c r="A66" s="16" t="s">
        <v>3441</v>
      </c>
      <c r="B66" s="16" t="s">
        <v>855</v>
      </c>
      <c r="C66" s="16" t="s">
        <v>3446</v>
      </c>
      <c r="D66" s="16" t="s">
        <v>3445</v>
      </c>
      <c r="E66" s="16" t="s">
        <v>3447</v>
      </c>
      <c r="F66" s="0" t="str">
        <f aca="false">IF(INDEX(Payments!$I$5:$I$634,MATCH(B66,Payments!$A$5:$A$634,0))=1,"Yes","No")</f>
        <v>Yes</v>
      </c>
    </row>
    <row r="67" customFormat="false" ht="15" hidden="false" customHeight="false" outlineLevel="0" collapsed="false">
      <c r="A67" s="16" t="s">
        <v>3441</v>
      </c>
      <c r="B67" s="16" t="s">
        <v>856</v>
      </c>
      <c r="C67" s="16" t="s">
        <v>3451</v>
      </c>
      <c r="D67" s="16" t="s">
        <v>3445</v>
      </c>
      <c r="E67" s="16" t="s">
        <v>3459</v>
      </c>
      <c r="F67" s="0" t="str">
        <f aca="false">IF(INDEX(Payments!$J$5:$J$634,MATCH(B67,Payments!$A$5:$A$634,0))=1,"Yes","No")</f>
        <v>Yes</v>
      </c>
    </row>
    <row r="68" customFormat="false" ht="15" hidden="false" customHeight="false" outlineLevel="0" collapsed="false">
      <c r="A68" s="16" t="s">
        <v>3441</v>
      </c>
      <c r="B68" s="16" t="s">
        <v>862</v>
      </c>
      <c r="C68" s="16" t="s">
        <v>3457</v>
      </c>
      <c r="D68" s="16" t="s">
        <v>3445</v>
      </c>
      <c r="E68" s="16" t="s">
        <v>81</v>
      </c>
      <c r="F68" s="0" t="str">
        <f aca="false">IF(INDEX(Payments!$N$5:$N$634,MATCH(B68,Payments!$A$5:$A$634,0))=1,"Yes","No")</f>
        <v>Yes</v>
      </c>
    </row>
    <row r="69" customFormat="false" ht="15" hidden="false" customHeight="false" outlineLevel="0" collapsed="false">
      <c r="A69" s="16" t="s">
        <v>3441</v>
      </c>
      <c r="B69" s="16" t="s">
        <v>888</v>
      </c>
      <c r="C69" s="16" t="s">
        <v>3448</v>
      </c>
      <c r="D69" s="16" t="s">
        <v>3443</v>
      </c>
      <c r="E69" s="16" t="s">
        <v>3450</v>
      </c>
      <c r="F69" s="0" t="str">
        <f aca="false">IF(INDEX(Payments!$L$5:$L$634,MATCH(B69,Payments!$A$5:$A$634,0))=1,"Yes","No")</f>
        <v>Yes</v>
      </c>
    </row>
    <row r="70" customFormat="false" ht="15" hidden="false" customHeight="false" outlineLevel="0" collapsed="false">
      <c r="A70" s="16" t="s">
        <v>3441</v>
      </c>
      <c r="B70" s="16" t="s">
        <v>904</v>
      </c>
      <c r="C70" s="16" t="s">
        <v>3448</v>
      </c>
      <c r="D70" s="16" t="s">
        <v>3445</v>
      </c>
      <c r="E70" s="16" t="s">
        <v>3449</v>
      </c>
      <c r="F70" s="0" t="str">
        <f aca="false">IF(INDEX(Payments!$L$5:$L$634,MATCH(B70,Payments!$A$5:$A$634,0))=1,"Yes","No")</f>
        <v>Yes</v>
      </c>
    </row>
    <row r="71" customFormat="false" ht="15" hidden="false" customHeight="false" outlineLevel="0" collapsed="false">
      <c r="A71" s="16" t="s">
        <v>3441</v>
      </c>
      <c r="B71" s="16" t="s">
        <v>930</v>
      </c>
      <c r="C71" s="16" t="s">
        <v>3442</v>
      </c>
      <c r="D71" s="16" t="s">
        <v>3443</v>
      </c>
      <c r="E71" s="16" t="s">
        <v>3444</v>
      </c>
      <c r="F71" s="0" t="str">
        <f aca="false">IF(INDEX(Payments!$K$5:$K$634,MATCH(B71,Payments!$A$5:$A$634,0))=1,"Yes","No")</f>
        <v>Yes</v>
      </c>
    </row>
    <row r="72" customFormat="false" ht="15" hidden="false" customHeight="false" outlineLevel="0" collapsed="false">
      <c r="A72" s="16" t="s">
        <v>3441</v>
      </c>
      <c r="B72" s="16" t="s">
        <v>930</v>
      </c>
      <c r="C72" s="16" t="s">
        <v>3451</v>
      </c>
      <c r="D72" s="16" t="s">
        <v>3443</v>
      </c>
      <c r="E72" s="16" t="s">
        <v>3452</v>
      </c>
      <c r="F72" s="0" t="str">
        <f aca="false">IF(INDEX(Payments!$J$5:$J$634,MATCH(B72,Payments!$A$5:$A$634,0))=1,"Yes","No")</f>
        <v>Yes</v>
      </c>
    </row>
    <row r="73" customFormat="false" ht="15" hidden="false" customHeight="false" outlineLevel="0" collapsed="false">
      <c r="A73" s="16" t="s">
        <v>3441</v>
      </c>
      <c r="B73" s="16" t="s">
        <v>950</v>
      </c>
      <c r="C73" s="16" t="s">
        <v>3448</v>
      </c>
      <c r="D73" s="16" t="s">
        <v>3445</v>
      </c>
      <c r="E73" s="16" t="s">
        <v>3449</v>
      </c>
      <c r="F73" s="0" t="str">
        <f aca="false">IF(INDEX(Payments!$L$5:$L$634,MATCH(B73,Payments!$A$5:$A$634,0))=1,"Yes","No")</f>
        <v>No</v>
      </c>
    </row>
    <row r="74" customFormat="false" ht="15" hidden="false" customHeight="false" outlineLevel="0" collapsed="false">
      <c r="A74" s="16" t="s">
        <v>3441</v>
      </c>
      <c r="B74" s="16" t="s">
        <v>960</v>
      </c>
      <c r="C74" s="16" t="s">
        <v>3448</v>
      </c>
      <c r="D74" s="16" t="s">
        <v>3443</v>
      </c>
      <c r="E74" s="16" t="s">
        <v>3450</v>
      </c>
      <c r="F74" s="0" t="str">
        <f aca="false">IF(INDEX(Payments!$L$5:$L$634,MATCH(B74,Payments!$A$5:$A$634,0))=1,"Yes","No")</f>
        <v>Yes</v>
      </c>
    </row>
    <row r="75" customFormat="false" ht="15" hidden="false" customHeight="false" outlineLevel="0" collapsed="false">
      <c r="A75" s="16" t="s">
        <v>3441</v>
      </c>
      <c r="B75" s="16" t="s">
        <v>992</v>
      </c>
      <c r="C75" s="16" t="s">
        <v>3448</v>
      </c>
      <c r="D75" s="16" t="s">
        <v>3445</v>
      </c>
      <c r="E75" s="16" t="s">
        <v>3449</v>
      </c>
      <c r="F75" s="0" t="str">
        <f aca="false">IF(INDEX(Payments!$L$5:$L$634,MATCH(B75,Payments!$A$5:$A$634,0))=1,"Yes","No")</f>
        <v>Yes</v>
      </c>
    </row>
    <row r="76" customFormat="false" ht="15" hidden="false" customHeight="false" outlineLevel="0" collapsed="false">
      <c r="A76" s="16" t="s">
        <v>3441</v>
      </c>
      <c r="B76" s="16" t="s">
        <v>1008</v>
      </c>
      <c r="C76" s="16" t="s">
        <v>3451</v>
      </c>
      <c r="D76" s="16" t="s">
        <v>3455</v>
      </c>
      <c r="E76" s="16"/>
      <c r="F76" s="0" t="str">
        <f aca="false">IF(INDEX(Payments!$J$5:$J$634,MATCH(B76,Payments!$A$5:$A$634,0))=1,"Yes","No")</f>
        <v>Yes</v>
      </c>
    </row>
    <row r="77" customFormat="false" ht="15" hidden="false" customHeight="false" outlineLevel="0" collapsed="false">
      <c r="A77" s="16" t="s">
        <v>3441</v>
      </c>
      <c r="B77" s="16" t="s">
        <v>1014</v>
      </c>
      <c r="C77" s="16" t="s">
        <v>3442</v>
      </c>
      <c r="D77" s="16" t="s">
        <v>3443</v>
      </c>
      <c r="E77" s="16" t="s">
        <v>3444</v>
      </c>
      <c r="F77" s="0" t="str">
        <f aca="false">IF(INDEX(Payments!$K$5:$K$634,MATCH(B77,Payments!$A$5:$A$634,0))=1,"Yes","No")</f>
        <v>Yes</v>
      </c>
    </row>
    <row r="78" customFormat="false" ht="15" hidden="false" customHeight="false" outlineLevel="0" collapsed="false">
      <c r="A78" s="16" t="s">
        <v>3441</v>
      </c>
      <c r="B78" s="16" t="s">
        <v>1018</v>
      </c>
      <c r="C78" s="16" t="s">
        <v>3448</v>
      </c>
      <c r="D78" s="16" t="s">
        <v>3445</v>
      </c>
      <c r="E78" s="16" t="s">
        <v>3449</v>
      </c>
      <c r="F78" s="0" t="str">
        <f aca="false">IF(INDEX(Payments!$L$5:$L$634,MATCH(B78,Payments!$A$5:$A$634,0))=1,"Yes","No")</f>
        <v>Yes</v>
      </c>
    </row>
    <row r="79" customFormat="false" ht="15" hidden="false" customHeight="false" outlineLevel="0" collapsed="false">
      <c r="A79" s="16" t="s">
        <v>3441</v>
      </c>
      <c r="B79" s="16" t="s">
        <v>1018</v>
      </c>
      <c r="C79" s="16" t="s">
        <v>3454</v>
      </c>
      <c r="D79" s="16" t="s">
        <v>3455</v>
      </c>
      <c r="E79" s="16" t="s">
        <v>3456</v>
      </c>
      <c r="F79" s="0" t="str">
        <f aca="false">IF(INDEX(Payments!$M$5:$M$634,MATCH(B79,Payments!$A$5:$A$634,0))=1,"Yes","No")</f>
        <v>Yes</v>
      </c>
    </row>
    <row r="80" customFormat="false" ht="15" hidden="false" customHeight="false" outlineLevel="0" collapsed="false">
      <c r="A80" s="16" t="s">
        <v>3441</v>
      </c>
      <c r="B80" s="16" t="s">
        <v>1020</v>
      </c>
      <c r="C80" s="16" t="s">
        <v>3448</v>
      </c>
      <c r="D80" s="16" t="s">
        <v>3445</v>
      </c>
      <c r="E80" s="16" t="s">
        <v>3449</v>
      </c>
      <c r="F80" s="0" t="str">
        <f aca="false">IF(INDEX(Payments!$L$5:$L$634,MATCH(B80,Payments!$A$5:$A$634,0))=1,"Yes","No")</f>
        <v>Yes</v>
      </c>
    </row>
    <row r="81" customFormat="false" ht="15" hidden="false" customHeight="false" outlineLevel="0" collapsed="false">
      <c r="A81" s="16" t="s">
        <v>3441</v>
      </c>
      <c r="B81" s="16" t="s">
        <v>1020</v>
      </c>
      <c r="C81" s="16" t="s">
        <v>3454</v>
      </c>
      <c r="D81" s="16" t="s">
        <v>3455</v>
      </c>
      <c r="E81" s="16" t="s">
        <v>3456</v>
      </c>
      <c r="F81" s="0" t="str">
        <f aca="false">IF(INDEX(Payments!$M$5:$M$634,MATCH(B81,Payments!$A$5:$A$634,0))=1,"Yes","No")</f>
        <v>Yes</v>
      </c>
    </row>
    <row r="82" customFormat="false" ht="15" hidden="false" customHeight="false" outlineLevel="0" collapsed="false">
      <c r="A82" s="16" t="s">
        <v>3441</v>
      </c>
      <c r="B82" s="16" t="s">
        <v>1028</v>
      </c>
      <c r="C82" s="16" t="s">
        <v>3454</v>
      </c>
      <c r="D82" s="16" t="s">
        <v>3445</v>
      </c>
      <c r="E82" s="16" t="s">
        <v>310</v>
      </c>
      <c r="F82" s="0" t="str">
        <f aca="false">IF(INDEX(Payments!$M$5:$M$634,MATCH(B82,Payments!$A$5:$A$634,0))=1,"Yes","No")</f>
        <v>Yes</v>
      </c>
    </row>
    <row r="83" customFormat="false" ht="15" hidden="false" customHeight="false" outlineLevel="0" collapsed="false">
      <c r="A83" s="16" t="s">
        <v>3441</v>
      </c>
      <c r="B83" s="16" t="s">
        <v>1030</v>
      </c>
      <c r="C83" s="16" t="s">
        <v>3454</v>
      </c>
      <c r="D83" s="16" t="s">
        <v>3445</v>
      </c>
      <c r="E83" s="16" t="s">
        <v>310</v>
      </c>
      <c r="F83" s="0" t="str">
        <f aca="false">IF(INDEX(Payments!$M$5:$M$634,MATCH(B83,Payments!$A$5:$A$634,0))=1,"Yes","No")</f>
        <v>Yes</v>
      </c>
    </row>
    <row r="84" customFormat="false" ht="15" hidden="false" customHeight="false" outlineLevel="0" collapsed="false">
      <c r="A84" s="16" t="s">
        <v>3441</v>
      </c>
      <c r="B84" s="16" t="s">
        <v>1032</v>
      </c>
      <c r="C84" s="16" t="s">
        <v>3454</v>
      </c>
      <c r="D84" s="16" t="s">
        <v>3445</v>
      </c>
      <c r="E84" s="16" t="s">
        <v>310</v>
      </c>
      <c r="F84" s="0" t="str">
        <f aca="false">IF(INDEX(Payments!$M$5:$M$634,MATCH(B84,Payments!$A$5:$A$634,0))=1,"Yes","No")</f>
        <v>Yes</v>
      </c>
    </row>
    <row r="85" customFormat="false" ht="15" hidden="false" customHeight="false" outlineLevel="0" collapsed="false">
      <c r="A85" s="16" t="s">
        <v>3441</v>
      </c>
      <c r="B85" s="16" t="s">
        <v>1048</v>
      </c>
      <c r="C85" s="16" t="s">
        <v>3457</v>
      </c>
      <c r="D85" s="16" t="s">
        <v>3445</v>
      </c>
      <c r="E85" s="16" t="s">
        <v>81</v>
      </c>
      <c r="F85" s="0" t="str">
        <f aca="false">IF(INDEX(Payments!$N$5:$N$634,MATCH(B85,Payments!$A$5:$A$634,0))=1,"Yes","No")</f>
        <v>Yes</v>
      </c>
    </row>
    <row r="86" customFormat="false" ht="15" hidden="false" customHeight="false" outlineLevel="0" collapsed="false">
      <c r="A86" s="16" t="s">
        <v>3441</v>
      </c>
      <c r="B86" s="16" t="s">
        <v>1050</v>
      </c>
      <c r="C86" s="16" t="s">
        <v>3448</v>
      </c>
      <c r="D86" s="16" t="s">
        <v>3445</v>
      </c>
      <c r="E86" s="16" t="s">
        <v>3449</v>
      </c>
      <c r="F86" s="0" t="str">
        <f aca="false">IF(INDEX(Payments!$L$5:$L$634,MATCH(B86,Payments!$A$5:$A$634,0))=1,"Yes","No")</f>
        <v>Yes</v>
      </c>
    </row>
    <row r="87" customFormat="false" ht="15" hidden="false" customHeight="false" outlineLevel="0" collapsed="false">
      <c r="A87" s="16" t="s">
        <v>3441</v>
      </c>
      <c r="B87" s="16" t="s">
        <v>1058</v>
      </c>
      <c r="C87" s="16" t="s">
        <v>3448</v>
      </c>
      <c r="D87" s="16" t="s">
        <v>3445</v>
      </c>
      <c r="E87" s="16" t="s">
        <v>3449</v>
      </c>
      <c r="F87" s="0" t="str">
        <f aca="false">IF(INDEX(Payments!$L$5:$L$634,MATCH(B87,Payments!$A$5:$A$634,0))=1,"Yes","No")</f>
        <v>Yes</v>
      </c>
    </row>
    <row r="88" customFormat="false" ht="15" hidden="false" customHeight="false" outlineLevel="0" collapsed="false">
      <c r="A88" s="16" t="s">
        <v>3441</v>
      </c>
      <c r="B88" s="16" t="s">
        <v>1068</v>
      </c>
      <c r="C88" s="16" t="s">
        <v>3448</v>
      </c>
      <c r="D88" s="16" t="s">
        <v>3443</v>
      </c>
      <c r="E88" s="16" t="s">
        <v>3450</v>
      </c>
      <c r="F88" s="0" t="str">
        <f aca="false">IF(INDEX(Payments!$L$5:$L$634,MATCH(B88,Payments!$A$5:$A$634,0))=1,"Yes","No")</f>
        <v>Yes</v>
      </c>
    </row>
    <row r="89" customFormat="false" ht="15" hidden="false" customHeight="false" outlineLevel="0" collapsed="false">
      <c r="A89" s="16" t="s">
        <v>3441</v>
      </c>
      <c r="B89" s="16" t="s">
        <v>1068</v>
      </c>
      <c r="C89" s="16" t="s">
        <v>3451</v>
      </c>
      <c r="D89" s="16" t="s">
        <v>3443</v>
      </c>
      <c r="E89" s="16" t="s">
        <v>3453</v>
      </c>
      <c r="F89" s="0" t="str">
        <f aca="false">IF(INDEX(Payments!$J$5:$J$634,MATCH(B89,Payments!$A$5:$A$634,0))=1,"Yes","No")</f>
        <v>Yes</v>
      </c>
    </row>
    <row r="90" customFormat="false" ht="15" hidden="false" customHeight="false" outlineLevel="0" collapsed="false">
      <c r="A90" s="16" t="s">
        <v>3441</v>
      </c>
      <c r="B90" s="16" t="s">
        <v>1074</v>
      </c>
      <c r="C90" s="16" t="s">
        <v>3451</v>
      </c>
      <c r="D90" s="16" t="s">
        <v>3445</v>
      </c>
      <c r="E90" s="16" t="s">
        <v>3459</v>
      </c>
      <c r="F90" s="0" t="str">
        <f aca="false">IF(INDEX(Payments!$J$5:$J$634,MATCH(B90,Payments!$A$5:$A$634,0))=1,"Yes","No")</f>
        <v>Yes</v>
      </c>
    </row>
    <row r="91" customFormat="false" ht="15" hidden="false" customHeight="false" outlineLevel="0" collapsed="false">
      <c r="A91" s="16" t="s">
        <v>3441</v>
      </c>
      <c r="B91" s="16" t="s">
        <v>1092</v>
      </c>
      <c r="C91" s="16" t="s">
        <v>3448</v>
      </c>
      <c r="D91" s="16" t="s">
        <v>3445</v>
      </c>
      <c r="E91" s="16" t="s">
        <v>3449</v>
      </c>
      <c r="F91" s="0" t="str">
        <f aca="false">IF(INDEX(Payments!$L$5:$L$634,MATCH(B91,Payments!$A$5:$A$634,0))=1,"Yes","No")</f>
        <v>Yes</v>
      </c>
    </row>
    <row r="92" customFormat="false" ht="15" hidden="false" customHeight="false" outlineLevel="0" collapsed="false">
      <c r="A92" s="16" t="s">
        <v>3441</v>
      </c>
      <c r="B92" s="16" t="s">
        <v>1100</v>
      </c>
      <c r="C92" s="16" t="s">
        <v>3442</v>
      </c>
      <c r="D92" s="16" t="s">
        <v>3445</v>
      </c>
      <c r="E92" s="16" t="s">
        <v>78</v>
      </c>
      <c r="F92" s="0" t="str">
        <f aca="false">IF(INDEX(Payments!$K$5:$K$634,MATCH(B92,Payments!$A$5:$A$634,0))=1,"Yes","No")</f>
        <v>Yes</v>
      </c>
    </row>
    <row r="93" customFormat="false" ht="15" hidden="false" customHeight="false" outlineLevel="0" collapsed="false">
      <c r="A93" s="16" t="s">
        <v>3441</v>
      </c>
      <c r="B93" s="16" t="s">
        <v>1124</v>
      </c>
      <c r="C93" s="16" t="s">
        <v>3454</v>
      </c>
      <c r="D93" s="16" t="s">
        <v>3445</v>
      </c>
      <c r="E93" s="16" t="s">
        <v>310</v>
      </c>
      <c r="F93" s="0" t="str">
        <f aca="false">IF(INDEX(Payments!$M$5:$M$634,MATCH(B93,Payments!$A$5:$A$634,0))=1,"Yes","No")</f>
        <v>Yes</v>
      </c>
    </row>
    <row r="94" customFormat="false" ht="15" hidden="false" customHeight="false" outlineLevel="0" collapsed="false">
      <c r="A94" s="16" t="s">
        <v>3441</v>
      </c>
      <c r="B94" s="16" t="s">
        <v>1126</v>
      </c>
      <c r="C94" s="16" t="s">
        <v>3454</v>
      </c>
      <c r="D94" s="16" t="s">
        <v>3445</v>
      </c>
      <c r="E94" s="16" t="s">
        <v>310</v>
      </c>
      <c r="F94" s="0" t="str">
        <f aca="false">IF(INDEX(Payments!$M$5:$M$634,MATCH(B94,Payments!$A$5:$A$634,0))=1,"Yes","No")</f>
        <v>Yes</v>
      </c>
    </row>
    <row r="95" customFormat="false" ht="15" hidden="false" customHeight="false" outlineLevel="0" collapsed="false">
      <c r="A95" s="16" t="s">
        <v>3441</v>
      </c>
      <c r="B95" s="16" t="s">
        <v>1128</v>
      </c>
      <c r="C95" s="16" t="s">
        <v>3448</v>
      </c>
      <c r="D95" s="16" t="s">
        <v>3445</v>
      </c>
      <c r="E95" s="16" t="s">
        <v>3449</v>
      </c>
      <c r="F95" s="0" t="str">
        <f aca="false">IF(INDEX(Payments!$L$5:$L$634,MATCH(B95,Payments!$A$5:$A$634,0))=1,"Yes","No")</f>
        <v>Yes</v>
      </c>
    </row>
    <row r="96" customFormat="false" ht="15" hidden="false" customHeight="false" outlineLevel="0" collapsed="false">
      <c r="A96" s="16" t="s">
        <v>3441</v>
      </c>
      <c r="B96" s="16" t="s">
        <v>1134</v>
      </c>
      <c r="C96" s="16" t="s">
        <v>3442</v>
      </c>
      <c r="D96" s="16" t="s">
        <v>3445</v>
      </c>
      <c r="E96" s="16" t="s">
        <v>78</v>
      </c>
      <c r="F96" s="0" t="str">
        <f aca="false">IF(INDEX(Payments!$K$5:$K$634,MATCH(B96,Payments!$A$5:$A$634,0))=1,"Yes","No")</f>
        <v>Yes</v>
      </c>
    </row>
    <row r="97" customFormat="false" ht="15" hidden="false" customHeight="false" outlineLevel="0" collapsed="false">
      <c r="A97" s="16" t="s">
        <v>3441</v>
      </c>
      <c r="B97" s="16" t="s">
        <v>1142</v>
      </c>
      <c r="C97" s="16" t="s">
        <v>3442</v>
      </c>
      <c r="D97" s="16" t="s">
        <v>3443</v>
      </c>
      <c r="E97" s="16" t="s">
        <v>3444</v>
      </c>
      <c r="F97" s="0" t="str">
        <f aca="false">IF(INDEX(Payments!$K$5:$K$634,MATCH(B97,Payments!$A$5:$A$634,0))=1,"Yes","No")</f>
        <v>Yes</v>
      </c>
    </row>
    <row r="98" customFormat="false" ht="15" hidden="false" customHeight="false" outlineLevel="0" collapsed="false">
      <c r="A98" s="16" t="s">
        <v>3441</v>
      </c>
      <c r="B98" s="16" t="s">
        <v>1152</v>
      </c>
      <c r="C98" s="16" t="s">
        <v>3442</v>
      </c>
      <c r="D98" s="16" t="s">
        <v>3445</v>
      </c>
      <c r="E98" s="16" t="s">
        <v>78</v>
      </c>
      <c r="F98" s="0" t="str">
        <f aca="false">IF(INDEX(Payments!$K$5:$K$634,MATCH(B98,Payments!$A$5:$A$634,0))=1,"Yes","No")</f>
        <v>Yes</v>
      </c>
    </row>
    <row r="99" customFormat="false" ht="15" hidden="false" customHeight="false" outlineLevel="0" collapsed="false">
      <c r="A99" s="16" t="s">
        <v>3441</v>
      </c>
      <c r="B99" s="16" t="s">
        <v>1162</v>
      </c>
      <c r="C99" s="16" t="s">
        <v>3454</v>
      </c>
      <c r="D99" s="16" t="s">
        <v>3445</v>
      </c>
      <c r="E99" s="16" t="s">
        <v>310</v>
      </c>
      <c r="F99" s="0" t="str">
        <f aca="false">IF(INDEX(Payments!$M$5:$M$634,MATCH(B99,Payments!$A$5:$A$634,0))=1,"Yes","No")</f>
        <v>Yes</v>
      </c>
    </row>
    <row r="100" customFormat="false" ht="15" hidden="false" customHeight="false" outlineLevel="0" collapsed="false">
      <c r="A100" s="16" t="s">
        <v>3441</v>
      </c>
      <c r="B100" s="16" t="s">
        <v>1164</v>
      </c>
      <c r="C100" s="16" t="s">
        <v>3454</v>
      </c>
      <c r="D100" s="16" t="s">
        <v>3445</v>
      </c>
      <c r="E100" s="16" t="s">
        <v>310</v>
      </c>
      <c r="F100" s="0" t="str">
        <f aca="false">IF(INDEX(Payments!$M$5:$M$634,MATCH(B100,Payments!$A$5:$A$634,0))=1,"Yes","No")</f>
        <v>Yes</v>
      </c>
    </row>
    <row r="101" customFormat="false" ht="15" hidden="false" customHeight="false" outlineLevel="0" collapsed="false">
      <c r="A101" s="16" t="s">
        <v>3441</v>
      </c>
      <c r="B101" s="16" t="s">
        <v>1180</v>
      </c>
      <c r="C101" s="16" t="s">
        <v>3448</v>
      </c>
      <c r="D101" s="16" t="s">
        <v>3443</v>
      </c>
      <c r="E101" s="16" t="s">
        <v>3450</v>
      </c>
      <c r="F101" s="0" t="str">
        <f aca="false">IF(INDEX(Payments!$L$5:$L$634,MATCH(B101,Payments!$A$5:$A$634,0))=1,"Yes","No")</f>
        <v>Yes</v>
      </c>
    </row>
    <row r="102" customFormat="false" ht="15" hidden="false" customHeight="false" outlineLevel="0" collapsed="false">
      <c r="A102" s="16" t="s">
        <v>3441</v>
      </c>
      <c r="B102" s="16" t="s">
        <v>1180</v>
      </c>
      <c r="C102" s="16" t="s">
        <v>3451</v>
      </c>
      <c r="D102" s="16" t="s">
        <v>3443</v>
      </c>
      <c r="E102" s="16" t="s">
        <v>3453</v>
      </c>
      <c r="F102" s="0" t="str">
        <f aca="false">IF(INDEX(Payments!$J$5:$J$634,MATCH(B102,Payments!$A$5:$A$634,0))=1,"Yes","No")</f>
        <v>Yes</v>
      </c>
    </row>
    <row r="103" customFormat="false" ht="15" hidden="false" customHeight="false" outlineLevel="0" collapsed="false">
      <c r="A103" s="16" t="s">
        <v>3441</v>
      </c>
      <c r="B103" s="16" t="s">
        <v>1182</v>
      </c>
      <c r="C103" s="16" t="s">
        <v>3451</v>
      </c>
      <c r="D103" s="16" t="s">
        <v>3455</v>
      </c>
      <c r="E103" s="16"/>
      <c r="F103" s="0" t="str">
        <f aca="false">IF(INDEX(Payments!$J$5:$J$634,MATCH(B103,Payments!$A$5:$A$634,0))=1,"Yes","No")</f>
        <v>Yes</v>
      </c>
    </row>
    <row r="104" customFormat="false" ht="15" hidden="false" customHeight="false" outlineLevel="0" collapsed="false">
      <c r="A104" s="16" t="s">
        <v>3441</v>
      </c>
      <c r="B104" s="16" t="s">
        <v>1186</v>
      </c>
      <c r="C104" s="16" t="s">
        <v>3448</v>
      </c>
      <c r="D104" s="16" t="s">
        <v>3445</v>
      </c>
      <c r="E104" s="16" t="s">
        <v>3449</v>
      </c>
      <c r="F104" s="0" t="str">
        <f aca="false">IF(INDEX(Payments!$L$5:$L$634,MATCH(B104,Payments!$A$5:$A$634,0))=1,"Yes","No")</f>
        <v>Yes</v>
      </c>
    </row>
    <row r="105" customFormat="false" ht="15" hidden="false" customHeight="false" outlineLevel="0" collapsed="false">
      <c r="A105" s="16" t="s">
        <v>3441</v>
      </c>
      <c r="B105" s="16" t="s">
        <v>1196</v>
      </c>
      <c r="C105" s="16" t="s">
        <v>3448</v>
      </c>
      <c r="D105" s="16" t="s">
        <v>3445</v>
      </c>
      <c r="E105" s="16" t="s">
        <v>3449</v>
      </c>
      <c r="F105" s="0" t="str">
        <f aca="false">IF(INDEX(Payments!$L$5:$L$634,MATCH(B105,Payments!$A$5:$A$634,0))=1,"Yes","No")</f>
        <v>No</v>
      </c>
    </row>
    <row r="106" customFormat="false" ht="15" hidden="false" customHeight="false" outlineLevel="0" collapsed="false">
      <c r="A106" s="16" t="s">
        <v>3441</v>
      </c>
      <c r="B106" s="16" t="s">
        <v>1220</v>
      </c>
      <c r="C106" s="16" t="s">
        <v>3446</v>
      </c>
      <c r="D106" s="16" t="s">
        <v>3445</v>
      </c>
      <c r="E106" s="16" t="s">
        <v>3447</v>
      </c>
      <c r="F106" s="0" t="str">
        <f aca="false">IF(INDEX(Payments!$I$5:$I$634,MATCH(B106,Payments!$A$5:$A$634,0))=1,"Yes","No")</f>
        <v>Yes</v>
      </c>
    </row>
    <row r="107" customFormat="false" ht="15" hidden="false" customHeight="false" outlineLevel="0" collapsed="false">
      <c r="A107" s="16" t="s">
        <v>3441</v>
      </c>
      <c r="B107" s="16" t="s">
        <v>1223</v>
      </c>
      <c r="C107" s="16" t="s">
        <v>3451</v>
      </c>
      <c r="D107" s="16" t="s">
        <v>3455</v>
      </c>
      <c r="E107" s="16"/>
      <c r="F107" s="0" t="str">
        <f aca="false">IF(INDEX(Payments!$J$5:$J$634,MATCH(B107,Payments!$A$5:$A$634,0))=1,"Yes","No")</f>
        <v>Yes</v>
      </c>
    </row>
    <row r="108" customFormat="false" ht="15" hidden="false" customHeight="false" outlineLevel="0" collapsed="false">
      <c r="A108" s="16" t="s">
        <v>3441</v>
      </c>
      <c r="B108" s="16" t="s">
        <v>1231</v>
      </c>
      <c r="C108" s="16" t="s">
        <v>3451</v>
      </c>
      <c r="D108" s="16" t="s">
        <v>3445</v>
      </c>
      <c r="E108" s="16" t="s">
        <v>3459</v>
      </c>
      <c r="F108" s="0" t="str">
        <f aca="false">IF(INDEX(Payments!$J$5:$J$634,MATCH(B108,Payments!$A$5:$A$634,0))=1,"Yes","No")</f>
        <v>Yes</v>
      </c>
    </row>
    <row r="109" customFormat="false" ht="15" hidden="false" customHeight="false" outlineLevel="0" collapsed="false">
      <c r="A109" s="16" t="s">
        <v>3441</v>
      </c>
      <c r="B109" s="16" t="s">
        <v>1245</v>
      </c>
      <c r="C109" s="16" t="s">
        <v>3442</v>
      </c>
      <c r="D109" s="16" t="s">
        <v>3443</v>
      </c>
      <c r="E109" s="16" t="s">
        <v>3444</v>
      </c>
      <c r="F109" s="0" t="str">
        <f aca="false">IF(INDEX(Payments!$K$5:$K$634,MATCH(B109,Payments!$A$5:$A$634,0))=1,"Yes","No")</f>
        <v>Yes</v>
      </c>
    </row>
    <row r="110" customFormat="false" ht="15" hidden="false" customHeight="false" outlineLevel="0" collapsed="false">
      <c r="A110" s="16" t="s">
        <v>3441</v>
      </c>
      <c r="B110" s="16" t="s">
        <v>1255</v>
      </c>
      <c r="C110" s="16" t="s">
        <v>3448</v>
      </c>
      <c r="D110" s="16" t="s">
        <v>3445</v>
      </c>
      <c r="E110" s="16" t="s">
        <v>3449</v>
      </c>
      <c r="F110" s="0" t="str">
        <f aca="false">IF(INDEX(Payments!$L$5:$L$634,MATCH(B110,Payments!$A$5:$A$634,0))=1,"Yes","No")</f>
        <v>Yes</v>
      </c>
    </row>
    <row r="111" customFormat="false" ht="15" hidden="false" customHeight="false" outlineLevel="0" collapsed="false">
      <c r="A111" s="16" t="s">
        <v>3441</v>
      </c>
      <c r="B111" s="16" t="s">
        <v>1273</v>
      </c>
      <c r="C111" s="16" t="s">
        <v>3442</v>
      </c>
      <c r="D111" s="16" t="s">
        <v>3445</v>
      </c>
      <c r="E111" s="16" t="s">
        <v>78</v>
      </c>
      <c r="F111" s="0" t="str">
        <f aca="false">IF(INDEX(Payments!$K$5:$K$634,MATCH(B111,Payments!$A$5:$A$634,0))=1,"Yes","No")</f>
        <v>Yes</v>
      </c>
    </row>
    <row r="112" customFormat="false" ht="15" hidden="false" customHeight="false" outlineLevel="0" collapsed="false">
      <c r="A112" s="16" t="s">
        <v>3441</v>
      </c>
      <c r="B112" s="16" t="s">
        <v>1279</v>
      </c>
      <c r="C112" s="16" t="s">
        <v>3451</v>
      </c>
      <c r="D112" s="16" t="s">
        <v>3445</v>
      </c>
      <c r="E112" s="16" t="s">
        <v>3459</v>
      </c>
      <c r="F112" s="0" t="str">
        <f aca="false">IF(INDEX(Payments!$J$5:$J$634,MATCH(B112,Payments!$A$5:$A$634,0))=1,"Yes","No")</f>
        <v>Yes</v>
      </c>
    </row>
    <row r="113" customFormat="false" ht="15" hidden="false" customHeight="false" outlineLevel="0" collapsed="false">
      <c r="A113" s="16" t="s">
        <v>3441</v>
      </c>
      <c r="B113" s="16" t="s">
        <v>1281</v>
      </c>
      <c r="C113" s="16" t="s">
        <v>3448</v>
      </c>
      <c r="D113" s="16" t="s">
        <v>3443</v>
      </c>
      <c r="E113" s="16" t="s">
        <v>3450</v>
      </c>
      <c r="F113" s="0" t="str">
        <f aca="false">IF(INDEX(Payments!$L$5:$L$634,MATCH(B113,Payments!$A$5:$A$634,0))=1,"Yes","No")</f>
        <v>Yes</v>
      </c>
    </row>
    <row r="114" customFormat="false" ht="15" hidden="false" customHeight="false" outlineLevel="0" collapsed="false">
      <c r="A114" s="16" t="s">
        <v>3441</v>
      </c>
      <c r="B114" s="16" t="s">
        <v>1281</v>
      </c>
      <c r="C114" s="16" t="s">
        <v>3451</v>
      </c>
      <c r="D114" s="16" t="s">
        <v>3443</v>
      </c>
      <c r="E114" s="16" t="s">
        <v>3453</v>
      </c>
      <c r="F114" s="0" t="str">
        <f aca="false">IF(INDEX(Payments!$J$5:$J$634,MATCH(B114,Payments!$A$5:$A$634,0))=1,"Yes","No")</f>
        <v>Yes</v>
      </c>
    </row>
    <row r="115" customFormat="false" ht="15" hidden="false" customHeight="false" outlineLevel="0" collapsed="false">
      <c r="A115" s="16" t="s">
        <v>3441</v>
      </c>
      <c r="B115" s="16" t="s">
        <v>1325</v>
      </c>
      <c r="C115" s="16" t="s">
        <v>3446</v>
      </c>
      <c r="D115" s="16" t="s">
        <v>3445</v>
      </c>
      <c r="E115" s="16" t="s">
        <v>3447</v>
      </c>
      <c r="F115" s="0" t="str">
        <f aca="false">IF(INDEX(Payments!$I$5:$I$634,MATCH(B115,Payments!$A$5:$A$634,0))=1,"Yes","No")</f>
        <v>Yes</v>
      </c>
    </row>
    <row r="116" customFormat="false" ht="15" hidden="false" customHeight="false" outlineLevel="0" collapsed="false">
      <c r="A116" s="16" t="s">
        <v>3441</v>
      </c>
      <c r="B116" s="16" t="s">
        <v>1328</v>
      </c>
      <c r="C116" s="16" t="s">
        <v>3446</v>
      </c>
      <c r="D116" s="16" t="s">
        <v>3445</v>
      </c>
      <c r="E116" s="16" t="s">
        <v>3458</v>
      </c>
      <c r="F116" s="0" t="str">
        <f aca="false">IF(INDEX(Payments!$I$5:$I$634,MATCH(B116,Payments!$A$5:$A$634,0))=1,"Yes","No")</f>
        <v>Yes</v>
      </c>
    </row>
    <row r="117" customFormat="false" ht="15" hidden="false" customHeight="false" outlineLevel="0" collapsed="false">
      <c r="A117" s="16" t="s">
        <v>3441</v>
      </c>
      <c r="B117" s="16" t="s">
        <v>1334</v>
      </c>
      <c r="C117" s="16" t="s">
        <v>3448</v>
      </c>
      <c r="D117" s="16" t="s">
        <v>3445</v>
      </c>
      <c r="E117" s="16" t="s">
        <v>3449</v>
      </c>
      <c r="F117" s="0" t="str">
        <f aca="false">IF(INDEX(Payments!$L$5:$L$634,MATCH(B117,Payments!$A$5:$A$634,0))=1,"Yes","No")</f>
        <v>Yes</v>
      </c>
    </row>
    <row r="118" customFormat="false" ht="15" hidden="false" customHeight="false" outlineLevel="0" collapsed="false">
      <c r="A118" s="16" t="s">
        <v>3441</v>
      </c>
      <c r="B118" s="16" t="s">
        <v>1334</v>
      </c>
      <c r="C118" s="16" t="s">
        <v>3454</v>
      </c>
      <c r="D118" s="16" t="s">
        <v>3455</v>
      </c>
      <c r="E118" s="16" t="s">
        <v>3456</v>
      </c>
      <c r="F118" s="0" t="str">
        <f aca="false">IF(INDEX(Payments!$M$5:$M$634,MATCH(B118,Payments!$A$5:$A$634,0))=1,"Yes","No")</f>
        <v>Yes</v>
      </c>
    </row>
    <row r="119" customFormat="false" ht="15" hidden="false" customHeight="false" outlineLevel="0" collapsed="false">
      <c r="A119" s="16" t="s">
        <v>3441</v>
      </c>
      <c r="B119" s="16" t="s">
        <v>1336</v>
      </c>
      <c r="C119" s="16" t="s">
        <v>3448</v>
      </c>
      <c r="D119" s="16" t="s">
        <v>3445</v>
      </c>
      <c r="E119" s="16" t="s">
        <v>3449</v>
      </c>
      <c r="F119" s="0" t="str">
        <f aca="false">IF(INDEX(Payments!$L$5:$L$634,MATCH(B119,Payments!$A$5:$A$634,0))=1,"Yes","No")</f>
        <v>Yes</v>
      </c>
    </row>
    <row r="120" customFormat="false" ht="15" hidden="false" customHeight="false" outlineLevel="0" collapsed="false">
      <c r="A120" s="16" t="s">
        <v>3441</v>
      </c>
      <c r="B120" s="16" t="s">
        <v>1336</v>
      </c>
      <c r="C120" s="16" t="s">
        <v>3454</v>
      </c>
      <c r="D120" s="16" t="s">
        <v>3455</v>
      </c>
      <c r="E120" s="16" t="s">
        <v>3456</v>
      </c>
      <c r="F120" s="0" t="str">
        <f aca="false">IF(INDEX(Payments!$M$5:$M$634,MATCH(B120,Payments!$A$5:$A$634,0))=1,"Yes","No")</f>
        <v>Yes</v>
      </c>
    </row>
    <row r="121" customFormat="false" ht="15" hidden="false" customHeight="false" outlineLevel="0" collapsed="false">
      <c r="A121" s="16" t="s">
        <v>3441</v>
      </c>
      <c r="B121" s="16" t="s">
        <v>1364</v>
      </c>
      <c r="C121" s="16" t="s">
        <v>3442</v>
      </c>
      <c r="D121" s="16" t="s">
        <v>3443</v>
      </c>
      <c r="E121" s="16" t="s">
        <v>3444</v>
      </c>
      <c r="F121" s="0" t="str">
        <f aca="false">IF(INDEX(Payments!$K$5:$K$634,MATCH(B121,Payments!$A$5:$A$634,0))=1,"Yes","No")</f>
        <v>Yes</v>
      </c>
    </row>
    <row r="122" customFormat="false" ht="15" hidden="false" customHeight="false" outlineLevel="0" collapsed="false">
      <c r="A122" s="16" t="s">
        <v>3441</v>
      </c>
      <c r="B122" s="16" t="s">
        <v>1364</v>
      </c>
      <c r="C122" s="16" t="s">
        <v>3451</v>
      </c>
      <c r="D122" s="16" t="s">
        <v>3443</v>
      </c>
      <c r="E122" s="16" t="s">
        <v>3452</v>
      </c>
      <c r="F122" s="0" t="str">
        <f aca="false">IF(INDEX(Payments!$J$5:$J$634,MATCH(B122,Payments!$A$5:$A$634,0))=1,"Yes","No")</f>
        <v>Yes</v>
      </c>
    </row>
    <row r="123" customFormat="false" ht="15" hidden="false" customHeight="false" outlineLevel="0" collapsed="false">
      <c r="A123" s="16" t="s">
        <v>3441</v>
      </c>
      <c r="B123" s="16" t="s">
        <v>1376</v>
      </c>
      <c r="C123" s="16" t="s">
        <v>3442</v>
      </c>
      <c r="D123" s="16" t="s">
        <v>3445</v>
      </c>
      <c r="E123" s="16" t="s">
        <v>78</v>
      </c>
      <c r="F123" s="0" t="str">
        <f aca="false">IF(INDEX(Payments!$K$5:$K$634,MATCH(B123,Payments!$A$5:$A$634,0))=1,"Yes","No")</f>
        <v>Yes</v>
      </c>
    </row>
    <row r="124" customFormat="false" ht="15" hidden="false" customHeight="false" outlineLevel="0" collapsed="false">
      <c r="A124" s="16" t="s">
        <v>3441</v>
      </c>
      <c r="B124" s="16" t="s">
        <v>1382</v>
      </c>
      <c r="C124" s="16" t="s">
        <v>3442</v>
      </c>
      <c r="D124" s="16" t="s">
        <v>3445</v>
      </c>
      <c r="E124" s="16" t="s">
        <v>78</v>
      </c>
      <c r="F124" s="0" t="str">
        <f aca="false">IF(INDEX(Payments!$K$5:$K$634,MATCH(B124,Payments!$A$5:$A$634,0))=1,"Yes","No")</f>
        <v>Yes</v>
      </c>
    </row>
    <row r="125" customFormat="false" ht="15" hidden="false" customHeight="false" outlineLevel="0" collapsed="false">
      <c r="A125" s="16" t="s">
        <v>3441</v>
      </c>
      <c r="B125" s="16" t="s">
        <v>1392</v>
      </c>
      <c r="C125" s="16" t="s">
        <v>3448</v>
      </c>
      <c r="D125" s="16" t="s">
        <v>3445</v>
      </c>
      <c r="E125" s="16" t="s">
        <v>3449</v>
      </c>
      <c r="F125" s="0" t="str">
        <f aca="false">IF(INDEX(Payments!$L$5:$L$634,MATCH(B125,Payments!$A$5:$A$634,0))=1,"Yes","No")</f>
        <v>Yes</v>
      </c>
    </row>
    <row r="126" customFormat="false" ht="15" hidden="false" customHeight="false" outlineLevel="0" collapsed="false">
      <c r="A126" s="16" t="s">
        <v>3441</v>
      </c>
      <c r="B126" s="16" t="s">
        <v>1394</v>
      </c>
      <c r="C126" s="16" t="s">
        <v>3446</v>
      </c>
      <c r="D126" s="16" t="s">
        <v>3445</v>
      </c>
      <c r="E126" s="16" t="s">
        <v>3458</v>
      </c>
      <c r="F126" s="0" t="str">
        <f aca="false">IF(INDEX(Payments!$I$5:$I$634,MATCH(B126,Payments!$A$5:$A$634,0))=1,"Yes","No")</f>
        <v>Yes</v>
      </c>
    </row>
    <row r="127" customFormat="false" ht="15" hidden="false" customHeight="false" outlineLevel="0" collapsed="false">
      <c r="A127" s="16" t="s">
        <v>3441</v>
      </c>
      <c r="B127" s="16" t="s">
        <v>1400</v>
      </c>
      <c r="C127" s="16" t="s">
        <v>3448</v>
      </c>
      <c r="D127" s="16" t="s">
        <v>3443</v>
      </c>
      <c r="E127" s="16" t="s">
        <v>3450</v>
      </c>
      <c r="F127" s="0" t="str">
        <f aca="false">IF(INDEX(Payments!$L$5:$L$634,MATCH(B127,Payments!$A$5:$A$634,0))=1,"Yes","No")</f>
        <v>Yes</v>
      </c>
    </row>
    <row r="128" customFormat="false" ht="15" hidden="false" customHeight="false" outlineLevel="0" collapsed="false">
      <c r="A128" s="16" t="s">
        <v>3441</v>
      </c>
      <c r="B128" s="16" t="s">
        <v>1400</v>
      </c>
      <c r="C128" s="16" t="s">
        <v>3451</v>
      </c>
      <c r="D128" s="16" t="s">
        <v>3443</v>
      </c>
      <c r="E128" s="16" t="s">
        <v>3453</v>
      </c>
      <c r="F128" s="0" t="str">
        <f aca="false">IF(INDEX(Payments!$J$5:$J$634,MATCH(B128,Payments!$A$5:$A$634,0))=1,"Yes","No")</f>
        <v>Yes</v>
      </c>
    </row>
    <row r="129" customFormat="false" ht="15" hidden="false" customHeight="false" outlineLevel="0" collapsed="false">
      <c r="A129" s="16" t="s">
        <v>3441</v>
      </c>
      <c r="B129" s="16" t="s">
        <v>1458</v>
      </c>
      <c r="C129" s="16" t="s">
        <v>3448</v>
      </c>
      <c r="D129" s="16" t="s">
        <v>3445</v>
      </c>
      <c r="E129" s="16" t="s">
        <v>3449</v>
      </c>
      <c r="F129" s="0" t="str">
        <f aca="false">IF(INDEX(Payments!$L$5:$L$634,MATCH(B129,Payments!$A$5:$A$634,0))=1,"Yes","No")</f>
        <v>No</v>
      </c>
    </row>
    <row r="130" customFormat="false" ht="15" hidden="false" customHeight="false" outlineLevel="0" collapsed="false">
      <c r="A130" s="16" t="s">
        <v>3441</v>
      </c>
      <c r="B130" s="16" t="s">
        <v>1460</v>
      </c>
      <c r="C130" s="16" t="s">
        <v>3442</v>
      </c>
      <c r="D130" s="16" t="s">
        <v>3443</v>
      </c>
      <c r="E130" s="16" t="s">
        <v>3444</v>
      </c>
      <c r="F130" s="0" t="str">
        <f aca="false">IF(INDEX(Payments!$K$5:$K$634,MATCH(B130,Payments!$A$5:$A$634,0))=1,"Yes","No")</f>
        <v>Yes</v>
      </c>
    </row>
    <row r="131" customFormat="false" ht="15" hidden="false" customHeight="false" outlineLevel="0" collapsed="false">
      <c r="A131" s="16" t="s">
        <v>3441</v>
      </c>
      <c r="B131" s="16" t="s">
        <v>1460</v>
      </c>
      <c r="C131" s="16" t="s">
        <v>3451</v>
      </c>
      <c r="D131" s="16" t="s">
        <v>3443</v>
      </c>
      <c r="E131" s="16" t="s">
        <v>3452</v>
      </c>
      <c r="F131" s="0" t="str">
        <f aca="false">IF(INDEX(Payments!$J$5:$J$634,MATCH(B131,Payments!$A$5:$A$634,0))=1,"Yes","No")</f>
        <v>Yes</v>
      </c>
    </row>
    <row r="132" customFormat="false" ht="15" hidden="false" customHeight="false" outlineLevel="0" collapsed="false">
      <c r="A132" s="16" t="s">
        <v>3441</v>
      </c>
      <c r="B132" s="16" t="s">
        <v>1488</v>
      </c>
      <c r="C132" s="16" t="s">
        <v>3454</v>
      </c>
      <c r="D132" s="16" t="s">
        <v>3445</v>
      </c>
      <c r="E132" s="16" t="s">
        <v>310</v>
      </c>
      <c r="F132" s="0" t="str">
        <f aca="false">IF(INDEX(Payments!$M$5:$M$634,MATCH(B132,Payments!$A$5:$A$634,0))=1,"Yes","No")</f>
        <v>Yes</v>
      </c>
    </row>
    <row r="133" customFormat="false" ht="15" hidden="false" customHeight="false" outlineLevel="0" collapsed="false">
      <c r="A133" s="16" t="s">
        <v>3441</v>
      </c>
      <c r="B133" s="16" t="s">
        <v>1490</v>
      </c>
      <c r="C133" s="16" t="s">
        <v>3454</v>
      </c>
      <c r="D133" s="16" t="s">
        <v>3445</v>
      </c>
      <c r="E133" s="16" t="s">
        <v>310</v>
      </c>
      <c r="F133" s="0" t="str">
        <f aca="false">IF(INDEX(Payments!$M$5:$M$634,MATCH(B133,Payments!$A$5:$A$634,0))=1,"Yes","No")</f>
        <v>Yes</v>
      </c>
    </row>
    <row r="134" customFormat="false" ht="15" hidden="false" customHeight="false" outlineLevel="0" collapsed="false">
      <c r="A134" s="16" t="s">
        <v>3441</v>
      </c>
      <c r="B134" s="16" t="s">
        <v>1492</v>
      </c>
      <c r="C134" s="16" t="s">
        <v>3454</v>
      </c>
      <c r="D134" s="16" t="s">
        <v>3445</v>
      </c>
      <c r="E134" s="16" t="s">
        <v>310</v>
      </c>
      <c r="F134" s="0" t="str">
        <f aca="false">IF(INDEX(Payments!$M$5:$M$634,MATCH(B134,Payments!$A$5:$A$634,0))=1,"Yes","No")</f>
        <v>Yes</v>
      </c>
    </row>
    <row r="135" customFormat="false" ht="15" hidden="false" customHeight="false" outlineLevel="0" collapsed="false">
      <c r="A135" s="16" t="s">
        <v>3441</v>
      </c>
      <c r="B135" s="16" t="s">
        <v>1494</v>
      </c>
      <c r="C135" s="16" t="s">
        <v>3446</v>
      </c>
      <c r="D135" s="16" t="s">
        <v>3445</v>
      </c>
      <c r="E135" s="16" t="s">
        <v>3447</v>
      </c>
      <c r="F135" s="0" t="str">
        <f aca="false">IF(INDEX(Payments!$I$5:$I$634,MATCH(B135,Payments!$A$5:$A$634,0))=1,"Yes","No")</f>
        <v>Yes</v>
      </c>
    </row>
    <row r="136" customFormat="false" ht="15" hidden="false" customHeight="false" outlineLevel="0" collapsed="false">
      <c r="A136" s="16" t="s">
        <v>3441</v>
      </c>
      <c r="B136" s="16" t="s">
        <v>1499</v>
      </c>
      <c r="C136" s="16" t="s">
        <v>3442</v>
      </c>
      <c r="D136" s="16" t="s">
        <v>3445</v>
      </c>
      <c r="E136" s="16" t="s">
        <v>78</v>
      </c>
      <c r="F136" s="0" t="str">
        <f aca="false">IF(INDEX(Payments!$K$5:$K$634,MATCH(B136,Payments!$A$5:$A$634,0))=1,"Yes","No")</f>
        <v>Yes</v>
      </c>
    </row>
    <row r="137" customFormat="false" ht="15" hidden="false" customHeight="false" outlineLevel="0" collapsed="false">
      <c r="A137" s="16" t="s">
        <v>3441</v>
      </c>
      <c r="B137" s="16" t="s">
        <v>1503</v>
      </c>
      <c r="C137" s="16" t="s">
        <v>3446</v>
      </c>
      <c r="D137" s="16" t="s">
        <v>3445</v>
      </c>
      <c r="E137" s="16" t="s">
        <v>3458</v>
      </c>
      <c r="F137" s="0" t="str">
        <f aca="false">IF(INDEX(Payments!$I$5:$I$634,MATCH(B137,Payments!$A$5:$A$634,0))=1,"Yes","No")</f>
        <v>Yes</v>
      </c>
    </row>
    <row r="138" customFormat="false" ht="15" hidden="false" customHeight="false" outlineLevel="0" collapsed="false">
      <c r="A138" s="16" t="s">
        <v>3441</v>
      </c>
      <c r="B138" s="16" t="s">
        <v>1507</v>
      </c>
      <c r="C138" s="16" t="s">
        <v>3448</v>
      </c>
      <c r="D138" s="16" t="s">
        <v>3445</v>
      </c>
      <c r="E138" s="16" t="s">
        <v>3449</v>
      </c>
      <c r="F138" s="0" t="str">
        <f aca="false">IF(INDEX(Payments!$L$5:$L$634,MATCH(B138,Payments!$A$5:$A$634,0))=1,"Yes","No")</f>
        <v>No</v>
      </c>
    </row>
    <row r="139" customFormat="false" ht="15" hidden="false" customHeight="false" outlineLevel="0" collapsed="false">
      <c r="A139" s="16" t="s">
        <v>3441</v>
      </c>
      <c r="B139" s="16" t="s">
        <v>1507</v>
      </c>
      <c r="C139" s="16" t="s">
        <v>3454</v>
      </c>
      <c r="D139" s="16" t="s">
        <v>3455</v>
      </c>
      <c r="E139" s="16" t="s">
        <v>3456</v>
      </c>
      <c r="F139" s="0" t="str">
        <f aca="false">IF(INDEX(Payments!$M$5:$M$634,MATCH(B139,Payments!$A$5:$A$634,0))=1,"Yes","No")</f>
        <v>Yes</v>
      </c>
    </row>
    <row r="140" customFormat="false" ht="15" hidden="false" customHeight="false" outlineLevel="0" collapsed="false">
      <c r="A140" s="16" t="s">
        <v>3441</v>
      </c>
      <c r="B140" s="16" t="s">
        <v>1509</v>
      </c>
      <c r="C140" s="16" t="s">
        <v>3448</v>
      </c>
      <c r="D140" s="16" t="s">
        <v>3445</v>
      </c>
      <c r="E140" s="16" t="s">
        <v>3449</v>
      </c>
      <c r="F140" s="0" t="str">
        <f aca="false">IF(INDEX(Payments!$L$5:$L$634,MATCH(B140,Payments!$A$5:$A$634,0))=1,"Yes","No")</f>
        <v>Yes</v>
      </c>
    </row>
    <row r="141" customFormat="false" ht="15" hidden="false" customHeight="false" outlineLevel="0" collapsed="false">
      <c r="A141" s="16" t="s">
        <v>3441</v>
      </c>
      <c r="B141" s="16" t="s">
        <v>1509</v>
      </c>
      <c r="C141" s="16" t="s">
        <v>3454</v>
      </c>
      <c r="D141" s="16" t="s">
        <v>3455</v>
      </c>
      <c r="E141" s="16" t="s">
        <v>3456</v>
      </c>
      <c r="F141" s="0" t="str">
        <f aca="false">IF(INDEX(Payments!$M$5:$M$634,MATCH(B141,Payments!$A$5:$A$634,0))=1,"Yes","No")</f>
        <v>Yes</v>
      </c>
    </row>
    <row r="142" customFormat="false" ht="15" hidden="false" customHeight="false" outlineLevel="0" collapsed="false">
      <c r="A142" s="16" t="s">
        <v>3441</v>
      </c>
      <c r="B142" s="16" t="s">
        <v>1511</v>
      </c>
      <c r="C142" s="16" t="s">
        <v>3448</v>
      </c>
      <c r="D142" s="16" t="s">
        <v>3445</v>
      </c>
      <c r="E142" s="16" t="s">
        <v>3449</v>
      </c>
      <c r="F142" s="0" t="str">
        <f aca="false">IF(INDEX(Payments!$L$5:$L$634,MATCH(B142,Payments!$A$5:$A$634,0))=1,"Yes","No")</f>
        <v>Yes</v>
      </c>
    </row>
    <row r="143" customFormat="false" ht="15" hidden="false" customHeight="false" outlineLevel="0" collapsed="false">
      <c r="A143" s="16" t="s">
        <v>3441</v>
      </c>
      <c r="B143" s="16" t="s">
        <v>1511</v>
      </c>
      <c r="C143" s="16" t="s">
        <v>3454</v>
      </c>
      <c r="D143" s="16" t="s">
        <v>3455</v>
      </c>
      <c r="E143" s="16" t="s">
        <v>3456</v>
      </c>
      <c r="F143" s="0" t="str">
        <f aca="false">IF(INDEX(Payments!$M$5:$M$634,MATCH(B143,Payments!$A$5:$A$634,0))=1,"Yes","No")</f>
        <v>Yes</v>
      </c>
    </row>
    <row r="144" customFormat="false" ht="15" hidden="false" customHeight="false" outlineLevel="0" collapsed="false">
      <c r="A144" s="16" t="s">
        <v>3441</v>
      </c>
      <c r="B144" s="16" t="s">
        <v>1513</v>
      </c>
      <c r="C144" s="16" t="s">
        <v>3448</v>
      </c>
      <c r="D144" s="16" t="s">
        <v>3443</v>
      </c>
      <c r="E144" s="16" t="s">
        <v>3450</v>
      </c>
      <c r="F144" s="0" t="str">
        <f aca="false">IF(INDEX(Payments!$L$5:$L$634,MATCH(B144,Payments!$A$5:$A$634,0))=1,"Yes","No")</f>
        <v>Yes</v>
      </c>
    </row>
    <row r="145" customFormat="false" ht="15" hidden="false" customHeight="false" outlineLevel="0" collapsed="false">
      <c r="A145" s="16" t="s">
        <v>3441</v>
      </c>
      <c r="B145" s="16" t="s">
        <v>1513</v>
      </c>
      <c r="C145" s="16" t="s">
        <v>3451</v>
      </c>
      <c r="D145" s="16" t="s">
        <v>3443</v>
      </c>
      <c r="E145" s="16" t="s">
        <v>3453</v>
      </c>
      <c r="F145" s="0" t="str">
        <f aca="false">IF(INDEX(Payments!$J$5:$J$634,MATCH(B145,Payments!$A$5:$A$634,0))=1,"Yes","No")</f>
        <v>Yes</v>
      </c>
    </row>
    <row r="146" customFormat="false" ht="15" hidden="false" customHeight="false" outlineLevel="0" collapsed="false">
      <c r="A146" s="16" t="s">
        <v>3441</v>
      </c>
      <c r="B146" s="16" t="s">
        <v>1557</v>
      </c>
      <c r="C146" s="16" t="s">
        <v>3442</v>
      </c>
      <c r="D146" s="16" t="s">
        <v>3445</v>
      </c>
      <c r="E146" s="16" t="s">
        <v>78</v>
      </c>
      <c r="F146" s="0" t="str">
        <f aca="false">IF(INDEX(Payments!$K$5:$K$634,MATCH(B146,Payments!$A$5:$A$634,0))=1,"Yes","No")</f>
        <v>Yes</v>
      </c>
    </row>
    <row r="147" customFormat="false" ht="15" hidden="false" customHeight="false" outlineLevel="0" collapsed="false">
      <c r="A147" s="16" t="s">
        <v>3441</v>
      </c>
      <c r="B147" s="16" t="s">
        <v>1563</v>
      </c>
      <c r="C147" s="16" t="s">
        <v>3448</v>
      </c>
      <c r="D147" s="16" t="s">
        <v>3445</v>
      </c>
      <c r="E147" s="16" t="s">
        <v>3449</v>
      </c>
      <c r="F147" s="0" t="str">
        <f aca="false">IF(INDEX(Payments!$L$5:$L$634,MATCH(B147,Payments!$A$5:$A$634,0))=1,"Yes","No")</f>
        <v>Yes</v>
      </c>
    </row>
    <row r="148" customFormat="false" ht="15" hidden="false" customHeight="false" outlineLevel="0" collapsed="false">
      <c r="A148" s="16" t="s">
        <v>3460</v>
      </c>
      <c r="B148" s="16" t="n">
        <v>1006</v>
      </c>
      <c r="C148" s="16" t="s">
        <v>3461</v>
      </c>
      <c r="D148" s="16" t="s">
        <v>3445</v>
      </c>
      <c r="E148" s="16"/>
      <c r="F148" s="0" t="str">
        <f aca="false">IF(INDEX(JE_Entries!$T$5:$T$795,MATCH(B148,JE_Entries!$A$5:$A$795,0))=1,"Yes","No")</f>
        <v>Yes</v>
      </c>
    </row>
    <row r="149" customFormat="false" ht="15" hidden="false" customHeight="false" outlineLevel="0" collapsed="false">
      <c r="A149" s="16" t="s">
        <v>3460</v>
      </c>
      <c r="B149" s="16" t="n">
        <v>1033</v>
      </c>
      <c r="C149" s="16" t="s">
        <v>3462</v>
      </c>
      <c r="D149" s="16" t="s">
        <v>3445</v>
      </c>
      <c r="E149" s="16"/>
      <c r="F149" s="0" t="str">
        <f aca="false">IF(INDEX(JE_Entries!$U$5:$U$795,MATCH(B149,JE_Entries!$A$5:$A$795,0))=1,"Yes","No")</f>
        <v>Yes</v>
      </c>
    </row>
    <row r="150" customFormat="false" ht="15" hidden="false" customHeight="false" outlineLevel="0" collapsed="false">
      <c r="A150" s="16" t="s">
        <v>3460</v>
      </c>
      <c r="B150" s="16" t="n">
        <v>1038</v>
      </c>
      <c r="C150" s="16" t="s">
        <v>3463</v>
      </c>
      <c r="D150" s="16" t="s">
        <v>3443</v>
      </c>
      <c r="E150" s="16"/>
      <c r="F150" s="0" t="str">
        <f aca="false">IF(INDEX(JE_Entries!$O$5:$O$795,MATCH(B150,JE_Entries!$A$5:$A$795,0))=1,"Yes","No")</f>
        <v>Yes</v>
      </c>
    </row>
    <row r="151" customFormat="false" ht="15" hidden="false" customHeight="false" outlineLevel="0" collapsed="false">
      <c r="A151" s="16" t="s">
        <v>3460</v>
      </c>
      <c r="B151" s="16" t="n">
        <v>1044</v>
      </c>
      <c r="C151" s="16" t="s">
        <v>3464</v>
      </c>
      <c r="D151" s="16" t="s">
        <v>3445</v>
      </c>
      <c r="E151" s="16"/>
      <c r="F151" s="0" t="str">
        <f aca="false">IF(INDEX(JE_Entries!$W$5:$W$795,MATCH(B151,JE_Entries!$A$5:$A$795,0))=1,"Yes","No")</f>
        <v>Yes</v>
      </c>
    </row>
    <row r="152" customFormat="false" ht="15" hidden="false" customHeight="false" outlineLevel="0" collapsed="false">
      <c r="A152" s="16" t="s">
        <v>3460</v>
      </c>
      <c r="B152" s="16" t="n">
        <v>1051</v>
      </c>
      <c r="C152" s="16" t="s">
        <v>3461</v>
      </c>
      <c r="D152" s="16" t="s">
        <v>3445</v>
      </c>
      <c r="E152" s="16"/>
      <c r="F152" s="0" t="str">
        <f aca="false">IF(INDEX(JE_Entries!$T$5:$T$795,MATCH(B152,JE_Entries!$A$5:$A$795,0))=1,"Yes","No")</f>
        <v>Yes</v>
      </c>
    </row>
    <row r="153" customFormat="false" ht="15" hidden="false" customHeight="false" outlineLevel="0" collapsed="false">
      <c r="A153" s="16" t="s">
        <v>3460</v>
      </c>
      <c r="B153" s="16" t="n">
        <v>1053</v>
      </c>
      <c r="C153" s="16" t="s">
        <v>3462</v>
      </c>
      <c r="D153" s="16" t="s">
        <v>3443</v>
      </c>
      <c r="E153" s="16"/>
      <c r="F153" s="0" t="str">
        <f aca="false">IF(INDEX(JE_Entries!$U$5:$U$795,MATCH(B153,JE_Entries!$A$5:$A$795,0))=1,"Yes","No")</f>
        <v>Yes</v>
      </c>
    </row>
    <row r="154" customFormat="false" ht="15" hidden="false" customHeight="false" outlineLevel="0" collapsed="false">
      <c r="A154" s="16" t="s">
        <v>3460</v>
      </c>
      <c r="B154" s="16" t="n">
        <v>1058</v>
      </c>
      <c r="C154" s="16" t="s">
        <v>3461</v>
      </c>
      <c r="D154" s="16" t="s">
        <v>3443</v>
      </c>
      <c r="E154" s="16"/>
      <c r="F154" s="0" t="str">
        <f aca="false">IF(INDEX(JE_Entries!$T$5:$T$795,MATCH(B154,JE_Entries!$A$5:$A$795,0))=1,"Yes","No")</f>
        <v>Yes</v>
      </c>
    </row>
    <row r="155" customFormat="false" ht="15" hidden="false" customHeight="false" outlineLevel="0" collapsed="false">
      <c r="A155" s="16" t="s">
        <v>3460</v>
      </c>
      <c r="B155" s="16" t="n">
        <v>1060</v>
      </c>
      <c r="C155" s="16" t="s">
        <v>3461</v>
      </c>
      <c r="D155" s="16" t="s">
        <v>3445</v>
      </c>
      <c r="E155" s="16"/>
      <c r="F155" s="0" t="str">
        <f aca="false">IF(INDEX(JE_Entries!$T$5:$T$795,MATCH(B155,JE_Entries!$A$5:$A$795,0))=1,"Yes","No")</f>
        <v>Yes</v>
      </c>
    </row>
    <row r="156" customFormat="false" ht="15" hidden="false" customHeight="false" outlineLevel="0" collapsed="false">
      <c r="A156" s="16" t="s">
        <v>3460</v>
      </c>
      <c r="B156" s="16" t="n">
        <v>1065</v>
      </c>
      <c r="C156" s="16" t="s">
        <v>3465</v>
      </c>
      <c r="D156" s="16" t="s">
        <v>3445</v>
      </c>
      <c r="E156" s="16"/>
      <c r="F156" s="0" t="str">
        <f aca="false">IF(INDEX(JE_Entries!$X$5:$X$795,MATCH(B156,JE_Entries!$A$5:$A$795,0))=1,"Yes","No")</f>
        <v>Yes</v>
      </c>
    </row>
    <row r="157" customFormat="false" ht="15" hidden="false" customHeight="false" outlineLevel="0" collapsed="false">
      <c r="A157" s="16" t="s">
        <v>3460</v>
      </c>
      <c r="B157" s="16" t="n">
        <v>1072</v>
      </c>
      <c r="C157" s="16" t="s">
        <v>3462</v>
      </c>
      <c r="D157" s="16" t="s">
        <v>3445</v>
      </c>
      <c r="E157" s="16"/>
      <c r="F157" s="0" t="str">
        <f aca="false">IF(INDEX(JE_Entries!$U$5:$U$795,MATCH(B157,JE_Entries!$A$5:$A$795,0))=1,"Yes","No")</f>
        <v>Yes</v>
      </c>
    </row>
    <row r="158" customFormat="false" ht="15" hidden="false" customHeight="false" outlineLevel="0" collapsed="false">
      <c r="A158" s="16" t="s">
        <v>3460</v>
      </c>
      <c r="B158" s="16" t="n">
        <v>1078</v>
      </c>
      <c r="C158" s="16" t="s">
        <v>3465</v>
      </c>
      <c r="D158" s="16" t="s">
        <v>3445</v>
      </c>
      <c r="E158" s="16"/>
      <c r="F158" s="0" t="str">
        <f aca="false">IF(INDEX(JE_Entries!$X$5:$X$795,MATCH(B158,JE_Entries!$A$5:$A$795,0))=1,"Yes","No")</f>
        <v>Yes</v>
      </c>
    </row>
    <row r="159" customFormat="false" ht="15" hidden="false" customHeight="false" outlineLevel="0" collapsed="false">
      <c r="A159" s="16" t="s">
        <v>3460</v>
      </c>
      <c r="B159" s="16" t="n">
        <v>1093</v>
      </c>
      <c r="C159" s="16" t="s">
        <v>3461</v>
      </c>
      <c r="D159" s="16" t="s">
        <v>3445</v>
      </c>
      <c r="E159" s="16"/>
      <c r="F159" s="0" t="str">
        <f aca="false">IF(INDEX(JE_Entries!$T$5:$T$795,MATCH(B159,JE_Entries!$A$5:$A$795,0))=1,"Yes","No")</f>
        <v>Yes</v>
      </c>
    </row>
    <row r="160" customFormat="false" ht="15" hidden="false" customHeight="false" outlineLevel="0" collapsed="false">
      <c r="A160" s="16" t="s">
        <v>3460</v>
      </c>
      <c r="B160" s="16" t="n">
        <v>1115</v>
      </c>
      <c r="C160" s="16" t="s">
        <v>3463</v>
      </c>
      <c r="D160" s="16" t="s">
        <v>3445</v>
      </c>
      <c r="E160" s="16"/>
      <c r="F160" s="0" t="str">
        <f aca="false">IF(INDEX(JE_Entries!$O$5:$O$795,MATCH(B160,JE_Entries!$A$5:$A$795,0))=1,"Yes","No")</f>
        <v>Yes</v>
      </c>
    </row>
    <row r="161" customFormat="false" ht="15" hidden="false" customHeight="false" outlineLevel="0" collapsed="false">
      <c r="A161" s="16" t="s">
        <v>3460</v>
      </c>
      <c r="B161" s="16" t="n">
        <v>1116</v>
      </c>
      <c r="C161" s="16" t="s">
        <v>3463</v>
      </c>
      <c r="D161" s="16" t="s">
        <v>3443</v>
      </c>
      <c r="E161" s="16"/>
      <c r="F161" s="0" t="str">
        <f aca="false">IF(INDEX(JE_Entries!$O$5:$O$795,MATCH(B161,JE_Entries!$A$5:$A$795,0))=1,"Yes","No")</f>
        <v>Yes</v>
      </c>
    </row>
    <row r="162" customFormat="false" ht="15" hidden="false" customHeight="false" outlineLevel="0" collapsed="false">
      <c r="A162" s="16" t="s">
        <v>3460</v>
      </c>
      <c r="B162" s="16" t="n">
        <v>1121</v>
      </c>
      <c r="C162" s="16" t="s">
        <v>3462</v>
      </c>
      <c r="D162" s="16" t="s">
        <v>3443</v>
      </c>
      <c r="E162" s="16"/>
      <c r="F162" s="0" t="str">
        <f aca="false">IF(INDEX(JE_Entries!$U$5:$U$795,MATCH(B162,JE_Entries!$A$5:$A$795,0))=1,"Yes","No")</f>
        <v>Yes</v>
      </c>
    </row>
    <row r="163" customFormat="false" ht="15" hidden="false" customHeight="false" outlineLevel="0" collapsed="false">
      <c r="A163" s="16" t="s">
        <v>3460</v>
      </c>
      <c r="B163" s="16" t="n">
        <v>1124</v>
      </c>
      <c r="C163" s="16" t="s">
        <v>3466</v>
      </c>
      <c r="D163" s="16" t="s">
        <v>3445</v>
      </c>
      <c r="E163" s="16"/>
      <c r="F163" s="0" t="str">
        <f aca="false">IF(INDEX(JE_Entries!$N$5:$N$795,MATCH(B163,JE_Entries!$A$5:$A$795,0))=1,"Yes","No")</f>
        <v>Yes</v>
      </c>
    </row>
    <row r="164" customFormat="false" ht="15" hidden="false" customHeight="false" outlineLevel="0" collapsed="false">
      <c r="A164" s="16" t="s">
        <v>3460</v>
      </c>
      <c r="B164" s="16" t="n">
        <v>1127</v>
      </c>
      <c r="C164" s="16" t="s">
        <v>3467</v>
      </c>
      <c r="D164" s="16" t="s">
        <v>3445</v>
      </c>
      <c r="E164" s="16"/>
      <c r="F164" s="0" t="str">
        <f aca="false">IF(INDEX(JE_Entries!$R$5:$R$795,MATCH(B164,JE_Entries!$A$5:$A$795,0))=1,"Yes","No")</f>
        <v>Yes</v>
      </c>
    </row>
    <row r="165" customFormat="false" ht="15" hidden="false" customHeight="false" outlineLevel="0" collapsed="false">
      <c r="A165" s="16" t="s">
        <v>3460</v>
      </c>
      <c r="B165" s="16" t="n">
        <v>1137</v>
      </c>
      <c r="C165" s="16" t="s">
        <v>3461</v>
      </c>
      <c r="D165" s="16" t="s">
        <v>3443</v>
      </c>
      <c r="E165" s="16"/>
      <c r="F165" s="0" t="str">
        <f aca="false">IF(INDEX(JE_Entries!$T$5:$T$795,MATCH(B165,JE_Entries!$A$5:$A$795,0))=1,"Yes","No")</f>
        <v>Yes</v>
      </c>
    </row>
    <row r="166" customFormat="false" ht="15" hidden="false" customHeight="false" outlineLevel="0" collapsed="false">
      <c r="A166" s="16" t="s">
        <v>3460</v>
      </c>
      <c r="B166" s="16" t="n">
        <v>1143</v>
      </c>
      <c r="C166" s="16" t="s">
        <v>3463</v>
      </c>
      <c r="D166" s="16" t="s">
        <v>3443</v>
      </c>
      <c r="E166" s="16"/>
      <c r="F166" s="0" t="str">
        <f aca="false">IF(INDEX(JE_Entries!$O$5:$O$795,MATCH(B166,JE_Entries!$A$5:$A$795,0))=1,"Yes","No")</f>
        <v>Yes</v>
      </c>
    </row>
    <row r="167" customFormat="false" ht="15" hidden="false" customHeight="false" outlineLevel="0" collapsed="false">
      <c r="A167" s="16" t="s">
        <v>3460</v>
      </c>
      <c r="B167" s="16" t="n">
        <v>1144</v>
      </c>
      <c r="C167" s="16" t="s">
        <v>3463</v>
      </c>
      <c r="D167" s="16" t="s">
        <v>3443</v>
      </c>
      <c r="E167" s="16"/>
      <c r="F167" s="0" t="str">
        <f aca="false">IF(INDEX(JE_Entries!$O$5:$O$795,MATCH(B167,JE_Entries!$A$5:$A$795,0))=1,"Yes","No")</f>
        <v>Yes</v>
      </c>
    </row>
    <row r="168" customFormat="false" ht="15" hidden="false" customHeight="false" outlineLevel="0" collapsed="false">
      <c r="A168" s="16" t="s">
        <v>3460</v>
      </c>
      <c r="B168" s="16" t="n">
        <v>1167</v>
      </c>
      <c r="C168" s="16" t="s">
        <v>3468</v>
      </c>
      <c r="D168" s="16" t="s">
        <v>3445</v>
      </c>
      <c r="E168" s="16"/>
      <c r="F168" s="0" t="str">
        <f aca="false">IF(INDEX(JE_Entries!$P$5:$P$795,MATCH(B168,JE_Entries!$A$5:$A$795,0))=1,"Yes","No")</f>
        <v>Yes</v>
      </c>
    </row>
    <row r="169" customFormat="false" ht="15" hidden="false" customHeight="false" outlineLevel="0" collapsed="false">
      <c r="A169" s="16" t="s">
        <v>3460</v>
      </c>
      <c r="B169" s="16" t="n">
        <v>1178</v>
      </c>
      <c r="C169" s="16" t="s">
        <v>3469</v>
      </c>
      <c r="D169" s="16" t="s">
        <v>3445</v>
      </c>
      <c r="E169" s="16"/>
      <c r="F169" s="0" t="str">
        <f aca="false">IF(INDEX(JE_Entries!$V$5:$V$795,MATCH(B169,JE_Entries!$A$5:$A$795,0))=1,"Yes","No")</f>
        <v>Yes</v>
      </c>
    </row>
    <row r="170" customFormat="false" ht="15" hidden="false" customHeight="false" outlineLevel="0" collapsed="false">
      <c r="A170" s="16" t="s">
        <v>3460</v>
      </c>
      <c r="B170" s="16" t="n">
        <v>1186</v>
      </c>
      <c r="C170" s="16" t="s">
        <v>3464</v>
      </c>
      <c r="D170" s="16" t="s">
        <v>3445</v>
      </c>
      <c r="E170" s="16"/>
      <c r="F170" s="0" t="str">
        <f aca="false">IF(INDEX(JE_Entries!$W$5:$W$795,MATCH(B170,JE_Entries!$A$5:$A$795,0))=1,"Yes","No")</f>
        <v>Yes</v>
      </c>
    </row>
    <row r="171" customFormat="false" ht="15" hidden="false" customHeight="false" outlineLevel="0" collapsed="false">
      <c r="A171" s="16" t="s">
        <v>3460</v>
      </c>
      <c r="B171" s="16" t="n">
        <v>1195</v>
      </c>
      <c r="C171" s="16" t="s">
        <v>3462</v>
      </c>
      <c r="D171" s="16" t="s">
        <v>3443</v>
      </c>
      <c r="E171" s="16"/>
      <c r="F171" s="0" t="str">
        <f aca="false">IF(INDEX(JE_Entries!$U$5:$U$795,MATCH(B171,JE_Entries!$A$5:$A$795,0))=1,"Yes","No")</f>
        <v>Yes</v>
      </c>
    </row>
    <row r="172" customFormat="false" ht="15" hidden="false" customHeight="false" outlineLevel="0" collapsed="false">
      <c r="A172" s="16" t="s">
        <v>3460</v>
      </c>
      <c r="B172" s="16" t="n">
        <v>1203</v>
      </c>
      <c r="C172" s="16" t="s">
        <v>3463</v>
      </c>
      <c r="D172" s="16" t="s">
        <v>3445</v>
      </c>
      <c r="E172" s="16"/>
      <c r="F172" s="0" t="str">
        <f aca="false">IF(INDEX(JE_Entries!$O$5:$O$795,MATCH(B172,JE_Entries!$A$5:$A$795,0))=1,"Yes","No")</f>
        <v>Yes</v>
      </c>
    </row>
    <row r="173" customFormat="false" ht="15" hidden="false" customHeight="false" outlineLevel="0" collapsed="false">
      <c r="A173" s="16" t="s">
        <v>3460</v>
      </c>
      <c r="B173" s="16" t="n">
        <v>1205</v>
      </c>
      <c r="C173" s="16" t="s">
        <v>3461</v>
      </c>
      <c r="D173" s="16" t="s">
        <v>3443</v>
      </c>
      <c r="E173" s="16"/>
      <c r="F173" s="0" t="str">
        <f aca="false">IF(INDEX(JE_Entries!$T$5:$T$795,MATCH(B173,JE_Entries!$A$5:$A$795,0))=1,"Yes","No")</f>
        <v>Yes</v>
      </c>
    </row>
    <row r="174" customFormat="false" ht="15" hidden="false" customHeight="false" outlineLevel="0" collapsed="false">
      <c r="A174" s="16" t="s">
        <v>3460</v>
      </c>
      <c r="B174" s="16" t="n">
        <v>1240</v>
      </c>
      <c r="C174" s="16" t="s">
        <v>3463</v>
      </c>
      <c r="D174" s="16" t="s">
        <v>3443</v>
      </c>
      <c r="E174" s="16"/>
      <c r="F174" s="0" t="str">
        <f aca="false">IF(INDEX(JE_Entries!$O$5:$O$795,MATCH(B174,JE_Entries!$A$5:$A$795,0))=1,"Yes","No")</f>
        <v>Yes</v>
      </c>
    </row>
    <row r="175" customFormat="false" ht="15" hidden="false" customHeight="false" outlineLevel="0" collapsed="false">
      <c r="A175" s="16" t="s">
        <v>3460</v>
      </c>
      <c r="B175" s="16" t="n">
        <v>1250</v>
      </c>
      <c r="C175" s="16" t="s">
        <v>3462</v>
      </c>
      <c r="D175" s="16" t="s">
        <v>3445</v>
      </c>
      <c r="E175" s="16"/>
      <c r="F175" s="0" t="str">
        <f aca="false">IF(INDEX(JE_Entries!$U$5:$U$795,MATCH(B175,JE_Entries!$A$5:$A$795,0))=1,"Yes","No")</f>
        <v>Yes</v>
      </c>
    </row>
    <row r="176" customFormat="false" ht="15" hidden="false" customHeight="false" outlineLevel="0" collapsed="false">
      <c r="A176" s="16" t="s">
        <v>3460</v>
      </c>
      <c r="B176" s="16" t="n">
        <v>1253</v>
      </c>
      <c r="C176" s="16" t="s">
        <v>3461</v>
      </c>
      <c r="D176" s="16" t="s">
        <v>3443</v>
      </c>
      <c r="E176" s="16"/>
      <c r="F176" s="0" t="str">
        <f aca="false">IF(INDEX(JE_Entries!$T$5:$T$795,MATCH(B176,JE_Entries!$A$5:$A$795,0))=1,"Yes","No")</f>
        <v>Yes</v>
      </c>
    </row>
    <row r="177" customFormat="false" ht="15" hidden="false" customHeight="false" outlineLevel="0" collapsed="false">
      <c r="A177" s="16" t="s">
        <v>3460</v>
      </c>
      <c r="B177" s="16" t="n">
        <v>1273</v>
      </c>
      <c r="C177" s="16" t="s">
        <v>3463</v>
      </c>
      <c r="D177" s="16" t="s">
        <v>3443</v>
      </c>
      <c r="E177" s="16"/>
      <c r="F177" s="0" t="str">
        <f aca="false">IF(INDEX(JE_Entries!$O$5:$O$795,MATCH(B177,JE_Entries!$A$5:$A$795,0))=1,"Yes","No")</f>
        <v>Yes</v>
      </c>
    </row>
    <row r="178" customFormat="false" ht="15" hidden="false" customHeight="false" outlineLevel="0" collapsed="false">
      <c r="A178" s="16" t="s">
        <v>3460</v>
      </c>
      <c r="B178" s="16" t="n">
        <v>1273</v>
      </c>
      <c r="C178" s="16" t="s">
        <v>3465</v>
      </c>
      <c r="D178" s="16" t="s">
        <v>3445</v>
      </c>
      <c r="E178" s="16"/>
      <c r="F178" s="0" t="str">
        <f aca="false">IF(INDEX(JE_Entries!$X$5:$X$795,MATCH(B178,JE_Entries!$A$5:$A$795,0))=1,"Yes","No")</f>
        <v>Yes</v>
      </c>
    </row>
    <row r="179" customFormat="false" ht="15" hidden="false" customHeight="false" outlineLevel="0" collapsed="false">
      <c r="A179" s="16" t="s">
        <v>3460</v>
      </c>
      <c r="B179" s="16" t="n">
        <v>1274</v>
      </c>
      <c r="C179" s="16" t="s">
        <v>3463</v>
      </c>
      <c r="D179" s="16" t="s">
        <v>3445</v>
      </c>
      <c r="E179" s="16"/>
      <c r="F179" s="0" t="str">
        <f aca="false">IF(INDEX(JE_Entries!$O$5:$O$795,MATCH(B179,JE_Entries!$A$5:$A$795,0))=1,"Yes","No")</f>
        <v>Yes</v>
      </c>
    </row>
    <row r="180" customFormat="false" ht="15" hidden="false" customHeight="false" outlineLevel="0" collapsed="false">
      <c r="A180" s="16" t="s">
        <v>3460</v>
      </c>
      <c r="B180" s="16" t="n">
        <v>1283</v>
      </c>
      <c r="C180" s="16" t="s">
        <v>3462</v>
      </c>
      <c r="D180" s="16" t="s">
        <v>3445</v>
      </c>
      <c r="E180" s="16"/>
      <c r="F180" s="0" t="str">
        <f aca="false">IF(INDEX(JE_Entries!$U$5:$U$795,MATCH(B180,JE_Entries!$A$5:$A$795,0))=1,"Yes","No")</f>
        <v>Yes</v>
      </c>
    </row>
    <row r="181" customFormat="false" ht="15" hidden="false" customHeight="false" outlineLevel="0" collapsed="false">
      <c r="A181" s="16" t="s">
        <v>3460</v>
      </c>
      <c r="B181" s="16" t="n">
        <v>1287</v>
      </c>
      <c r="C181" s="16" t="s">
        <v>3463</v>
      </c>
      <c r="D181" s="16" t="s">
        <v>3443</v>
      </c>
      <c r="E181" s="16"/>
      <c r="F181" s="0" t="str">
        <f aca="false">IF(INDEX(JE_Entries!$O$5:$O$795,MATCH(B181,JE_Entries!$A$5:$A$795,0))=1,"Yes","No")</f>
        <v>Yes</v>
      </c>
    </row>
    <row r="182" customFormat="false" ht="15" hidden="false" customHeight="false" outlineLevel="0" collapsed="false">
      <c r="A182" s="16" t="s">
        <v>3460</v>
      </c>
      <c r="B182" s="16" t="n">
        <v>1288</v>
      </c>
      <c r="C182" s="16" t="s">
        <v>3463</v>
      </c>
      <c r="D182" s="16" t="s">
        <v>3445</v>
      </c>
      <c r="E182" s="16"/>
      <c r="F182" s="0" t="str">
        <f aca="false">IF(INDEX(JE_Entries!$O$5:$O$795,MATCH(B182,JE_Entries!$A$5:$A$795,0))=1,"Yes","No")</f>
        <v>Yes</v>
      </c>
    </row>
    <row r="183" customFormat="false" ht="15" hidden="false" customHeight="false" outlineLevel="0" collapsed="false">
      <c r="A183" s="16" t="s">
        <v>3460</v>
      </c>
      <c r="B183" s="16" t="n">
        <v>1306</v>
      </c>
      <c r="C183" s="16" t="s">
        <v>3468</v>
      </c>
      <c r="D183" s="16" t="s">
        <v>3445</v>
      </c>
      <c r="E183" s="16"/>
      <c r="F183" s="0" t="str">
        <f aca="false">IF(INDEX(JE_Entries!$P$5:$P$795,MATCH(B183,JE_Entries!$A$5:$A$795,0))=1,"Yes","No")</f>
        <v>Yes</v>
      </c>
    </row>
    <row r="184" customFormat="false" ht="15" hidden="false" customHeight="false" outlineLevel="0" collapsed="false">
      <c r="A184" s="16" t="s">
        <v>3460</v>
      </c>
      <c r="B184" s="16" t="n">
        <v>1310</v>
      </c>
      <c r="C184" s="16" t="s">
        <v>3469</v>
      </c>
      <c r="D184" s="16" t="s">
        <v>3445</v>
      </c>
      <c r="E184" s="16"/>
      <c r="F184" s="0" t="str">
        <f aca="false">IF(INDEX(JE_Entries!$V$5:$V$795,MATCH(B184,JE_Entries!$A$5:$A$795,0))=1,"Yes","No")</f>
        <v>Yes</v>
      </c>
    </row>
    <row r="185" customFormat="false" ht="15" hidden="false" customHeight="false" outlineLevel="0" collapsed="false">
      <c r="A185" s="16" t="s">
        <v>3460</v>
      </c>
      <c r="B185" s="16" t="n">
        <v>1321</v>
      </c>
      <c r="C185" s="16" t="s">
        <v>3463</v>
      </c>
      <c r="D185" s="16" t="s">
        <v>3445</v>
      </c>
      <c r="E185" s="16"/>
      <c r="F185" s="0" t="str">
        <f aca="false">IF(INDEX(JE_Entries!$O$5:$O$795,MATCH(B185,JE_Entries!$A$5:$A$795,0))=1,"Yes","No")</f>
        <v>Yes</v>
      </c>
    </row>
    <row r="186" customFormat="false" ht="15" hidden="false" customHeight="false" outlineLevel="0" collapsed="false">
      <c r="A186" s="16" t="s">
        <v>3460</v>
      </c>
      <c r="B186" s="16" t="n">
        <v>1322</v>
      </c>
      <c r="C186" s="16" t="s">
        <v>3461</v>
      </c>
      <c r="D186" s="16" t="s">
        <v>3443</v>
      </c>
      <c r="E186" s="16"/>
      <c r="F186" s="0" t="str">
        <f aca="false">IF(INDEX(JE_Entries!$T$5:$T$795,MATCH(B186,JE_Entries!$A$5:$A$795,0))=1,"Yes","No")</f>
        <v>Yes</v>
      </c>
    </row>
    <row r="187" customFormat="false" ht="15" hidden="false" customHeight="false" outlineLevel="0" collapsed="false">
      <c r="A187" s="16" t="s">
        <v>3460</v>
      </c>
      <c r="B187" s="16" t="n">
        <v>1324</v>
      </c>
      <c r="C187" s="16" t="s">
        <v>3468</v>
      </c>
      <c r="D187" s="16" t="s">
        <v>3445</v>
      </c>
      <c r="E187" s="16"/>
      <c r="F187" s="0" t="str">
        <f aca="false">IF(INDEX(JE_Entries!$P$5:$P$795,MATCH(B187,JE_Entries!$A$5:$A$795,0))=1,"Yes","No")</f>
        <v>Yes</v>
      </c>
    </row>
    <row r="188" customFormat="false" ht="15" hidden="false" customHeight="false" outlineLevel="0" collapsed="false">
      <c r="A188" s="16" t="s">
        <v>3460</v>
      </c>
      <c r="B188" s="16" t="n">
        <v>1331</v>
      </c>
      <c r="C188" s="16" t="s">
        <v>3465</v>
      </c>
      <c r="D188" s="16" t="s">
        <v>3445</v>
      </c>
      <c r="E188" s="16"/>
      <c r="F188" s="0" t="str">
        <f aca="false">IF(INDEX(JE_Entries!$X$5:$X$795,MATCH(B188,JE_Entries!$A$5:$A$795,0))=1,"Yes","No")</f>
        <v>Yes</v>
      </c>
    </row>
    <row r="189" customFormat="false" ht="15" hidden="false" customHeight="false" outlineLevel="0" collapsed="false">
      <c r="A189" s="16" t="s">
        <v>3460</v>
      </c>
      <c r="B189" s="16" t="n">
        <v>1332</v>
      </c>
      <c r="C189" s="16" t="s">
        <v>3462</v>
      </c>
      <c r="D189" s="16" t="s">
        <v>3443</v>
      </c>
      <c r="E189" s="16"/>
      <c r="F189" s="0" t="str">
        <f aca="false">IF(INDEX(JE_Entries!$U$5:$U$795,MATCH(B189,JE_Entries!$A$5:$A$795,0))=1,"Yes","No")</f>
        <v>Yes</v>
      </c>
    </row>
    <row r="190" customFormat="false" ht="15" hidden="false" customHeight="false" outlineLevel="0" collapsed="false">
      <c r="A190" s="16" t="s">
        <v>3460</v>
      </c>
      <c r="B190" s="16" t="n">
        <v>1337</v>
      </c>
      <c r="C190" s="16" t="s">
        <v>3463</v>
      </c>
      <c r="D190" s="16" t="s">
        <v>3443</v>
      </c>
      <c r="E190" s="16"/>
      <c r="F190" s="0" t="str">
        <f aca="false">IF(INDEX(JE_Entries!$O$5:$O$795,MATCH(B190,JE_Entries!$A$5:$A$795,0))=1,"Yes","No")</f>
        <v>Yes</v>
      </c>
    </row>
    <row r="191" customFormat="false" ht="15" hidden="false" customHeight="false" outlineLevel="0" collapsed="false">
      <c r="A191" s="16" t="s">
        <v>3460</v>
      </c>
      <c r="B191" s="16" t="n">
        <v>1350</v>
      </c>
      <c r="C191" s="16" t="s">
        <v>3467</v>
      </c>
      <c r="D191" s="16" t="s">
        <v>3445</v>
      </c>
      <c r="E191" s="16"/>
      <c r="F191" s="0" t="str">
        <f aca="false">IF(INDEX(JE_Entries!$R$5:$R$795,MATCH(B191,JE_Entries!$A$5:$A$795,0))=1,"Yes","No")</f>
        <v>Yes</v>
      </c>
    </row>
    <row r="192" customFormat="false" ht="15" hidden="false" customHeight="false" outlineLevel="0" collapsed="false">
      <c r="A192" s="16" t="s">
        <v>3460</v>
      </c>
      <c r="B192" s="16" t="n">
        <v>1357</v>
      </c>
      <c r="C192" s="16" t="s">
        <v>3468</v>
      </c>
      <c r="D192" s="16" t="s">
        <v>3445</v>
      </c>
      <c r="E192" s="16"/>
      <c r="F192" s="0" t="str">
        <f aca="false">IF(INDEX(JE_Entries!$P$5:$P$795,MATCH(B192,JE_Entries!$A$5:$A$795,0))=1,"Yes","No")</f>
        <v>Yes</v>
      </c>
    </row>
    <row r="193" customFormat="false" ht="15" hidden="false" customHeight="false" outlineLevel="0" collapsed="false">
      <c r="A193" s="16" t="s">
        <v>3460</v>
      </c>
      <c r="B193" s="16" t="n">
        <v>1370</v>
      </c>
      <c r="C193" s="16" t="s">
        <v>3469</v>
      </c>
      <c r="D193" s="16" t="s">
        <v>3445</v>
      </c>
      <c r="E193" s="16"/>
      <c r="F193" s="0" t="str">
        <f aca="false">IF(INDEX(JE_Entries!$V$5:$V$795,MATCH(B193,JE_Entries!$A$5:$A$795,0))=1,"Yes","No")</f>
        <v>Yes</v>
      </c>
    </row>
    <row r="194" customFormat="false" ht="15" hidden="false" customHeight="false" outlineLevel="0" collapsed="false">
      <c r="A194" s="16" t="s">
        <v>3460</v>
      </c>
      <c r="B194" s="16" t="n">
        <v>1377</v>
      </c>
      <c r="C194" s="16" t="s">
        <v>3462</v>
      </c>
      <c r="D194" s="16" t="s">
        <v>3443</v>
      </c>
      <c r="E194" s="16"/>
      <c r="F194" s="0" t="str">
        <f aca="false">IF(INDEX(JE_Entries!$U$5:$U$795,MATCH(B194,JE_Entries!$A$5:$A$795,0))=1,"Yes","No")</f>
        <v>Yes</v>
      </c>
    </row>
    <row r="195" customFormat="false" ht="15" hidden="false" customHeight="false" outlineLevel="0" collapsed="false">
      <c r="A195" s="16" t="s">
        <v>3460</v>
      </c>
      <c r="B195" s="16" t="n">
        <v>1386</v>
      </c>
      <c r="C195" s="16" t="s">
        <v>3462</v>
      </c>
      <c r="D195" s="16" t="s">
        <v>3443</v>
      </c>
      <c r="E195" s="16"/>
      <c r="F195" s="0" t="str">
        <f aca="false">IF(INDEX(JE_Entries!$U$5:$U$795,MATCH(B195,JE_Entries!$A$5:$A$795,0))=1,"Yes","No")</f>
        <v>Yes</v>
      </c>
    </row>
    <row r="196" customFormat="false" ht="15" hidden="false" customHeight="false" outlineLevel="0" collapsed="false">
      <c r="A196" s="16" t="s">
        <v>3460</v>
      </c>
      <c r="B196" s="16" t="n">
        <v>1392</v>
      </c>
      <c r="C196" s="16" t="s">
        <v>3462</v>
      </c>
      <c r="D196" s="16" t="s">
        <v>3443</v>
      </c>
      <c r="E196" s="16"/>
      <c r="F196" s="0" t="str">
        <f aca="false">IF(INDEX(JE_Entries!$U$5:$U$795,MATCH(B196,JE_Entries!$A$5:$A$795,0))=1,"Yes","No")</f>
        <v>Yes</v>
      </c>
    </row>
    <row r="197" customFormat="false" ht="15" hidden="false" customHeight="false" outlineLevel="0" collapsed="false">
      <c r="A197" s="16" t="s">
        <v>3460</v>
      </c>
      <c r="B197" s="16" t="n">
        <v>1395</v>
      </c>
      <c r="C197" s="16" t="s">
        <v>3463</v>
      </c>
      <c r="D197" s="16" t="s">
        <v>3443</v>
      </c>
      <c r="E197" s="16"/>
      <c r="F197" s="0" t="str">
        <f aca="false">IF(INDEX(JE_Entries!$O$5:$O$795,MATCH(B197,JE_Entries!$A$5:$A$795,0))=1,"Yes","No")</f>
        <v>Yes</v>
      </c>
    </row>
    <row r="198" customFormat="false" ht="15" hidden="false" customHeight="false" outlineLevel="0" collapsed="false">
      <c r="A198" s="16" t="s">
        <v>3460</v>
      </c>
      <c r="B198" s="16" t="n">
        <v>1403</v>
      </c>
      <c r="C198" s="16" t="s">
        <v>3461</v>
      </c>
      <c r="D198" s="16" t="s">
        <v>3443</v>
      </c>
      <c r="E198" s="16"/>
      <c r="F198" s="0" t="str">
        <f aca="false">IF(INDEX(JE_Entries!$T$5:$T$795,MATCH(B198,JE_Entries!$A$5:$A$795,0))=1,"Yes","No")</f>
        <v>Yes</v>
      </c>
    </row>
    <row r="199" customFormat="false" ht="15" hidden="false" customHeight="false" outlineLevel="0" collapsed="false">
      <c r="A199" s="16" t="s">
        <v>3460</v>
      </c>
      <c r="B199" s="16" t="n">
        <v>1419</v>
      </c>
      <c r="C199" s="16" t="s">
        <v>3462</v>
      </c>
      <c r="D199" s="16" t="s">
        <v>3445</v>
      </c>
      <c r="E199" s="16"/>
      <c r="F199" s="0" t="str">
        <f aca="false">IF(INDEX(JE_Entries!$U$5:$U$795,MATCH(B199,JE_Entries!$A$5:$A$795,0))=1,"Yes","No")</f>
        <v>Yes</v>
      </c>
    </row>
    <row r="200" customFormat="false" ht="15" hidden="false" customHeight="false" outlineLevel="0" collapsed="false">
      <c r="A200" s="16" t="s">
        <v>3460</v>
      </c>
      <c r="B200" s="16" t="n">
        <v>1421</v>
      </c>
      <c r="C200" s="16" t="s">
        <v>3465</v>
      </c>
      <c r="D200" s="16" t="s">
        <v>3445</v>
      </c>
      <c r="E200" s="16"/>
      <c r="F200" s="0" t="str">
        <f aca="false">IF(INDEX(JE_Entries!$X$5:$X$795,MATCH(B200,JE_Entries!$A$5:$A$795,0))=1,"Yes","No")</f>
        <v>Yes</v>
      </c>
    </row>
    <row r="201" customFormat="false" ht="15" hidden="false" customHeight="false" outlineLevel="0" collapsed="false">
      <c r="A201" s="16" t="s">
        <v>3460</v>
      </c>
      <c r="B201" s="16" t="n">
        <v>1432</v>
      </c>
      <c r="C201" s="16" t="s">
        <v>3463</v>
      </c>
      <c r="D201" s="16" t="s">
        <v>3443</v>
      </c>
      <c r="E201" s="16"/>
      <c r="F201" s="0" t="str">
        <f aca="false">IF(INDEX(JE_Entries!$O$5:$O$795,MATCH(B201,JE_Entries!$A$5:$A$795,0))=1,"Yes","No")</f>
        <v>Yes</v>
      </c>
    </row>
    <row r="202" customFormat="false" ht="15" hidden="false" customHeight="false" outlineLevel="0" collapsed="false">
      <c r="A202" s="16" t="s">
        <v>3460</v>
      </c>
      <c r="B202" s="16" t="n">
        <v>1442</v>
      </c>
      <c r="C202" s="16" t="s">
        <v>3461</v>
      </c>
      <c r="D202" s="16" t="s">
        <v>3445</v>
      </c>
      <c r="E202" s="16"/>
      <c r="F202" s="0" t="str">
        <f aca="false">IF(INDEX(JE_Entries!$T$5:$T$795,MATCH(B202,JE_Entries!$A$5:$A$795,0))=1,"Yes","No")</f>
        <v>Yes</v>
      </c>
    </row>
    <row r="203" customFormat="false" ht="15" hidden="false" customHeight="false" outlineLevel="0" collapsed="false">
      <c r="A203" s="16" t="s">
        <v>3460</v>
      </c>
      <c r="B203" s="16" t="n">
        <v>1463</v>
      </c>
      <c r="C203" s="16" t="s">
        <v>3463</v>
      </c>
      <c r="D203" s="16" t="s">
        <v>3443</v>
      </c>
      <c r="E203" s="16"/>
      <c r="F203" s="0" t="str">
        <f aca="false">IF(INDEX(JE_Entries!$O$5:$O$795,MATCH(B203,JE_Entries!$A$5:$A$795,0))=1,"Yes","No")</f>
        <v>Yes</v>
      </c>
    </row>
    <row r="204" customFormat="false" ht="15" hidden="false" customHeight="false" outlineLevel="0" collapsed="false">
      <c r="A204" s="16" t="s">
        <v>3460</v>
      </c>
      <c r="B204" s="16" t="n">
        <v>1464</v>
      </c>
      <c r="C204" s="16" t="s">
        <v>3466</v>
      </c>
      <c r="D204" s="16" t="s">
        <v>3445</v>
      </c>
      <c r="E204" s="16"/>
      <c r="F204" s="0" t="str">
        <f aca="false">IF(INDEX(JE_Entries!$N$5:$N$795,MATCH(B204,JE_Entries!$A$5:$A$795,0))=1,"Yes","No")</f>
        <v>Yes</v>
      </c>
    </row>
    <row r="205" customFormat="false" ht="15" hidden="false" customHeight="false" outlineLevel="0" collapsed="false">
      <c r="A205" s="16" t="s">
        <v>3460</v>
      </c>
      <c r="B205" s="16" t="n">
        <v>1473</v>
      </c>
      <c r="C205" s="16" t="s">
        <v>3461</v>
      </c>
      <c r="D205" s="16" t="s">
        <v>3443</v>
      </c>
      <c r="E205" s="16"/>
      <c r="F205" s="0" t="str">
        <f aca="false">IF(INDEX(JE_Entries!$T$5:$T$795,MATCH(B205,JE_Entries!$A$5:$A$795,0))=1,"Yes","No")</f>
        <v>Yes</v>
      </c>
    </row>
    <row r="206" customFormat="false" ht="15" hidden="false" customHeight="false" outlineLevel="0" collapsed="false">
      <c r="A206" s="16" t="s">
        <v>3460</v>
      </c>
      <c r="B206" s="16" t="n">
        <v>1487</v>
      </c>
      <c r="C206" s="16" t="s">
        <v>3469</v>
      </c>
      <c r="D206" s="16" t="s">
        <v>3445</v>
      </c>
      <c r="E206" s="16"/>
      <c r="F206" s="0" t="str">
        <f aca="false">IF(INDEX(JE_Entries!$V$5:$V$795,MATCH(B206,JE_Entries!$A$5:$A$795,0))=1,"Yes","No")</f>
        <v>Yes</v>
      </c>
    </row>
    <row r="207" customFormat="false" ht="15" hidden="false" customHeight="false" outlineLevel="0" collapsed="false">
      <c r="A207" s="16" t="s">
        <v>3460</v>
      </c>
      <c r="B207" s="16" t="n">
        <v>1493</v>
      </c>
      <c r="C207" s="16" t="s">
        <v>3463</v>
      </c>
      <c r="D207" s="16" t="s">
        <v>3443</v>
      </c>
      <c r="E207" s="16"/>
      <c r="F207" s="0" t="str">
        <f aca="false">IF(INDEX(JE_Entries!$O$5:$O$795,MATCH(B207,JE_Entries!$A$5:$A$795,0))=1,"Yes","No")</f>
        <v>Yes</v>
      </c>
    </row>
    <row r="208" customFormat="false" ht="15" hidden="false" customHeight="false" outlineLevel="0" collapsed="false">
      <c r="A208" s="16" t="s">
        <v>3460</v>
      </c>
      <c r="B208" s="16" t="n">
        <v>1508</v>
      </c>
      <c r="C208" s="16" t="s">
        <v>3462</v>
      </c>
      <c r="D208" s="16" t="s">
        <v>3443</v>
      </c>
      <c r="E208" s="16"/>
      <c r="F208" s="0" t="str">
        <f aca="false">IF(INDEX(JE_Entries!$U$5:$U$795,MATCH(B208,JE_Entries!$A$5:$A$795,0))=1,"Yes","No")</f>
        <v>Yes</v>
      </c>
    </row>
    <row r="209" customFormat="false" ht="15" hidden="false" customHeight="false" outlineLevel="0" collapsed="false">
      <c r="A209" s="16" t="s">
        <v>3460</v>
      </c>
      <c r="B209" s="16" t="n">
        <v>1515</v>
      </c>
      <c r="C209" s="16" t="s">
        <v>3463</v>
      </c>
      <c r="D209" s="16" t="s">
        <v>3443</v>
      </c>
      <c r="E209" s="16"/>
      <c r="F209" s="0" t="str">
        <f aca="false">IF(INDEX(JE_Entries!$O$5:$O$795,MATCH(B209,JE_Entries!$A$5:$A$795,0))=1,"Yes","No")</f>
        <v>Yes</v>
      </c>
    </row>
    <row r="210" customFormat="false" ht="15" hidden="false" customHeight="false" outlineLevel="0" collapsed="false">
      <c r="A210" s="16" t="s">
        <v>3460</v>
      </c>
      <c r="B210" s="16" t="n">
        <v>1523</v>
      </c>
      <c r="C210" s="16" t="s">
        <v>3469</v>
      </c>
      <c r="D210" s="16" t="s">
        <v>3445</v>
      </c>
      <c r="E210" s="16"/>
      <c r="F210" s="0" t="str">
        <f aca="false">IF(INDEX(JE_Entries!$V$5:$V$795,MATCH(B210,JE_Entries!$A$5:$A$795,0))=1,"Yes","No")</f>
        <v>Yes</v>
      </c>
    </row>
    <row r="211" customFormat="false" ht="15" hidden="false" customHeight="false" outlineLevel="0" collapsed="false">
      <c r="A211" s="16" t="s">
        <v>3460</v>
      </c>
      <c r="B211" s="16" t="n">
        <v>1532</v>
      </c>
      <c r="C211" s="16" t="s">
        <v>3461</v>
      </c>
      <c r="D211" s="16" t="s">
        <v>3445</v>
      </c>
      <c r="E211" s="16"/>
      <c r="F211" s="0" t="str">
        <f aca="false">IF(INDEX(JE_Entries!$T$5:$T$795,MATCH(B211,JE_Entries!$A$5:$A$795,0))=1,"Yes","No")</f>
        <v>Yes</v>
      </c>
    </row>
    <row r="212" customFormat="false" ht="15" hidden="false" customHeight="false" outlineLevel="0" collapsed="false">
      <c r="A212" s="16" t="s">
        <v>3460</v>
      </c>
      <c r="B212" s="16" t="n">
        <v>1533</v>
      </c>
      <c r="C212" s="16" t="s">
        <v>3461</v>
      </c>
      <c r="D212" s="16" t="s">
        <v>3443</v>
      </c>
      <c r="E212" s="16"/>
      <c r="F212" s="0" t="str">
        <f aca="false">IF(INDEX(JE_Entries!$T$5:$T$795,MATCH(B212,JE_Entries!$A$5:$A$795,0))=1,"Yes","No")</f>
        <v>Yes</v>
      </c>
    </row>
    <row r="213" customFormat="false" ht="15" hidden="false" customHeight="false" outlineLevel="0" collapsed="false">
      <c r="A213" s="16" t="s">
        <v>3460</v>
      </c>
      <c r="B213" s="16" t="n">
        <v>1541</v>
      </c>
      <c r="C213" s="16" t="s">
        <v>3463</v>
      </c>
      <c r="D213" s="16" t="s">
        <v>3443</v>
      </c>
      <c r="E213" s="16"/>
      <c r="F213" s="0" t="str">
        <f aca="false">IF(INDEX(JE_Entries!$O$5:$O$795,MATCH(B213,JE_Entries!$A$5:$A$795,0))=1,"Yes","No")</f>
        <v>Yes</v>
      </c>
    </row>
    <row r="214" customFormat="false" ht="15" hidden="false" customHeight="false" outlineLevel="0" collapsed="false">
      <c r="A214" s="16" t="s">
        <v>3460</v>
      </c>
      <c r="B214" s="16" t="n">
        <v>1542</v>
      </c>
      <c r="C214" s="16" t="s">
        <v>3463</v>
      </c>
      <c r="D214" s="16" t="s">
        <v>3445</v>
      </c>
      <c r="E214" s="16"/>
      <c r="F214" s="0" t="str">
        <f aca="false">IF(INDEX(JE_Entries!$O$5:$O$795,MATCH(B214,JE_Entries!$A$5:$A$795,0))=1,"Yes","No")</f>
        <v>Yes</v>
      </c>
    </row>
    <row r="215" customFormat="false" ht="15" hidden="false" customHeight="false" outlineLevel="0" collapsed="false">
      <c r="A215" s="16" t="s">
        <v>3460</v>
      </c>
      <c r="B215" s="16" t="n">
        <v>1558</v>
      </c>
      <c r="C215" s="16" t="s">
        <v>3463</v>
      </c>
      <c r="D215" s="16" t="s">
        <v>3445</v>
      </c>
      <c r="E215" s="16"/>
      <c r="F215" s="0" t="str">
        <f aca="false">IF(INDEX(JE_Entries!$O$5:$O$795,MATCH(B215,JE_Entries!$A$5:$A$795,0))=1,"Yes","No")</f>
        <v>Yes</v>
      </c>
    </row>
    <row r="216" customFormat="false" ht="15" hidden="false" customHeight="false" outlineLevel="0" collapsed="false">
      <c r="A216" s="16" t="s">
        <v>3460</v>
      </c>
      <c r="B216" s="16" t="n">
        <v>1573</v>
      </c>
      <c r="C216" s="16" t="s">
        <v>3463</v>
      </c>
      <c r="D216" s="16" t="s">
        <v>3443</v>
      </c>
      <c r="E216" s="16"/>
      <c r="F216" s="0" t="str">
        <f aca="false">IF(INDEX(JE_Entries!$O$5:$O$795,MATCH(B216,JE_Entries!$A$5:$A$795,0))=1,"Yes","No")</f>
        <v>Yes</v>
      </c>
    </row>
    <row r="217" customFormat="false" ht="15" hidden="false" customHeight="false" outlineLevel="0" collapsed="false">
      <c r="A217" s="16" t="s">
        <v>3460</v>
      </c>
      <c r="B217" s="16" t="n">
        <v>1574</v>
      </c>
      <c r="C217" s="16" t="s">
        <v>3464</v>
      </c>
      <c r="D217" s="16" t="s">
        <v>3445</v>
      </c>
      <c r="E217" s="16"/>
      <c r="F217" s="0" t="str">
        <f aca="false">IF(INDEX(JE_Entries!$W$5:$W$795,MATCH(B217,JE_Entries!$A$5:$A$795,0))=1,"Yes","No")</f>
        <v>Yes</v>
      </c>
    </row>
    <row r="218" customFormat="false" ht="15" hidden="false" customHeight="false" outlineLevel="0" collapsed="false">
      <c r="A218" s="16" t="s">
        <v>3460</v>
      </c>
      <c r="B218" s="16" t="n">
        <v>1586</v>
      </c>
      <c r="C218" s="16" t="s">
        <v>3461</v>
      </c>
      <c r="D218" s="16" t="s">
        <v>3443</v>
      </c>
      <c r="E218" s="16"/>
      <c r="F218" s="0" t="str">
        <f aca="false">IF(INDEX(JE_Entries!$T$5:$T$795,MATCH(B218,JE_Entries!$A$5:$A$795,0))=1,"Yes","No")</f>
        <v>Yes</v>
      </c>
    </row>
    <row r="219" customFormat="false" ht="15" hidden="false" customHeight="false" outlineLevel="0" collapsed="false">
      <c r="A219" s="16" t="s">
        <v>3460</v>
      </c>
      <c r="B219" s="16" t="n">
        <v>1630</v>
      </c>
      <c r="C219" s="16" t="s">
        <v>3463</v>
      </c>
      <c r="D219" s="16" t="s">
        <v>3443</v>
      </c>
      <c r="E219" s="16"/>
      <c r="F219" s="0" t="str">
        <f aca="false">IF(INDEX(JE_Entries!$O$5:$O$795,MATCH(B219,JE_Entries!$A$5:$A$795,0))=1,"Yes","No")</f>
        <v>Yes</v>
      </c>
    </row>
    <row r="220" customFormat="false" ht="15" hidden="false" customHeight="false" outlineLevel="0" collapsed="false">
      <c r="A220" s="16" t="s">
        <v>3460</v>
      </c>
      <c r="B220" s="16" t="n">
        <v>1633</v>
      </c>
      <c r="C220" s="16" t="s">
        <v>3468</v>
      </c>
      <c r="D220" s="16" t="s">
        <v>3445</v>
      </c>
      <c r="E220" s="16"/>
      <c r="F220" s="0" t="str">
        <f aca="false">IF(INDEX(JE_Entries!$P$5:$P$795,MATCH(B220,JE_Entries!$A$5:$A$795,0))=1,"Yes","No")</f>
        <v>Yes</v>
      </c>
    </row>
    <row r="221" customFormat="false" ht="15" hidden="false" customHeight="false" outlineLevel="0" collapsed="false">
      <c r="A221" s="16" t="s">
        <v>3460</v>
      </c>
      <c r="B221" s="16" t="n">
        <v>1637</v>
      </c>
      <c r="C221" s="16" t="s">
        <v>3467</v>
      </c>
      <c r="D221" s="16" t="s">
        <v>3445</v>
      </c>
      <c r="E221" s="16"/>
      <c r="F221" s="0" t="str">
        <f aca="false">IF(INDEX(JE_Entries!$R$5:$R$795,MATCH(B221,JE_Entries!$A$5:$A$795,0))=1,"Yes","No")</f>
        <v>Yes</v>
      </c>
    </row>
    <row r="222" customFormat="false" ht="15" hidden="false" customHeight="false" outlineLevel="0" collapsed="false">
      <c r="A222" s="16" t="s">
        <v>3460</v>
      </c>
      <c r="B222" s="16" t="n">
        <v>1642</v>
      </c>
      <c r="C222" s="16" t="s">
        <v>3464</v>
      </c>
      <c r="D222" s="16" t="s">
        <v>3445</v>
      </c>
      <c r="E222" s="16"/>
      <c r="F222" s="0" t="str">
        <f aca="false">IF(INDEX(JE_Entries!$W$5:$W$795,MATCH(B222,JE_Entries!$A$5:$A$795,0))=1,"Yes","No")</f>
        <v>Yes</v>
      </c>
    </row>
    <row r="223" customFormat="false" ht="15" hidden="false" customHeight="false" outlineLevel="0" collapsed="false">
      <c r="A223" s="16" t="s">
        <v>3460</v>
      </c>
      <c r="B223" s="16" t="n">
        <v>1644</v>
      </c>
      <c r="C223" s="16" t="s">
        <v>3462</v>
      </c>
      <c r="D223" s="16" t="s">
        <v>3443</v>
      </c>
      <c r="E223" s="16"/>
      <c r="F223" s="0" t="str">
        <f aca="false">IF(INDEX(JE_Entries!$U$5:$U$795,MATCH(B223,JE_Entries!$A$5:$A$795,0))=1,"Yes","No")</f>
        <v>Yes</v>
      </c>
    </row>
    <row r="224" customFormat="false" ht="15" hidden="false" customHeight="false" outlineLevel="0" collapsed="false">
      <c r="A224" s="16" t="s">
        <v>3460</v>
      </c>
      <c r="B224" s="16" t="n">
        <v>1648</v>
      </c>
      <c r="C224" s="16" t="s">
        <v>3465</v>
      </c>
      <c r="D224" s="16" t="s">
        <v>3445</v>
      </c>
      <c r="E224" s="16"/>
      <c r="F224" s="0" t="str">
        <f aca="false">IF(INDEX(JE_Entries!$X$5:$X$795,MATCH(B224,JE_Entries!$A$5:$A$795,0))=1,"Yes","No")</f>
        <v>Yes</v>
      </c>
    </row>
    <row r="225" customFormat="false" ht="15" hidden="false" customHeight="false" outlineLevel="0" collapsed="false">
      <c r="A225" s="16" t="s">
        <v>3460</v>
      </c>
      <c r="B225" s="16" t="n">
        <v>1649</v>
      </c>
      <c r="C225" s="16" t="s">
        <v>3461</v>
      </c>
      <c r="D225" s="16" t="s">
        <v>3443</v>
      </c>
      <c r="E225" s="16"/>
      <c r="F225" s="0" t="str">
        <f aca="false">IF(INDEX(JE_Entries!$T$5:$T$795,MATCH(B225,JE_Entries!$A$5:$A$795,0))=1,"Yes","No")</f>
        <v>Yes</v>
      </c>
    </row>
    <row r="226" customFormat="false" ht="15" hidden="false" customHeight="false" outlineLevel="0" collapsed="false">
      <c r="A226" s="16" t="s">
        <v>3460</v>
      </c>
      <c r="B226" s="16" t="n">
        <v>1653</v>
      </c>
      <c r="C226" s="16" t="s">
        <v>3462</v>
      </c>
      <c r="D226" s="16" t="s">
        <v>3443</v>
      </c>
      <c r="E226" s="16"/>
      <c r="F226" s="0" t="str">
        <f aca="false">IF(INDEX(JE_Entries!$U$5:$U$795,MATCH(B226,JE_Entries!$A$5:$A$795,0))=1,"Yes","No")</f>
        <v>Yes</v>
      </c>
    </row>
    <row r="227" customFormat="false" ht="15" hidden="false" customHeight="false" outlineLevel="0" collapsed="false">
      <c r="A227" s="16" t="s">
        <v>3460</v>
      </c>
      <c r="B227" s="16" t="n">
        <v>1669</v>
      </c>
      <c r="C227" s="16" t="s">
        <v>3468</v>
      </c>
      <c r="D227" s="16" t="s">
        <v>3445</v>
      </c>
      <c r="E227" s="16"/>
      <c r="F227" s="0" t="str">
        <f aca="false">IF(INDEX(JE_Entries!$P$5:$P$795,MATCH(B227,JE_Entries!$A$5:$A$795,0))=1,"Yes","No")</f>
        <v>Yes</v>
      </c>
    </row>
    <row r="228" customFormat="false" ht="15" hidden="false" customHeight="false" outlineLevel="0" collapsed="false">
      <c r="A228" s="16" t="s">
        <v>3460</v>
      </c>
      <c r="B228" s="16" t="n">
        <v>1672</v>
      </c>
      <c r="C228" s="16" t="s">
        <v>3463</v>
      </c>
      <c r="D228" s="16" t="s">
        <v>3443</v>
      </c>
      <c r="E228" s="16"/>
      <c r="F228" s="0" t="str">
        <f aca="false">IF(INDEX(JE_Entries!$O$5:$O$795,MATCH(B228,JE_Entries!$A$5:$A$795,0))=1,"Yes","No")</f>
        <v>Yes</v>
      </c>
    </row>
    <row r="229" customFormat="false" ht="15" hidden="false" customHeight="false" outlineLevel="0" collapsed="false">
      <c r="A229" s="16" t="s">
        <v>3460</v>
      </c>
      <c r="B229" s="16" t="n">
        <v>1692</v>
      </c>
      <c r="C229" s="16" t="s">
        <v>3463</v>
      </c>
      <c r="D229" s="16" t="s">
        <v>3445</v>
      </c>
      <c r="E229" s="16"/>
      <c r="F229" s="0" t="str">
        <f aca="false">IF(INDEX(JE_Entries!$O$5:$O$795,MATCH(B229,JE_Entries!$A$5:$A$795,0))=1,"Yes","No")</f>
        <v>Yes</v>
      </c>
    </row>
    <row r="230" customFormat="false" ht="15" hidden="false" customHeight="false" outlineLevel="0" collapsed="false">
      <c r="A230" s="16" t="s">
        <v>3460</v>
      </c>
      <c r="B230" s="16" t="n">
        <v>1697</v>
      </c>
      <c r="C230" s="16" t="s">
        <v>3461</v>
      </c>
      <c r="D230" s="16" t="s">
        <v>3443</v>
      </c>
      <c r="E230" s="16"/>
      <c r="F230" s="0" t="str">
        <f aca="false">IF(INDEX(JE_Entries!$T$5:$T$795,MATCH(B230,JE_Entries!$A$5:$A$795,0))=1,"Yes","No")</f>
        <v>Yes</v>
      </c>
    </row>
    <row r="231" customFormat="false" ht="15" hidden="false" customHeight="false" outlineLevel="0" collapsed="false">
      <c r="A231" s="16" t="s">
        <v>3460</v>
      </c>
      <c r="B231" s="16" t="n">
        <v>1710</v>
      </c>
      <c r="C231" s="16" t="s">
        <v>3467</v>
      </c>
      <c r="D231" s="16" t="s">
        <v>3445</v>
      </c>
      <c r="E231" s="16"/>
      <c r="F231" s="0" t="str">
        <f aca="false">IF(INDEX(JE_Entries!$R$5:$R$795,MATCH(B231,JE_Entries!$A$5:$A$795,0))=1,"Yes","No")</f>
        <v>Yes</v>
      </c>
    </row>
    <row r="232" customFormat="false" ht="15" hidden="false" customHeight="false" outlineLevel="0" collapsed="false">
      <c r="A232" s="16" t="s">
        <v>3460</v>
      </c>
      <c r="B232" s="16" t="n">
        <v>1712</v>
      </c>
      <c r="C232" s="16" t="s">
        <v>3463</v>
      </c>
      <c r="D232" s="16" t="s">
        <v>3443</v>
      </c>
      <c r="E232" s="16"/>
      <c r="F232" s="0" t="str">
        <f aca="false">IF(INDEX(JE_Entries!$O$5:$O$795,MATCH(B232,JE_Entries!$A$5:$A$795,0))=1,"Yes","No")</f>
        <v>Yes</v>
      </c>
    </row>
    <row r="233" customFormat="false" ht="15" hidden="false" customHeight="false" outlineLevel="0" collapsed="false">
      <c r="A233" s="16" t="s">
        <v>3460</v>
      </c>
      <c r="B233" s="16" t="n">
        <v>1713</v>
      </c>
      <c r="C233" s="16" t="s">
        <v>3463</v>
      </c>
      <c r="D233" s="16" t="s">
        <v>3443</v>
      </c>
      <c r="E233" s="16"/>
      <c r="F233" s="0" t="str">
        <f aca="false">IF(INDEX(JE_Entries!$O$5:$O$795,MATCH(B233,JE_Entries!$A$5:$A$795,0))=1,"Yes","No")</f>
        <v>Yes</v>
      </c>
    </row>
    <row r="234" customFormat="false" ht="15" hidden="false" customHeight="false" outlineLevel="0" collapsed="false">
      <c r="A234" s="16" t="s">
        <v>3460</v>
      </c>
      <c r="B234" s="16" t="n">
        <v>1741</v>
      </c>
      <c r="C234" s="16" t="s">
        <v>3462</v>
      </c>
      <c r="D234" s="16" t="s">
        <v>3445</v>
      </c>
      <c r="E234" s="16"/>
      <c r="F234" s="0" t="str">
        <f aca="false">IF(INDEX(JE_Entries!$U$5:$U$795,MATCH(B234,JE_Entries!$A$5:$A$795,0))=1,"Yes","No")</f>
        <v>Yes</v>
      </c>
    </row>
    <row r="235" customFormat="false" ht="15" hidden="false" customHeight="false" outlineLevel="0" collapsed="false">
      <c r="A235" s="16" t="s">
        <v>3460</v>
      </c>
      <c r="B235" s="16" t="n">
        <v>1753</v>
      </c>
      <c r="C235" s="16" t="s">
        <v>3467</v>
      </c>
      <c r="D235" s="16" t="s">
        <v>3445</v>
      </c>
      <c r="E235" s="16"/>
      <c r="F235" s="0" t="str">
        <f aca="false">IF(INDEX(JE_Entries!$R$5:$R$795,MATCH(B235,JE_Entries!$A$5:$A$795,0))=1,"Yes","No")</f>
        <v>Yes</v>
      </c>
    </row>
    <row r="236" customFormat="false" ht="15" hidden="false" customHeight="false" outlineLevel="0" collapsed="false">
      <c r="A236" s="16" t="s">
        <v>3460</v>
      </c>
      <c r="B236" s="16" t="n">
        <v>1762</v>
      </c>
      <c r="C236" s="16" t="s">
        <v>3463</v>
      </c>
      <c r="D236" s="16" t="s">
        <v>3443</v>
      </c>
      <c r="E236" s="16"/>
      <c r="F236" s="0" t="str">
        <f aca="false">IF(INDEX(JE_Entries!$O$5:$O$795,MATCH(B236,JE_Entries!$A$5:$A$795,0))=1,"Yes","No")</f>
        <v>Yes</v>
      </c>
    </row>
    <row r="237" customFormat="false" ht="15" hidden="false" customHeight="false" outlineLevel="0" collapsed="false">
      <c r="A237" s="16" t="s">
        <v>3460</v>
      </c>
      <c r="B237" s="16" t="n">
        <v>1763</v>
      </c>
      <c r="C237" s="16" t="s">
        <v>3463</v>
      </c>
      <c r="D237" s="16" t="s">
        <v>3443</v>
      </c>
      <c r="E237" s="16"/>
      <c r="F237" s="0" t="str">
        <f aca="false">IF(INDEX(JE_Entries!$O$5:$O$795,MATCH(B237,JE_Entries!$A$5:$A$795,0))=1,"Yes","No")</f>
        <v>Yes</v>
      </c>
    </row>
    <row r="238" customFormat="false" ht="15" hidden="false" customHeight="false" outlineLevel="0" collapsed="false">
      <c r="A238" s="16" t="s">
        <v>3460</v>
      </c>
      <c r="B238" s="16" t="n">
        <v>1764</v>
      </c>
      <c r="C238" s="16" t="s">
        <v>3463</v>
      </c>
      <c r="D238" s="16" t="s">
        <v>3443</v>
      </c>
      <c r="E238" s="16"/>
      <c r="F238" s="0" t="str">
        <f aca="false">IF(INDEX(JE_Entries!$O$5:$O$795,MATCH(B238,JE_Entries!$A$5:$A$795,0))=1,"Yes","No")</f>
        <v>Yes</v>
      </c>
    </row>
    <row r="239" customFormat="false" ht="15" hidden="false" customHeight="false" outlineLevel="0" collapsed="false">
      <c r="A239" s="16" t="s">
        <v>3460</v>
      </c>
      <c r="B239" s="16" t="n">
        <v>1765</v>
      </c>
      <c r="C239" s="16" t="s">
        <v>3462</v>
      </c>
      <c r="D239" s="16" t="s">
        <v>3445</v>
      </c>
      <c r="E239" s="16"/>
      <c r="F239" s="0" t="str">
        <f aca="false">IF(INDEX(JE_Entries!$U$5:$U$795,MATCH(B239,JE_Entries!$A$5:$A$795,0))=1,"Yes","No")</f>
        <v>Yes</v>
      </c>
    </row>
    <row r="240" customFormat="false" ht="15" hidden="false" customHeight="false" outlineLevel="0" collapsed="false">
      <c r="A240" s="16" t="s">
        <v>3460</v>
      </c>
      <c r="B240" s="16" t="n">
        <v>1775</v>
      </c>
      <c r="C240" s="16" t="s">
        <v>3461</v>
      </c>
      <c r="D240" s="16" t="s">
        <v>3443</v>
      </c>
      <c r="E240" s="16"/>
      <c r="F240" s="0" t="str">
        <f aca="false">IF(INDEX(JE_Entries!$T$5:$T$795,MATCH(B240,JE_Entries!$A$5:$A$795,0))=1,"Yes","No")</f>
        <v>Yes</v>
      </c>
    </row>
    <row r="241" customFormat="false" ht="15" hidden="false" customHeight="false" outlineLevel="0" collapsed="false">
      <c r="A241" s="16" t="s">
        <v>3460</v>
      </c>
      <c r="B241" s="16" t="n">
        <v>1785</v>
      </c>
      <c r="C241" s="16" t="s">
        <v>3463</v>
      </c>
      <c r="D241" s="16" t="s">
        <v>3443</v>
      </c>
      <c r="E241" s="16"/>
      <c r="F241" s="0" t="str">
        <f aca="false">IF(INDEX(JE_Entries!$O$5:$O$795,MATCH(B241,JE_Entries!$A$5:$A$795,0))=1,"Yes","No")</f>
        <v>Yes</v>
      </c>
    </row>
    <row r="242" customFormat="false" ht="15" hidden="false" customHeight="false" outlineLevel="0" collapsed="false">
      <c r="A242" s="16" t="s">
        <v>3460</v>
      </c>
      <c r="B242" s="16" t="n">
        <v>1791</v>
      </c>
      <c r="C242" s="16" t="s">
        <v>3470</v>
      </c>
      <c r="D242" s="16" t="s">
        <v>3445</v>
      </c>
      <c r="E242" s="16"/>
      <c r="F242" s="0" t="str">
        <f aca="false">IF(INDEX(JE_Entries!$S$5:$S$795,MATCH(B242,JE_Entries!$A$5:$A$795,0))=1,"Yes","No")</f>
        <v>Yes</v>
      </c>
    </row>
    <row r="243" customFormat="false" ht="15" hidden="false" customHeight="false" outlineLevel="0" collapsed="false">
      <c r="A243" s="16" t="s">
        <v>3460</v>
      </c>
      <c r="B243" s="16" t="n">
        <v>1791</v>
      </c>
      <c r="C243" s="16" t="s">
        <v>3461</v>
      </c>
      <c r="D243" s="16" t="s">
        <v>3445</v>
      </c>
      <c r="E243" s="16"/>
      <c r="F243" s="0" t="str">
        <f aca="false">IF(INDEX(JE_Entries!$T$5:$T$795,MATCH(B243,JE_Entries!$A$5:$A$795,0))=1,"Yes","No")</f>
        <v>Yes</v>
      </c>
    </row>
    <row r="244" customFormat="false" ht="15" hidden="false" customHeight="false" outlineLevel="0" collapsed="false">
      <c r="A244" s="16" t="s">
        <v>3460</v>
      </c>
      <c r="B244" s="16" t="n">
        <v>1791</v>
      </c>
      <c r="C244" s="16" t="s">
        <v>3471</v>
      </c>
      <c r="D244" s="16" t="s">
        <v>3445</v>
      </c>
      <c r="E244" s="16"/>
      <c r="F244" s="0" t="str">
        <f aca="false">IF(INDEX(JE_Entries!$Q$5:$Q$795,MATCH(B244,JE_Entries!$A$5:$A$795,0))=1,"Yes","No")</f>
        <v>Yes</v>
      </c>
    </row>
    <row r="245" customFormat="false" ht="15" hidden="false" customHeight="false" outlineLevel="0" collapsed="false">
      <c r="A245" s="16" t="s">
        <v>3460</v>
      </c>
      <c r="B245" s="16" t="n">
        <v>1793</v>
      </c>
      <c r="C245" s="16" t="s">
        <v>3466</v>
      </c>
      <c r="D245" s="16" t="s">
        <v>3445</v>
      </c>
      <c r="E245" s="16"/>
      <c r="F245" s="0" t="str">
        <f aca="false">IF(INDEX(JE_Entries!$N$5:$N$795,MATCH(B245,JE_Entries!$A$5:$A$795,0))=1,"Yes","No")</f>
        <v>Yes</v>
      </c>
    </row>
    <row r="246" customFormat="false" ht="15" hidden="false" customHeight="false" outlineLevel="0" collapsed="false">
      <c r="A246" s="16" t="s">
        <v>3460</v>
      </c>
      <c r="B246" s="16" t="n">
        <v>1795</v>
      </c>
      <c r="C246" s="16" t="s">
        <v>3470</v>
      </c>
      <c r="D246" s="16" t="s">
        <v>3445</v>
      </c>
      <c r="E246" s="16"/>
      <c r="F246" s="0" t="str">
        <f aca="false">IF(INDEX(JE_Entries!$S$5:$S$795,MATCH(B246,JE_Entries!$A$5:$A$795,0))=1,"Yes","No")</f>
        <v>Yes</v>
      </c>
    </row>
    <row r="247" customFormat="false" ht="15" hidden="false" customHeight="false" outlineLevel="0" collapsed="false">
      <c r="A247" s="16" t="s">
        <v>3460</v>
      </c>
      <c r="B247" s="16" t="n">
        <v>1795</v>
      </c>
      <c r="C247" s="16" t="s">
        <v>3461</v>
      </c>
      <c r="D247" s="16" t="s">
        <v>3445</v>
      </c>
      <c r="E247" s="16"/>
      <c r="F247" s="0" t="str">
        <f aca="false">IF(INDEX(JE_Entries!$T$5:$T$795,MATCH(B247,JE_Entries!$A$5:$A$795,0))=1,"Yes","No")</f>
        <v>Yes</v>
      </c>
    </row>
    <row r="248" customFormat="false" ht="15" hidden="false" customHeight="false" outlineLevel="0" collapsed="false">
      <c r="A248" s="16" t="s">
        <v>3460</v>
      </c>
      <c r="B248" s="16" t="n">
        <v>1795</v>
      </c>
      <c r="C248" s="16" t="s">
        <v>3471</v>
      </c>
      <c r="D248" s="16" t="s">
        <v>3445</v>
      </c>
      <c r="E248" s="16"/>
      <c r="F248" s="0" t="str">
        <f aca="false">IF(INDEX(JE_Entries!$Q$5:$Q$795,MATCH(B248,JE_Entries!$A$5:$A$795,0))=1,"Yes","No")</f>
        <v>Yes</v>
      </c>
    </row>
    <row r="249" customFormat="false" ht="15" hidden="false" customHeight="false" outlineLevel="0" collapsed="false">
      <c r="A249" s="16" t="s">
        <v>3460</v>
      </c>
      <c r="B249" s="16" t="n">
        <v>1796</v>
      </c>
      <c r="C249" s="16" t="s">
        <v>3470</v>
      </c>
      <c r="D249" s="16" t="s">
        <v>3445</v>
      </c>
      <c r="E249" s="16"/>
      <c r="F249" s="0" t="str">
        <f aca="false">IF(INDEX(JE_Entries!$S$5:$S$795,MATCH(B249,JE_Entries!$A$5:$A$795,0))=1,"Yes","No")</f>
        <v>Yes</v>
      </c>
    </row>
    <row r="250" customFormat="false" ht="15" hidden="false" customHeight="false" outlineLevel="0" collapsed="false">
      <c r="A250" s="16" t="s">
        <v>3460</v>
      </c>
      <c r="B250" s="16" t="n">
        <v>1796</v>
      </c>
      <c r="C250" s="16" t="s">
        <v>3461</v>
      </c>
      <c r="D250" s="16" t="s">
        <v>3445</v>
      </c>
      <c r="E250" s="16"/>
      <c r="F250" s="0" t="str">
        <f aca="false">IF(INDEX(JE_Entries!$T$5:$T$795,MATCH(B250,JE_Entries!$A$5:$A$795,0))=1,"Yes","No")</f>
        <v>Yes</v>
      </c>
    </row>
    <row r="251" customFormat="false" ht="15" hidden="false" customHeight="false" outlineLevel="0" collapsed="false">
      <c r="A251" s="16" t="s">
        <v>3460</v>
      </c>
      <c r="B251" s="16" t="n">
        <v>1796</v>
      </c>
      <c r="C251" s="16" t="s">
        <v>3471</v>
      </c>
      <c r="D251" s="16" t="s">
        <v>3445</v>
      </c>
      <c r="E251" s="16"/>
      <c r="F251" s="0" t="str">
        <f aca="false">IF(INDEX(JE_Entries!$Q$5:$Q$795,MATCH(B251,JE_Entries!$A$5:$A$795,0))=1,"Yes","No")</f>
        <v>Yes</v>
      </c>
    </row>
    <row r="252" customFormat="false" ht="15" hidden="false" customHeight="false" outlineLevel="0" collapsed="false">
      <c r="A252" s="16" t="s">
        <v>3460</v>
      </c>
      <c r="B252" s="16" t="n">
        <v>1796</v>
      </c>
      <c r="C252" s="16" t="s">
        <v>3462</v>
      </c>
      <c r="D252" s="16" t="s">
        <v>3445</v>
      </c>
      <c r="E252" s="16"/>
      <c r="F252" s="0" t="str">
        <f aca="false">IF(INDEX(JE_Entries!$U$5:$U$795,MATCH(B252,JE_Entries!$A$5:$A$795,0))=1,"Yes","No")</f>
        <v>Yes</v>
      </c>
    </row>
    <row r="253" customFormat="false" ht="15" hidden="false" customHeight="false" outlineLevel="0" collapsed="false">
      <c r="A253" s="16" t="s">
        <v>3460</v>
      </c>
      <c r="B253" s="16" t="n">
        <v>1800</v>
      </c>
      <c r="C253" s="16" t="s">
        <v>3470</v>
      </c>
      <c r="D253" s="16" t="s">
        <v>3445</v>
      </c>
      <c r="E253" s="16"/>
      <c r="F253" s="0" t="str">
        <f aca="false">IF(INDEX(JE_Entries!$S$5:$S$795,MATCH(B253,JE_Entries!$A$5:$A$795,0))=1,"Yes","No")</f>
        <v>Yes</v>
      </c>
    </row>
    <row r="254" customFormat="false" ht="15" hidden="false" customHeight="false" outlineLevel="0" collapsed="false">
      <c r="A254" s="16" t="s">
        <v>3460</v>
      </c>
      <c r="B254" s="16" t="n">
        <v>1800</v>
      </c>
      <c r="C254" s="16" t="s">
        <v>3461</v>
      </c>
      <c r="D254" s="16" t="s">
        <v>3445</v>
      </c>
      <c r="E254" s="16"/>
      <c r="F254" s="0" t="str">
        <f aca="false">IF(INDEX(JE_Entries!$T$5:$T$795,MATCH(B254,JE_Entries!$A$5:$A$795,0))=1,"Yes","No")</f>
        <v>Yes</v>
      </c>
    </row>
    <row r="255" customFormat="false" ht="15" hidden="false" customHeight="false" outlineLevel="0" collapsed="false">
      <c r="A255" s="16" t="s">
        <v>3460</v>
      </c>
      <c r="B255" s="16" t="n">
        <v>1800</v>
      </c>
      <c r="C255" s="16" t="s">
        <v>3471</v>
      </c>
      <c r="D255" s="16" t="s">
        <v>3445</v>
      </c>
      <c r="E255" s="16"/>
      <c r="F255" s="0" t="str">
        <f aca="false">IF(INDEX(JE_Entries!$Q$5:$Q$795,MATCH(B255,JE_Entries!$A$5:$A$795,0))=1,"Yes","No")</f>
        <v>Yes</v>
      </c>
    </row>
    <row r="256" customFormat="false" ht="15" hidden="false" customHeight="false" outlineLevel="0" collapsed="false">
      <c r="A256" s="16" t="s">
        <v>3460</v>
      </c>
      <c r="B256" s="16" t="n">
        <v>1802</v>
      </c>
      <c r="C256" s="16" t="s">
        <v>3470</v>
      </c>
      <c r="D256" s="16" t="s">
        <v>3445</v>
      </c>
      <c r="E256" s="16"/>
      <c r="F256" s="0" t="str">
        <f aca="false">IF(INDEX(JE_Entries!$S$5:$S$795,MATCH(B256,JE_Entries!$A$5:$A$795,0))=1,"Yes","No")</f>
        <v>Yes</v>
      </c>
    </row>
    <row r="257" customFormat="false" ht="15" hidden="false" customHeight="false" outlineLevel="0" collapsed="false">
      <c r="A257" s="16" t="s">
        <v>3460</v>
      </c>
      <c r="B257" s="16" t="n">
        <v>1802</v>
      </c>
      <c r="C257" s="16" t="s">
        <v>3461</v>
      </c>
      <c r="D257" s="16" t="s">
        <v>3445</v>
      </c>
      <c r="E257" s="16"/>
      <c r="F257" s="0" t="str">
        <f aca="false">IF(INDEX(JE_Entries!$T$5:$T$795,MATCH(B257,JE_Entries!$A$5:$A$795,0))=1,"Yes","No")</f>
        <v>Yes</v>
      </c>
    </row>
    <row r="258" customFormat="false" ht="15" hidden="false" customHeight="false" outlineLevel="0" collapsed="false">
      <c r="A258" s="16" t="s">
        <v>3460</v>
      </c>
      <c r="B258" s="16" t="n">
        <v>1802</v>
      </c>
      <c r="C258" s="16" t="s">
        <v>3471</v>
      </c>
      <c r="D258" s="16" t="s">
        <v>3445</v>
      </c>
      <c r="E258" s="16"/>
      <c r="F258" s="0" t="str">
        <f aca="false">IF(INDEX(JE_Entries!$Q$5:$Q$795,MATCH(B258,JE_Entries!$A$5:$A$795,0))=1,"Yes","No")</f>
        <v>Yes</v>
      </c>
    </row>
    <row r="259" customFormat="false" ht="15" hidden="false" customHeight="false" outlineLevel="0" collapsed="false">
      <c r="A259" s="16" t="s">
        <v>3460</v>
      </c>
      <c r="B259" s="16" t="n">
        <v>1802</v>
      </c>
      <c r="C259" s="16" t="s">
        <v>3462</v>
      </c>
      <c r="D259" s="16" t="s">
        <v>3445</v>
      </c>
      <c r="E259" s="16"/>
      <c r="F259" s="0" t="str">
        <f aca="false">IF(INDEX(JE_Entries!$U$5:$U$795,MATCH(B259,JE_Entries!$A$5:$A$795,0))=1,"Yes","No")</f>
        <v>Yes</v>
      </c>
    </row>
    <row r="260" customFormat="false" ht="15" hidden="false" customHeight="false" outlineLevel="0" collapsed="false">
      <c r="A260" s="16" t="s">
        <v>301</v>
      </c>
      <c r="B260" s="16" t="s">
        <v>200</v>
      </c>
      <c r="C260" s="16" t="s">
        <v>3472</v>
      </c>
      <c r="D260" s="16" t="s">
        <v>3445</v>
      </c>
      <c r="E260" s="16" t="s">
        <v>3473</v>
      </c>
      <c r="F260" s="0" t="str">
        <f aca="false">IF(INDEX(Vendor_Benford!$M$6:$M$50,MATCH(B260,Vendor_Benford!$A$6:$A$50,0))=1,"Yes","No")</f>
        <v>Yes</v>
      </c>
    </row>
    <row r="261" customFormat="false" ht="15" hidden="false" customHeight="false" outlineLevel="0" collapsed="false">
      <c r="A261" s="16" t="s">
        <v>301</v>
      </c>
      <c r="B261" s="16" t="s">
        <v>221</v>
      </c>
      <c r="C261" s="16" t="s">
        <v>3474</v>
      </c>
      <c r="D261" s="16" t="s">
        <v>3445</v>
      </c>
      <c r="E261" s="16" t="s">
        <v>3475</v>
      </c>
      <c r="F261" s="0" t="str">
        <f aca="false">IF(INDEX(Vendor_Benford!$N$6:$N$50,MATCH(B261,Vendor_Benford!$A$6:$A$50,0))=1,"Yes","No")</f>
        <v>Yes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6"/>
    <col collapsed="false" customWidth="true" hidden="false" outlineLevel="0" max="3" min="3" style="0" width="12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9"/>
    <col collapsed="false" customWidth="true" hidden="false" outlineLevel="0" max="9" min="9" style="0" width="18"/>
  </cols>
  <sheetData>
    <row r="1" customFormat="false" ht="17.35" hidden="false" customHeight="false" outlineLevel="0" collapsed="false">
      <c r="A1" s="5" t="s">
        <v>3476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3477</v>
      </c>
    </row>
    <row r="4" customFormat="false" ht="33.75" hidden="false" customHeight="true" outlineLevel="0" collapsed="false">
      <c r="A4" s="7" t="s">
        <v>3438</v>
      </c>
      <c r="B4" s="7" t="s">
        <v>3478</v>
      </c>
      <c r="C4" s="7" t="s">
        <v>3479</v>
      </c>
      <c r="D4" s="7" t="s">
        <v>3480</v>
      </c>
      <c r="E4" s="7" t="s">
        <v>3481</v>
      </c>
      <c r="F4" s="7" t="s">
        <v>3482</v>
      </c>
      <c r="G4" s="7" t="s">
        <v>3483</v>
      </c>
      <c r="H4" s="7" t="s">
        <v>3484</v>
      </c>
      <c r="I4" s="7" t="s">
        <v>3485</v>
      </c>
    </row>
    <row r="5" customFormat="false" ht="15" hidden="false" customHeight="false" outlineLevel="0" collapsed="false">
      <c r="A5" s="0" t="s">
        <v>3446</v>
      </c>
      <c r="B5" s="0" t="s">
        <v>3486</v>
      </c>
      <c r="C5" s="0" t="n">
        <f aca="false">COUNTA(Payments!$A$5:$A$634)</f>
        <v>630</v>
      </c>
      <c r="D5" s="0" t="n">
        <f aca="false">SUM(Payments!$I$5:$I$634)</f>
        <v>10</v>
      </c>
      <c r="E5" s="19" t="n">
        <f aca="false">D5/C5</f>
        <v>0.0158730158730159</v>
      </c>
      <c r="F5" s="9" t="n">
        <f aca="false">COUNTIFS(Answer_Key!$C$5:$C$261,A5,Answer_Key!$D$5:$D$261,"Seeded anomaly")</f>
        <v>10</v>
      </c>
      <c r="G5" s="9" t="n">
        <f aca="false">COUNTIFS(Answer_Key!$C$5:$C$261,A5,Answer_Key!$D$5:$D$261,"Seeded anomaly",Answer_Key!$F$5:$F$261,"Yes")</f>
        <v>10</v>
      </c>
      <c r="H5" s="20" t="n">
        <f aca="false">IF(F5=0,"n/a",G5/F5)</f>
        <v>1</v>
      </c>
      <c r="I5" s="9" t="n">
        <f aca="false">D5-COUNTIFS(Answer_Key!$C$5:$C$261,A5,Answer_Key!$F$5:$F$261,"Yes")</f>
        <v>0</v>
      </c>
    </row>
    <row r="6" customFormat="false" ht="15" hidden="false" customHeight="false" outlineLevel="0" collapsed="false">
      <c r="A6" s="0" t="s">
        <v>3451</v>
      </c>
      <c r="B6" s="0" t="s">
        <v>3487</v>
      </c>
      <c r="C6" s="0" t="n">
        <f aca="false">COUNTA(Payments!$A$5:$A$634)</f>
        <v>630</v>
      </c>
      <c r="D6" s="0" t="n">
        <f aca="false">SUM(Payments!$J$5:$J$634)</f>
        <v>25</v>
      </c>
      <c r="E6" s="19" t="n">
        <f aca="false">D6/C6</f>
        <v>0.0396825396825397</v>
      </c>
      <c r="F6" s="9" t="n">
        <f aca="false">COUNTIFS(Answer_Key!$C$5:$C$261,A6,Answer_Key!$D$5:$D$261,"Seeded anomaly")</f>
        <v>4</v>
      </c>
      <c r="G6" s="9" t="n">
        <f aca="false">COUNTIFS(Answer_Key!$C$5:$C$261,A6,Answer_Key!$D$5:$D$261,"Seeded anomaly",Answer_Key!$F$5:$F$261,"Yes")</f>
        <v>4</v>
      </c>
      <c r="H6" s="20" t="n">
        <f aca="false">IF(F6=0,"n/a",G6/F6)</f>
        <v>1</v>
      </c>
      <c r="I6" s="9" t="n">
        <f aca="false">D6-COUNTIFS(Answer_Key!$C$5:$C$261,A6,Answer_Key!$F$5:$F$261,"Yes")</f>
        <v>0</v>
      </c>
    </row>
    <row r="7" customFormat="false" ht="15" hidden="false" customHeight="false" outlineLevel="0" collapsed="false">
      <c r="A7" s="0" t="s">
        <v>3442</v>
      </c>
      <c r="B7" s="0" t="s">
        <v>3488</v>
      </c>
      <c r="C7" s="0" t="n">
        <f aca="false">COUNTA(Payments!$A$5:$A$634)</f>
        <v>630</v>
      </c>
      <c r="D7" s="0" t="n">
        <f aca="false">SUM(Payments!$K$5:$K$634)</f>
        <v>24</v>
      </c>
      <c r="E7" s="19" t="n">
        <f aca="false">D7/C7</f>
        <v>0.0380952380952381</v>
      </c>
      <c r="F7" s="9" t="n">
        <f aca="false">COUNTIFS(Answer_Key!$C$5:$C$261,A7,Answer_Key!$D$5:$D$261,"Seeded anomaly")</f>
        <v>12</v>
      </c>
      <c r="G7" s="9" t="n">
        <f aca="false">COUNTIFS(Answer_Key!$C$5:$C$261,A7,Answer_Key!$D$5:$D$261,"Seeded anomaly",Answer_Key!$F$5:$F$261,"Yes")</f>
        <v>12</v>
      </c>
      <c r="H7" s="20" t="n">
        <f aca="false">IF(F7=0,"n/a",G7/F7)</f>
        <v>1</v>
      </c>
      <c r="I7" s="9" t="n">
        <f aca="false">D7-COUNTIFS(Answer_Key!$C$5:$C$261,A7,Answer_Key!$F$5:$F$261,"Yes")</f>
        <v>0</v>
      </c>
    </row>
    <row r="8" customFormat="false" ht="15" hidden="false" customHeight="false" outlineLevel="0" collapsed="false">
      <c r="A8" s="0" t="s">
        <v>3448</v>
      </c>
      <c r="B8" s="0" t="s">
        <v>3489</v>
      </c>
      <c r="C8" s="0" t="n">
        <f aca="false">COUNTA(Payments!$A$5:$A$634)</f>
        <v>630</v>
      </c>
      <c r="D8" s="0" t="n">
        <f aca="false">SUM(Payments!$L$5:$L$634)</f>
        <v>55</v>
      </c>
      <c r="E8" s="19" t="n">
        <f aca="false">D8/C8</f>
        <v>0.0873015873015873</v>
      </c>
      <c r="F8" s="9" t="n">
        <f aca="false">COUNTIFS(Answer_Key!$C$5:$C$261,A8,Answer_Key!$D$5:$D$261,"Seeded anomaly")</f>
        <v>45</v>
      </c>
      <c r="G8" s="9" t="n">
        <f aca="false">COUNTIFS(Answer_Key!$C$5:$C$261,A8,Answer_Key!$D$5:$D$261,"Seeded anomaly",Answer_Key!$F$5:$F$261,"Yes")</f>
        <v>39</v>
      </c>
      <c r="H8" s="20" t="n">
        <f aca="false">IF(F8=0,"n/a",G8/F8)</f>
        <v>0.866666666666667</v>
      </c>
      <c r="I8" s="9" t="n">
        <f aca="false">D8-COUNTIFS(Answer_Key!$C$5:$C$261,A8,Answer_Key!$F$5:$F$261,"Yes")</f>
        <v>4</v>
      </c>
    </row>
    <row r="9" customFormat="false" ht="15" hidden="false" customHeight="false" outlineLevel="0" collapsed="false">
      <c r="A9" s="0" t="s">
        <v>3454</v>
      </c>
      <c r="B9" s="0" t="s">
        <v>3490</v>
      </c>
      <c r="C9" s="0" t="n">
        <f aca="false">COUNTA(Payments!$A$5:$A$634)</f>
        <v>630</v>
      </c>
      <c r="D9" s="0" t="n">
        <f aca="false">SUM(Payments!$M$5:$M$634)</f>
        <v>34</v>
      </c>
      <c r="E9" s="19" t="n">
        <f aca="false">D9/C9</f>
        <v>0.053968253968254</v>
      </c>
      <c r="F9" s="9" t="n">
        <f aca="false">COUNTIFS(Answer_Key!$C$5:$C$261,A9,Answer_Key!$D$5:$D$261,"Seeded anomaly")</f>
        <v>12</v>
      </c>
      <c r="G9" s="9" t="n">
        <f aca="false">COUNTIFS(Answer_Key!$C$5:$C$261,A9,Answer_Key!$D$5:$D$261,"Seeded anomaly",Answer_Key!$F$5:$F$261,"Yes")</f>
        <v>12</v>
      </c>
      <c r="H9" s="20" t="n">
        <f aca="false">IF(F9=0,"n/a",G9/F9)</f>
        <v>1</v>
      </c>
      <c r="I9" s="9" t="n">
        <f aca="false">D9-COUNTIFS(Answer_Key!$C$5:$C$261,A9,Answer_Key!$F$5:$F$261,"Yes")</f>
        <v>10</v>
      </c>
    </row>
    <row r="10" customFormat="false" ht="15" hidden="false" customHeight="false" outlineLevel="0" collapsed="false">
      <c r="A10" s="0" t="s">
        <v>3457</v>
      </c>
      <c r="B10" s="0" t="s">
        <v>81</v>
      </c>
      <c r="C10" s="0" t="n">
        <f aca="false">COUNTA(Payments!$A$5:$A$634)</f>
        <v>630</v>
      </c>
      <c r="D10" s="0" t="n">
        <f aca="false">SUM(Payments!$N$5:$N$634)</f>
        <v>3</v>
      </c>
      <c r="E10" s="19" t="n">
        <f aca="false">D10/C10</f>
        <v>0.00476190476190476</v>
      </c>
      <c r="F10" s="9" t="n">
        <f aca="false">COUNTIFS(Answer_Key!$C$5:$C$261,A10,Answer_Key!$D$5:$D$261,"Seeded anomaly")</f>
        <v>3</v>
      </c>
      <c r="G10" s="9" t="n">
        <f aca="false">COUNTIFS(Answer_Key!$C$5:$C$261,A10,Answer_Key!$D$5:$D$261,"Seeded anomaly",Answer_Key!$F$5:$F$261,"Yes")</f>
        <v>3</v>
      </c>
      <c r="H10" s="20" t="n">
        <f aca="false">IF(F10=0,"n/a",G10/F10)</f>
        <v>1</v>
      </c>
      <c r="I10" s="9" t="n">
        <f aca="false">D10-COUNTIFS(Answer_Key!$C$5:$C$261,A10,Answer_Key!$F$5:$F$261,"Yes")</f>
        <v>0</v>
      </c>
    </row>
    <row r="11" customFormat="false" ht="15" hidden="false" customHeight="false" outlineLevel="0" collapsed="false">
      <c r="A11" s="0" t="s">
        <v>3472</v>
      </c>
      <c r="B11" s="0" t="s">
        <v>83</v>
      </c>
      <c r="C11" s="0" t="n">
        <f aca="false">COUNTA(Vendor_Benford!$A$6:$A$50)</f>
        <v>45</v>
      </c>
      <c r="D11" s="0" t="n">
        <f aca="false">SUM(Vendor_Benford!$M$6:$M$50)</f>
        <v>1</v>
      </c>
      <c r="E11" s="19" t="n">
        <f aca="false">D11/C11</f>
        <v>0.0222222222222222</v>
      </c>
      <c r="F11" s="9" t="n">
        <f aca="false">COUNTIFS(Answer_Key!$C$5:$C$261,A11,Answer_Key!$D$5:$D$261,"Seeded anomaly")</f>
        <v>1</v>
      </c>
      <c r="G11" s="9" t="n">
        <f aca="false">COUNTIFS(Answer_Key!$C$5:$C$261,A11,Answer_Key!$D$5:$D$261,"Seeded anomaly",Answer_Key!$F$5:$F$261,"Yes")</f>
        <v>1</v>
      </c>
      <c r="H11" s="20" t="n">
        <f aca="false">IF(F11=0,"n/a",G11/F11)</f>
        <v>1</v>
      </c>
      <c r="I11" s="9" t="n">
        <f aca="false">D11-COUNTIFS(Answer_Key!$C$5:$C$261,A11,Answer_Key!$F$5:$F$261,"Yes")</f>
        <v>0</v>
      </c>
    </row>
    <row r="12" customFormat="false" ht="15" hidden="false" customHeight="false" outlineLevel="0" collapsed="false">
      <c r="A12" s="0" t="s">
        <v>3474</v>
      </c>
      <c r="B12" s="0" t="s">
        <v>3491</v>
      </c>
      <c r="C12" s="0" t="n">
        <f aca="false">COUNTA(Vendor_Benford!$A$6:$A$50)</f>
        <v>45</v>
      </c>
      <c r="D12" s="0" t="n">
        <f aca="false">SUM(Vendor_Benford!$N$6:$N$50)</f>
        <v>1</v>
      </c>
      <c r="E12" s="19" t="n">
        <f aca="false">D12/C12</f>
        <v>0.0222222222222222</v>
      </c>
      <c r="F12" s="9" t="n">
        <f aca="false">COUNTIFS(Answer_Key!$C$5:$C$261,A12,Answer_Key!$D$5:$D$261,"Seeded anomaly")</f>
        <v>1</v>
      </c>
      <c r="G12" s="9" t="n">
        <f aca="false">COUNTIFS(Answer_Key!$C$5:$C$261,A12,Answer_Key!$D$5:$D$261,"Seeded anomaly",Answer_Key!$F$5:$F$261,"Yes")</f>
        <v>1</v>
      </c>
      <c r="H12" s="20" t="n">
        <f aca="false">IF(F12=0,"n/a",G12/F12)</f>
        <v>1</v>
      </c>
      <c r="I12" s="9" t="n">
        <f aca="false">D12-COUNTIFS(Answer_Key!$C$5:$C$261,A12,Answer_Key!$F$5:$F$261,"Yes")</f>
        <v>0</v>
      </c>
    </row>
    <row r="13" customFormat="false" ht="15" hidden="false" customHeight="false" outlineLevel="0" collapsed="false">
      <c r="A13" s="0" t="s">
        <v>3466</v>
      </c>
      <c r="B13" s="0" t="s">
        <v>3492</v>
      </c>
      <c r="C13" s="0" t="n">
        <f aca="false">COUNTA(JE_Entries!$A$5:$A$795)</f>
        <v>791</v>
      </c>
      <c r="D13" s="0" t="n">
        <f aca="false">SUM(JE_Entries!$N$5:$N$795)</f>
        <v>3</v>
      </c>
      <c r="E13" s="19" t="n">
        <f aca="false">D13/C13</f>
        <v>0.00379266750948167</v>
      </c>
      <c r="F13" s="9" t="n">
        <f aca="false">COUNTIFS(Answer_Key!$C$5:$C$261,A13,Answer_Key!$D$5:$D$261,"Seeded anomaly")</f>
        <v>3</v>
      </c>
      <c r="G13" s="9" t="n">
        <f aca="false">COUNTIFS(Answer_Key!$C$5:$C$261,A13,Answer_Key!$D$5:$D$261,"Seeded anomaly",Answer_Key!$F$5:$F$261,"Yes")</f>
        <v>3</v>
      </c>
      <c r="H13" s="20" t="n">
        <f aca="false">IF(F13=0,"n/a",G13/F13)</f>
        <v>1</v>
      </c>
      <c r="I13" s="9" t="n">
        <f aca="false">D13-COUNTIFS(Answer_Key!$C$5:$C$261,A13,Answer_Key!$F$5:$F$261,"Yes")</f>
        <v>0</v>
      </c>
    </row>
    <row r="14" customFormat="false" ht="15" hidden="false" customHeight="false" outlineLevel="0" collapsed="false">
      <c r="A14" s="0" t="s">
        <v>3463</v>
      </c>
      <c r="B14" s="0" t="s">
        <v>3493</v>
      </c>
      <c r="C14" s="0" t="n">
        <f aca="false">COUNTA(JE_Entries!$A$5:$A$795)</f>
        <v>791</v>
      </c>
      <c r="D14" s="0" t="n">
        <f aca="false">SUM(JE_Entries!$O$5:$O$795)</f>
        <v>31</v>
      </c>
      <c r="E14" s="19" t="n">
        <f aca="false">D14/C14</f>
        <v>0.0391908975979772</v>
      </c>
      <c r="F14" s="9" t="n">
        <f aca="false">COUNTIFS(Answer_Key!$C$5:$C$261,A14,Answer_Key!$D$5:$D$261,"Seeded anomaly")</f>
        <v>8</v>
      </c>
      <c r="G14" s="9" t="n">
        <f aca="false">COUNTIFS(Answer_Key!$C$5:$C$261,A14,Answer_Key!$D$5:$D$261,"Seeded anomaly",Answer_Key!$F$5:$F$261,"Yes")</f>
        <v>8</v>
      </c>
      <c r="H14" s="20" t="n">
        <f aca="false">IF(F14=0,"n/a",G14/F14)</f>
        <v>1</v>
      </c>
      <c r="I14" s="9" t="n">
        <f aca="false">D14-COUNTIFS(Answer_Key!$C$5:$C$261,A14,Answer_Key!$F$5:$F$261,"Yes")</f>
        <v>0</v>
      </c>
    </row>
    <row r="15" customFormat="false" ht="15" hidden="false" customHeight="false" outlineLevel="0" collapsed="false">
      <c r="A15" s="0" t="s">
        <v>3468</v>
      </c>
      <c r="B15" s="0" t="s">
        <v>3494</v>
      </c>
      <c r="C15" s="0" t="n">
        <f aca="false">COUNTA(JE_Entries!$A$5:$A$795)</f>
        <v>791</v>
      </c>
      <c r="D15" s="0" t="n">
        <f aca="false">SUM(JE_Entries!$P$5:$P$795)</f>
        <v>6</v>
      </c>
      <c r="E15" s="19" t="n">
        <f aca="false">D15/C15</f>
        <v>0.00758533501896334</v>
      </c>
      <c r="F15" s="9" t="n">
        <f aca="false">COUNTIFS(Answer_Key!$C$5:$C$261,A15,Answer_Key!$D$5:$D$261,"Seeded anomaly")</f>
        <v>6</v>
      </c>
      <c r="G15" s="9" t="n">
        <f aca="false">COUNTIFS(Answer_Key!$C$5:$C$261,A15,Answer_Key!$D$5:$D$261,"Seeded anomaly",Answer_Key!$F$5:$F$261,"Yes")</f>
        <v>6</v>
      </c>
      <c r="H15" s="20" t="n">
        <f aca="false">IF(F15=0,"n/a",G15/F15)</f>
        <v>1</v>
      </c>
      <c r="I15" s="9" t="n">
        <f aca="false">D15-COUNTIFS(Answer_Key!$C$5:$C$261,A15,Answer_Key!$F$5:$F$261,"Yes")</f>
        <v>0</v>
      </c>
    </row>
    <row r="16" customFormat="false" ht="15" hidden="false" customHeight="false" outlineLevel="0" collapsed="false">
      <c r="A16" s="0" t="s">
        <v>3471</v>
      </c>
      <c r="B16" s="0" t="s">
        <v>3495</v>
      </c>
      <c r="C16" s="0" t="n">
        <f aca="false">COUNTA(JE_Entries!$A$5:$A$795)</f>
        <v>791</v>
      </c>
      <c r="D16" s="0" t="n">
        <f aca="false">SUM(JE_Entries!$Q$5:$Q$795)</f>
        <v>17</v>
      </c>
      <c r="E16" s="19" t="n">
        <f aca="false">D16/C16</f>
        <v>0.0214917825537295</v>
      </c>
      <c r="F16" s="9" t="n">
        <f aca="false">COUNTIFS(Answer_Key!$C$5:$C$261,A16,Answer_Key!$D$5:$D$261,"Seeded anomaly")</f>
        <v>5</v>
      </c>
      <c r="G16" s="9" t="n">
        <f aca="false">COUNTIFS(Answer_Key!$C$5:$C$261,A16,Answer_Key!$D$5:$D$261,"Seeded anomaly",Answer_Key!$F$5:$F$261,"Yes")</f>
        <v>5</v>
      </c>
      <c r="H16" s="20" t="n">
        <f aca="false">IF(F16=0,"n/a",G16/F16)</f>
        <v>1</v>
      </c>
      <c r="I16" s="9" t="n">
        <f aca="false">D16-COUNTIFS(Answer_Key!$C$5:$C$261,A16,Answer_Key!$F$5:$F$261,"Yes")</f>
        <v>12</v>
      </c>
    </row>
    <row r="17" customFormat="false" ht="15" hidden="false" customHeight="false" outlineLevel="0" collapsed="false">
      <c r="A17" s="0" t="s">
        <v>3467</v>
      </c>
      <c r="B17" s="0" t="s">
        <v>3496</v>
      </c>
      <c r="C17" s="0" t="n">
        <f aca="false">COUNTA(JE_Entries!$A$5:$A$795)</f>
        <v>791</v>
      </c>
      <c r="D17" s="0" t="n">
        <f aca="false">SUM(JE_Entries!$R$5:$R$795)</f>
        <v>5</v>
      </c>
      <c r="E17" s="19" t="n">
        <f aca="false">D17/C17</f>
        <v>0.00632111251580278</v>
      </c>
      <c r="F17" s="9" t="n">
        <f aca="false">COUNTIFS(Answer_Key!$C$5:$C$261,A17,Answer_Key!$D$5:$D$261,"Seeded anomaly")</f>
        <v>5</v>
      </c>
      <c r="G17" s="9" t="n">
        <f aca="false">COUNTIFS(Answer_Key!$C$5:$C$261,A17,Answer_Key!$D$5:$D$261,"Seeded anomaly",Answer_Key!$F$5:$F$261,"Yes")</f>
        <v>5</v>
      </c>
      <c r="H17" s="20" t="n">
        <f aca="false">IF(F17=0,"n/a",G17/F17)</f>
        <v>1</v>
      </c>
      <c r="I17" s="9" t="n">
        <f aca="false">D17-COUNTIFS(Answer_Key!$C$5:$C$261,A17,Answer_Key!$F$5:$F$261,"Yes")</f>
        <v>0</v>
      </c>
    </row>
    <row r="18" customFormat="false" ht="15" hidden="false" customHeight="false" outlineLevel="0" collapsed="false">
      <c r="A18" s="0" t="s">
        <v>3470</v>
      </c>
      <c r="B18" s="0" t="s">
        <v>90</v>
      </c>
      <c r="C18" s="0" t="n">
        <f aca="false">COUNTA(JE_Entries!$A$5:$A$795)</f>
        <v>791</v>
      </c>
      <c r="D18" s="0" t="n">
        <f aca="false">SUM(JE_Entries!$S$5:$S$795)</f>
        <v>5</v>
      </c>
      <c r="E18" s="19" t="n">
        <f aca="false">D18/C18</f>
        <v>0.00632111251580278</v>
      </c>
      <c r="F18" s="9" t="n">
        <f aca="false">COUNTIFS(Answer_Key!$C$5:$C$261,A18,Answer_Key!$D$5:$D$261,"Seeded anomaly")</f>
        <v>5</v>
      </c>
      <c r="G18" s="9" t="n">
        <f aca="false">COUNTIFS(Answer_Key!$C$5:$C$261,A18,Answer_Key!$D$5:$D$261,"Seeded anomaly",Answer_Key!$F$5:$F$261,"Yes")</f>
        <v>5</v>
      </c>
      <c r="H18" s="20" t="n">
        <f aca="false">IF(F18=0,"n/a",G18/F18)</f>
        <v>1</v>
      </c>
      <c r="I18" s="9" t="n">
        <f aca="false">D18-COUNTIFS(Answer_Key!$C$5:$C$261,A18,Answer_Key!$F$5:$F$261,"Yes")</f>
        <v>0</v>
      </c>
    </row>
    <row r="19" customFormat="false" ht="15" hidden="false" customHeight="false" outlineLevel="0" collapsed="false">
      <c r="A19" s="0" t="s">
        <v>3461</v>
      </c>
      <c r="B19" s="0" t="s">
        <v>3497</v>
      </c>
      <c r="C19" s="0" t="n">
        <f aca="false">COUNTA(JE_Entries!$A$5:$A$795)</f>
        <v>791</v>
      </c>
      <c r="D19" s="0" t="n">
        <f aca="false">SUM(JE_Entries!$T$5:$T$795)</f>
        <v>23</v>
      </c>
      <c r="E19" s="19" t="n">
        <f aca="false">D19/C19</f>
        <v>0.0290771175726928</v>
      </c>
      <c r="F19" s="9" t="n">
        <f aca="false">COUNTIFS(Answer_Key!$C$5:$C$261,A19,Answer_Key!$D$5:$D$261,"Seeded anomaly")</f>
        <v>11</v>
      </c>
      <c r="G19" s="9" t="n">
        <f aca="false">COUNTIFS(Answer_Key!$C$5:$C$261,A19,Answer_Key!$D$5:$D$261,"Seeded anomaly",Answer_Key!$F$5:$F$261,"Yes")</f>
        <v>11</v>
      </c>
      <c r="H19" s="20" t="n">
        <f aca="false">IF(F19=0,"n/a",G19/F19)</f>
        <v>1</v>
      </c>
      <c r="I19" s="9" t="n">
        <f aca="false">D19-COUNTIFS(Answer_Key!$C$5:$C$261,A19,Answer_Key!$F$5:$F$261,"Yes")</f>
        <v>0</v>
      </c>
    </row>
    <row r="20" customFormat="false" ht="15" hidden="false" customHeight="false" outlineLevel="0" collapsed="false">
      <c r="A20" s="0" t="s">
        <v>3462</v>
      </c>
      <c r="B20" s="0" t="s">
        <v>3498</v>
      </c>
      <c r="C20" s="0" t="n">
        <f aca="false">COUNTA(JE_Entries!$A$5:$A$795)</f>
        <v>791</v>
      </c>
      <c r="D20" s="0" t="n">
        <f aca="false">SUM(JE_Entries!$U$5:$U$795)</f>
        <v>19</v>
      </c>
      <c r="E20" s="19" t="n">
        <f aca="false">D20/C20</f>
        <v>0.0240202275600506</v>
      </c>
      <c r="F20" s="9" t="n">
        <f aca="false">COUNTIFS(Answer_Key!$C$5:$C$261,A20,Answer_Key!$D$5:$D$261,"Seeded anomaly")</f>
        <v>9</v>
      </c>
      <c r="G20" s="9" t="n">
        <f aca="false">COUNTIFS(Answer_Key!$C$5:$C$261,A20,Answer_Key!$D$5:$D$261,"Seeded anomaly",Answer_Key!$F$5:$F$261,"Yes")</f>
        <v>9</v>
      </c>
      <c r="H20" s="20" t="n">
        <f aca="false">IF(F20=0,"n/a",G20/F20)</f>
        <v>1</v>
      </c>
      <c r="I20" s="9" t="n">
        <f aca="false">D20-COUNTIFS(Answer_Key!$C$5:$C$261,A20,Answer_Key!$F$5:$F$261,"Yes")</f>
        <v>0</v>
      </c>
    </row>
    <row r="21" customFormat="false" ht="15" hidden="false" customHeight="false" outlineLevel="0" collapsed="false">
      <c r="A21" s="0" t="s">
        <v>3469</v>
      </c>
      <c r="B21" s="0" t="s">
        <v>93</v>
      </c>
      <c r="C21" s="0" t="n">
        <f aca="false">COUNTA(JE_Entries!$A$5:$A$795)</f>
        <v>791</v>
      </c>
      <c r="D21" s="0" t="n">
        <f aca="false">SUM(JE_Entries!$V$5:$V$795)</f>
        <v>6</v>
      </c>
      <c r="E21" s="19" t="n">
        <f aca="false">D21/C21</f>
        <v>0.00758533501896334</v>
      </c>
      <c r="F21" s="9" t="n">
        <f aca="false">COUNTIFS(Answer_Key!$C$5:$C$261,A21,Answer_Key!$D$5:$D$261,"Seeded anomaly")</f>
        <v>5</v>
      </c>
      <c r="G21" s="9" t="n">
        <f aca="false">COUNTIFS(Answer_Key!$C$5:$C$261,A21,Answer_Key!$D$5:$D$261,"Seeded anomaly",Answer_Key!$F$5:$F$261,"Yes")</f>
        <v>5</v>
      </c>
      <c r="H21" s="20" t="n">
        <f aca="false">IF(F21=0,"n/a",G21/F21)</f>
        <v>1</v>
      </c>
      <c r="I21" s="9" t="n">
        <f aca="false">D21-COUNTIFS(Answer_Key!$C$5:$C$261,A21,Answer_Key!$F$5:$F$261,"Yes")</f>
        <v>1</v>
      </c>
    </row>
    <row r="22" customFormat="false" ht="15" hidden="false" customHeight="false" outlineLevel="0" collapsed="false">
      <c r="A22" s="0" t="s">
        <v>3464</v>
      </c>
      <c r="B22" s="0" t="s">
        <v>94</v>
      </c>
      <c r="C22" s="0" t="n">
        <f aca="false">COUNTA(JE_Entries!$A$5:$A$795)</f>
        <v>791</v>
      </c>
      <c r="D22" s="0" t="n">
        <f aca="false">SUM(JE_Entries!$W$5:$W$795)</f>
        <v>4</v>
      </c>
      <c r="E22" s="19" t="n">
        <f aca="false">D22/C22</f>
        <v>0.00505689001264223</v>
      </c>
      <c r="F22" s="9" t="n">
        <f aca="false">COUNTIFS(Answer_Key!$C$5:$C$261,A22,Answer_Key!$D$5:$D$261,"Seeded anomaly")</f>
        <v>4</v>
      </c>
      <c r="G22" s="9" t="n">
        <f aca="false">COUNTIFS(Answer_Key!$C$5:$C$261,A22,Answer_Key!$D$5:$D$261,"Seeded anomaly",Answer_Key!$F$5:$F$261,"Yes")</f>
        <v>4</v>
      </c>
      <c r="H22" s="20" t="n">
        <f aca="false">IF(F22=0,"n/a",G22/F22)</f>
        <v>1</v>
      </c>
      <c r="I22" s="9" t="n">
        <f aca="false">D22-COUNTIFS(Answer_Key!$C$5:$C$261,A22,Answer_Key!$F$5:$F$261,"Yes")</f>
        <v>0</v>
      </c>
    </row>
    <row r="23" customFormat="false" ht="15" hidden="false" customHeight="false" outlineLevel="0" collapsed="false">
      <c r="A23" s="0" t="s">
        <v>3465</v>
      </c>
      <c r="B23" s="0" t="s">
        <v>3499</v>
      </c>
      <c r="C23" s="0" t="n">
        <f aca="false">COUNTA(JE_Entries!$A$5:$A$795)</f>
        <v>791</v>
      </c>
      <c r="D23" s="0" t="n">
        <f aca="false">SUM(JE_Entries!$X$5:$X$795)</f>
        <v>6</v>
      </c>
      <c r="E23" s="19" t="n">
        <f aca="false">D23/C23</f>
        <v>0.00758533501896334</v>
      </c>
      <c r="F23" s="9" t="n">
        <f aca="false">COUNTIFS(Answer_Key!$C$5:$C$261,A23,Answer_Key!$D$5:$D$261,"Seeded anomaly")</f>
        <v>6</v>
      </c>
      <c r="G23" s="9" t="n">
        <f aca="false">COUNTIFS(Answer_Key!$C$5:$C$261,A23,Answer_Key!$D$5:$D$261,"Seeded anomaly",Answer_Key!$F$5:$F$261,"Yes")</f>
        <v>6</v>
      </c>
      <c r="H23" s="20" t="n">
        <f aca="false">IF(F23=0,"n/a",G23/F23)</f>
        <v>1</v>
      </c>
      <c r="I23" s="9" t="n">
        <f aca="false">D23-COUNTIFS(Answer_Key!$C$5:$C$261,A23,Answer_Key!$F$5:$F$261,"Yes")</f>
        <v>0</v>
      </c>
    </row>
    <row r="25" customFormat="false" ht="15" hidden="false" customHeight="false" outlineLevel="0" collapsed="false">
      <c r="A25" s="11" t="s">
        <v>3500</v>
      </c>
    </row>
    <row r="26" customFormat="false" ht="15" hidden="false" customHeight="false" outlineLevel="0" collapsed="false">
      <c r="A26" s="21" t="s">
        <v>299</v>
      </c>
      <c r="B26" s="21" t="s">
        <v>301</v>
      </c>
      <c r="C26" s="21" t="s">
        <v>3501</v>
      </c>
      <c r="D26" s="21" t="s">
        <v>303</v>
      </c>
      <c r="E26" s="21" t="s">
        <v>3502</v>
      </c>
      <c r="F26" s="21" t="s">
        <v>3503</v>
      </c>
    </row>
    <row r="27" customFormat="false" ht="15" hidden="false" customHeight="false" outlineLevel="0" collapsed="false">
      <c r="A27" s="16" t="s">
        <v>524</v>
      </c>
      <c r="B27" s="0" t="str">
        <f aca="false">INDEX(Payments!$C$5:$C$634,MATCH($A27,Payments!$A$5:$A$634,0))</f>
        <v>V031</v>
      </c>
      <c r="C27" s="18" t="n">
        <f aca="false">INDEX(Payments!$B$5:$B$634,MATCH($A27,Payments!$A$5:$A$634,0))</f>
        <v>45720</v>
      </c>
      <c r="D27" s="17" t="n">
        <f aca="false">INDEX(Payments!$E$5:$E$634,MATCH($A27,Payments!$A$5:$A$634,0))</f>
        <v>4776.69</v>
      </c>
      <c r="E27" s="9" t="n">
        <f aca="false">INDEX(Payments!$Q$5:$Q$634,MATCH($A27,Payments!$A$5:$A$634,0))</f>
        <v>7</v>
      </c>
      <c r="F27" s="10"/>
    </row>
    <row r="28" customFormat="false" ht="15" hidden="false" customHeight="false" outlineLevel="0" collapsed="false">
      <c r="A28" s="16" t="s">
        <v>526</v>
      </c>
      <c r="B28" s="0" t="str">
        <f aca="false">INDEX(Payments!$C$5:$C$634,MATCH($A28,Payments!$A$5:$A$634,0))</f>
        <v>V031</v>
      </c>
      <c r="C28" s="18" t="n">
        <f aca="false">INDEX(Payments!$B$5:$B$634,MATCH($A28,Payments!$A$5:$A$634,0))</f>
        <v>45720</v>
      </c>
      <c r="D28" s="17" t="n">
        <f aca="false">INDEX(Payments!$E$5:$E$634,MATCH($A28,Payments!$A$5:$A$634,0))</f>
        <v>4781.77</v>
      </c>
      <c r="E28" s="9" t="n">
        <f aca="false">INDEX(Payments!$Q$5:$Q$634,MATCH($A28,Payments!$A$5:$A$634,0))</f>
        <v>7</v>
      </c>
      <c r="F28" s="10"/>
    </row>
    <row r="29" customFormat="false" ht="15" hidden="false" customHeight="false" outlineLevel="0" collapsed="false">
      <c r="A29" s="16" t="s">
        <v>703</v>
      </c>
      <c r="B29" s="0" t="str">
        <f aca="false">INDEX(Payments!$C$5:$C$634,MATCH($A29,Payments!$A$5:$A$634,0))</f>
        <v>V031</v>
      </c>
      <c r="C29" s="18" t="n">
        <f aca="false">INDEX(Payments!$B$5:$B$634,MATCH($A29,Payments!$A$5:$A$634,0))</f>
        <v>45771</v>
      </c>
      <c r="D29" s="17" t="n">
        <f aca="false">INDEX(Payments!$E$5:$E$634,MATCH($A29,Payments!$A$5:$A$634,0))</f>
        <v>4754.27</v>
      </c>
      <c r="E29" s="9" t="n">
        <f aca="false">INDEX(Payments!$Q$5:$Q$634,MATCH($A29,Payments!$A$5:$A$634,0))</f>
        <v>7</v>
      </c>
      <c r="F29" s="10"/>
    </row>
    <row r="30" customFormat="false" ht="15" hidden="false" customHeight="false" outlineLevel="0" collapsed="false">
      <c r="A30" s="16" t="s">
        <v>705</v>
      </c>
      <c r="B30" s="0" t="str">
        <f aca="false">INDEX(Payments!$C$5:$C$634,MATCH($A30,Payments!$A$5:$A$634,0))</f>
        <v>V031</v>
      </c>
      <c r="C30" s="18" t="n">
        <f aca="false">INDEX(Payments!$B$5:$B$634,MATCH($A30,Payments!$A$5:$A$634,0))</f>
        <v>45771</v>
      </c>
      <c r="D30" s="17" t="n">
        <f aca="false">INDEX(Payments!$E$5:$E$634,MATCH($A30,Payments!$A$5:$A$634,0))</f>
        <v>4869.87</v>
      </c>
      <c r="E30" s="9" t="n">
        <f aca="false">INDEX(Payments!$Q$5:$Q$634,MATCH($A30,Payments!$A$5:$A$634,0))</f>
        <v>7</v>
      </c>
      <c r="F30" s="10"/>
    </row>
    <row r="31" customFormat="false" ht="15" hidden="false" customHeight="false" outlineLevel="0" collapsed="false">
      <c r="A31" s="16" t="s">
        <v>1018</v>
      </c>
      <c r="B31" s="0" t="str">
        <f aca="false">INDEX(Payments!$C$5:$C$634,MATCH($A31,Payments!$A$5:$A$634,0))</f>
        <v>V031</v>
      </c>
      <c r="C31" s="18" t="n">
        <f aca="false">INDEX(Payments!$B$5:$B$634,MATCH($A31,Payments!$A$5:$A$634,0))</f>
        <v>45873</v>
      </c>
      <c r="D31" s="17" t="n">
        <f aca="false">INDEX(Payments!$E$5:$E$634,MATCH($A31,Payments!$A$5:$A$634,0))</f>
        <v>4874.02</v>
      </c>
      <c r="E31" s="9" t="n">
        <f aca="false">INDEX(Payments!$Q$5:$Q$634,MATCH($A31,Payments!$A$5:$A$634,0))</f>
        <v>7</v>
      </c>
      <c r="F31" s="10"/>
    </row>
    <row r="32" customFormat="false" ht="15" hidden="false" customHeight="false" outlineLevel="0" collapsed="false">
      <c r="A32" s="16" t="s">
        <v>1020</v>
      </c>
      <c r="B32" s="0" t="str">
        <f aca="false">INDEX(Payments!$C$5:$C$634,MATCH($A32,Payments!$A$5:$A$634,0))</f>
        <v>V031</v>
      </c>
      <c r="C32" s="18" t="n">
        <f aca="false">INDEX(Payments!$B$5:$B$634,MATCH($A32,Payments!$A$5:$A$634,0))</f>
        <v>45873</v>
      </c>
      <c r="D32" s="17" t="n">
        <f aca="false">INDEX(Payments!$E$5:$E$634,MATCH($A32,Payments!$A$5:$A$634,0))</f>
        <v>4837.05</v>
      </c>
      <c r="E32" s="9" t="n">
        <f aca="false">INDEX(Payments!$Q$5:$Q$634,MATCH($A32,Payments!$A$5:$A$634,0))</f>
        <v>7</v>
      </c>
      <c r="F32" s="10"/>
    </row>
    <row r="33" customFormat="false" ht="15" hidden="false" customHeight="false" outlineLevel="0" collapsed="false">
      <c r="A33" s="16" t="s">
        <v>1334</v>
      </c>
      <c r="B33" s="0" t="str">
        <f aca="false">INDEX(Payments!$C$5:$C$634,MATCH($A33,Payments!$A$5:$A$634,0))</f>
        <v>V031</v>
      </c>
      <c r="C33" s="18" t="n">
        <f aca="false">INDEX(Payments!$B$5:$B$634,MATCH($A33,Payments!$A$5:$A$634,0))</f>
        <v>45958</v>
      </c>
      <c r="D33" s="17" t="n">
        <f aca="false">INDEX(Payments!$E$5:$E$634,MATCH($A33,Payments!$A$5:$A$634,0))</f>
        <v>4926.23</v>
      </c>
      <c r="E33" s="9" t="n">
        <f aca="false">INDEX(Payments!$Q$5:$Q$634,MATCH($A33,Payments!$A$5:$A$634,0))</f>
        <v>7</v>
      </c>
      <c r="F33" s="10"/>
    </row>
    <row r="34" customFormat="false" ht="15" hidden="false" customHeight="false" outlineLevel="0" collapsed="false">
      <c r="A34" s="16" t="s">
        <v>1336</v>
      </c>
      <c r="B34" s="0" t="str">
        <f aca="false">INDEX(Payments!$C$5:$C$634,MATCH($A34,Payments!$A$5:$A$634,0))</f>
        <v>V031</v>
      </c>
      <c r="C34" s="18" t="n">
        <f aca="false">INDEX(Payments!$B$5:$B$634,MATCH($A34,Payments!$A$5:$A$634,0))</f>
        <v>45958</v>
      </c>
      <c r="D34" s="17" t="n">
        <f aca="false">INDEX(Payments!$E$5:$E$634,MATCH($A34,Payments!$A$5:$A$634,0))</f>
        <v>4949.31</v>
      </c>
      <c r="E34" s="9" t="n">
        <f aca="false">INDEX(Payments!$Q$5:$Q$634,MATCH($A34,Payments!$A$5:$A$634,0))</f>
        <v>7</v>
      </c>
      <c r="F34" s="10"/>
    </row>
    <row r="35" customFormat="false" ht="15" hidden="false" customHeight="false" outlineLevel="0" collapsed="false">
      <c r="A35" s="16" t="s">
        <v>1509</v>
      </c>
      <c r="B35" s="0" t="str">
        <f aca="false">INDEX(Payments!$C$5:$C$634,MATCH($A35,Payments!$A$5:$A$634,0))</f>
        <v>V031</v>
      </c>
      <c r="C35" s="18" t="n">
        <f aca="false">INDEX(Payments!$B$5:$B$634,MATCH($A35,Payments!$A$5:$A$634,0))</f>
        <v>46007</v>
      </c>
      <c r="D35" s="17" t="n">
        <f aca="false">INDEX(Payments!$E$5:$E$634,MATCH($A35,Payments!$A$5:$A$634,0))</f>
        <v>4974.35</v>
      </c>
      <c r="E35" s="9" t="n">
        <f aca="false">INDEX(Payments!$Q$5:$Q$634,MATCH($A35,Payments!$A$5:$A$634,0))</f>
        <v>7</v>
      </c>
      <c r="F35" s="10"/>
    </row>
    <row r="36" customFormat="false" ht="15" hidden="false" customHeight="false" outlineLevel="0" collapsed="false">
      <c r="A36" s="16" t="s">
        <v>1511</v>
      </c>
      <c r="B36" s="0" t="str">
        <f aca="false">INDEX(Payments!$C$5:$C$634,MATCH($A36,Payments!$A$5:$A$634,0))</f>
        <v>V031</v>
      </c>
      <c r="C36" s="18" t="n">
        <f aca="false">INDEX(Payments!$B$5:$B$634,MATCH($A36,Payments!$A$5:$A$634,0))</f>
        <v>46007</v>
      </c>
      <c r="D36" s="17" t="n">
        <f aca="false">INDEX(Payments!$E$5:$E$634,MATCH($A36,Payments!$A$5:$A$634,0))</f>
        <v>4771.66</v>
      </c>
      <c r="E36" s="9" t="n">
        <f aca="false">INDEX(Payments!$Q$5:$Q$634,MATCH($A36,Payments!$A$5:$A$634,0))</f>
        <v>7</v>
      </c>
      <c r="F36" s="10"/>
    </row>
    <row r="37" customFormat="false" ht="15" hidden="false" customHeight="false" outlineLevel="0" collapsed="false">
      <c r="A37" s="16" t="s">
        <v>338</v>
      </c>
      <c r="B37" s="0" t="str">
        <f aca="false">INDEX(Payments!$C$5:$C$634,MATCH($A37,Payments!$A$5:$A$634,0))</f>
        <v>V012</v>
      </c>
      <c r="C37" s="18" t="n">
        <f aca="false">INDEX(Payments!$B$5:$B$634,MATCH($A37,Payments!$A$5:$A$634,0))</f>
        <v>45664</v>
      </c>
      <c r="D37" s="17" t="n">
        <f aca="false">INDEX(Payments!$E$5:$E$634,MATCH($A37,Payments!$A$5:$A$634,0))</f>
        <v>6340.75</v>
      </c>
      <c r="E37" s="9" t="n">
        <f aca="false">INDEX(Payments!$Q$5:$Q$634,MATCH($A37,Payments!$A$5:$A$634,0))</f>
        <v>5</v>
      </c>
      <c r="F37" s="10"/>
    </row>
    <row r="38" customFormat="false" ht="15" hidden="false" customHeight="false" outlineLevel="0" collapsed="false">
      <c r="A38" s="16" t="s">
        <v>446</v>
      </c>
      <c r="B38" s="0" t="str">
        <f aca="false">INDEX(Payments!$C$5:$C$634,MATCH($A38,Payments!$A$5:$A$634,0))</f>
        <v>V001</v>
      </c>
      <c r="C38" s="18" t="n">
        <f aca="false">INDEX(Payments!$B$5:$B$634,MATCH($A38,Payments!$A$5:$A$634,0))</f>
        <v>45694</v>
      </c>
      <c r="D38" s="17" t="n">
        <f aca="false">INDEX(Payments!$E$5:$E$634,MATCH($A38,Payments!$A$5:$A$634,0))</f>
        <v>85000</v>
      </c>
      <c r="E38" s="9" t="n">
        <f aca="false">INDEX(Payments!$Q$5:$Q$634,MATCH($A38,Payments!$A$5:$A$634,0))</f>
        <v>5</v>
      </c>
      <c r="F38" s="10"/>
    </row>
    <row r="39" customFormat="false" ht="15" hidden="false" customHeight="false" outlineLevel="0" collapsed="false">
      <c r="A39" s="16" t="s">
        <v>464</v>
      </c>
      <c r="B39" s="0" t="str">
        <f aca="false">INDEX(Payments!$C$5:$C$634,MATCH($A39,Payments!$A$5:$A$634,0))</f>
        <v>V002</v>
      </c>
      <c r="C39" s="18" t="n">
        <f aca="false">INDEX(Payments!$B$5:$B$634,MATCH($A39,Payments!$A$5:$A$634,0))</f>
        <v>45705</v>
      </c>
      <c r="D39" s="17" t="n">
        <f aca="false">INDEX(Payments!$E$5:$E$634,MATCH($A39,Payments!$A$5:$A$634,0))</f>
        <v>4900</v>
      </c>
      <c r="E39" s="9" t="n">
        <f aca="false">INDEX(Payments!$Q$5:$Q$634,MATCH($A39,Payments!$A$5:$A$634,0))</f>
        <v>5</v>
      </c>
      <c r="F39" s="10"/>
    </row>
    <row r="40" customFormat="false" ht="15" hidden="false" customHeight="false" outlineLevel="0" collapsed="false">
      <c r="A40" s="16" t="s">
        <v>512</v>
      </c>
      <c r="B40" s="0" t="str">
        <f aca="false">INDEX(Payments!$C$5:$C$634,MATCH($A40,Payments!$A$5:$A$634,0))</f>
        <v>V001</v>
      </c>
      <c r="C40" s="18" t="n">
        <f aca="false">INDEX(Payments!$B$5:$B$634,MATCH($A40,Payments!$A$5:$A$634,0))</f>
        <v>45719</v>
      </c>
      <c r="D40" s="17" t="n">
        <f aca="false">INDEX(Payments!$E$5:$E$634,MATCH($A40,Payments!$A$5:$A$634,0))</f>
        <v>85000</v>
      </c>
      <c r="E40" s="9" t="n">
        <f aca="false">INDEX(Payments!$Q$5:$Q$634,MATCH($A40,Payments!$A$5:$A$634,0))</f>
        <v>5</v>
      </c>
      <c r="F40" s="10"/>
    </row>
    <row r="41" customFormat="false" ht="15" hidden="false" customHeight="false" outlineLevel="0" collapsed="false">
      <c r="A41" s="16" t="s">
        <v>522</v>
      </c>
      <c r="B41" s="0" t="str">
        <f aca="false">INDEX(Payments!$C$5:$C$634,MATCH($A41,Payments!$A$5:$A$634,0))</f>
        <v>V031</v>
      </c>
      <c r="C41" s="18" t="n">
        <f aca="false">INDEX(Payments!$B$5:$B$634,MATCH($A41,Payments!$A$5:$A$634,0))</f>
        <v>45720</v>
      </c>
      <c r="D41" s="17" t="n">
        <f aca="false">INDEX(Payments!$E$5:$E$634,MATCH($A41,Payments!$A$5:$A$634,0))</f>
        <v>4743.47</v>
      </c>
      <c r="E41" s="9" t="n">
        <f aca="false">INDEX(Payments!$Q$5:$Q$634,MATCH($A41,Payments!$A$5:$A$634,0))</f>
        <v>5</v>
      </c>
      <c r="F41" s="10"/>
    </row>
    <row r="42" customFormat="false" ht="15" hidden="false" customHeight="false" outlineLevel="0" collapsed="false">
      <c r="A42" s="16" t="s">
        <v>536</v>
      </c>
      <c r="B42" s="0" t="str">
        <f aca="false">INDEX(Payments!$C$5:$C$634,MATCH($A42,Payments!$A$5:$A$634,0))</f>
        <v>V038</v>
      </c>
      <c r="C42" s="18" t="n">
        <f aca="false">INDEX(Payments!$B$5:$B$634,MATCH($A42,Payments!$A$5:$A$634,0))</f>
        <v>45721</v>
      </c>
      <c r="D42" s="17" t="n">
        <f aca="false">INDEX(Payments!$E$5:$E$634,MATCH($A42,Payments!$A$5:$A$634,0))</f>
        <v>20640.17</v>
      </c>
      <c r="E42" s="9" t="n">
        <f aca="false">INDEX(Payments!$Q$5:$Q$634,MATCH($A42,Payments!$A$5:$A$634,0))</f>
        <v>5</v>
      </c>
      <c r="F42" s="10"/>
    </row>
    <row r="43" customFormat="false" ht="15" hidden="false" customHeight="false" outlineLevel="0" collapsed="false">
      <c r="A43" s="16" t="s">
        <v>560</v>
      </c>
      <c r="B43" s="0" t="str">
        <f aca="false">INDEX(Payments!$C$5:$C$634,MATCH($A43,Payments!$A$5:$A$634,0))</f>
        <v>V043</v>
      </c>
      <c r="C43" s="18" t="n">
        <f aca="false">INDEX(Payments!$B$5:$B$634,MATCH($A43,Payments!$A$5:$A$634,0))</f>
        <v>45729</v>
      </c>
      <c r="D43" s="17" t="n">
        <f aca="false">INDEX(Payments!$E$5:$E$634,MATCH($A43,Payments!$A$5:$A$634,0))</f>
        <v>20425.57</v>
      </c>
      <c r="E43" s="9" t="n">
        <f aca="false">INDEX(Payments!$Q$5:$Q$634,MATCH($A43,Payments!$A$5:$A$634,0))</f>
        <v>5</v>
      </c>
      <c r="F43" s="10"/>
    </row>
    <row r="44" customFormat="false" ht="15" hidden="false" customHeight="false" outlineLevel="0" collapsed="false">
      <c r="A44" s="16" t="s">
        <v>561</v>
      </c>
      <c r="B44" s="0" t="str">
        <f aca="false">INDEX(Payments!$C$5:$C$634,MATCH($A44,Payments!$A$5:$A$634,0))</f>
        <v>V038</v>
      </c>
      <c r="C44" s="18" t="n">
        <f aca="false">INDEX(Payments!$B$5:$B$634,MATCH($A44,Payments!$A$5:$A$634,0))</f>
        <v>45730</v>
      </c>
      <c r="D44" s="17" t="n">
        <f aca="false">INDEX(Payments!$E$5:$E$634,MATCH($A44,Payments!$A$5:$A$634,0))</f>
        <v>11260.13</v>
      </c>
      <c r="E44" s="9" t="n">
        <f aca="false">INDEX(Payments!$Q$5:$Q$634,MATCH($A44,Payments!$A$5:$A$634,0))</f>
        <v>5</v>
      </c>
      <c r="F44" s="10"/>
    </row>
    <row r="45" customFormat="false" ht="15" hidden="false" customHeight="false" outlineLevel="0" collapsed="false">
      <c r="A45" s="16" t="s">
        <v>563</v>
      </c>
      <c r="B45" s="0" t="str">
        <f aca="false">INDEX(Payments!$C$5:$C$634,MATCH($A45,Payments!$A$5:$A$634,0))</f>
        <v>V002</v>
      </c>
      <c r="C45" s="18" t="n">
        <f aca="false">INDEX(Payments!$B$5:$B$634,MATCH($A45,Payments!$A$5:$A$634,0))</f>
        <v>45733</v>
      </c>
      <c r="D45" s="17" t="n">
        <f aca="false">INDEX(Payments!$E$5:$E$634,MATCH($A45,Payments!$A$5:$A$634,0))</f>
        <v>4900</v>
      </c>
      <c r="E45" s="9" t="n">
        <f aca="false">INDEX(Payments!$Q$5:$Q$634,MATCH($A45,Payments!$A$5:$A$634,0))</f>
        <v>5</v>
      </c>
      <c r="F45" s="10"/>
    </row>
    <row r="46" customFormat="false" ht="15" hidden="false" customHeight="false" outlineLevel="0" collapsed="false">
      <c r="A46" s="16" t="s">
        <v>591</v>
      </c>
      <c r="B46" s="0" t="str">
        <f aca="false">INDEX(Payments!$C$5:$C$634,MATCH($A46,Payments!$A$5:$A$634,0))</f>
        <v>V001</v>
      </c>
      <c r="C46" s="18" t="n">
        <f aca="false">INDEX(Payments!$B$5:$B$634,MATCH($A46,Payments!$A$5:$A$634,0))</f>
        <v>45748</v>
      </c>
      <c r="D46" s="17" t="n">
        <f aca="false">INDEX(Payments!$E$5:$E$634,MATCH($A46,Payments!$A$5:$A$634,0))</f>
        <v>85000</v>
      </c>
      <c r="E46" s="9" t="n">
        <f aca="false">INDEX(Payments!$Q$5:$Q$634,MATCH($A46,Payments!$A$5:$A$634,0))</f>
        <v>5</v>
      </c>
      <c r="F46" s="10"/>
    </row>
    <row r="47" customFormat="false" ht="15" hidden="false" customHeight="false" outlineLevel="0" collapsed="false">
      <c r="A47" s="16" t="s">
        <v>647</v>
      </c>
      <c r="B47" s="0" t="str">
        <f aca="false">INDEX(Payments!$C$5:$C$634,MATCH($A47,Payments!$A$5:$A$634,0))</f>
        <v>V009</v>
      </c>
      <c r="C47" s="18" t="n">
        <f aca="false">INDEX(Payments!$B$5:$B$634,MATCH($A47,Payments!$A$5:$A$634,0))</f>
        <v>45758</v>
      </c>
      <c r="D47" s="17" t="n">
        <f aca="false">INDEX(Payments!$E$5:$E$634,MATCH($A47,Payments!$A$5:$A$634,0))</f>
        <v>19463.67</v>
      </c>
      <c r="E47" s="9" t="n">
        <f aca="false">INDEX(Payments!$Q$5:$Q$634,MATCH($A47,Payments!$A$5:$A$634,0))</f>
        <v>5</v>
      </c>
      <c r="F47" s="10"/>
    </row>
    <row r="48" customFormat="false" ht="15" hidden="false" customHeight="false" outlineLevel="0" collapsed="false">
      <c r="A48" s="16" t="s">
        <v>671</v>
      </c>
      <c r="B48" s="0" t="str">
        <f aca="false">INDEX(Payments!$C$5:$C$634,MATCH($A48,Payments!$A$5:$A$634,0))</f>
        <v>V002</v>
      </c>
      <c r="C48" s="18" t="n">
        <f aca="false">INDEX(Payments!$B$5:$B$634,MATCH($A48,Payments!$A$5:$A$634,0))</f>
        <v>45764</v>
      </c>
      <c r="D48" s="17" t="n">
        <f aca="false">INDEX(Payments!$E$5:$E$634,MATCH($A48,Payments!$A$5:$A$634,0))</f>
        <v>4900</v>
      </c>
      <c r="E48" s="9" t="n">
        <f aca="false">INDEX(Payments!$Q$5:$Q$634,MATCH($A48,Payments!$A$5:$A$634,0))</f>
        <v>5</v>
      </c>
      <c r="F48" s="10"/>
    </row>
    <row r="49" customFormat="false" ht="15" hidden="false" customHeight="false" outlineLevel="0" collapsed="false">
      <c r="A49" s="16" t="s">
        <v>683</v>
      </c>
      <c r="B49" s="0" t="str">
        <f aca="false">INDEX(Payments!$C$5:$C$634,MATCH($A49,Payments!$A$5:$A$634,0))</f>
        <v>V038</v>
      </c>
      <c r="C49" s="18" t="n">
        <f aca="false">INDEX(Payments!$B$5:$B$634,MATCH($A49,Payments!$A$5:$A$634,0))</f>
        <v>45768</v>
      </c>
      <c r="D49" s="17" t="n">
        <f aca="false">INDEX(Payments!$E$5:$E$634,MATCH($A49,Payments!$A$5:$A$634,0))</f>
        <v>52858.09</v>
      </c>
      <c r="E49" s="9" t="n">
        <f aca="false">INDEX(Payments!$Q$5:$Q$634,MATCH($A49,Payments!$A$5:$A$634,0))</f>
        <v>5</v>
      </c>
      <c r="F49" s="10"/>
    </row>
    <row r="50" customFormat="false" ht="15" hidden="false" customHeight="false" outlineLevel="0" collapsed="false">
      <c r="A50" s="16" t="s">
        <v>739</v>
      </c>
      <c r="B50" s="0" t="str">
        <f aca="false">INDEX(Payments!$C$5:$C$634,MATCH($A50,Payments!$A$5:$A$634,0))</f>
        <v>V001</v>
      </c>
      <c r="C50" s="18" t="n">
        <f aca="false">INDEX(Payments!$B$5:$B$634,MATCH($A50,Payments!$A$5:$A$634,0))</f>
        <v>45782</v>
      </c>
      <c r="D50" s="17" t="n">
        <f aca="false">INDEX(Payments!$E$5:$E$634,MATCH($A50,Payments!$A$5:$A$634,0))</f>
        <v>85000</v>
      </c>
      <c r="E50" s="9" t="n">
        <f aca="false">INDEX(Payments!$Q$5:$Q$634,MATCH($A50,Payments!$A$5:$A$634,0))</f>
        <v>5</v>
      </c>
      <c r="F50" s="10"/>
    </row>
    <row r="51" customFormat="false" ht="15" hidden="false" customHeight="false" outlineLevel="0" collapsed="false">
      <c r="A51" s="16" t="s">
        <v>745</v>
      </c>
      <c r="B51" s="0" t="str">
        <f aca="false">INDEX(Payments!$C$5:$C$634,MATCH($A51,Payments!$A$5:$A$634,0))</f>
        <v>V038</v>
      </c>
      <c r="C51" s="18" t="n">
        <f aca="false">INDEX(Payments!$B$5:$B$634,MATCH($A51,Payments!$A$5:$A$634,0))</f>
        <v>45782</v>
      </c>
      <c r="D51" s="17" t="n">
        <f aca="false">INDEX(Payments!$E$5:$E$634,MATCH($A51,Payments!$A$5:$A$634,0))</f>
        <v>14074.18</v>
      </c>
      <c r="E51" s="9" t="n">
        <f aca="false">INDEX(Payments!$Q$5:$Q$634,MATCH($A51,Payments!$A$5:$A$634,0))</f>
        <v>5</v>
      </c>
      <c r="F51" s="10"/>
    </row>
    <row r="52" customFormat="false" ht="15" hidden="false" customHeight="false" outlineLevel="0" collapsed="false">
      <c r="A52" s="16" t="s">
        <v>779</v>
      </c>
      <c r="B52" s="0" t="str">
        <f aca="false">INDEX(Payments!$C$5:$C$634,MATCH($A52,Payments!$A$5:$A$634,0))</f>
        <v>V002</v>
      </c>
      <c r="C52" s="18" t="n">
        <f aca="false">INDEX(Payments!$B$5:$B$634,MATCH($A52,Payments!$A$5:$A$634,0))</f>
        <v>45793</v>
      </c>
      <c r="D52" s="17" t="n">
        <f aca="false">INDEX(Payments!$E$5:$E$634,MATCH($A52,Payments!$A$5:$A$634,0))</f>
        <v>4900</v>
      </c>
      <c r="E52" s="9" t="n">
        <f aca="false">INDEX(Payments!$Q$5:$Q$634,MATCH($A52,Payments!$A$5:$A$634,0))</f>
        <v>5</v>
      </c>
      <c r="F52" s="10"/>
    </row>
    <row r="53" customFormat="false" ht="15" hidden="false" customHeight="false" outlineLevel="0" collapsed="false">
      <c r="A53" s="16" t="s">
        <v>837</v>
      </c>
      <c r="B53" s="0" t="str">
        <f aca="false">INDEX(Payments!$C$5:$C$634,MATCH($A53,Payments!$A$5:$A$634,0))</f>
        <v>V001</v>
      </c>
      <c r="C53" s="18" t="n">
        <f aca="false">INDEX(Payments!$B$5:$B$634,MATCH($A53,Payments!$A$5:$A$634,0))</f>
        <v>45812</v>
      </c>
      <c r="D53" s="17" t="n">
        <f aca="false">INDEX(Payments!$E$5:$E$634,MATCH($A53,Payments!$A$5:$A$634,0))</f>
        <v>85000</v>
      </c>
      <c r="E53" s="9" t="n">
        <f aca="false">INDEX(Payments!$Q$5:$Q$634,MATCH($A53,Payments!$A$5:$A$634,0))</f>
        <v>5</v>
      </c>
      <c r="F53" s="10"/>
    </row>
    <row r="54" customFormat="false" ht="15" hidden="false" customHeight="false" outlineLevel="0" collapsed="false">
      <c r="A54" s="16" t="s">
        <v>855</v>
      </c>
      <c r="B54" s="0" t="str">
        <f aca="false">INDEX(Payments!$C$5:$C$634,MATCH($A54,Payments!$A$5:$A$634,0))</f>
        <v>V035</v>
      </c>
      <c r="C54" s="18" t="n">
        <f aca="false">INDEX(Payments!$B$5:$B$634,MATCH($A54,Payments!$A$5:$A$634,0))</f>
        <v>45814</v>
      </c>
      <c r="D54" s="17" t="n">
        <f aca="false">INDEX(Payments!$E$5:$E$634,MATCH($A54,Payments!$A$5:$A$634,0))</f>
        <v>12909.65</v>
      </c>
      <c r="E54" s="9" t="n">
        <f aca="false">INDEX(Payments!$Q$5:$Q$634,MATCH($A54,Payments!$A$5:$A$634,0))</f>
        <v>5</v>
      </c>
      <c r="F54" s="10"/>
    </row>
    <row r="55" customFormat="false" ht="15" hidden="false" customHeight="false" outlineLevel="0" collapsed="false">
      <c r="A55" s="16" t="s">
        <v>880</v>
      </c>
      <c r="B55" s="0" t="str">
        <f aca="false">INDEX(Payments!$C$5:$C$634,MATCH($A55,Payments!$A$5:$A$634,0))</f>
        <v>V038</v>
      </c>
      <c r="C55" s="18" t="n">
        <f aca="false">INDEX(Payments!$B$5:$B$634,MATCH($A55,Payments!$A$5:$A$634,0))</f>
        <v>45821</v>
      </c>
      <c r="D55" s="17" t="n">
        <f aca="false">INDEX(Payments!$E$5:$E$634,MATCH($A55,Payments!$A$5:$A$634,0))</f>
        <v>1276.53</v>
      </c>
      <c r="E55" s="9" t="n">
        <f aca="false">INDEX(Payments!$Q$5:$Q$634,MATCH($A55,Payments!$A$5:$A$634,0))</f>
        <v>5</v>
      </c>
      <c r="F55" s="10"/>
    </row>
    <row r="56" customFormat="false" ht="15" hidden="false" customHeight="false" outlineLevel="0" collapsed="false">
      <c r="A56" s="16" t="s">
        <v>884</v>
      </c>
      <c r="B56" s="0" t="str">
        <f aca="false">INDEX(Payments!$C$5:$C$634,MATCH($A56,Payments!$A$5:$A$634,0))</f>
        <v>V038</v>
      </c>
      <c r="C56" s="18" t="n">
        <f aca="false">INDEX(Payments!$B$5:$B$634,MATCH($A56,Payments!$A$5:$A$634,0))</f>
        <v>45824</v>
      </c>
      <c r="D56" s="17" t="n">
        <f aca="false">INDEX(Payments!$E$5:$E$634,MATCH($A56,Payments!$A$5:$A$634,0))</f>
        <v>687.86</v>
      </c>
      <c r="E56" s="9" t="n">
        <f aca="false">INDEX(Payments!$Q$5:$Q$634,MATCH($A56,Payments!$A$5:$A$634,0))</f>
        <v>5</v>
      </c>
      <c r="F56" s="10"/>
    </row>
    <row r="57" customFormat="false" ht="15" hidden="false" customHeight="false" outlineLevel="0" collapsed="false">
      <c r="A57" s="16" t="s">
        <v>930</v>
      </c>
      <c r="B57" s="0" t="str">
        <f aca="false">INDEX(Payments!$C$5:$C$634,MATCH($A57,Payments!$A$5:$A$634,0))</f>
        <v>V001</v>
      </c>
      <c r="C57" s="18" t="n">
        <f aca="false">INDEX(Payments!$B$5:$B$634,MATCH($A57,Payments!$A$5:$A$634,0))</f>
        <v>45841</v>
      </c>
      <c r="D57" s="17" t="n">
        <f aca="false">INDEX(Payments!$E$5:$E$634,MATCH($A57,Payments!$A$5:$A$634,0))</f>
        <v>85000</v>
      </c>
      <c r="E57" s="9" t="n">
        <f aca="false">INDEX(Payments!$Q$5:$Q$634,MATCH($A57,Payments!$A$5:$A$634,0))</f>
        <v>5</v>
      </c>
      <c r="F57" s="10"/>
    </row>
    <row r="58" customFormat="false" ht="15" hidden="false" customHeight="false" outlineLevel="0" collapsed="false">
      <c r="A58" s="16" t="s">
        <v>1004</v>
      </c>
      <c r="B58" s="0" t="str">
        <f aca="false">INDEX(Payments!$C$5:$C$634,MATCH($A58,Payments!$A$5:$A$634,0))</f>
        <v>V038</v>
      </c>
      <c r="C58" s="18" t="n">
        <f aca="false">INDEX(Payments!$B$5:$B$634,MATCH($A58,Payments!$A$5:$A$634,0))</f>
        <v>45869</v>
      </c>
      <c r="D58" s="17" t="n">
        <f aca="false">INDEX(Payments!$E$5:$E$634,MATCH($A58,Payments!$A$5:$A$634,0))</f>
        <v>13234.65</v>
      </c>
      <c r="E58" s="9" t="n">
        <f aca="false">INDEX(Payments!$Q$5:$Q$634,MATCH($A58,Payments!$A$5:$A$634,0))</f>
        <v>5</v>
      </c>
      <c r="F58" s="10"/>
    </row>
    <row r="59" customFormat="false" ht="15" hidden="false" customHeight="false" outlineLevel="0" collapsed="false">
      <c r="A59" s="16" t="s">
        <v>1068</v>
      </c>
      <c r="B59" s="0" t="str">
        <f aca="false">INDEX(Payments!$C$5:$C$634,MATCH($A59,Payments!$A$5:$A$634,0))</f>
        <v>V002</v>
      </c>
      <c r="C59" s="18" t="n">
        <f aca="false">INDEX(Payments!$B$5:$B$634,MATCH($A59,Payments!$A$5:$A$634,0))</f>
        <v>45887</v>
      </c>
      <c r="D59" s="17" t="n">
        <f aca="false">INDEX(Payments!$E$5:$E$634,MATCH($A59,Payments!$A$5:$A$634,0))</f>
        <v>4900</v>
      </c>
      <c r="E59" s="9" t="n">
        <f aca="false">INDEX(Payments!$Q$5:$Q$634,MATCH($A59,Payments!$A$5:$A$634,0))</f>
        <v>5</v>
      </c>
      <c r="F59" s="10"/>
    </row>
    <row r="60" customFormat="false" ht="15" hidden="false" customHeight="false" outlineLevel="0" collapsed="false">
      <c r="A60" s="16" t="s">
        <v>1180</v>
      </c>
      <c r="B60" s="0" t="str">
        <f aca="false">INDEX(Payments!$C$5:$C$634,MATCH($A60,Payments!$A$5:$A$634,0))</f>
        <v>V002</v>
      </c>
      <c r="C60" s="18" t="n">
        <f aca="false">INDEX(Payments!$B$5:$B$634,MATCH($A60,Payments!$A$5:$A$634,0))</f>
        <v>45915</v>
      </c>
      <c r="D60" s="17" t="n">
        <f aca="false">INDEX(Payments!$E$5:$E$634,MATCH($A60,Payments!$A$5:$A$634,0))</f>
        <v>4900</v>
      </c>
      <c r="E60" s="9" t="n">
        <f aca="false">INDEX(Payments!$Q$5:$Q$634,MATCH($A60,Payments!$A$5:$A$634,0))</f>
        <v>5</v>
      </c>
      <c r="F60" s="10"/>
    </row>
    <row r="61" customFormat="false" ht="15" hidden="false" customHeight="false" outlineLevel="0" collapsed="false">
      <c r="A61" s="16" t="s">
        <v>1206</v>
      </c>
      <c r="B61" s="0" t="str">
        <f aca="false">INDEX(Payments!$C$5:$C$634,MATCH($A61,Payments!$A$5:$A$634,0))</f>
        <v>V038</v>
      </c>
      <c r="C61" s="18" t="n">
        <f aca="false">INDEX(Payments!$B$5:$B$634,MATCH($A61,Payments!$A$5:$A$634,0))</f>
        <v>45923</v>
      </c>
      <c r="D61" s="17" t="n">
        <f aca="false">INDEX(Payments!$E$5:$E$634,MATCH($A61,Payments!$A$5:$A$634,0))</f>
        <v>341.51</v>
      </c>
      <c r="E61" s="9" t="n">
        <f aca="false">INDEX(Payments!$Q$5:$Q$634,MATCH($A61,Payments!$A$5:$A$634,0))</f>
        <v>5</v>
      </c>
      <c r="F61" s="10"/>
    </row>
    <row r="62" customFormat="false" ht="15" hidden="false" customHeight="false" outlineLevel="0" collapsed="false">
      <c r="A62" s="16" t="s">
        <v>1220</v>
      </c>
      <c r="B62" s="0" t="str">
        <f aca="false">INDEX(Payments!$C$5:$C$634,MATCH($A62,Payments!$A$5:$A$634,0))</f>
        <v>V022</v>
      </c>
      <c r="C62" s="18" t="n">
        <f aca="false">INDEX(Payments!$B$5:$B$634,MATCH($A62,Payments!$A$5:$A$634,0))</f>
        <v>45926</v>
      </c>
      <c r="D62" s="17" t="n">
        <f aca="false">INDEX(Payments!$E$5:$E$634,MATCH($A62,Payments!$A$5:$A$634,0))</f>
        <v>1188.54</v>
      </c>
      <c r="E62" s="9" t="n">
        <f aca="false">INDEX(Payments!$Q$5:$Q$634,MATCH($A62,Payments!$A$5:$A$634,0))</f>
        <v>5</v>
      </c>
      <c r="F62" s="10"/>
    </row>
    <row r="63" customFormat="false" ht="15" hidden="false" customHeight="false" outlineLevel="0" collapsed="false">
      <c r="A63" s="16" t="s">
        <v>1281</v>
      </c>
      <c r="B63" s="0" t="str">
        <f aca="false">INDEX(Payments!$C$5:$C$634,MATCH($A63,Payments!$A$5:$A$634,0))</f>
        <v>V002</v>
      </c>
      <c r="C63" s="18" t="n">
        <f aca="false">INDEX(Payments!$B$5:$B$634,MATCH($A63,Payments!$A$5:$A$634,0))</f>
        <v>45945</v>
      </c>
      <c r="D63" s="17" t="n">
        <f aca="false">INDEX(Payments!$E$5:$E$634,MATCH($A63,Payments!$A$5:$A$634,0))</f>
        <v>4900</v>
      </c>
      <c r="E63" s="9" t="n">
        <f aca="false">INDEX(Payments!$Q$5:$Q$634,MATCH($A63,Payments!$A$5:$A$634,0))</f>
        <v>5</v>
      </c>
      <c r="F63" s="10"/>
    </row>
    <row r="64" customFormat="false" ht="15" hidden="false" customHeight="false" outlineLevel="0" collapsed="false">
      <c r="A64" s="16" t="s">
        <v>1325</v>
      </c>
      <c r="B64" s="0" t="str">
        <f aca="false">INDEX(Payments!$C$5:$C$634,MATCH($A64,Payments!$A$5:$A$634,0))</f>
        <v>V024</v>
      </c>
      <c r="C64" s="18" t="n">
        <f aca="false">INDEX(Payments!$B$5:$B$634,MATCH($A64,Payments!$A$5:$A$634,0))</f>
        <v>45957</v>
      </c>
      <c r="D64" s="17" t="n">
        <f aca="false">INDEX(Payments!$E$5:$E$634,MATCH($A64,Payments!$A$5:$A$634,0))</f>
        <v>298.34</v>
      </c>
      <c r="E64" s="9" t="n">
        <f aca="false">INDEX(Payments!$Q$5:$Q$634,MATCH($A64,Payments!$A$5:$A$634,0))</f>
        <v>5</v>
      </c>
      <c r="F64" s="10"/>
    </row>
    <row r="65" customFormat="false" ht="15" hidden="false" customHeight="false" outlineLevel="0" collapsed="false">
      <c r="A65" s="16" t="s">
        <v>1328</v>
      </c>
      <c r="B65" s="0" t="str">
        <f aca="false">INDEX(Payments!$C$5:$C$634,MATCH($A65,Payments!$A$5:$A$634,0))</f>
        <v>V039</v>
      </c>
      <c r="C65" s="18" t="n">
        <f aca="false">INDEX(Payments!$B$5:$B$634,MATCH($A65,Payments!$A$5:$A$634,0))</f>
        <v>45957</v>
      </c>
      <c r="D65" s="17" t="n">
        <f aca="false">INDEX(Payments!$E$5:$E$634,MATCH($A65,Payments!$A$5:$A$634,0))</f>
        <v>285.01</v>
      </c>
      <c r="E65" s="9" t="n">
        <f aca="false">INDEX(Payments!$Q$5:$Q$634,MATCH($A65,Payments!$A$5:$A$634,0))</f>
        <v>5</v>
      </c>
      <c r="F65" s="10"/>
    </row>
    <row r="66" customFormat="false" ht="15" hidden="false" customHeight="false" outlineLevel="0" collapsed="false">
      <c r="A66" s="16" t="s">
        <v>1364</v>
      </c>
      <c r="B66" s="0" t="str">
        <f aca="false">INDEX(Payments!$C$5:$C$634,MATCH($A66,Payments!$A$5:$A$634,0))</f>
        <v>V001</v>
      </c>
      <c r="C66" s="18" t="n">
        <f aca="false">INDEX(Payments!$B$5:$B$634,MATCH($A66,Payments!$A$5:$A$634,0))</f>
        <v>45967</v>
      </c>
      <c r="D66" s="17" t="n">
        <f aca="false">INDEX(Payments!$E$5:$E$634,MATCH($A66,Payments!$A$5:$A$634,0))</f>
        <v>85000</v>
      </c>
      <c r="E66" s="9" t="n">
        <f aca="false">INDEX(Payments!$Q$5:$Q$634,MATCH($A66,Payments!$A$5:$A$634,0))</f>
        <v>5</v>
      </c>
      <c r="F66" s="10"/>
    </row>
    <row r="67" customFormat="false" ht="15" hidden="false" customHeight="false" outlineLevel="0" collapsed="false">
      <c r="A67" s="16" t="s">
        <v>1394</v>
      </c>
      <c r="B67" s="0" t="str">
        <f aca="false">INDEX(Payments!$C$5:$C$634,MATCH($A67,Payments!$A$5:$A$634,0))</f>
        <v>V013</v>
      </c>
      <c r="C67" s="18" t="n">
        <f aca="false">INDEX(Payments!$B$5:$B$634,MATCH($A67,Payments!$A$5:$A$634,0))</f>
        <v>45975</v>
      </c>
      <c r="D67" s="17" t="n">
        <f aca="false">INDEX(Payments!$E$5:$E$634,MATCH($A67,Payments!$A$5:$A$634,0))</f>
        <v>785.76</v>
      </c>
      <c r="E67" s="9" t="n">
        <f aca="false">INDEX(Payments!$Q$5:$Q$634,MATCH($A67,Payments!$A$5:$A$634,0))</f>
        <v>5</v>
      </c>
      <c r="F67" s="10"/>
    </row>
    <row r="68" customFormat="false" ht="15" hidden="false" customHeight="false" outlineLevel="0" collapsed="false">
      <c r="A68" s="16" t="s">
        <v>1398</v>
      </c>
      <c r="B68" s="0" t="str">
        <f aca="false">INDEX(Payments!$C$5:$C$634,MATCH($A68,Payments!$A$5:$A$634,0))</f>
        <v>V038</v>
      </c>
      <c r="C68" s="18" t="n">
        <f aca="false">INDEX(Payments!$B$5:$B$634,MATCH($A68,Payments!$A$5:$A$634,0))</f>
        <v>45975</v>
      </c>
      <c r="D68" s="17" t="n">
        <f aca="false">INDEX(Payments!$E$5:$E$634,MATCH($A68,Payments!$A$5:$A$634,0))</f>
        <v>137.22</v>
      </c>
      <c r="E68" s="9" t="n">
        <f aca="false">INDEX(Payments!$Q$5:$Q$634,MATCH($A68,Payments!$A$5:$A$634,0))</f>
        <v>5</v>
      </c>
      <c r="F68" s="10"/>
    </row>
    <row r="69" customFormat="false" ht="15" hidden="false" customHeight="false" outlineLevel="0" collapsed="false">
      <c r="A69" s="16" t="s">
        <v>1400</v>
      </c>
      <c r="B69" s="0" t="str">
        <f aca="false">INDEX(Payments!$C$5:$C$634,MATCH($A69,Payments!$A$5:$A$634,0))</f>
        <v>V002</v>
      </c>
      <c r="C69" s="18" t="n">
        <f aca="false">INDEX(Payments!$B$5:$B$634,MATCH($A69,Payments!$A$5:$A$634,0))</f>
        <v>45978</v>
      </c>
      <c r="D69" s="17" t="n">
        <f aca="false">INDEX(Payments!$E$5:$E$634,MATCH($A69,Payments!$A$5:$A$634,0))</f>
        <v>4900</v>
      </c>
      <c r="E69" s="9" t="n">
        <f aca="false">INDEX(Payments!$Q$5:$Q$634,MATCH($A69,Payments!$A$5:$A$634,0))</f>
        <v>5</v>
      </c>
      <c r="F69" s="10"/>
    </row>
    <row r="70" customFormat="false" ht="15" hidden="false" customHeight="false" outlineLevel="0" collapsed="false">
      <c r="A70" s="16" t="s">
        <v>1460</v>
      </c>
      <c r="B70" s="0" t="str">
        <f aca="false">INDEX(Payments!$C$5:$C$634,MATCH($A70,Payments!$A$5:$A$634,0))</f>
        <v>V001</v>
      </c>
      <c r="C70" s="18" t="n">
        <f aca="false">INDEX(Payments!$B$5:$B$634,MATCH($A70,Payments!$A$5:$A$634,0))</f>
        <v>45995</v>
      </c>
      <c r="D70" s="17" t="n">
        <f aca="false">INDEX(Payments!$E$5:$E$634,MATCH($A70,Payments!$A$5:$A$634,0))</f>
        <v>85000</v>
      </c>
      <c r="E70" s="9" t="n">
        <f aca="false">INDEX(Payments!$Q$5:$Q$634,MATCH($A70,Payments!$A$5:$A$634,0))</f>
        <v>5</v>
      </c>
      <c r="F70" s="10"/>
    </row>
    <row r="71" customFormat="false" ht="15" hidden="false" customHeight="false" outlineLevel="0" collapsed="false">
      <c r="A71" s="16" t="s">
        <v>1494</v>
      </c>
      <c r="B71" s="0" t="str">
        <f aca="false">INDEX(Payments!$C$5:$C$634,MATCH($A71,Payments!$A$5:$A$634,0))</f>
        <v>V033</v>
      </c>
      <c r="C71" s="18" t="n">
        <f aca="false">INDEX(Payments!$B$5:$B$634,MATCH($A71,Payments!$A$5:$A$634,0))</f>
        <v>46002</v>
      </c>
      <c r="D71" s="17" t="n">
        <f aca="false">INDEX(Payments!$E$5:$E$634,MATCH($A71,Payments!$A$5:$A$634,0))</f>
        <v>14326.69</v>
      </c>
      <c r="E71" s="9" t="n">
        <f aca="false">INDEX(Payments!$Q$5:$Q$634,MATCH($A71,Payments!$A$5:$A$634,0))</f>
        <v>5</v>
      </c>
      <c r="F71" s="10"/>
    </row>
    <row r="72" customFormat="false" ht="15" hidden="false" customHeight="false" outlineLevel="0" collapsed="false">
      <c r="A72" s="16" t="s">
        <v>1503</v>
      </c>
      <c r="B72" s="0" t="str">
        <f aca="false">INDEX(Payments!$C$5:$C$634,MATCH($A72,Payments!$A$5:$A$634,0))</f>
        <v>V029</v>
      </c>
      <c r="C72" s="18" t="n">
        <f aca="false">INDEX(Payments!$B$5:$B$634,MATCH($A72,Payments!$A$5:$A$634,0))</f>
        <v>46006</v>
      </c>
      <c r="D72" s="17" t="n">
        <f aca="false">INDEX(Payments!$E$5:$E$634,MATCH($A72,Payments!$A$5:$A$634,0))</f>
        <v>537.84</v>
      </c>
      <c r="E72" s="9" t="n">
        <f aca="false">INDEX(Payments!$Q$5:$Q$634,MATCH($A72,Payments!$A$5:$A$634,0))</f>
        <v>5</v>
      </c>
      <c r="F72" s="10"/>
    </row>
    <row r="73" customFormat="false" ht="15" hidden="false" customHeight="false" outlineLevel="0" collapsed="false">
      <c r="A73" s="16" t="s">
        <v>1505</v>
      </c>
      <c r="B73" s="0" t="str">
        <f aca="false">INDEX(Payments!$C$5:$C$634,MATCH($A73,Payments!$A$5:$A$634,0))</f>
        <v>V038</v>
      </c>
      <c r="C73" s="18" t="n">
        <f aca="false">INDEX(Payments!$B$5:$B$634,MATCH($A73,Payments!$A$5:$A$634,0))</f>
        <v>46006</v>
      </c>
      <c r="D73" s="17" t="n">
        <f aca="false">INDEX(Payments!$E$5:$E$634,MATCH($A73,Payments!$A$5:$A$634,0))</f>
        <v>3313.95</v>
      </c>
      <c r="E73" s="9" t="n">
        <f aca="false">INDEX(Payments!$Q$5:$Q$634,MATCH($A73,Payments!$A$5:$A$634,0))</f>
        <v>5</v>
      </c>
      <c r="F73" s="10"/>
    </row>
    <row r="74" customFormat="false" ht="15" hidden="false" customHeight="false" outlineLevel="0" collapsed="false">
      <c r="A74" s="16" t="s">
        <v>1507</v>
      </c>
      <c r="B74" s="0" t="str">
        <f aca="false">INDEX(Payments!$C$5:$C$634,MATCH($A74,Payments!$A$5:$A$634,0))</f>
        <v>V031</v>
      </c>
      <c r="C74" s="18" t="n">
        <f aca="false">INDEX(Payments!$B$5:$B$634,MATCH($A74,Payments!$A$5:$A$634,0))</f>
        <v>46007</v>
      </c>
      <c r="D74" s="17" t="n">
        <f aca="false">INDEX(Payments!$E$5:$E$634,MATCH($A74,Payments!$A$5:$A$634,0))</f>
        <v>4729.96</v>
      </c>
      <c r="E74" s="9" t="n">
        <f aca="false">INDEX(Payments!$Q$5:$Q$634,MATCH($A74,Payments!$A$5:$A$634,0))</f>
        <v>5</v>
      </c>
      <c r="F74" s="10"/>
    </row>
    <row r="75" customFormat="false" ht="15" hidden="false" customHeight="false" outlineLevel="0" collapsed="false">
      <c r="A75" s="16" t="s">
        <v>1513</v>
      </c>
      <c r="B75" s="0" t="str">
        <f aca="false">INDEX(Payments!$C$5:$C$634,MATCH($A75,Payments!$A$5:$A$634,0))</f>
        <v>V002</v>
      </c>
      <c r="C75" s="18" t="n">
        <f aca="false">INDEX(Payments!$B$5:$B$634,MATCH($A75,Payments!$A$5:$A$634,0))</f>
        <v>46008</v>
      </c>
      <c r="D75" s="17" t="n">
        <f aca="false">INDEX(Payments!$E$5:$E$634,MATCH($A75,Payments!$A$5:$A$634,0))</f>
        <v>4900</v>
      </c>
      <c r="E75" s="9" t="n">
        <f aca="false">INDEX(Payments!$Q$5:$Q$634,MATCH($A75,Payments!$A$5:$A$634,0))</f>
        <v>5</v>
      </c>
      <c r="F75" s="10"/>
    </row>
    <row r="78" customFormat="false" ht="15" hidden="false" customHeight="false" outlineLevel="0" collapsed="false">
      <c r="A78" s="11" t="s">
        <v>3504</v>
      </c>
    </row>
    <row r="79" customFormat="false" ht="15" hidden="false" customHeight="false" outlineLevel="0" collapsed="false">
      <c r="A79" s="21" t="s">
        <v>1627</v>
      </c>
      <c r="B79" s="21" t="s">
        <v>1632</v>
      </c>
      <c r="C79" s="21" t="s">
        <v>1628</v>
      </c>
      <c r="D79" s="21" t="s">
        <v>3505</v>
      </c>
      <c r="E79" s="21" t="s">
        <v>3502</v>
      </c>
      <c r="F79" s="21" t="s">
        <v>3503</v>
      </c>
    </row>
    <row r="80" customFormat="false" ht="15" hidden="false" customHeight="false" outlineLevel="0" collapsed="false">
      <c r="A80" s="16" t="n">
        <v>1796</v>
      </c>
      <c r="B80" s="0" t="str">
        <f aca="false">INDEX(JE_Entries!$H$5:$H$795,MATCH($A80,JE_Entries!$A$5:$A$795,0))</f>
        <v>FIN03</v>
      </c>
      <c r="C80" s="18" t="n">
        <f aca="false">INDEX(JE_Entries!$F$5:$F$795,MATCH($A80,JE_Entries!$A$5:$A$795,0))</f>
        <v>46021</v>
      </c>
      <c r="D80" s="17" t="n">
        <f aca="false">INDEX(JE_Entries!$C$5:$C$795,MATCH($A80,JE_Entries!$A$5:$A$795,0))</f>
        <v>320000</v>
      </c>
      <c r="E80" s="9" t="n">
        <f aca="false">INDEX(JE_Entries!$Y$5:$Y$795,MATCH($A80,JE_Entries!$A$5:$A$795,0))</f>
        <v>8</v>
      </c>
      <c r="F80" s="10"/>
    </row>
    <row r="81" customFormat="false" ht="15" hidden="false" customHeight="false" outlineLevel="0" collapsed="false">
      <c r="A81" s="16" t="n">
        <v>1802</v>
      </c>
      <c r="B81" s="0" t="str">
        <f aca="false">INDEX(JE_Entries!$H$5:$H$795,MATCH($A81,JE_Entries!$A$5:$A$795,0))</f>
        <v>FIN03</v>
      </c>
      <c r="C81" s="18" t="n">
        <f aca="false">INDEX(JE_Entries!$F$5:$F$795,MATCH($A81,JE_Entries!$A$5:$A$795,0))</f>
        <v>46022</v>
      </c>
      <c r="D81" s="17" t="n">
        <f aca="false">INDEX(JE_Entries!$C$5:$C$795,MATCH($A81,JE_Entries!$A$5:$A$795,0))</f>
        <v>410000</v>
      </c>
      <c r="E81" s="9" t="n">
        <f aca="false">INDEX(JE_Entries!$Y$5:$Y$795,MATCH($A81,JE_Entries!$A$5:$A$795,0))</f>
        <v>8</v>
      </c>
      <c r="F81" s="10"/>
    </row>
    <row r="82" customFormat="false" ht="15" hidden="false" customHeight="false" outlineLevel="0" collapsed="false">
      <c r="A82" s="16" t="n">
        <v>1791</v>
      </c>
      <c r="B82" s="0" t="str">
        <f aca="false">INDEX(JE_Entries!$H$5:$H$795,MATCH($A82,JE_Entries!$A$5:$A$795,0))</f>
        <v>FIN03</v>
      </c>
      <c r="C82" s="18" t="n">
        <f aca="false">INDEX(JE_Entries!$F$5:$F$795,MATCH($A82,JE_Entries!$A$5:$A$795,0))</f>
        <v>46020</v>
      </c>
      <c r="D82" s="17" t="n">
        <f aca="false">INDEX(JE_Entries!$C$5:$C$795,MATCH($A82,JE_Entries!$A$5:$A$795,0))</f>
        <v>250000</v>
      </c>
      <c r="E82" s="9" t="n">
        <f aca="false">INDEX(JE_Entries!$Y$5:$Y$795,MATCH($A82,JE_Entries!$A$5:$A$795,0))</f>
        <v>6</v>
      </c>
      <c r="F82" s="10"/>
    </row>
    <row r="83" customFormat="false" ht="15" hidden="false" customHeight="false" outlineLevel="0" collapsed="false">
      <c r="A83" s="16" t="n">
        <v>1793</v>
      </c>
      <c r="B83" s="0" t="str">
        <f aca="false">INDEX(JE_Entries!$H$5:$H$795,MATCH($A83,JE_Entries!$A$5:$A$795,0))</f>
        <v>FIN01</v>
      </c>
      <c r="C83" s="18" t="n">
        <f aca="false">INDEX(JE_Entries!$F$5:$F$795,MATCH($A83,JE_Entries!$A$5:$A$795,0))</f>
        <v>46021</v>
      </c>
      <c r="D83" s="17" t="n">
        <f aca="false">INDEX(JE_Entries!$C$5:$C$795,MATCH($A83,JE_Entries!$A$5:$A$795,0))</f>
        <v>17623.64</v>
      </c>
      <c r="E83" s="9" t="n">
        <f aca="false">INDEX(JE_Entries!$Y$5:$Y$795,MATCH($A83,JE_Entries!$A$5:$A$795,0))</f>
        <v>6</v>
      </c>
      <c r="F83" s="10"/>
    </row>
    <row r="84" customFormat="false" ht="15" hidden="false" customHeight="false" outlineLevel="0" collapsed="false">
      <c r="A84" s="16" t="n">
        <v>1795</v>
      </c>
      <c r="B84" s="0" t="str">
        <f aca="false">INDEX(JE_Entries!$H$5:$H$795,MATCH($A84,JE_Entries!$A$5:$A$795,0))</f>
        <v>FIN03</v>
      </c>
      <c r="C84" s="18" t="n">
        <f aca="false">INDEX(JE_Entries!$F$5:$F$795,MATCH($A84,JE_Entries!$A$5:$A$795,0))</f>
        <v>46021</v>
      </c>
      <c r="D84" s="17" t="n">
        <f aca="false">INDEX(JE_Entries!$C$5:$C$795,MATCH($A84,JE_Entries!$A$5:$A$795,0))</f>
        <v>180000</v>
      </c>
      <c r="E84" s="9" t="n">
        <f aca="false">INDEX(JE_Entries!$Y$5:$Y$795,MATCH($A84,JE_Entries!$A$5:$A$795,0))</f>
        <v>6</v>
      </c>
      <c r="F84" s="10"/>
    </row>
    <row r="85" customFormat="false" ht="15" hidden="false" customHeight="false" outlineLevel="0" collapsed="false">
      <c r="A85" s="16" t="n">
        <v>1800</v>
      </c>
      <c r="B85" s="0" t="str">
        <f aca="false">INDEX(JE_Entries!$H$5:$H$795,MATCH($A85,JE_Entries!$A$5:$A$795,0))</f>
        <v>FIN03</v>
      </c>
      <c r="C85" s="18" t="n">
        <f aca="false">INDEX(JE_Entries!$F$5:$F$795,MATCH($A85,JE_Entries!$A$5:$A$795,0))</f>
        <v>46022</v>
      </c>
      <c r="D85" s="17" t="n">
        <f aca="false">INDEX(JE_Entries!$C$5:$C$795,MATCH($A85,JE_Entries!$A$5:$A$795,0))</f>
        <v>150000</v>
      </c>
      <c r="E85" s="9" t="n">
        <f aca="false">INDEX(JE_Entries!$Y$5:$Y$795,MATCH($A85,JE_Entries!$A$5:$A$795,0))</f>
        <v>6</v>
      </c>
      <c r="F85" s="10"/>
    </row>
    <row r="86" customFormat="false" ht="15" hidden="false" customHeight="false" outlineLevel="0" collapsed="false">
      <c r="A86" s="16" t="n">
        <v>1124</v>
      </c>
      <c r="B86" s="0" t="str">
        <f aca="false">INDEX(JE_Entries!$H$5:$H$795,MATCH($A86,JE_Entries!$A$5:$A$795,0))</f>
        <v>FIN05</v>
      </c>
      <c r="C86" s="18" t="n">
        <f aca="false">INDEX(JE_Entries!$F$5:$F$795,MATCH($A86,JE_Entries!$A$5:$A$795,0))</f>
        <v>45707</v>
      </c>
      <c r="D86" s="17" t="n">
        <f aca="false">INDEX(JE_Entries!$C$5:$C$795,MATCH($A86,JE_Entries!$A$5:$A$795,0))</f>
        <v>765.54</v>
      </c>
      <c r="E86" s="9" t="n">
        <f aca="false">INDEX(JE_Entries!$Y$5:$Y$795,MATCH($A86,JE_Entries!$A$5:$A$795,0))</f>
        <v>5</v>
      </c>
      <c r="F86" s="10"/>
    </row>
    <row r="87" customFormat="false" ht="15" hidden="false" customHeight="false" outlineLevel="0" collapsed="false">
      <c r="A87" s="16" t="n">
        <v>1464</v>
      </c>
      <c r="B87" s="0" t="str">
        <f aca="false">INDEX(JE_Entries!$H$5:$H$795,MATCH($A87,JE_Entries!$A$5:$A$795,0))</f>
        <v>FIN05</v>
      </c>
      <c r="C87" s="18" t="n">
        <f aca="false">INDEX(JE_Entries!$F$5:$F$795,MATCH($A87,JE_Entries!$A$5:$A$795,0))</f>
        <v>45859</v>
      </c>
      <c r="D87" s="17" t="n">
        <f aca="false">INDEX(JE_Entries!$C$5:$C$795,MATCH($A87,JE_Entries!$A$5:$A$795,0))</f>
        <v>33161.32</v>
      </c>
      <c r="E87" s="9" t="n">
        <f aca="false">INDEX(JE_Entries!$Y$5:$Y$795,MATCH($A87,JE_Entries!$A$5:$A$795,0))</f>
        <v>5</v>
      </c>
      <c r="F87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3" min="2" style="0" width="16"/>
    <col collapsed="false" customWidth="true" hidden="false" outlineLevel="0" max="4" min="4" style="0" width="10"/>
  </cols>
  <sheetData>
    <row r="1" customFormat="false" ht="17.35" hidden="false" customHeight="false" outlineLevel="0" collapsed="false">
      <c r="A1" s="5" t="s">
        <v>3506</v>
      </c>
    </row>
    <row r="2" customFormat="false" ht="15" hidden="false" customHeight="false" outlineLevel="0" collapsed="false">
      <c r="A2" s="6" t="s">
        <v>1</v>
      </c>
    </row>
    <row r="3" customFormat="false" ht="15" hidden="false" customHeight="false" outlineLevel="0" collapsed="false">
      <c r="A3" s="6" t="s">
        <v>3507</v>
      </c>
    </row>
    <row r="4" customFormat="false" ht="33.75" hidden="false" customHeight="true" outlineLevel="0" collapsed="false">
      <c r="A4" s="7" t="s">
        <v>3508</v>
      </c>
      <c r="B4" s="7" t="s">
        <v>3509</v>
      </c>
      <c r="C4" s="7" t="s">
        <v>1600</v>
      </c>
      <c r="D4" s="7" t="s">
        <v>3510</v>
      </c>
    </row>
    <row r="5" customFormat="false" ht="15" hidden="false" customHeight="false" outlineLevel="0" collapsed="false">
      <c r="A5" s="0" t="s">
        <v>3511</v>
      </c>
      <c r="B5" s="0" t="n">
        <f aca="false">COUNTA(Payments!$A$5:$A$634)-Benford!B15</f>
        <v>0</v>
      </c>
      <c r="C5" s="0" t="n">
        <v>0</v>
      </c>
      <c r="D5" s="0" t="str">
        <f aca="false">IF(ABS(B5-C5)&lt;0.005,"OK","FAIL")</f>
        <v>OK</v>
      </c>
    </row>
    <row r="6" customFormat="false" ht="15" hidden="false" customHeight="false" outlineLevel="0" collapsed="false">
      <c r="A6" s="0" t="s">
        <v>3512</v>
      </c>
      <c r="B6" s="0" t="n">
        <f aca="false">COUNTA(Payments!$A$5:$A$634)-SUM(Vendor_Benford!$B$6:$B$50)</f>
        <v>0</v>
      </c>
      <c r="C6" s="0" t="n">
        <v>0</v>
      </c>
      <c r="D6" s="0" t="str">
        <f aca="false">IF(ABS(B6-C6)&lt;0.005,"OK","FAIL")</f>
        <v>OK</v>
      </c>
    </row>
    <row r="7" customFormat="false" ht="15" hidden="false" customHeight="false" outlineLevel="0" collapsed="false">
      <c r="A7" s="0" t="s">
        <v>3513</v>
      </c>
      <c r="B7" s="0" t="n">
        <f aca="false">COUNTA(JE_Lines!$A$5:$A$1733)-SUM(JE_Entries!$B$5:$B$795)</f>
        <v>0</v>
      </c>
      <c r="C7" s="0" t="n">
        <v>0</v>
      </c>
      <c r="D7" s="0" t="str">
        <f aca="false">IF(ABS(B7-C7)&lt;0.005,"OK","FAIL")</f>
        <v>OK</v>
      </c>
    </row>
    <row r="8" customFormat="false" ht="15" hidden="false" customHeight="false" outlineLevel="0" collapsed="false">
      <c r="A8" s="0" t="s">
        <v>3514</v>
      </c>
      <c r="B8" s="0" t="n">
        <f aca="false">SUM(JE_Lines!$G$5:$G$1733)-SUM(JE_Lines!$H$5:$H$1733)-SUM(JE_Entries!$E$5:$E$795)</f>
        <v>0</v>
      </c>
      <c r="C8" s="0" t="n">
        <v>0</v>
      </c>
      <c r="D8" s="0" t="str">
        <f aca="false">IF(ABS(B8-C8)&lt;0.005,"OK","FAIL")</f>
        <v>OK</v>
      </c>
    </row>
    <row r="9" customFormat="false" ht="15" hidden="false" customHeight="false" outlineLevel="0" collapsed="false">
      <c r="A9" s="0" t="s">
        <v>3515</v>
      </c>
      <c r="B9" s="0" t="n">
        <f aca="false">SUMPRODUCT(--ISERROR(JE_Lines!$F$5:$F$1733))</f>
        <v>0</v>
      </c>
      <c r="C9" s="0" t="n">
        <v>0</v>
      </c>
      <c r="D9" s="0" t="str">
        <f aca="false">IF(ABS(B9-C9)&lt;0.005,"OK","FAIL")</f>
        <v>OK</v>
      </c>
    </row>
    <row r="10" customFormat="false" ht="15" hidden="false" customHeight="false" outlineLevel="0" collapsed="false">
      <c r="A10" s="0" t="s">
        <v>3516</v>
      </c>
      <c r="B10" s="0" t="n">
        <f aca="false">SUMPRODUCT(--ISERROR(Payments!$G$5:$R$634))</f>
        <v>0</v>
      </c>
      <c r="C10" s="0" t="n">
        <v>0</v>
      </c>
      <c r="D10" s="0" t="str">
        <f aca="false">IF(ABS(B10-C10)&lt;0.005,"OK","FAIL")</f>
        <v>OK</v>
      </c>
    </row>
    <row r="11" customFormat="false" ht="15" hidden="false" customHeight="false" outlineLevel="0" collapsed="false">
      <c r="A11" s="0" t="s">
        <v>3517</v>
      </c>
      <c r="B11" s="0" t="n">
        <f aca="false">SUMPRODUCT(--ISERROR(JE_Entries!$B$5:$Z$795))</f>
        <v>0</v>
      </c>
      <c r="C11" s="0" t="n">
        <v>0</v>
      </c>
      <c r="D11" s="0" t="str">
        <f aca="false">IF(ABS(B11-C11)&lt;0.005,"OK","FAIL")</f>
        <v>OK</v>
      </c>
    </row>
    <row r="12" customFormat="false" ht="15" hidden="false" customHeight="false" outlineLevel="0" collapsed="false">
      <c r="A12" s="0" t="s">
        <v>3518</v>
      </c>
      <c r="B12" s="0" t="n">
        <f aca="false">COUNTA(Exceptions!$A$27:$A$75)-COUNTIF(Payments!$R$5:$R$634,"High")</f>
        <v>0</v>
      </c>
      <c r="C12" s="0" t="n">
        <v>0</v>
      </c>
      <c r="D12" s="0" t="str">
        <f aca="false">IF(ABS(B12-C12)&lt;0.005,"OK","FAIL")</f>
        <v>OK</v>
      </c>
    </row>
    <row r="13" customFormat="false" ht="15" hidden="false" customHeight="false" outlineLevel="0" collapsed="false">
      <c r="A13" s="0" t="s">
        <v>3519</v>
      </c>
      <c r="B13" s="0" t="n">
        <f aca="false">COUNTA(Exceptions!$A$80:$A$87)-COUNTIF(JE_Entries!$Z$5:$Z$795,"High")</f>
        <v>0</v>
      </c>
      <c r="C13" s="0" t="n">
        <v>0</v>
      </c>
      <c r="D13" s="0" t="str">
        <f aca="false">IF(ABS(B13-C13)&lt;0.005,"OK","FAIL")</f>
        <v>OK</v>
      </c>
    </row>
    <row r="14" customFormat="false" ht="15" hidden="false" customHeight="false" outlineLevel="0" collapsed="false">
      <c r="A14" s="0" t="s">
        <v>3520</v>
      </c>
      <c r="B14" s="0" t="n">
        <f aca="false">SUMPRODUCT(--(COUNTIF(Payments!$A$5:$A$634,Payments!$A$5:$A$634)&gt;1))</f>
        <v>0</v>
      </c>
      <c r="C14" s="0" t="n">
        <v>0</v>
      </c>
      <c r="D14" s="0" t="str">
        <f aca="false">IF(ABS(B14-C14)&lt;0.005,"OK","FAIL")</f>
        <v>OK</v>
      </c>
    </row>
    <row r="15" customFormat="false" ht="15" hidden="false" customHeight="false" outlineLevel="0" collapsed="false">
      <c r="A15" s="0" t="s">
        <v>3521</v>
      </c>
      <c r="B15" s="0" t="n">
        <f aca="false">SUMPRODUCT(--(COUNTIF(JE_Entries!$A$5:$A$795,JE_Entries!$A$5:$A$795)&gt;1))</f>
        <v>0</v>
      </c>
      <c r="C15" s="0" t="n">
        <v>0</v>
      </c>
      <c r="D15" s="0" t="str">
        <f aca="false">IF(ABS(B15-C15)&lt;0.005,"OK","FAIL")</f>
        <v>OK</v>
      </c>
    </row>
    <row r="16" customFormat="false" ht="15" hidden="false" customHeight="false" outlineLevel="0" collapsed="false">
      <c r="A16" s="0" t="s">
        <v>3522</v>
      </c>
      <c r="B16" s="0" t="n">
        <f aca="false">SUMPRODUCT(--ISERROR(Answer_Key!$F$5:$F$261))</f>
        <v>0</v>
      </c>
      <c r="C16" s="0" t="n">
        <v>0</v>
      </c>
      <c r="D16" s="0" t="str">
        <f aca="false">IF(ABS(B16-C16)&lt;0.005,"OK","FAIL")</f>
        <v>OK</v>
      </c>
    </row>
    <row r="18" customFormat="false" ht="15" hidden="false" customHeight="false" outlineLevel="0" collapsed="false">
      <c r="A18" s="11" t="s">
        <v>3523</v>
      </c>
      <c r="D18" s="11" t="str">
        <f aca="false">IF(COUNTIF(D5:D16,"FAIL")=0,"PASS","FAIL")</f>
        <v>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2026-10-26T09:49:47Z</dcterms:created>
  <dc:creator>openpyxl</dc:creator>
  <dc:description/>
  <dc:language>en-US</dc:language>
  <cp:lastModifiedBy/>
  <dcterms:modified xsi:type="dcterms:W3CDTF">2026-10-26T09:49:48Z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